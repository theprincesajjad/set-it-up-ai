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cenarios" sheetId="2" state="visible" r:id="rId4"/>
    <sheet name="Unit Economics" sheetId="3" state="visible" r:id="rId5"/>
    <sheet name="Monthly" sheetId="4" state="visible" r:id="rId6"/>
    <sheet name="Monthly_Bear" sheetId="5" state="visible" r:id="rId7"/>
    <sheet name="Monthly_RecoGates" sheetId="6" state="visible" r:id="rId8"/>
    <sheet name="Monthly_Lean" sheetId="7" state="visible" r:id="rId9"/>
    <sheet name="Monthly_Bull" sheetId="8" state="visible" r:id="rId10"/>
    <sheet name="Sensitivit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<sst xmlns="http://schemas.openxmlformats.org/spreadsheetml/2006/main" count="2090" uniqueCount="726">
  <si>
    <t xml:space="preserve">Local Loyalty — Assumptions (CAD)</t>
  </si>
  <si>
    <t xml:space="preserve">Legend: blue = input you can change; black = formula; blue on yellow = scenario override of Base. Non-Base columns follow Base unless overridden. Source/notes in column I. Mirrors model.py ASSUMPTIONS.</t>
  </si>
  <si>
    <t xml:space="preserve">Key</t>
  </si>
  <si>
    <t xml:space="preserve">Assumption</t>
  </si>
  <si>
    <t xml:space="preserve">Base</t>
  </si>
  <si>
    <t xml:space="preserve">Bear</t>
  </si>
  <si>
    <t xml:space="preserve">Base + reco gates</t>
  </si>
  <si>
    <t xml:space="preserve">Lean plan</t>
  </si>
  <si>
    <t xml:space="preserve">Bull</t>
  </si>
  <si>
    <t xml:space="preserve">Unit</t>
  </si>
  <si>
    <t xml:space="preserve">Source / note</t>
  </si>
  <si>
    <t xml:space="preserve">Scalar assumptions</t>
  </si>
  <si>
    <t xml:space="preserve">months</t>
  </si>
  <si>
    <t xml:space="preserve">Months</t>
  </si>
  <si>
    <t xml:space="preserve">Projection horizon (CSV + workbook)</t>
  </si>
  <si>
    <t xml:space="preserve">extended_months</t>
  </si>
  <si>
    <t xml:space="preserve">Extended months</t>
  </si>
  <si>
    <t xml:space="preserve">Extended run used ONLY to find break-even if it falls after month 36; keeps launching at the last quarter's pace</t>
  </si>
  <si>
    <t xml:space="preserve">starting_cash</t>
  </si>
  <si>
    <t xml:space="preserve">Starting cash</t>
  </si>
  <si>
    <t xml:space="preserve">CAD</t>
  </si>
  <si>
    <t xml:space="preserve">Founder starts at $0; peak cash need = money required to bootstrap</t>
  </si>
  <si>
    <t xml:space="preserve">strip_potential_merchants</t>
  </si>
  <si>
    <t xml:space="preserve">Strip potential merchants</t>
  </si>
  <si>
    <t xml:space="preserve">merchants/strip</t>
  </si>
  <si>
    <t xml:space="preserve">Assumption: 80+ storefronts (PRD strip criterion) x ~55% repeat-visit verticals x ~70% eventually sign</t>
  </si>
  <si>
    <t xml:space="preserve">activation_rate</t>
  </si>
  <si>
    <t xml:space="preserve">Activation rate</t>
  </si>
  <si>
    <t xml:space="preserve">share of signed</t>
  </si>
  <si>
    <t xml:space="preserve">PRD success metric: 60% of signed reach 25 active members</t>
  </si>
  <si>
    <t xml:space="preserve">free_merchant_churn</t>
  </si>
  <si>
    <t xml:space="preserve">Free merchant churn</t>
  </si>
  <si>
    <t xml:space="preserve">per month</t>
  </si>
  <si>
    <t xml:space="preserve">Assumption: business closures + drop-outs; free plan has no switching cost</t>
  </si>
  <si>
    <t xml:space="preserve">members_per_active_merchant</t>
  </si>
  <si>
    <t xml:space="preserve">Members per active merchant</t>
  </si>
  <si>
    <t xml:space="preserve">active members</t>
  </si>
  <si>
    <t xml:space="preserve">PRD success metric (month 6 target)</t>
  </si>
  <si>
    <t xml:space="preserve">membership_fill_speed</t>
  </si>
  <si>
    <t xml:space="preserve">Membership fill speed</t>
  </si>
  <si>
    <t xml:space="preserve">share of gap closed/month</t>
  </si>
  <si>
    <t xml:space="preserve">Assumption: ~6 months to reach target</t>
  </si>
  <si>
    <t xml:space="preserve">shops_per_customer</t>
  </si>
  <si>
    <t xml:space="preserve">Shops per customer</t>
  </si>
  <si>
    <t xml:space="preserve">shops per active customer</t>
  </si>
  <si>
    <t xml:space="preserve">Assumption from PRD target: 30% of customers hold 2+ shops</t>
  </si>
  <si>
    <t xml:space="preserve">customer_churn</t>
  </si>
  <si>
    <t xml:space="preserve">Customer churn</t>
  </si>
  <si>
    <t xml:space="preserve">Assumption: active customers lapsing (drives re-acquisition SMS)</t>
  </si>
  <si>
    <t xml:space="preserve">app_user_share</t>
  </si>
  <si>
    <t xml:space="preserve">App user share</t>
  </si>
  <si>
    <t xml:space="preserve">share of active customers</t>
  </si>
  <si>
    <t xml:space="preserve">Assumption: most join via wallet pass/phone number and never open the app</t>
  </si>
  <si>
    <t xml:space="preserve">unlock_plus_active_merchants</t>
  </si>
  <si>
    <t xml:space="preserve">Unlock plus active merchants</t>
  </si>
  <si>
    <t xml:space="preserve">active merchants</t>
  </si>
  <si>
    <t xml:space="preserve">plans.ts unlockAtMerchants for Plus features</t>
  </si>
  <si>
    <t xml:space="preserve">plus_features_ready_month</t>
  </si>
  <si>
    <t xml:space="preserve">Plus features ready month</t>
  </si>
  <si>
    <t xml:space="preserve">model month</t>
  </si>
  <si>
    <t xml:space="preserve">Assumption: Phase 2 build done Aug 2027 (PRD months 7-12)</t>
  </si>
  <si>
    <t xml:space="preserve">unlock_pro_active_merchants</t>
  </si>
  <si>
    <t xml:space="preserve">Unlock pro active merchants</t>
  </si>
  <si>
    <t xml:space="preserve">plans.ts unlockAtMerchants for Pro features</t>
  </si>
  <si>
    <t xml:space="preserve">pro_features_ready_month</t>
  </si>
  <si>
    <t xml:space="preserve">Pro features ready month</t>
  </si>
  <si>
    <t xml:space="preserve">unlock_bia_active_merchants</t>
  </si>
  <si>
    <t xml:space="preserve">Unlock bia active merchants</t>
  </si>
  <si>
    <t xml:space="preserve">plans.ts campaigns.neighbourhood unlockAtMerchants</t>
  </si>
  <si>
    <t xml:space="preserve">unlock_ads_active_merchants</t>
  </si>
  <si>
    <t xml:space="preserve">Unlock ads active merchants</t>
  </si>
  <si>
    <t xml:space="preserve">plans.ts ads.* unlockAtMerchants</t>
  </si>
  <si>
    <t xml:space="preserve">ads_ready_month</t>
  </si>
  <si>
    <t xml:space="preserve">Ads ready month</t>
  </si>
  <si>
    <t xml:space="preserve">Assumption: ad tooling built by Apr 2028</t>
  </si>
  <si>
    <t xml:space="preserve">mix_food_bev</t>
  </si>
  <si>
    <t xml:space="preserve">Mix food bev</t>
  </si>
  <si>
    <t xml:space="preserve">share of merchants</t>
  </si>
  <si>
    <t xml:space="preserve">Assumption: daily-visit anchors of a strip</t>
  </si>
  <si>
    <t xml:space="preserve">mix_retail</t>
  </si>
  <si>
    <t xml:space="preserve">Mix retail</t>
  </si>
  <si>
    <t xml:space="preserve">mix_repair_auto</t>
  </si>
  <si>
    <t xml:space="preserve">Mix repair auto</t>
  </si>
  <si>
    <t xml:space="preserve">Assumption: PRD says lead with repair/auto for revenue</t>
  </si>
  <si>
    <t xml:space="preserve">mix_personal_services</t>
  </si>
  <si>
    <t xml:space="preserve">Mix personal services</t>
  </si>
  <si>
    <t xml:space="preserve">mix_pharmacy</t>
  </si>
  <si>
    <t xml:space="preserve">Mix pharmacy</t>
  </si>
  <si>
    <t xml:space="preserve">conv12_food_bev</t>
  </si>
  <si>
    <t xml:space="preserve">Conv12 food bev</t>
  </si>
  <si>
    <t xml:space="preserve">12-month conversion</t>
  </si>
  <si>
    <t xml:space="preserve">Assumption: order-ahead/pickup pain is moderate</t>
  </si>
  <si>
    <t xml:space="preserve">conv12_retail</t>
  </si>
  <si>
    <t xml:space="preserve">Conv12 retail</t>
  </si>
  <si>
    <t xml:space="preserve">Assumption: SMS + push promos only</t>
  </si>
  <si>
    <t xml:space="preserve">conv12_repair_auto</t>
  </si>
  <si>
    <t xml:space="preserve">Conv12 repair auto</t>
  </si>
  <si>
    <t xml:space="preserve">Assumption: quote approval/deposits replace phone tag (validate with $100 pilot deposits, PRD)</t>
  </si>
  <si>
    <t xml:space="preserve">conv12_personal_services</t>
  </si>
  <si>
    <t xml:space="preserve">Conv12 personal services</t>
  </si>
  <si>
    <t xml:space="preserve">conv12_pharmacy</t>
  </si>
  <si>
    <t xml:space="preserve">Conv12 pharmacy</t>
  </si>
  <si>
    <t xml:space="preserve">Assumption: limited by OCP inducement rules</t>
  </si>
  <si>
    <t xml:space="preserve">pro_share_food_bev</t>
  </si>
  <si>
    <t xml:space="preserve">Pro share food bev</t>
  </si>
  <si>
    <t xml:space="preserve">share Pro</t>
  </si>
  <si>
    <t xml:space="preserve">pro_share_retail</t>
  </si>
  <si>
    <t xml:space="preserve">Pro share retail</t>
  </si>
  <si>
    <t xml:space="preserve">pro_share_repair_auto</t>
  </si>
  <si>
    <t xml:space="preserve">Pro share repair auto</t>
  </si>
  <si>
    <t xml:space="preserve">Assumption: service tickets, quotes, invoices are Pro</t>
  </si>
  <si>
    <t xml:space="preserve">pro_share_personal_services</t>
  </si>
  <si>
    <t xml:space="preserve">Pro share personal services</t>
  </si>
  <si>
    <t xml:space="preserve">Assumption: drop-off scheduling/permissions</t>
  </si>
  <si>
    <t xml:space="preserve">pro_share_pharmacy</t>
  </si>
  <si>
    <t xml:space="preserve">Pro share pharmacy</t>
  </si>
  <si>
    <t xml:space="preserve">conversion_multiplier</t>
  </si>
  <si>
    <t xml:space="preserve">Conversion multiplier</t>
  </si>
  <si>
    <t xml:space="preserve">x</t>
  </si>
  <si>
    <t xml:space="preserve">Scenario/sensitivity lever on all conversion rates</t>
  </si>
  <si>
    <t xml:space="preserve">paid_churn</t>
  </si>
  <si>
    <t xml:space="preserve">Paid churn</t>
  </si>
  <si>
    <t xml:space="preserve">PRD assumption (~33-month life); churned payers drop back to Free</t>
  </si>
  <si>
    <t xml:space="preserve">price_plus</t>
  </si>
  <si>
    <t xml:space="preserve">Price plus</t>
  </si>
  <si>
    <t xml:space="preserve">CAD/month</t>
  </si>
  <si>
    <t xml:space="preserve">plans.ts PLANS.plus.priceCents = 3900</t>
  </si>
  <si>
    <t xml:space="preserve">price_pro</t>
  </si>
  <si>
    <t xml:space="preserve">Price pro</t>
  </si>
  <si>
    <t xml:space="preserve">plans.ts PLANS.pro.priceCents = 7900</t>
  </si>
  <si>
    <t xml:space="preserve">platform_fee</t>
  </si>
  <si>
    <t xml:space="preserve">Platform fee</t>
  </si>
  <si>
    <t xml:space="preserve">of in-app GMV</t>
  </si>
  <si>
    <t xml:space="preserve">plans.ts PLATFORM_PAYMENT_FEE_BPS = 75</t>
  </si>
  <si>
    <t xml:space="preserve">payments_adoption</t>
  </si>
  <si>
    <t xml:space="preserve">Payments adoption</t>
  </si>
  <si>
    <t xml:space="preserve">share of payers</t>
  </si>
  <si>
    <t xml:space="preserve">Assumption: share of paying merchants using in-app payments</t>
  </si>
  <si>
    <t xml:space="preserve">gmv_plus</t>
  </si>
  <si>
    <t xml:space="preserve">Gmv plus</t>
  </si>
  <si>
    <t xml:space="preserve">Assumption: order-ahead volume per Plus merchant using payments</t>
  </si>
  <si>
    <t xml:space="preserve">gmv_pro</t>
  </si>
  <si>
    <t xml:space="preserve">Gmv pro</t>
  </si>
  <si>
    <t xml:space="preserve">Assumption: deposits + invoices per Pro merchant (PRD used $4,000 blended)</t>
  </si>
  <si>
    <t xml:space="preserve">avg_ticket</t>
  </si>
  <si>
    <t xml:space="preserve">Avg ticket</t>
  </si>
  <si>
    <t xml:space="preserve">Assumption: average in-app payment (for merchant fee comparison only)</t>
  </si>
  <si>
    <t xml:space="preserve">stripe_pct</t>
  </si>
  <si>
    <t xml:space="preserve">Stripe pct</t>
  </si>
  <si>
    <t xml:space="preserve">of GMV</t>
  </si>
  <si>
    <t xml:space="preserve">Stripe CA domestic online card rate 2.9% (PRD, via Xero) — paid by merchant</t>
  </si>
  <si>
    <t xml:space="preserve">stripe_fixed</t>
  </si>
  <si>
    <t xml:space="preserve">Stripe fixed</t>
  </si>
  <si>
    <t xml:space="preserve">CAD/txn</t>
  </si>
  <si>
    <t xml:space="preserve">Stripe CA C$0.30 per txn (PRD) — paid by merchant</t>
  </si>
  <si>
    <t xml:space="preserve">connect_pct</t>
  </si>
  <si>
    <t xml:space="preserve">Connect pct</t>
  </si>
  <si>
    <t xml:space="preserve">Assumption: Stripe Connect platform cost if we pick platform-paid pricing (US list 0.25% + payout fees); VERIFY CAD pricing</t>
  </si>
  <si>
    <t xml:space="preserve">connect_account_fee</t>
  </si>
  <si>
    <t xml:space="preserve">Connect account fee</t>
  </si>
  <si>
    <t xml:space="preserve">CAD/active account/month</t>
  </si>
  <si>
    <t xml:space="preserve">Assumption: Stripe Connect active-account fee; VERIFY</t>
  </si>
  <si>
    <t xml:space="preserve">billing_pct</t>
  </si>
  <si>
    <t xml:space="preserve">Billing pct</t>
  </si>
  <si>
    <t xml:space="preserve">of subscription revenue</t>
  </si>
  <si>
    <t xml:space="preserve">Assumption: 2.9% card + ~0.5% Stripe Billing; VERIFY</t>
  </si>
  <si>
    <t xml:space="preserve">billing_fixed</t>
  </si>
  <si>
    <t xml:space="preserve">Billing fixed</t>
  </si>
  <si>
    <t xml:space="preserve">CAD/invoice</t>
  </si>
  <si>
    <t xml:space="preserve">Stripe CA C$0.30 per card txn (PRD)</t>
  </si>
  <si>
    <t xml:space="preserve">sms_rate</t>
  </si>
  <si>
    <t xml:space="preserve">Sms rate</t>
  </si>
  <si>
    <t xml:space="preserve">CAD/segment</t>
  </si>
  <si>
    <t xml:space="preserve">Twilio CA outbound US$0.0079-0.0083/segment (twilio.com/en-us/sms/pricing/ca, Oct 2026) + carrier fees ~US$0.0064-0.0087 (third-party estimate) = ~US$0.016 x FX 1.38 (assumption); VERIFY before launch</t>
  </si>
  <si>
    <t xml:space="preserve">sms_used_plus</t>
  </si>
  <si>
    <t xml:space="preserve">Sms used plus</t>
  </si>
  <si>
    <t xml:space="preserve">SMS/month</t>
  </si>
  <si>
    <t xml:space="preserve">Assumption: 60% of Plus allowance (plans.ts smsPerMonth = 500)</t>
  </si>
  <si>
    <t xml:space="preserve">sms_used_pro</t>
  </si>
  <si>
    <t xml:space="preserve">Sms used pro</t>
  </si>
  <si>
    <t xml:space="preserve">Assumption: 60% of Pro allowance (plans.ts smsPerMonth = 1500)</t>
  </si>
  <si>
    <t xml:space="preserve">otp_sms_per_new_customer</t>
  </si>
  <si>
    <t xml:space="preserve">Otp sms per new customer</t>
  </si>
  <si>
    <t xml:space="preserve">SMS</t>
  </si>
  <si>
    <t xml:space="preserve">Assumption: phone-number join verification + welcome</t>
  </si>
  <si>
    <t xml:space="preserve">txn_sms_per_customer</t>
  </si>
  <si>
    <t xml:space="preserve">Txn sms per customer</t>
  </si>
  <si>
    <t xml:space="preserve">Assumption: reward-ready / receipt texts on Free</t>
  </si>
  <si>
    <t xml:space="preserve">infra_per_merchant</t>
  </si>
  <si>
    <t xml:space="preserve">Infra per merchant</t>
  </si>
  <si>
    <t xml:space="preserve">Assumption: DB, storage, wallet pass updates, email</t>
  </si>
  <si>
    <t xml:space="preserve">infra_per_customer</t>
  </si>
  <si>
    <t xml:space="preserve">Infra per customer</t>
  </si>
  <si>
    <t xml:space="preserve">Assumption: per active customer hosting + push</t>
  </si>
  <si>
    <t xml:space="preserve">support_hourly</t>
  </si>
  <si>
    <t xml:space="preserve">Support hourly</t>
  </si>
  <si>
    <t xml:space="preserve">CAD/hr</t>
  </si>
  <si>
    <t xml:space="preserve">Assumption: blended support cost (founder time is free, see fixed costs)</t>
  </si>
  <si>
    <t xml:space="preserve">support_min_free</t>
  </si>
  <si>
    <t xml:space="preserve">Support min free</t>
  </si>
  <si>
    <t xml:space="preserve">min/merchant/month</t>
  </si>
  <si>
    <t xml:space="preserve">support_min_paid</t>
  </si>
  <si>
    <t xml:space="preserve">Support min paid</t>
  </si>
  <si>
    <t xml:space="preserve">Assumption: extra support for ops features</t>
  </si>
  <si>
    <t xml:space="preserve">perk_qualify_rate</t>
  </si>
  <si>
    <t xml:space="preserve">Perk qualify rate</t>
  </si>
  <si>
    <t xml:space="preserve">of new customers</t>
  </si>
  <si>
    <t xml:space="preserve">Assumption: share hitting 'visit 3 shops on the strip'</t>
  </si>
  <si>
    <t xml:space="preserve">perk_value</t>
  </si>
  <si>
    <t xml:space="preserve">Perk value</t>
  </si>
  <si>
    <t xml:space="preserve">Assumption: platform-funded bonus value</t>
  </si>
  <si>
    <t xml:space="preserve">perk_redeem_rate</t>
  </si>
  <si>
    <t xml:space="preserve">Perk redeem rate</t>
  </si>
  <si>
    <t xml:space="preserve">share redeemed</t>
  </si>
  <si>
    <t xml:space="preserve">Assumption (cost booked when earned x expected redemption)</t>
  </si>
  <si>
    <t xml:space="preserve">sessions_per_app_user</t>
  </si>
  <si>
    <t xml:space="preserve">Sessions per app user</t>
  </si>
  <si>
    <t xml:space="preserve">sessions/month</t>
  </si>
  <si>
    <t xml:space="preserve">ad_slots_per_session</t>
  </si>
  <si>
    <t xml:space="preserve">Ad slots per session</t>
  </si>
  <si>
    <t xml:space="preserve">slots</t>
  </si>
  <si>
    <t xml:space="preserve">Assumption: 1 feed slot + 1 search/map slot</t>
  </si>
  <si>
    <t xml:space="preserve">ad_fill_rate</t>
  </si>
  <si>
    <t xml:space="preserve">Ad fill rate</t>
  </si>
  <si>
    <t xml:space="preserve">share of slots sold</t>
  </si>
  <si>
    <t xml:space="preserve">Assumption: small local inventory, self-serve</t>
  </si>
  <si>
    <t xml:space="preserve">ad_cpm</t>
  </si>
  <si>
    <t xml:space="preserve">Ad cpm</t>
  </si>
  <si>
    <t xml:space="preserve">CAD per 1,000 impressions</t>
  </si>
  <si>
    <t xml:space="preserve">Assumption: hyper-local intent; see unit-economics.md rate card</t>
  </si>
  <si>
    <t xml:space="preserve">pin_adoption</t>
  </si>
  <si>
    <t xml:space="preserve">Pin adoption</t>
  </si>
  <si>
    <t xml:space="preserve">share of active merchants</t>
  </si>
  <si>
    <t xml:space="preserve">Assumption: featured map pin buyers each month</t>
  </si>
  <si>
    <t xml:space="preserve">pin_price_month</t>
  </si>
  <si>
    <t xml:space="preserve">Pin price month</t>
  </si>
  <si>
    <t xml:space="preserve">Assumption: ~$2.50/day rate card</t>
  </si>
  <si>
    <t xml:space="preserve">boost_adoption</t>
  </si>
  <si>
    <t xml:space="preserve">Boost adoption</t>
  </si>
  <si>
    <t xml:space="preserve">Assumption: nearby push boost buyers each month</t>
  </si>
  <si>
    <t xml:space="preserve">boosts_per_buyer</t>
  </si>
  <si>
    <t xml:space="preserve">Boosts per buyer</t>
  </si>
  <si>
    <t xml:space="preserve">boosts/month</t>
  </si>
  <si>
    <t xml:space="preserve">boost_price</t>
  </si>
  <si>
    <t xml:space="preserve">Boost price</t>
  </si>
  <si>
    <t xml:space="preserve">CAD/boost</t>
  </si>
  <si>
    <t xml:space="preserve">ads_ramp_months</t>
  </si>
  <si>
    <t xml:space="preserve">Ads ramp months</t>
  </si>
  <si>
    <t xml:space="preserve">Assumption: linear ramp to full demand after ads unlock</t>
  </si>
  <si>
    <t xml:space="preserve">ads_ops_pct</t>
  </si>
  <si>
    <t xml:space="preserve">Ads ops pct</t>
  </si>
  <si>
    <t xml:space="preserve">of ad revenue</t>
  </si>
  <si>
    <t xml:space="preserve">Assumption: creative help, moderation, ad serving</t>
  </si>
  <si>
    <t xml:space="preserve">strip_maturity_months</t>
  </si>
  <si>
    <t xml:space="preserve">Strip maturity months</t>
  </si>
  <si>
    <t xml:space="preserve">Assumption: a strip can sell a campaign 6 months after launch</t>
  </si>
  <si>
    <t xml:space="preserve">bia_campaigns_per_strip_year</t>
  </si>
  <si>
    <t xml:space="preserve">Bia campaigns per strip year</t>
  </si>
  <si>
    <t xml:space="preserve">campaigns/mature strip/year</t>
  </si>
  <si>
    <t xml:space="preserve">bia_price</t>
  </si>
  <si>
    <t xml:space="preserve">Bia price</t>
  </si>
  <si>
    <t xml:space="preserve">CAD/campaign</t>
  </si>
  <si>
    <t xml:space="preserve">Midpoint of founder's $1,500-3,000 range</t>
  </si>
  <si>
    <t xml:space="preserve">bia_cost_pct</t>
  </si>
  <si>
    <t xml:space="preserve">Bia cost pct</t>
  </si>
  <si>
    <t xml:space="preserve">of campaign revenue</t>
  </si>
  <si>
    <t xml:space="preserve">Assumption: prize basket, print, rep hours</t>
  </si>
  <si>
    <t xml:space="preserve">rep_wage</t>
  </si>
  <si>
    <t xml:space="preserve">Rep wage</t>
  </si>
  <si>
    <t xml:space="preserve">Ontario general minimum wage from Oct 1, 2026 (Hicks Morley, cited in PRD)</t>
  </si>
  <si>
    <t xml:space="preserve">wage_indexation</t>
  </si>
  <si>
    <t xml:space="preserve">Wage indexation</t>
  </si>
  <si>
    <t xml:space="preserve">per year (each Oct 1)</t>
  </si>
  <si>
    <t xml:space="preserve">Assumption: Ontario indexes min wage to CPI every Oct 1</t>
  </si>
  <si>
    <t xml:space="preserve">payroll_burden</t>
  </si>
  <si>
    <t xml:space="preserve">Payroll burden</t>
  </si>
  <si>
    <t xml:space="preserve">of wages</t>
  </si>
  <si>
    <t xml:space="preserve">Assumption: 4% vacation pay + CPP ~5.95% + EI ~2.3% + WSIB ~1%; VERIFY</t>
  </si>
  <si>
    <t xml:space="preserve">rep_hours_per_signup</t>
  </si>
  <si>
    <t xml:space="preserve">Rep hours per signup</t>
  </si>
  <si>
    <t xml:space="preserve">paid hours/signed merchant</t>
  </si>
  <si>
    <t xml:space="preserve">PRD: ~3 activations per 6-hour shift (2h) + 0.5h prospecting and day-7/30 calls</t>
  </si>
  <si>
    <t xml:space="preserve">activation_bonus</t>
  </si>
  <si>
    <t xml:space="preserve">Activation bonus</t>
  </si>
  <si>
    <t xml:space="preserve">CAD/activated merchant</t>
  </si>
  <si>
    <t xml:space="preserve">PRD: bonus at 25 active members (paid on top of wage)</t>
  </si>
  <si>
    <t xml:space="preserve">kit_cost</t>
  </si>
  <si>
    <t xml:space="preserve">Kit cost</t>
  </si>
  <si>
    <t xml:space="preserve">CAD/signed merchant</t>
  </si>
  <si>
    <t xml:space="preserve">PRD: QR counter stand + print</t>
  </si>
  <si>
    <t xml:space="preserve">strip_launch_cost</t>
  </si>
  <si>
    <t xml:space="preserve">Strip launch cost</t>
  </si>
  <si>
    <t xml:space="preserve">CAD/strip</t>
  </si>
  <si>
    <t xml:space="preserve">Assumption: passport week prizes, flyers, launch event</t>
  </si>
  <si>
    <t xml:space="preserve">upsell_cost</t>
  </si>
  <si>
    <t xml:space="preserve">Upsell cost</t>
  </si>
  <si>
    <t xml:space="preserve">CAD/conversion</t>
  </si>
  <si>
    <t xml:space="preserve">PRD: upsell bonus / onboarding of paid features</t>
  </si>
  <si>
    <t xml:space="preserve">cac_multiplier</t>
  </si>
  <si>
    <t xml:space="preserve">Cac multiplier</t>
  </si>
  <si>
    <t xml:space="preserve">Scenario/sensitivity lever on all acquisition spend</t>
  </si>
  <si>
    <t xml:space="preserve">fixed_hosting_base</t>
  </si>
  <si>
    <t xml:space="preserve">Fixed hosting base</t>
  </si>
  <si>
    <t xml:space="preserve">Assumption: managed DB, hosting, monitoring (Canadian region)</t>
  </si>
  <si>
    <t xml:space="preserve">fixed_saas_tools</t>
  </si>
  <si>
    <t xml:space="preserve">Fixed saas tools</t>
  </si>
  <si>
    <t xml:space="preserve">Assumption: email, design, CRM, Google Workspace</t>
  </si>
  <si>
    <t xml:space="preserve">fixed_insurance</t>
  </si>
  <si>
    <t xml:space="preserve">Fixed insurance</t>
  </si>
  <si>
    <t xml:space="preserve">Assumption: CGL + cyber/privacy liability</t>
  </si>
  <si>
    <t xml:space="preserve">fixed_accounting</t>
  </si>
  <si>
    <t xml:space="preserve">Fixed accounting</t>
  </si>
  <si>
    <t xml:space="preserve">Assumption: bookkeeping + year-end</t>
  </si>
  <si>
    <t xml:space="preserve">fixed_app_stores</t>
  </si>
  <si>
    <t xml:space="preserve">Fixed app stores</t>
  </si>
  <si>
    <t xml:space="preserve">Apple Developer US$99/yr + Google Play one-time US$25, amortised</t>
  </si>
  <si>
    <t xml:space="preserve">fixed_phone_misc</t>
  </si>
  <si>
    <t xml:space="preserve">Fixed phone misc</t>
  </si>
  <si>
    <t xml:space="preserve">fixed_marketing</t>
  </si>
  <si>
    <t xml:space="preserve">Fixed marketing</t>
  </si>
  <si>
    <t xml:space="preserve">Assumption: baseline brand, social, local press</t>
  </si>
  <si>
    <t xml:space="preserve">fixed_legal_reserve</t>
  </si>
  <si>
    <t xml:space="preserve">Fixed legal reserve</t>
  </si>
  <si>
    <t xml:space="preserve">Assumption: ongoing legal/compliance reserve</t>
  </si>
  <si>
    <t xml:space="preserve">dev_monthly_y1</t>
  </si>
  <si>
    <t xml:space="preserve">Dev monthly y1</t>
  </si>
  <si>
    <t xml:space="preserve">PRD: part-time contract developer ~$4,000/mo</t>
  </si>
  <si>
    <t xml:space="preserve">dev_monthly_y2</t>
  </si>
  <si>
    <t xml:space="preserve">Dev monthly y2</t>
  </si>
  <si>
    <t xml:space="preserve">Assumption: more hours for Phase 2 (ops features)</t>
  </si>
  <si>
    <t xml:space="preserve">dev_monthly_y3</t>
  </si>
  <si>
    <t xml:space="preserve">Dev monthly y3</t>
  </si>
  <si>
    <t xml:space="preserve">Assumption: Phase 3 (ads, campaigns)</t>
  </si>
  <si>
    <t xml:space="preserve">merchants_per_cs</t>
  </si>
  <si>
    <t xml:space="preserve">Merchants per cs</t>
  </si>
  <si>
    <t xml:space="preserve">active merchants per account-manager hire</t>
  </si>
  <si>
    <t xml:space="preserve">Assumption: founder covers it until then</t>
  </si>
  <si>
    <t xml:space="preserve">cs_monthly_cost</t>
  </si>
  <si>
    <t xml:space="preserve">Cs monthly cost</t>
  </si>
  <si>
    <t xml:space="preserve">Assumption: one part-time account/BIA manager, loaded</t>
  </si>
  <si>
    <t xml:space="preserve">founder_salary</t>
  </si>
  <si>
    <t xml:space="preserve">Founder salary</t>
  </si>
  <si>
    <t xml:space="preserve">Founder takes no salary initially (founder's model)</t>
  </si>
  <si>
    <t xml:space="preserve">founder_salary_start_month</t>
  </si>
  <si>
    <t xml:space="preserve">Founder salary start month</t>
  </si>
  <si>
    <t xml:space="preserve">Never within horizon in base case</t>
  </si>
  <si>
    <t xml:space="preserve">founder_target_salary</t>
  </si>
  <si>
    <t xml:space="preserve">Founder target salary</t>
  </si>
  <si>
    <t xml:space="preserve">Assumption: 'ramen' salary used only for a reported metric</t>
  </si>
  <si>
    <t xml:space="preserve">fixed_overhead_total</t>
  </si>
  <si>
    <t xml:space="preserve">Fixed overhead total (sum of fixed_* lines)</t>
  </si>
  <si>
    <t xml:space="preserve">Acquisition ramp: share of a strip's potential merchants signing in each month after launch (age 0 = launch month). Assumption: blitz in first 2 months (2-4 reps per strip, PRD), long tail; sums to 100%</t>
  </si>
  <si>
    <t xml:space="preserve">ramp_0</t>
  </si>
  <si>
    <t xml:space="preserve">Ramp, strip age 0 months</t>
  </si>
  <si>
    <t xml:space="preserve">share of potential</t>
  </si>
  <si>
    <t xml:space="preserve">ramp_1</t>
  </si>
  <si>
    <t xml:space="preserve">Ramp, strip age 1 months</t>
  </si>
  <si>
    <t xml:space="preserve">ramp_2</t>
  </si>
  <si>
    <t xml:space="preserve">Ramp, strip age 2 months</t>
  </si>
  <si>
    <t xml:space="preserve">ramp_3</t>
  </si>
  <si>
    <t xml:space="preserve">Ramp, strip age 3 months</t>
  </si>
  <si>
    <t xml:space="preserve">ramp_4</t>
  </si>
  <si>
    <t xml:space="preserve">Ramp, strip age 4 months</t>
  </si>
  <si>
    <t xml:space="preserve">ramp_5</t>
  </si>
  <si>
    <t xml:space="preserve">Ramp, strip age 5 months</t>
  </si>
  <si>
    <t xml:space="preserve">ramp_6</t>
  </si>
  <si>
    <t xml:space="preserve">Ramp, strip age 6 months</t>
  </si>
  <si>
    <t xml:space="preserve">ramp_7</t>
  </si>
  <si>
    <t xml:space="preserve">Ramp, strip age 7 months</t>
  </si>
  <si>
    <t xml:space="preserve">ramp_8</t>
  </si>
  <si>
    <t xml:space="preserve">Ramp, strip age 8 months</t>
  </si>
  <si>
    <t xml:space="preserve">ramp_9</t>
  </si>
  <si>
    <t xml:space="preserve">Ramp, strip age 9 months</t>
  </si>
  <si>
    <t xml:space="preserve">ramp_10</t>
  </si>
  <si>
    <t xml:space="preserve">Ramp, strip age 10 months</t>
  </si>
  <si>
    <t xml:space="preserve">ramp_11</t>
  </si>
  <si>
    <t xml:space="preserve">Ramp, strip age 11 months</t>
  </si>
  <si>
    <t xml:space="preserve">ramp_12</t>
  </si>
  <si>
    <t xml:space="preserve">Ramp, strip age 12 months</t>
  </si>
  <si>
    <t xml:space="preserve">ramp_13</t>
  </si>
  <si>
    <t xml:space="preserve">Ramp, strip age 13 months</t>
  </si>
  <si>
    <t xml:space="preserve">ramp_14</t>
  </si>
  <si>
    <t xml:space="preserve">Ramp, strip age 14 months</t>
  </si>
  <si>
    <t xml:space="preserve">ramp_15</t>
  </si>
  <si>
    <t xml:space="preserve">Ramp, strip age 15 months</t>
  </si>
  <si>
    <t xml:space="preserve">ramp_16</t>
  </si>
  <si>
    <t xml:space="preserve">Ramp, strip age 16 months</t>
  </si>
  <si>
    <t xml:space="preserve">ramp_17</t>
  </si>
  <si>
    <t xml:space="preserve">Ramp, strip age 17 months</t>
  </si>
  <si>
    <t xml:space="preserve">ramp_18</t>
  </si>
  <si>
    <t xml:space="preserve">Ramp, strip age 18 months</t>
  </si>
  <si>
    <t xml:space="preserve">ramp_19</t>
  </si>
  <si>
    <t xml:space="preserve">Ramp, strip age 19 months</t>
  </si>
  <si>
    <t xml:space="preserve">ramp_20</t>
  </si>
  <si>
    <t xml:space="preserve">Ramp, strip age 20 months</t>
  </si>
  <si>
    <t xml:space="preserve">ramp_21</t>
  </si>
  <si>
    <t xml:space="preserve">Ramp, strip age 21 months</t>
  </si>
  <si>
    <t xml:space="preserve">ramp_22</t>
  </si>
  <si>
    <t xml:space="preserve">Ramp, strip age 22 months</t>
  </si>
  <si>
    <t xml:space="preserve">Ramp total (should be 100%)</t>
  </si>
  <si>
    <t xml:space="preserve">Schedules by model month (row inputs). Strip launches derived from strips_per_quarter in model.py (launch order within quarter: middle, last, first month). Months 37-60 repeat the last quarter's pace.</t>
  </si>
  <si>
    <t xml:space="preserve">Model month →</t>
  </si>
  <si>
    <t xml:space="preserve">Calendar month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</si>
  <si>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</si>
  <si>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</si>
  <si>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</si>
  <si>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</si>
  <si>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</si>
  <si>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</si>
  <si>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</si>
  <si>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</si>
  <si>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</si>
  <si>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</si>
  <si>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</si>
  <si>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</si>
  <si>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</si>
  <si>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</si>
  <si>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2028-01</t>
  </si>
  <si>
    <t xml:space="preserve">2028-02</t>
  </si>
  <si>
    <t xml:space="preserve">2028-03</t>
  </si>
  <si>
    <t xml:space="preserve">2028-04</t>
  </si>
  <si>
    <t xml:space="preserve">2028-05</t>
  </si>
  <si>
    <t xml:space="preserve">2028-06</t>
  </si>
  <si>
    <t xml:space="preserve">2028-07</t>
  </si>
  <si>
    <t xml:space="preserve">2028-08</t>
  </si>
  <si>
    <t xml:space="preserve">2028-09</t>
  </si>
  <si>
    <t xml:space="preserve">2028-10</t>
  </si>
  <si>
    <t xml:space="preserve">2028-11</t>
  </si>
  <si>
    <t xml:space="preserve">2028-12</t>
  </si>
  <si>
    <t xml:space="preserve">2029-01</t>
  </si>
  <si>
    <t xml:space="preserve">2029-02</t>
  </si>
  <si>
    <t xml:space="preserve">2029-03</t>
  </si>
  <si>
    <t xml:space="preserve">2029-04</t>
  </si>
  <si>
    <t xml:space="preserve">2029-05</t>
  </si>
  <si>
    <t xml:space="preserve">2029-06</t>
  </si>
  <si>
    <t xml:space="preserve">2029-07</t>
  </si>
  <si>
    <t xml:space="preserve">2029-08</t>
  </si>
  <si>
    <t xml:space="preserve">2029-09</t>
  </si>
  <si>
    <t xml:space="preserve">2029-10</t>
  </si>
  <si>
    <t xml:space="preserve">2029-11</t>
  </si>
  <si>
    <t xml:space="preserve">2029-12</t>
  </si>
  <si>
    <t xml:space="preserve">2030-01</t>
  </si>
  <si>
    <t xml:space="preserve">2030-02</t>
  </si>
  <si>
    <t xml:space="preserve">2030-03</t>
  </si>
  <si>
    <t xml:space="preserve">2030-04</t>
  </si>
  <si>
    <t xml:space="preserve">2030-05</t>
  </si>
  <si>
    <t xml:space="preserve">2030-06</t>
  </si>
  <si>
    <t xml:space="preserve">2030-07</t>
  </si>
  <si>
    <t xml:space="preserve">2030-08</t>
  </si>
  <si>
    <t xml:space="preserve">2030-09</t>
  </si>
  <si>
    <t xml:space="preserve">2030-10</t>
  </si>
  <si>
    <t xml:space="preserve">2030-11</t>
  </si>
  <si>
    <t xml:space="preserve">2030-12</t>
  </si>
  <si>
    <t xml:space="preserve">2031-01</t>
  </si>
  <si>
    <t xml:space="preserve">2031-02</t>
  </si>
  <si>
    <t xml:space="preserve">2031-03</t>
  </si>
  <si>
    <t xml:space="preserve">2031-04</t>
  </si>
  <si>
    <t xml:space="preserve">2031-05</t>
  </si>
  <si>
    <t xml:space="preserve">2031-06</t>
  </si>
  <si>
    <t xml:space="preserve">2031-07</t>
  </si>
  <si>
    <t xml:space="preserve">2031-08</t>
  </si>
  <si>
    <t xml:space="preserve">2031-09</t>
  </si>
  <si>
    <t xml:space="preserve">2031-10</t>
  </si>
  <si>
    <t xml:space="preserve">launches_base</t>
  </si>
  <si>
    <t xml:space="preserve">Strip launches — Base</t>
  </si>
  <si>
    <t xml:space="preserve">strips_per_quarter = [0, 1, 1, 2, 2, 2, 3, 3, 3, 4, 4, 4]</t>
  </si>
  <si>
    <t xml:space="preserve">launches_bear</t>
  </si>
  <si>
    <t xml:space="preserve">Strip launches — Bear</t>
  </si>
  <si>
    <t xml:space="preserve">strips_per_quarter = [0, 1, 0, 1, 1, 2, 2, 2, 2, 3, 3, 3]</t>
  </si>
  <si>
    <t xml:space="preserve">launches_base_reco_gates</t>
  </si>
  <si>
    <t xml:space="preserve">Strip launches — Base + reco gates</t>
  </si>
  <si>
    <t xml:space="preserve">launches_lean_plan</t>
  </si>
  <si>
    <t xml:space="preserve">Strip launches — Lean plan</t>
  </si>
  <si>
    <t xml:space="preserve">strips_per_quarter = [0, 1, 2, 2, 3, 3, 4, 4, 5, 5, 5, 6]</t>
  </si>
  <si>
    <t xml:space="preserve">launches_bull</t>
  </si>
  <si>
    <t xml:space="preserve">Strip launches — Bull</t>
  </si>
  <si>
    <t xml:space="preserve">one_time_costs</t>
  </si>
  <si>
    <t xml:space="preserve">One-time costs (all scenarios), CAD</t>
  </si>
  <si>
    <t xml:space="preserve">Assumption: m1 incorporation + employment-lawyer call; m2 trademark/domain; m3 lawyer review of ToS/privacy/merchant agreement</t>
  </si>
  <si>
    <t xml:space="preserve">Scenarios — live KPIs from each monthly sheet (CAD)</t>
  </si>
  <si>
    <t xml:space="preserve">Scenario inputs are the columns of the Assumptions sheet; overrides are highlighted there.</t>
  </si>
  <si>
    <t xml:space="preserve">Metric</t>
  </si>
  <si>
    <t xml:space="preserve">Break-even month (36m)</t>
  </si>
  <si>
    <t xml:space="preserve">Break-even month (60m run)</t>
  </si>
  <si>
    <t xml:space="preserve">First EBITDA-positive month</t>
  </si>
  <si>
    <t xml:space="preserve">Peak cash need, months 1-36</t>
  </si>
  <si>
    <t xml:space="preserve">Cash needed to reach break-even (60m)</t>
  </si>
  <si>
    <t xml:space="preserve">Cash trough month (36m)</t>
  </si>
  <si>
    <t xml:space="preserve">Plus unlock month</t>
  </si>
  <si>
    <t xml:space="preserve">Pro unlock month</t>
  </si>
  <si>
    <t xml:space="preserve">BIA unlock month</t>
  </si>
  <si>
    <t xml:space="preserve">Ads unlock month</t>
  </si>
  <si>
    <t xml:space="preserve">Month-36 active merchants</t>
  </si>
  <si>
    <t xml:space="preserve">Month-36 paying merchants</t>
  </si>
  <si>
    <t xml:space="preserve">Month-36 active customers</t>
  </si>
  <si>
    <t xml:space="preserve">Month-36 revenue</t>
  </si>
  <si>
    <t xml:space="preserve">Month-36 EBITDA</t>
  </si>
  <si>
    <t xml:space="preserve">Year-1 revenue</t>
  </si>
  <si>
    <t xml:space="preserve">Year-2 revenue</t>
  </si>
  <si>
    <t xml:space="preserve">Year-3 revenue</t>
  </si>
  <si>
    <t xml:space="preserve">Year-1 EBITDA</t>
  </si>
  <si>
    <t xml:space="preserve">Year-2 EBITDA</t>
  </si>
  <si>
    <t xml:space="preserve">Year-3 EBITDA</t>
  </si>
  <si>
    <t xml:space="preserve">LTV/CAC (from Unit Economics)</t>
  </si>
  <si>
    <t xml:space="preserve">Payback months (from Unit Economics)</t>
  </si>
  <si>
    <t xml:space="preserve">Unit economics — steady state, per merchant per month (CAD)</t>
  </si>
  <si>
    <t xml:space="preserve">Live formulas on the Assumptions sheet. CAC per paying merchant loads all acquisition spend on free merchants onto the ones that convert within 24 months.</t>
  </si>
  <si>
    <t xml:space="preserve">Unique customers per active merchant</t>
  </si>
  <si>
    <t xml:space="preserve">Free merchant: infra + support</t>
  </si>
  <si>
    <t xml:space="preserve">Free merchant: its customers (infra, SMS, perks)</t>
  </si>
  <si>
    <t xml:space="preserve">Cost of a free active merchant / month</t>
  </si>
  <si>
    <t xml:space="preserve">Free→paid within 24 months (mix-weighted)</t>
  </si>
  <si>
    <t xml:space="preserve">Share of payers on Pro</t>
  </si>
  <si>
    <t xml:space="preserve">Subscription ARPU (blended Plus/Pro)</t>
  </si>
  <si>
    <t xml:space="preserve">Payments margin net of Stripe Connect</t>
  </si>
  <si>
    <t xml:space="preserve">SMS cost (included allowance used)</t>
  </si>
  <si>
    <t xml:space="preserve">Subscription billing fees</t>
  </si>
  <si>
    <t xml:space="preserve">Extra support for paid features</t>
  </si>
  <si>
    <t xml:space="preserve">Contribution per paying merchant / month</t>
  </si>
  <si>
    <t xml:space="preserve">CAC per signed merchant</t>
  </si>
  <si>
    <t xml:space="preserve">CAC per activated merchant</t>
  </si>
  <si>
    <t xml:space="preserve">CAC per paying merchant</t>
  </si>
  <si>
    <t xml:space="preserve">Average paid life (months)</t>
  </si>
  <si>
    <t xml:space="preserve">LTV per paying merchant (undiscounted contribution)</t>
  </si>
  <si>
    <t xml:space="preserve">LTV / CAC</t>
  </si>
  <si>
    <t xml:space="preserve">CAC payback (months)</t>
  </si>
  <si>
    <t xml:space="preserve">Free-tier carry cost per paying merchant (24 months)</t>
  </si>
  <si>
    <t xml:space="preserve">LTV / (CAC + free carry), fully loaded</t>
  </si>
  <si>
    <t xml:space="preserve">Merchant all-in cost of an in-app payment (Stripe + 0.75%)</t>
  </si>
  <si>
    <t xml:space="preserve">Local Loyalty — monthly model: Base scenario (CAD)</t>
  </si>
  <si>
    <t xml:space="preserve">Every cell is a formula driven by the Assumptions sheet (column C). Months 1-36 = projection; grey months 37-60 = extension used only to locate break-even.</t>
  </si>
  <si>
    <t xml:space="preserve">Model month</t>
  </si>
  <si>
    <t xml:space="preserve">start</t>
  </si>
  <si>
    <t xml:space="preserve">Strips &amp; merchants</t>
  </si>
  <si>
    <t xml:space="preserve">month</t>
  </si>
  <si>
    <t xml:space="preserve">strips_launched</t>
  </si>
  <si>
    <t xml:space="preserve">Strips launched</t>
  </si>
  <si>
    <t xml:space="preserve">strips_cum</t>
  </si>
  <si>
    <t xml:space="preserve">Strips live (cumulative)</t>
  </si>
  <si>
    <t xml:space="preserve">strips_mature</t>
  </si>
  <si>
    <t xml:space="preserve">Mature strips (launched &gt;= maturity months ago)</t>
  </si>
  <si>
    <t xml:space="preserve">signups</t>
  </si>
  <si>
    <t xml:space="preserve">New merchant sign-ups</t>
  </si>
  <si>
    <t xml:space="preserve">network_merchants</t>
  </si>
  <si>
    <t xml:space="preserve">Network merchants (signed, net of churn)</t>
  </si>
  <si>
    <t xml:space="preserve">active_merchants</t>
  </si>
  <si>
    <t xml:space="preserve">Active merchants (&gt;= 25 active members)</t>
  </si>
  <si>
    <t xml:space="preserve">activated_new</t>
  </si>
  <si>
    <t xml:space="preserve">Newly activated merchants</t>
  </si>
  <si>
    <t xml:space="preserve">Rollout gates (1 = unlocked; plans.ts unlockAtMerchants)</t>
  </si>
  <si>
    <t xml:space="preserve">plus_unlocked</t>
  </si>
  <si>
    <t xml:space="preserve">Plus features GA</t>
  </si>
  <si>
    <t xml:space="preserve">pro_unlocked</t>
  </si>
  <si>
    <t xml:space="preserve">Pro features GA</t>
  </si>
  <si>
    <t xml:space="preserve">bia_unlocked</t>
  </si>
  <si>
    <t xml:space="preserve">BIA campaigns available</t>
  </si>
  <si>
    <t xml:space="preserve">ads_unlocked</t>
  </si>
  <si>
    <t xml:space="preserve">Ads available</t>
  </si>
  <si>
    <t xml:space="preserve">ads_months</t>
  </si>
  <si>
    <t xml:space="preserve">Months since ads unlocked</t>
  </si>
  <si>
    <t xml:space="preserve">ads_ramp</t>
  </si>
  <si>
    <t xml:space="preserve">Ad demand ramp</t>
  </si>
  <si>
    <t xml:space="preserve">Customers</t>
  </si>
  <si>
    <t xml:space="preserve">memberships</t>
  </si>
  <si>
    <t xml:space="preserve">Memberships (customer-shop pairs)</t>
  </si>
  <si>
    <t xml:space="preserve">active_customers</t>
  </si>
  <si>
    <t xml:space="preserve">Active customers (unique)</t>
  </si>
  <si>
    <t xml:space="preserve">new_customers</t>
  </si>
  <si>
    <t xml:space="preserve">New / re-acquired customers</t>
  </si>
  <si>
    <t xml:space="preserve">Paying merchants by vertical (repair/auto gated by Pro, others by Plus)</t>
  </si>
  <si>
    <t xml:space="preserve">paid_food_bev</t>
  </si>
  <si>
    <t xml:space="preserve">Paying — Cafes, restaurants, bakeries</t>
  </si>
  <si>
    <t xml:space="preserve">paid_retail</t>
  </si>
  <si>
    <t xml:space="preserve">Paying — Independent retail</t>
  </si>
  <si>
    <t xml:space="preserve">paid_repair_auto</t>
  </si>
  <si>
    <t xml:space="preserve">Paying — Repair, auto, alterations, print</t>
  </si>
  <si>
    <t xml:space="preserve">paid_personal_services</t>
  </si>
  <si>
    <t xml:space="preserve">Paying — Salons, barbers, fitness, pets</t>
  </si>
  <si>
    <t xml:space="preserve">paid_pharmacy</t>
  </si>
  <si>
    <t xml:space="preserve">Paying — Independent pharmacies (front store only)</t>
  </si>
  <si>
    <t xml:space="preserve">paid_total</t>
  </si>
  <si>
    <t xml:space="preserve">Paying merchants (total)</t>
  </si>
  <si>
    <t xml:space="preserve">plus_merchants</t>
  </si>
  <si>
    <t xml:space="preserve">Plus merchants</t>
  </si>
  <si>
    <t xml:space="preserve">pro_merchants</t>
  </si>
  <si>
    <t xml:space="preserve">Pro merchants</t>
  </si>
  <si>
    <t xml:space="preserve">new_conversions</t>
  </si>
  <si>
    <t xml:space="preserve">New paid conversions</t>
  </si>
  <si>
    <t xml:space="preserve">Revenue (CAD)</t>
  </si>
  <si>
    <t xml:space="preserve">rev_plus</t>
  </si>
  <si>
    <t xml:space="preserve">Plus subscriptions</t>
  </si>
  <si>
    <t xml:space="preserve">rev_pro</t>
  </si>
  <si>
    <t xml:space="preserve">Pro subscriptions</t>
  </si>
  <si>
    <t xml:space="preserve">gmv_in_app</t>
  </si>
  <si>
    <t xml:space="preserve">In-app payment volume (GMV)</t>
  </si>
  <si>
    <t xml:space="preserve">rev_payments</t>
  </si>
  <si>
    <t xml:space="preserve">Platform fee on payments (0.75%)</t>
  </si>
  <si>
    <t xml:space="preserve">rev_ads_impressions</t>
  </si>
  <si>
    <t xml:space="preserve">Sponsored listings/promos (CPM)</t>
  </si>
  <si>
    <t xml:space="preserve">rev_map_pins</t>
  </si>
  <si>
    <t xml:space="preserve">Featured map pins</t>
  </si>
  <si>
    <t xml:space="preserve">rev_push_boosts</t>
  </si>
  <si>
    <t xml:space="preserve">Nearby push boosts</t>
  </si>
  <si>
    <t xml:space="preserve">bia_campaigns</t>
  </si>
  <si>
    <t xml:space="preserve">BIA campaigns sold (expected)</t>
  </si>
  <si>
    <t xml:space="preserve">rev_bia</t>
  </si>
  <si>
    <t xml:space="preserve">BIA neighbourhood campaigns</t>
  </si>
  <si>
    <t xml:space="preserve">rev_total</t>
  </si>
  <si>
    <t xml:space="preserve">Total revenue</t>
  </si>
  <si>
    <t xml:space="preserve">mrr_subscriptions</t>
  </si>
  <si>
    <t xml:space="preserve">Subscription MRR</t>
  </si>
  <si>
    <t xml:space="preserve">Variable costs (CAD)</t>
  </si>
  <si>
    <t xml:space="preserve">cost_free_merchants</t>
  </si>
  <si>
    <t xml:space="preserve">Free-tier merchant cost (infra + support)</t>
  </si>
  <si>
    <t xml:space="preserve">cost_paid_support</t>
  </si>
  <si>
    <t xml:space="preserve">Extra support, paying merchants</t>
  </si>
  <si>
    <t xml:space="preserve">cost_customer_infra</t>
  </si>
  <si>
    <t xml:space="preserve">Customer infra</t>
  </si>
  <si>
    <t xml:space="preserve">cost_sms</t>
  </si>
  <si>
    <t xml:space="preserve">SMS (Twilio)</t>
  </si>
  <si>
    <t xml:space="preserve">cost_payments</t>
  </si>
  <si>
    <t xml:space="preserve">Stripe Connect platform costs</t>
  </si>
  <si>
    <t xml:space="preserve">cost_billing</t>
  </si>
  <si>
    <t xml:space="preserve">cost_network_perks</t>
  </si>
  <si>
    <t xml:space="preserve">Platform-funded network perks</t>
  </si>
  <si>
    <t xml:space="preserve">cost_ads_ops</t>
  </si>
  <si>
    <t xml:space="preserve">Ad operations</t>
  </si>
  <si>
    <t xml:space="preserve">cost_bia</t>
  </si>
  <si>
    <t xml:space="preserve">BIA campaign delivery</t>
  </si>
  <si>
    <t xml:space="preserve">variable_total</t>
  </si>
  <si>
    <t xml:space="preserve">Total variable costs</t>
  </si>
  <si>
    <t xml:space="preserve">gross_profit</t>
  </si>
  <si>
    <t xml:space="preserve">Gross profit</t>
  </si>
  <si>
    <t xml:space="preserve">Merchant acquisition (CAC) spend (CAD)</t>
  </si>
  <si>
    <t xml:space="preserve">Rep hourly wage (indexed each Oct 1)</t>
  </si>
  <si>
    <t xml:space="preserve">cac_rep_wages</t>
  </si>
  <si>
    <t xml:space="preserve">Rep wages incl. payroll burden</t>
  </si>
  <si>
    <t xml:space="preserve">cac_activation_bonus</t>
  </si>
  <si>
    <t xml:space="preserve">Activation bonuses incl. burden</t>
  </si>
  <si>
    <t xml:space="preserve">cac_kits</t>
  </si>
  <si>
    <t xml:space="preserve">Counter kits</t>
  </si>
  <si>
    <t xml:space="preserve">cac_strip_launch</t>
  </si>
  <si>
    <t xml:space="preserve">Strip launch events</t>
  </si>
  <si>
    <t xml:space="preserve">cac_upsell</t>
  </si>
  <si>
    <t xml:space="preserve">Paid upsell cost</t>
  </si>
  <si>
    <t xml:space="preserve">cac_total</t>
  </si>
  <si>
    <t xml:space="preserve">Total acquisition spend</t>
  </si>
  <si>
    <t xml:space="preserve">Fixed operating costs (CAD)</t>
  </si>
  <si>
    <t xml:space="preserve">opex_fixed_overhead</t>
  </si>
  <si>
    <t xml:space="preserve">Fixed overhead</t>
  </si>
  <si>
    <t xml:space="preserve">opex_developer</t>
  </si>
  <si>
    <t xml:space="preserve">Part-time developer</t>
  </si>
  <si>
    <t xml:space="preserve">opex_customer_success</t>
  </si>
  <si>
    <t xml:space="preserve">Account / BIA manager</t>
  </si>
  <si>
    <t xml:space="preserve">opex_founder_salary</t>
  </si>
  <si>
    <t xml:space="preserve">opex_one_time</t>
  </si>
  <si>
    <t xml:space="preserve">One-time costs</t>
  </si>
  <si>
    <t xml:space="preserve">opex_total</t>
  </si>
  <si>
    <t xml:space="preserve">Total fixed opex</t>
  </si>
  <si>
    <t xml:space="preserve">Bottom line (CAD)</t>
  </si>
  <si>
    <t xml:space="preserve">ebitda</t>
  </si>
  <si>
    <t xml:space="preserve">EBITDA / net cash flow</t>
  </si>
  <si>
    <t xml:space="preserve">cum_cash</t>
  </si>
  <si>
    <t xml:space="preserve">Cumulative cash (from starting cash)</t>
  </si>
  <si>
    <t xml:space="preserve">merchant_paid_stripe_fees</t>
  </si>
  <si>
    <t xml:space="preserve">Info: Stripe fees paid by merchants (not ours)</t>
  </si>
  <si>
    <t xml:space="preserve">Break-even helpers</t>
  </si>
  <si>
    <t xml:space="preserve">pos_flag</t>
  </si>
  <si>
    <t xml:space="preserve">EBITDA &gt;= 0</t>
  </si>
  <si>
    <t xml:space="preserve">stays36</t>
  </si>
  <si>
    <t xml:space="preserve">EBITDA &gt;= 0 from here to month 36</t>
  </si>
  <si>
    <t xml:space="preserve">stays60</t>
  </si>
  <si>
    <t xml:space="preserve">EBITDA &gt;= 0 from here to month 60</t>
  </si>
  <si>
    <t xml:space="preserve">Key outputs</t>
  </si>
  <si>
    <t xml:space="preserve">Break-even month (EBITDA &gt;= 0 through month 36)</t>
  </si>
  <si>
    <t xml:space="preserve">Break-even month, extended run (EBITDA &gt;= 0 through month 60)</t>
  </si>
  <si>
    <t xml:space="preserve">First month with EBITDA &gt;= 0 (36m)</t>
  </si>
  <si>
    <t xml:space="preserve">Month of cash trough (36m)</t>
  </si>
  <si>
    <t xml:space="preserve">Peak cash need, months 1-60 (to break-even)</t>
  </si>
  <si>
    <t xml:space="preserve">BIA campaigns unlock month</t>
  </si>
  <si>
    <t xml:space="preserve">Local Loyalty — monthly model: Bear scenario (CAD)</t>
  </si>
  <si>
    <t xml:space="preserve">Every cell is a formula driven by the Assumptions sheet (column D). Months 1-36 = projection; grey months 37-60 = extension used only to locate break-even.</t>
  </si>
  <si>
    <t xml:space="preserve">Local Loyalty — monthly model: Base + reco gates scenario (CAD)</t>
  </si>
  <si>
    <t xml:space="preserve">Every cell is a formula driven by the Assumptions sheet (column E). Months 1-36 = projection; grey months 37-60 = extension used only to locate break-even.</t>
  </si>
  <si>
    <t xml:space="preserve">Local Loyalty — monthly model: Lean plan scenario (CAD)</t>
  </si>
  <si>
    <t xml:space="preserve">Every cell is a formula driven by the Assumptions sheet (column F). Months 1-36 = projection; grey months 37-60 = extension used only to locate break-even.</t>
  </si>
  <si>
    <t xml:space="preserve">Local Loyalty — monthly model: Bull scenario (CAD)</t>
  </si>
  <si>
    <t xml:space="preserve">Every cell is a formula driven by the Assumptions sheet (column G). Months 1-36 = projection; grey months 37-60 = extension used only to locate break-even.</t>
  </si>
  <si>
    <t xml:space="preserve">Sensitivity (static values pasted from model.py output/sensitivity.csv — re-run model.py to refresh)</t>
  </si>
  <si>
    <t xml:space="preserve">scenario</t>
  </si>
  <si>
    <t xml:space="preserve">lever</t>
  </si>
  <si>
    <t xml:space="preserve">value</t>
  </si>
  <si>
    <t xml:space="preserve">breakeven_month_36m</t>
  </si>
  <si>
    <t xml:space="preserve">breakeven_month_60m</t>
  </si>
  <si>
    <t xml:space="preserve">peak_cash_need_36m</t>
  </si>
  <si>
    <t xml:space="preserve">peak_cash_need_to_breakeven_60m</t>
  </si>
  <si>
    <t xml:space="preserve">m36_revenue</t>
  </si>
  <si>
    <t xml:space="preserve">m36_ebitda</t>
  </si>
  <si>
    <t xml:space="preserve">m36_paying_merchants</t>
  </si>
  <si>
    <t xml:space="preserve">ltv_cac</t>
  </si>
  <si>
    <t xml:space="preserve">payback_months</t>
  </si>
  <si>
    <t xml:space="preserve">base</t>
  </si>
  <si>
    <t xml:space="preserve">none</t>
  </si>
  <si>
    <t xml:space="preserve">developer_spend_multiplier</t>
  </si>
  <si>
    <t xml:space="preserve">lean_plan</t>
  </si>
  <si>
    <t xml:space="preserve">base: conversion_multiplier \ paid_churn (cell = cash needed to break-even / break-even month, 60m run)</t>
  </si>
  <si>
    <t xml:space="preserve">472876 / none</t>
  </si>
  <si>
    <t xml:space="preserve">480431 / none</t>
  </si>
  <si>
    <t xml:space="preserve">489974 / none</t>
  </si>
  <si>
    <t xml:space="preserve">497812 / none</t>
  </si>
  <si>
    <t xml:space="preserve">438313 / none</t>
  </si>
  <si>
    <t xml:space="preserve">448633 / none</t>
  </si>
  <si>
    <t xml:space="preserve">461729 / none</t>
  </si>
  <si>
    <t xml:space="preserve">472543 / none</t>
  </si>
  <si>
    <t xml:space="preserve">410230 / 57</t>
  </si>
  <si>
    <t xml:space="preserve">420715 / 60</t>
  </si>
  <si>
    <t xml:space="preserve">436274 / none</t>
  </si>
  <si>
    <t xml:space="preserve">449595 / none</t>
  </si>
  <si>
    <t xml:space="preserve">389527 / 54</t>
  </si>
  <si>
    <t xml:space="preserve">398963 / 57</t>
  </si>
  <si>
    <t xml:space="preserve">413751 / 60</t>
  </si>
  <si>
    <t xml:space="preserve">428642 / none</t>
  </si>
  <si>
    <t xml:space="preserve">373360 / 54</t>
  </si>
  <si>
    <t xml:space="preserve">382221 / 54</t>
  </si>
  <si>
    <t xml:space="preserve">395776 / 57</t>
  </si>
  <si>
    <t xml:space="preserve">409916 / 60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</si>
</sst>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\$#,##0;&quot;($&quot;#,##0\);\-"/>
    <numFmt numFmtId="169" formatCode="0"/>
    <numFmt numFmtId="170" formatCode="#,##0;\(#,##0\);\-"/>
    <numFmt numFmtId="171" formatCode="0.0\x"/>
    <numFmt numFmtId="172" formatCode="#,##0.0;\(#,##0.0\);\-"/>
    <numFmt numFmtId="173" formatCode="0;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3E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7" min="3" style="0" width="14"/>
    <col collapsed="false" customWidth="true" hidden="false" outlineLevel="0" max="8" min="8" style="0" width="24"/>
    <col collapsed="false" customWidth="true" hidden="false" outlineLevel="0" max="9" min="9" style="0" width="9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customFormat="false" ht="15" hidden="false" customHeight="false" outlineLevel="0" collapsed="false">
      <c r="A6" s="5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customFormat="false" ht="15" hidden="false" customHeight="false" outlineLevel="0" collapsed="false">
      <c r="A7" s="6" t="s">
        <v>12</v>
      </c>
      <c r="B7" s="6" t="s">
        <v>13</v>
      </c>
      <c r="C7" s="7" t="n">
        <v>36</v>
      </c>
      <c r="D7" s="6" t="n">
        <f aca="false">$C$7</f>
        <v>36</v>
      </c>
      <c r="E7" s="6" t="n">
        <f aca="false">$C$7</f>
        <v>36</v>
      </c>
      <c r="F7" s="6" t="n">
        <f aca="false">$C$7</f>
        <v>36</v>
      </c>
      <c r="G7" s="6" t="n">
        <f aca="false">$C$7</f>
        <v>36</v>
      </c>
      <c r="H7" s="6" t="s">
        <v>12</v>
      </c>
      <c r="I7" s="6" t="s">
        <v>14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customFormat="false" ht="15" hidden="false" customHeight="false" outlineLevel="0" collapsed="false">
      <c r="A8" s="6" t="s">
        <v>15</v>
      </c>
      <c r="B8" s="6" t="s">
        <v>16</v>
      </c>
      <c r="C8" s="7" t="n">
        <v>60</v>
      </c>
      <c r="D8" s="6" t="n">
        <f aca="false">$C$8</f>
        <v>60</v>
      </c>
      <c r="E8" s="6" t="n">
        <f aca="false">$C$8</f>
        <v>60</v>
      </c>
      <c r="F8" s="6" t="n">
        <f aca="false">$C$8</f>
        <v>60</v>
      </c>
      <c r="G8" s="6" t="n">
        <f aca="false">$C$8</f>
        <v>60</v>
      </c>
      <c r="H8" s="6" t="s">
        <v>12</v>
      </c>
      <c r="I8" s="6" t="s">
        <v>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customFormat="false" ht="15" hidden="false" customHeight="false" outlineLevel="0" collapsed="false">
      <c r="A9" s="6" t="s">
        <v>18</v>
      </c>
      <c r="B9" s="6" t="s">
        <v>19</v>
      </c>
      <c r="C9" s="8" t="n">
        <v>0</v>
      </c>
      <c r="D9" s="9" t="n">
        <f aca="false">$C$9</f>
        <v>0</v>
      </c>
      <c r="E9" s="9" t="n">
        <f aca="false">$C$9</f>
        <v>0</v>
      </c>
      <c r="F9" s="9" t="n">
        <f aca="false">$C$9</f>
        <v>0</v>
      </c>
      <c r="G9" s="9" t="n">
        <f aca="false">$C$9</f>
        <v>0</v>
      </c>
      <c r="H9" s="6" t="s">
        <v>20</v>
      </c>
      <c r="I9" s="6" t="s">
        <v>21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customFormat="false" ht="15" hidden="false" customHeight="false" outlineLevel="0" collapsed="false">
      <c r="A10" s="6" t="s">
        <v>22</v>
      </c>
      <c r="B10" s="6" t="s">
        <v>23</v>
      </c>
      <c r="C10" s="7" t="n">
        <v>32</v>
      </c>
      <c r="D10" s="10" t="n">
        <v>24</v>
      </c>
      <c r="E10" s="6" t="n">
        <f aca="false">$C$10</f>
        <v>32</v>
      </c>
      <c r="F10" s="6" t="n">
        <f aca="false">$C$10</f>
        <v>32</v>
      </c>
      <c r="G10" s="10" t="n">
        <v>38</v>
      </c>
      <c r="H10" s="6" t="s">
        <v>24</v>
      </c>
      <c r="I10" s="6" t="s"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customFormat="false" ht="15" hidden="false" customHeight="false" outlineLevel="0" collapsed="false">
      <c r="A11" s="6" t="s">
        <v>26</v>
      </c>
      <c r="B11" s="6" t="s">
        <v>27</v>
      </c>
      <c r="C11" s="11" t="n">
        <v>0.6</v>
      </c>
      <c r="D11" s="12" t="n">
        <v>0.5</v>
      </c>
      <c r="E11" s="13" t="n">
        <f aca="false">$C$11</f>
        <v>0.6</v>
      </c>
      <c r="F11" s="13" t="n">
        <f aca="false">$C$11</f>
        <v>0.6</v>
      </c>
      <c r="G11" s="12" t="n">
        <v>0.7</v>
      </c>
      <c r="H11" s="6" t="s">
        <v>28</v>
      </c>
      <c r="I11" s="6" t="s">
        <v>29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customFormat="false" ht="15" hidden="false" customHeight="false" outlineLevel="0" collapsed="false">
      <c r="A12" s="6" t="s">
        <v>30</v>
      </c>
      <c r="B12" s="6" t="s">
        <v>31</v>
      </c>
      <c r="C12" s="11" t="n">
        <v>0.015</v>
      </c>
      <c r="D12" s="12" t="n">
        <v>0.025</v>
      </c>
      <c r="E12" s="13" t="n">
        <f aca="false">$C$12</f>
        <v>0.015</v>
      </c>
      <c r="F12" s="13" t="n">
        <f aca="false">$C$12</f>
        <v>0.015</v>
      </c>
      <c r="G12" s="12" t="n">
        <v>0.01</v>
      </c>
      <c r="H12" s="6" t="s">
        <v>32</v>
      </c>
      <c r="I12" s="6" t="s">
        <v>33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customFormat="false" ht="15" hidden="false" customHeight="false" outlineLevel="0" collapsed="false">
      <c r="A13" s="6" t="s">
        <v>34</v>
      </c>
      <c r="B13" s="6" t="s">
        <v>35</v>
      </c>
      <c r="C13" s="7" t="n">
        <v>75</v>
      </c>
      <c r="D13" s="10" t="n">
        <v>50</v>
      </c>
      <c r="E13" s="6" t="n">
        <f aca="false">$C$13</f>
        <v>75</v>
      </c>
      <c r="F13" s="6" t="n">
        <f aca="false">$C$13</f>
        <v>75</v>
      </c>
      <c r="G13" s="10" t="n">
        <v>100</v>
      </c>
      <c r="H13" s="6" t="s">
        <v>36</v>
      </c>
      <c r="I13" s="6" t="s">
        <v>37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customFormat="false" ht="15" hidden="false" customHeight="false" outlineLevel="0" collapsed="false">
      <c r="A14" s="6" t="s">
        <v>38</v>
      </c>
      <c r="B14" s="6" t="s">
        <v>39</v>
      </c>
      <c r="C14" s="11" t="n">
        <v>0.35</v>
      </c>
      <c r="D14" s="13" t="n">
        <f aca="false">$C$14</f>
        <v>0.35</v>
      </c>
      <c r="E14" s="13" t="n">
        <f aca="false">$C$14</f>
        <v>0.35</v>
      </c>
      <c r="F14" s="13" t="n">
        <f aca="false">$C$14</f>
        <v>0.35</v>
      </c>
      <c r="G14" s="13" t="n">
        <f aca="false">$C$14</f>
        <v>0.35</v>
      </c>
      <c r="H14" s="6" t="s">
        <v>40</v>
      </c>
      <c r="I14" s="6" t="s">
        <v>41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customFormat="false" ht="15" hidden="false" customHeight="false" outlineLevel="0" collapsed="false">
      <c r="A15" s="6" t="s">
        <v>42</v>
      </c>
      <c r="B15" s="6" t="s">
        <v>43</v>
      </c>
      <c r="C15" s="7" t="n">
        <v>1.4</v>
      </c>
      <c r="D15" s="6" t="n">
        <f aca="false">$C$15</f>
        <v>1.4</v>
      </c>
      <c r="E15" s="6" t="n">
        <f aca="false">$C$15</f>
        <v>1.4</v>
      </c>
      <c r="F15" s="6" t="n">
        <f aca="false">$C$15</f>
        <v>1.4</v>
      </c>
      <c r="G15" s="6" t="n">
        <f aca="false">$C$15</f>
        <v>1.4</v>
      </c>
      <c r="H15" s="6" t="s">
        <v>44</v>
      </c>
      <c r="I15" s="6" t="s">
        <v>45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customFormat="false" ht="15" hidden="false" customHeight="false" outlineLevel="0" collapsed="false">
      <c r="A16" s="6" t="s">
        <v>46</v>
      </c>
      <c r="B16" s="6" t="s">
        <v>47</v>
      </c>
      <c r="C16" s="11" t="n">
        <v>0.04</v>
      </c>
      <c r="D16" s="13" t="n">
        <f aca="false">$C$16</f>
        <v>0.04</v>
      </c>
      <c r="E16" s="13" t="n">
        <f aca="false">$C$16</f>
        <v>0.04</v>
      </c>
      <c r="F16" s="13" t="n">
        <f aca="false">$C$16</f>
        <v>0.04</v>
      </c>
      <c r="G16" s="13" t="n">
        <f aca="false">$C$16</f>
        <v>0.04</v>
      </c>
      <c r="H16" s="6" t="s">
        <v>32</v>
      </c>
      <c r="I16" s="6" t="s">
        <v>48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customFormat="false" ht="15" hidden="false" customHeight="false" outlineLevel="0" collapsed="false">
      <c r="A17" s="6" t="s">
        <v>49</v>
      </c>
      <c r="B17" s="6" t="s">
        <v>50</v>
      </c>
      <c r="C17" s="11" t="n">
        <v>0.35</v>
      </c>
      <c r="D17" s="13" t="n">
        <f aca="false">$C$17</f>
        <v>0.35</v>
      </c>
      <c r="E17" s="13" t="n">
        <f aca="false">$C$17</f>
        <v>0.35</v>
      </c>
      <c r="F17" s="13" t="n">
        <f aca="false">$C$17</f>
        <v>0.35</v>
      </c>
      <c r="G17" s="13" t="n">
        <f aca="false">$C$17</f>
        <v>0.35</v>
      </c>
      <c r="H17" s="6" t="s">
        <v>51</v>
      </c>
      <c r="I17" s="6" t="s">
        <v>52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customFormat="false" ht="15" hidden="false" customHeight="false" outlineLevel="0" collapsed="false">
      <c r="A18" s="6" t="s">
        <v>53</v>
      </c>
      <c r="B18" s="6" t="s">
        <v>54</v>
      </c>
      <c r="C18" s="7" t="n">
        <v>150</v>
      </c>
      <c r="D18" s="6" t="n">
        <f aca="false">$C$18</f>
        <v>150</v>
      </c>
      <c r="E18" s="10" t="n">
        <v>100</v>
      </c>
      <c r="F18" s="10" t="n">
        <v>100</v>
      </c>
      <c r="G18" s="6" t="n">
        <f aca="false">$C$18</f>
        <v>150</v>
      </c>
      <c r="H18" s="6" t="s">
        <v>55</v>
      </c>
      <c r="I18" s="6" t="s">
        <v>56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customFormat="false" ht="15" hidden="false" customHeight="false" outlineLevel="0" collapsed="false">
      <c r="A19" s="6" t="s">
        <v>57</v>
      </c>
      <c r="B19" s="6" t="s">
        <v>58</v>
      </c>
      <c r="C19" s="7" t="n">
        <v>10</v>
      </c>
      <c r="D19" s="6" t="n">
        <f aca="false">$C$19</f>
        <v>10</v>
      </c>
      <c r="E19" s="6" t="n">
        <f aca="false">$C$19</f>
        <v>10</v>
      </c>
      <c r="F19" s="6" t="n">
        <f aca="false">$C$19</f>
        <v>10</v>
      </c>
      <c r="G19" s="6" t="n">
        <f aca="false">$C$19</f>
        <v>10</v>
      </c>
      <c r="H19" s="6" t="s">
        <v>59</v>
      </c>
      <c r="I19" s="6" t="s">
        <v>60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customFormat="false" ht="15" hidden="false" customHeight="false" outlineLevel="0" collapsed="false">
      <c r="A20" s="6" t="s">
        <v>61</v>
      </c>
      <c r="B20" s="6" t="s">
        <v>62</v>
      </c>
      <c r="C20" s="7" t="n">
        <v>150</v>
      </c>
      <c r="D20" s="6" t="n">
        <f aca="false">$C$20</f>
        <v>150</v>
      </c>
      <c r="E20" s="10" t="n">
        <v>40</v>
      </c>
      <c r="F20" s="10" t="n">
        <v>40</v>
      </c>
      <c r="G20" s="6" t="n">
        <f aca="false">$C$20</f>
        <v>150</v>
      </c>
      <c r="H20" s="6" t="s">
        <v>55</v>
      </c>
      <c r="I20" s="6" t="s">
        <v>63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  <row r="21" customFormat="false" ht="15" hidden="false" customHeight="false" outlineLevel="0" collapsed="false">
      <c r="A21" s="6" t="s">
        <v>64</v>
      </c>
      <c r="B21" s="6" t="s">
        <v>65</v>
      </c>
      <c r="C21" s="7" t="n">
        <v>10</v>
      </c>
      <c r="D21" s="6" t="n">
        <f aca="false">$C$21</f>
        <v>10</v>
      </c>
      <c r="E21" s="10" t="n">
        <v>8</v>
      </c>
      <c r="F21" s="10" t="n">
        <v>8</v>
      </c>
      <c r="G21" s="6" t="n">
        <f aca="false">$C$21</f>
        <v>10</v>
      </c>
      <c r="H21" s="6" t="s">
        <v>59</v>
      </c>
      <c r="I21" s="6" t="s">
        <v>60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customFormat="false" ht="15" hidden="false" customHeight="false" outlineLevel="0" collapsed="false">
      <c r="A22" s="6" t="s">
        <v>66</v>
      </c>
      <c r="B22" s="6" t="s">
        <v>67</v>
      </c>
      <c r="C22" s="7" t="n">
        <v>100</v>
      </c>
      <c r="D22" s="6" t="n">
        <f aca="false">$C$22</f>
        <v>100</v>
      </c>
      <c r="E22" s="6" t="n">
        <f aca="false">$C$22</f>
        <v>100</v>
      </c>
      <c r="F22" s="6" t="n">
        <f aca="false">$C$22</f>
        <v>100</v>
      </c>
      <c r="G22" s="6" t="n">
        <f aca="false">$C$22</f>
        <v>100</v>
      </c>
      <c r="H22" s="6" t="s">
        <v>55</v>
      </c>
      <c r="I22" s="6" t="s">
        <v>68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customFormat="false" ht="15" hidden="false" customHeight="false" outlineLevel="0" collapsed="false">
      <c r="A23" s="6" t="s">
        <v>69</v>
      </c>
      <c r="B23" s="6" t="s">
        <v>70</v>
      </c>
      <c r="C23" s="7" t="n">
        <v>400</v>
      </c>
      <c r="D23" s="6" t="n">
        <f aca="false">$C$23</f>
        <v>400</v>
      </c>
      <c r="E23" s="10" t="n">
        <v>300</v>
      </c>
      <c r="F23" s="10" t="n">
        <v>300</v>
      </c>
      <c r="G23" s="6" t="n">
        <f aca="false">$C$23</f>
        <v>400</v>
      </c>
      <c r="H23" s="6" t="s">
        <v>55</v>
      </c>
      <c r="I23" s="6" t="s">
        <v>71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customFormat="false" ht="15" hidden="false" customHeight="false" outlineLevel="0" collapsed="false">
      <c r="A24" s="6" t="s">
        <v>72</v>
      </c>
      <c r="B24" s="6" t="s">
        <v>73</v>
      </c>
      <c r="C24" s="7" t="n">
        <v>18</v>
      </c>
      <c r="D24" s="6" t="n">
        <f aca="false">$C$24</f>
        <v>18</v>
      </c>
      <c r="E24" s="6" t="n">
        <f aca="false">$C$24</f>
        <v>18</v>
      </c>
      <c r="F24" s="6" t="n">
        <f aca="false">$C$24</f>
        <v>18</v>
      </c>
      <c r="G24" s="6" t="n">
        <f aca="false">$C$24</f>
        <v>18</v>
      </c>
      <c r="H24" s="6" t="s">
        <v>59</v>
      </c>
      <c r="I24" s="6" t="s">
        <v>74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customFormat="false" ht="15" hidden="false" customHeight="false" outlineLevel="0" collapsed="false">
      <c r="A25" s="6" t="s">
        <v>75</v>
      </c>
      <c r="B25" s="6" t="s">
        <v>76</v>
      </c>
      <c r="C25" s="11" t="n">
        <v>0.35</v>
      </c>
      <c r="D25" s="13" t="n">
        <f aca="false">$C$25</f>
        <v>0.35</v>
      </c>
      <c r="E25" s="13" t="n">
        <f aca="false">$C$25</f>
        <v>0.35</v>
      </c>
      <c r="F25" s="13" t="n">
        <f aca="false">$C$25</f>
        <v>0.35</v>
      </c>
      <c r="G25" s="13" t="n">
        <f aca="false">$C$25</f>
        <v>0.35</v>
      </c>
      <c r="H25" s="6" t="s">
        <v>77</v>
      </c>
      <c r="I25" s="6" t="s">
        <v>78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customFormat="false" ht="15" hidden="false" customHeight="false" outlineLevel="0" collapsed="false">
      <c r="A26" s="6" t="s">
        <v>79</v>
      </c>
      <c r="B26" s="6" t="s">
        <v>80</v>
      </c>
      <c r="C26" s="11" t="n">
        <v>0.25</v>
      </c>
      <c r="D26" s="13" t="n">
        <f aca="false">$C$26</f>
        <v>0.25</v>
      </c>
      <c r="E26" s="13" t="n">
        <f aca="false">$C$26</f>
        <v>0.25</v>
      </c>
      <c r="F26" s="13" t="n">
        <f aca="false">$C$26</f>
        <v>0.25</v>
      </c>
      <c r="G26" s="13" t="n">
        <f aca="false">$C$26</f>
        <v>0.25</v>
      </c>
      <c r="H26" s="6" t="s">
        <v>77</v>
      </c>
      <c r="I26" s="6" t="s">
        <v>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customFormat="false" ht="15" hidden="false" customHeight="false" outlineLevel="0" collapsed="false">
      <c r="A27" s="6" t="s">
        <v>81</v>
      </c>
      <c r="B27" s="6" t="s">
        <v>82</v>
      </c>
      <c r="C27" s="11" t="n">
        <v>0.2</v>
      </c>
      <c r="D27" s="13" t="n">
        <f aca="false">$C$27</f>
        <v>0.2</v>
      </c>
      <c r="E27" s="13" t="n">
        <f aca="false">$C$27</f>
        <v>0.2</v>
      </c>
      <c r="F27" s="13" t="n">
        <f aca="false">$C$27</f>
        <v>0.2</v>
      </c>
      <c r="G27" s="13" t="n">
        <f aca="false">$C$27</f>
        <v>0.2</v>
      </c>
      <c r="H27" s="6" t="s">
        <v>77</v>
      </c>
      <c r="I27" s="6" t="s">
        <v>83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customFormat="false" ht="15" hidden="false" customHeight="false" outlineLevel="0" collapsed="false">
      <c r="A28" s="6" t="s">
        <v>84</v>
      </c>
      <c r="B28" s="6" t="s">
        <v>85</v>
      </c>
      <c r="C28" s="11" t="n">
        <v>0.12</v>
      </c>
      <c r="D28" s="13" t="n">
        <f aca="false">$C$28</f>
        <v>0.12</v>
      </c>
      <c r="E28" s="13" t="n">
        <f aca="false">$C$28</f>
        <v>0.12</v>
      </c>
      <c r="F28" s="13" t="n">
        <f aca="false">$C$28</f>
        <v>0.12</v>
      </c>
      <c r="G28" s="13" t="n">
        <f aca="false">$C$28</f>
        <v>0.12</v>
      </c>
      <c r="H28" s="6" t="s">
        <v>77</v>
      </c>
      <c r="I28" s="6" t="s">
        <v>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customFormat="false" ht="15" hidden="false" customHeight="false" outlineLevel="0" collapsed="false">
      <c r="A29" s="6" t="s">
        <v>86</v>
      </c>
      <c r="B29" s="6" t="s">
        <v>87</v>
      </c>
      <c r="C29" s="11" t="n">
        <v>0.08</v>
      </c>
      <c r="D29" s="13" t="n">
        <f aca="false">$C$29</f>
        <v>0.08</v>
      </c>
      <c r="E29" s="13" t="n">
        <f aca="false">$C$29</f>
        <v>0.08</v>
      </c>
      <c r="F29" s="13" t="n">
        <f aca="false">$C$29</f>
        <v>0.08</v>
      </c>
      <c r="G29" s="13" t="n">
        <f aca="false">$C$29</f>
        <v>0.08</v>
      </c>
      <c r="H29" s="6" t="s">
        <v>77</v>
      </c>
      <c r="I29" s="6" t="s">
        <v>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customFormat="false" ht="15" hidden="false" customHeight="false" outlineLevel="0" collapsed="false">
      <c r="A30" s="6" t="s">
        <v>88</v>
      </c>
      <c r="B30" s="6" t="s">
        <v>89</v>
      </c>
      <c r="C30" s="11" t="n">
        <v>0.2</v>
      </c>
      <c r="D30" s="13" t="n">
        <f aca="false">$C$30</f>
        <v>0.2</v>
      </c>
      <c r="E30" s="13" t="n">
        <f aca="false">$C$30</f>
        <v>0.2</v>
      </c>
      <c r="F30" s="13" t="n">
        <f aca="false">$C$30</f>
        <v>0.2</v>
      </c>
      <c r="G30" s="13" t="n">
        <f aca="false">$C$30</f>
        <v>0.2</v>
      </c>
      <c r="H30" s="6" t="s">
        <v>90</v>
      </c>
      <c r="I30" s="6" t="s">
        <v>91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customFormat="false" ht="15" hidden="false" customHeight="false" outlineLevel="0" collapsed="false">
      <c r="A31" s="6" t="s">
        <v>92</v>
      </c>
      <c r="B31" s="6" t="s">
        <v>93</v>
      </c>
      <c r="C31" s="11" t="n">
        <v>0.12</v>
      </c>
      <c r="D31" s="13" t="n">
        <f aca="false">$C$31</f>
        <v>0.12</v>
      </c>
      <c r="E31" s="13" t="n">
        <f aca="false">$C$31</f>
        <v>0.12</v>
      </c>
      <c r="F31" s="13" t="n">
        <f aca="false">$C$31</f>
        <v>0.12</v>
      </c>
      <c r="G31" s="13" t="n">
        <f aca="false">$C$31</f>
        <v>0.12</v>
      </c>
      <c r="H31" s="6" t="s">
        <v>90</v>
      </c>
      <c r="I31" s="6" t="s">
        <v>94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</row>
    <row r="32" customFormat="false" ht="15" hidden="false" customHeight="false" outlineLevel="0" collapsed="false">
      <c r="A32" s="6" t="s">
        <v>95</v>
      </c>
      <c r="B32" s="6" t="s">
        <v>96</v>
      </c>
      <c r="C32" s="11" t="n">
        <v>0.4</v>
      </c>
      <c r="D32" s="13" t="n">
        <f aca="false">$C$32</f>
        <v>0.4</v>
      </c>
      <c r="E32" s="13" t="n">
        <f aca="false">$C$32</f>
        <v>0.4</v>
      </c>
      <c r="F32" s="13" t="n">
        <f aca="false">$C$32</f>
        <v>0.4</v>
      </c>
      <c r="G32" s="13" t="n">
        <f aca="false">$C$32</f>
        <v>0.4</v>
      </c>
      <c r="H32" s="6" t="s">
        <v>90</v>
      </c>
      <c r="I32" s="6" t="s">
        <v>97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customFormat="false" ht="15" hidden="false" customHeight="false" outlineLevel="0" collapsed="false">
      <c r="A33" s="6" t="s">
        <v>98</v>
      </c>
      <c r="B33" s="6" t="s">
        <v>99</v>
      </c>
      <c r="C33" s="11" t="n">
        <v>0.15</v>
      </c>
      <c r="D33" s="13" t="n">
        <f aca="false">$C$33</f>
        <v>0.15</v>
      </c>
      <c r="E33" s="13" t="n">
        <f aca="false">$C$33</f>
        <v>0.15</v>
      </c>
      <c r="F33" s="13" t="n">
        <f aca="false">$C$33</f>
        <v>0.15</v>
      </c>
      <c r="G33" s="13" t="n">
        <f aca="false">$C$33</f>
        <v>0.15</v>
      </c>
      <c r="H33" s="6" t="s">
        <v>90</v>
      </c>
      <c r="I33" s="6" t="s">
        <v>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customFormat="false" ht="15" hidden="false" customHeight="false" outlineLevel="0" collapsed="false">
      <c r="A34" s="6" t="s">
        <v>100</v>
      </c>
      <c r="B34" s="6" t="s">
        <v>101</v>
      </c>
      <c r="C34" s="11" t="n">
        <v>0.05</v>
      </c>
      <c r="D34" s="13" t="n">
        <f aca="false">$C$34</f>
        <v>0.05</v>
      </c>
      <c r="E34" s="13" t="n">
        <f aca="false">$C$34</f>
        <v>0.05</v>
      </c>
      <c r="F34" s="13" t="n">
        <f aca="false">$C$34</f>
        <v>0.05</v>
      </c>
      <c r="G34" s="13" t="n">
        <f aca="false">$C$34</f>
        <v>0.05</v>
      </c>
      <c r="H34" s="6" t="s">
        <v>90</v>
      </c>
      <c r="I34" s="6" t="s">
        <v>102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</row>
    <row r="35" customFormat="false" ht="15" hidden="false" customHeight="false" outlineLevel="0" collapsed="false">
      <c r="A35" s="6" t="s">
        <v>103</v>
      </c>
      <c r="B35" s="6" t="s">
        <v>104</v>
      </c>
      <c r="C35" s="11" t="n">
        <v>0.05</v>
      </c>
      <c r="D35" s="13" t="n">
        <f aca="false">$C$35</f>
        <v>0.05</v>
      </c>
      <c r="E35" s="13" t="n">
        <f aca="false">$C$35</f>
        <v>0.05</v>
      </c>
      <c r="F35" s="13" t="n">
        <f aca="false">$C$35</f>
        <v>0.05</v>
      </c>
      <c r="G35" s="13" t="n">
        <f aca="false">$C$35</f>
        <v>0.05</v>
      </c>
      <c r="H35" s="6" t="s">
        <v>105</v>
      </c>
      <c r="I35" s="6" t="s">
        <v>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</row>
    <row r="36" customFormat="false" ht="15" hidden="false" customHeight="false" outlineLevel="0" collapsed="false">
      <c r="A36" s="6" t="s">
        <v>106</v>
      </c>
      <c r="B36" s="6" t="s">
        <v>107</v>
      </c>
      <c r="C36" s="11" t="n">
        <v>0.05</v>
      </c>
      <c r="D36" s="13" t="n">
        <f aca="false">$C$36</f>
        <v>0.05</v>
      </c>
      <c r="E36" s="13" t="n">
        <f aca="false">$C$36</f>
        <v>0.05</v>
      </c>
      <c r="F36" s="13" t="n">
        <f aca="false">$C$36</f>
        <v>0.05</v>
      </c>
      <c r="G36" s="13" t="n">
        <f aca="false">$C$36</f>
        <v>0.05</v>
      </c>
      <c r="H36" s="6" t="s">
        <v>105</v>
      </c>
      <c r="I36" s="6" t="s">
        <v>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</row>
    <row r="37" customFormat="false" ht="15" hidden="false" customHeight="false" outlineLevel="0" collapsed="false">
      <c r="A37" s="6" t="s">
        <v>108</v>
      </c>
      <c r="B37" s="6" t="s">
        <v>109</v>
      </c>
      <c r="C37" s="11" t="n">
        <v>0.85</v>
      </c>
      <c r="D37" s="13" t="n">
        <f aca="false">$C$37</f>
        <v>0.85</v>
      </c>
      <c r="E37" s="13" t="n">
        <f aca="false">$C$37</f>
        <v>0.85</v>
      </c>
      <c r="F37" s="13" t="n">
        <f aca="false">$C$37</f>
        <v>0.85</v>
      </c>
      <c r="G37" s="13" t="n">
        <f aca="false">$C$37</f>
        <v>0.85</v>
      </c>
      <c r="H37" s="6" t="s">
        <v>105</v>
      </c>
      <c r="I37" s="6" t="s">
        <v>110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</row>
    <row r="38" customFormat="false" ht="15" hidden="false" customHeight="false" outlineLevel="0" collapsed="false">
      <c r="A38" s="6" t="s">
        <v>111</v>
      </c>
      <c r="B38" s="6" t="s">
        <v>112</v>
      </c>
      <c r="C38" s="11" t="n">
        <v>0.3</v>
      </c>
      <c r="D38" s="13" t="n">
        <f aca="false">$C$38</f>
        <v>0.3</v>
      </c>
      <c r="E38" s="13" t="n">
        <f aca="false">$C$38</f>
        <v>0.3</v>
      </c>
      <c r="F38" s="13" t="n">
        <f aca="false">$C$38</f>
        <v>0.3</v>
      </c>
      <c r="G38" s="13" t="n">
        <f aca="false">$C$38</f>
        <v>0.3</v>
      </c>
      <c r="H38" s="6" t="s">
        <v>105</v>
      </c>
      <c r="I38" s="6" t="s">
        <v>113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</row>
    <row r="39" customFormat="false" ht="15" hidden="false" customHeight="false" outlineLevel="0" collapsed="false">
      <c r="A39" s="6" t="s">
        <v>114</v>
      </c>
      <c r="B39" s="6" t="s">
        <v>115</v>
      </c>
      <c r="C39" s="11" t="n">
        <v>0</v>
      </c>
      <c r="D39" s="13" t="n">
        <f aca="false">$C$39</f>
        <v>0</v>
      </c>
      <c r="E39" s="13" t="n">
        <f aca="false">$C$39</f>
        <v>0</v>
      </c>
      <c r="F39" s="13" t="n">
        <f aca="false">$C$39</f>
        <v>0</v>
      </c>
      <c r="G39" s="13" t="n">
        <f aca="false">$C$39</f>
        <v>0</v>
      </c>
      <c r="H39" s="6" t="s">
        <v>105</v>
      </c>
      <c r="I39" s="6" t="s">
        <v>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</row>
    <row r="40" customFormat="false" ht="15" hidden="false" customHeight="false" outlineLevel="0" collapsed="false">
      <c r="A40" s="6" t="s">
        <v>116</v>
      </c>
      <c r="B40" s="6" t="s">
        <v>117</v>
      </c>
      <c r="C40" s="7" t="n">
        <v>1</v>
      </c>
      <c r="D40" s="10" t="n">
        <v>0.6</v>
      </c>
      <c r="E40" s="6" t="n">
        <f aca="false">$C$40</f>
        <v>1</v>
      </c>
      <c r="F40" s="6" t="n">
        <f aca="false">$C$40</f>
        <v>1</v>
      </c>
      <c r="G40" s="10" t="n">
        <v>1.3</v>
      </c>
      <c r="H40" s="6" t="s">
        <v>118</v>
      </c>
      <c r="I40" s="6" t="s">
        <v>119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</row>
    <row r="41" customFormat="false" ht="15" hidden="false" customHeight="false" outlineLevel="0" collapsed="false">
      <c r="A41" s="6" t="s">
        <v>120</v>
      </c>
      <c r="B41" s="6" t="s">
        <v>121</v>
      </c>
      <c r="C41" s="11" t="n">
        <v>0.03</v>
      </c>
      <c r="D41" s="12" t="n">
        <v>0.045</v>
      </c>
      <c r="E41" s="13" t="n">
        <f aca="false">$C$41</f>
        <v>0.03</v>
      </c>
      <c r="F41" s="13" t="n">
        <f aca="false">$C$41</f>
        <v>0.03</v>
      </c>
      <c r="G41" s="12" t="n">
        <v>0.0225</v>
      </c>
      <c r="H41" s="6" t="s">
        <v>32</v>
      </c>
      <c r="I41" s="6" t="s">
        <v>122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</row>
    <row r="42" customFormat="false" ht="15" hidden="false" customHeight="false" outlineLevel="0" collapsed="false">
      <c r="A42" s="6" t="s">
        <v>123</v>
      </c>
      <c r="B42" s="6" t="s">
        <v>124</v>
      </c>
      <c r="C42" s="8" t="n">
        <v>39</v>
      </c>
      <c r="D42" s="9" t="n">
        <f aca="false">$C$42</f>
        <v>39</v>
      </c>
      <c r="E42" s="9" t="n">
        <f aca="false">$C$42</f>
        <v>39</v>
      </c>
      <c r="F42" s="9" t="n">
        <f aca="false">$C$42</f>
        <v>39</v>
      </c>
      <c r="G42" s="9" t="n">
        <f aca="false">$C$42</f>
        <v>39</v>
      </c>
      <c r="H42" s="6" t="s">
        <v>125</v>
      </c>
      <c r="I42" s="6" t="s">
        <v>126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</row>
    <row r="43" customFormat="false" ht="15" hidden="false" customHeight="false" outlineLevel="0" collapsed="false">
      <c r="A43" s="6" t="s">
        <v>127</v>
      </c>
      <c r="B43" s="6" t="s">
        <v>128</v>
      </c>
      <c r="C43" s="8" t="n">
        <v>79</v>
      </c>
      <c r="D43" s="9" t="n">
        <f aca="false">$C$43</f>
        <v>79</v>
      </c>
      <c r="E43" s="9" t="n">
        <f aca="false">$C$43</f>
        <v>79</v>
      </c>
      <c r="F43" s="9" t="n">
        <f aca="false">$C$43</f>
        <v>79</v>
      </c>
      <c r="G43" s="9" t="n">
        <f aca="false">$C$43</f>
        <v>79</v>
      </c>
      <c r="H43" s="6" t="s">
        <v>125</v>
      </c>
      <c r="I43" s="6" t="s">
        <v>129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</row>
    <row r="44" customFormat="false" ht="15" hidden="false" customHeight="false" outlineLevel="0" collapsed="false">
      <c r="A44" s="6" t="s">
        <v>130</v>
      </c>
      <c r="B44" s="6" t="s">
        <v>131</v>
      </c>
      <c r="C44" s="14" t="n">
        <v>0.0075</v>
      </c>
      <c r="D44" s="15" t="n">
        <f aca="false">$C$44</f>
        <v>0.0075</v>
      </c>
      <c r="E44" s="15" t="n">
        <f aca="false">$C$44</f>
        <v>0.0075</v>
      </c>
      <c r="F44" s="15" t="n">
        <f aca="false">$C$44</f>
        <v>0.0075</v>
      </c>
      <c r="G44" s="15" t="n">
        <f aca="false">$C$44</f>
        <v>0.0075</v>
      </c>
      <c r="H44" s="6" t="s">
        <v>132</v>
      </c>
      <c r="I44" s="6" t="s">
        <v>133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</row>
    <row r="45" customFormat="false" ht="15" hidden="false" customHeight="false" outlineLevel="0" collapsed="false">
      <c r="A45" s="6" t="s">
        <v>134</v>
      </c>
      <c r="B45" s="6" t="s">
        <v>135</v>
      </c>
      <c r="C45" s="11" t="n">
        <v>0.6</v>
      </c>
      <c r="D45" s="12" t="n">
        <v>0.4</v>
      </c>
      <c r="E45" s="13" t="n">
        <f aca="false">$C$45</f>
        <v>0.6</v>
      </c>
      <c r="F45" s="13" t="n">
        <f aca="false">$C$45</f>
        <v>0.6</v>
      </c>
      <c r="G45" s="12" t="n">
        <v>0.75</v>
      </c>
      <c r="H45" s="6" t="s">
        <v>136</v>
      </c>
      <c r="I45" s="6" t="s">
        <v>137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</row>
    <row r="46" customFormat="false" ht="15" hidden="false" customHeight="false" outlineLevel="0" collapsed="false">
      <c r="A46" s="6" t="s">
        <v>138</v>
      </c>
      <c r="B46" s="6" t="s">
        <v>139</v>
      </c>
      <c r="C46" s="8" t="n">
        <v>2500</v>
      </c>
      <c r="D46" s="9" t="n">
        <f aca="false">$C$46</f>
        <v>2500</v>
      </c>
      <c r="E46" s="9" t="n">
        <f aca="false">$C$46</f>
        <v>2500</v>
      </c>
      <c r="F46" s="9" t="n">
        <f aca="false">$C$46</f>
        <v>2500</v>
      </c>
      <c r="G46" s="9" t="n">
        <f aca="false">$C$46</f>
        <v>2500</v>
      </c>
      <c r="H46" s="6" t="s">
        <v>125</v>
      </c>
      <c r="I46" s="6" t="s">
        <v>140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</row>
    <row r="47" customFormat="false" ht="15" hidden="false" customHeight="false" outlineLevel="0" collapsed="false">
      <c r="A47" s="6" t="s">
        <v>141</v>
      </c>
      <c r="B47" s="6" t="s">
        <v>142</v>
      </c>
      <c r="C47" s="8" t="n">
        <v>6000</v>
      </c>
      <c r="D47" s="9" t="n">
        <f aca="false">$C$47</f>
        <v>6000</v>
      </c>
      <c r="E47" s="9" t="n">
        <f aca="false">$C$47</f>
        <v>6000</v>
      </c>
      <c r="F47" s="9" t="n">
        <f aca="false">$C$47</f>
        <v>6000</v>
      </c>
      <c r="G47" s="9" t="n">
        <f aca="false">$C$47</f>
        <v>6000</v>
      </c>
      <c r="H47" s="6" t="s">
        <v>125</v>
      </c>
      <c r="I47" s="6" t="s">
        <v>143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</row>
    <row r="48" customFormat="false" ht="15" hidden="false" customHeight="false" outlineLevel="0" collapsed="false">
      <c r="A48" s="6" t="s">
        <v>144</v>
      </c>
      <c r="B48" s="6" t="s">
        <v>145</v>
      </c>
      <c r="C48" s="8" t="n">
        <v>35</v>
      </c>
      <c r="D48" s="9" t="n">
        <f aca="false">$C$48</f>
        <v>35</v>
      </c>
      <c r="E48" s="9" t="n">
        <f aca="false">$C$48</f>
        <v>35</v>
      </c>
      <c r="F48" s="9" t="n">
        <f aca="false">$C$48</f>
        <v>35</v>
      </c>
      <c r="G48" s="9" t="n">
        <f aca="false">$C$48</f>
        <v>35</v>
      </c>
      <c r="H48" s="6" t="s">
        <v>20</v>
      </c>
      <c r="I48" s="6" t="s">
        <v>146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</row>
    <row r="49" customFormat="false" ht="15" hidden="false" customHeight="false" outlineLevel="0" collapsed="false">
      <c r="A49" s="6" t="s">
        <v>147</v>
      </c>
      <c r="B49" s="6" t="s">
        <v>148</v>
      </c>
      <c r="C49" s="14" t="n">
        <v>0.029</v>
      </c>
      <c r="D49" s="15" t="n">
        <f aca="false">$C$49</f>
        <v>0.029</v>
      </c>
      <c r="E49" s="15" t="n">
        <f aca="false">$C$49</f>
        <v>0.029</v>
      </c>
      <c r="F49" s="15" t="n">
        <f aca="false">$C$49</f>
        <v>0.029</v>
      </c>
      <c r="G49" s="15" t="n">
        <f aca="false">$C$49</f>
        <v>0.029</v>
      </c>
      <c r="H49" s="6" t="s">
        <v>149</v>
      </c>
      <c r="I49" s="6" t="s">
        <v>150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</row>
    <row r="50" customFormat="false" ht="15" hidden="false" customHeight="false" outlineLevel="0" collapsed="false">
      <c r="A50" s="6" t="s">
        <v>151</v>
      </c>
      <c r="B50" s="6" t="s">
        <v>152</v>
      </c>
      <c r="C50" s="8" t="n">
        <v>0.3</v>
      </c>
      <c r="D50" s="9" t="n">
        <f aca="false">$C$50</f>
        <v>0.3</v>
      </c>
      <c r="E50" s="9" t="n">
        <f aca="false">$C$50</f>
        <v>0.3</v>
      </c>
      <c r="F50" s="9" t="n">
        <f aca="false">$C$50</f>
        <v>0.3</v>
      </c>
      <c r="G50" s="9" t="n">
        <f aca="false">$C$50</f>
        <v>0.3</v>
      </c>
      <c r="H50" s="6" t="s">
        <v>153</v>
      </c>
      <c r="I50" s="6" t="s">
        <v>154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</row>
    <row r="51" customFormat="false" ht="15" hidden="false" customHeight="false" outlineLevel="0" collapsed="false">
      <c r="A51" s="6" t="s">
        <v>155</v>
      </c>
      <c r="B51" s="6" t="s">
        <v>156</v>
      </c>
      <c r="C51" s="14" t="n">
        <v>0.0025</v>
      </c>
      <c r="D51" s="15" t="n">
        <f aca="false">$C$51</f>
        <v>0.0025</v>
      </c>
      <c r="E51" s="15" t="n">
        <f aca="false">$C$51</f>
        <v>0.0025</v>
      </c>
      <c r="F51" s="15" t="n">
        <f aca="false">$C$51</f>
        <v>0.0025</v>
      </c>
      <c r="G51" s="15" t="n">
        <f aca="false">$C$51</f>
        <v>0.0025</v>
      </c>
      <c r="H51" s="6" t="s">
        <v>149</v>
      </c>
      <c r="I51" s="6" t="s">
        <v>157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</row>
    <row r="52" customFormat="false" ht="15" hidden="false" customHeight="false" outlineLevel="0" collapsed="false">
      <c r="A52" s="6" t="s">
        <v>158</v>
      </c>
      <c r="B52" s="6" t="s">
        <v>159</v>
      </c>
      <c r="C52" s="8" t="n">
        <v>2</v>
      </c>
      <c r="D52" s="9" t="n">
        <f aca="false">$C$52</f>
        <v>2</v>
      </c>
      <c r="E52" s="9" t="n">
        <f aca="false">$C$52</f>
        <v>2</v>
      </c>
      <c r="F52" s="9" t="n">
        <f aca="false">$C$52</f>
        <v>2</v>
      </c>
      <c r="G52" s="9" t="n">
        <f aca="false">$C$52</f>
        <v>2</v>
      </c>
      <c r="H52" s="6" t="s">
        <v>160</v>
      </c>
      <c r="I52" s="6" t="s">
        <v>161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</row>
    <row r="53" customFormat="false" ht="15" hidden="false" customHeight="false" outlineLevel="0" collapsed="false">
      <c r="A53" s="6" t="s">
        <v>162</v>
      </c>
      <c r="B53" s="6" t="s">
        <v>163</v>
      </c>
      <c r="C53" s="11" t="n">
        <v>0.034</v>
      </c>
      <c r="D53" s="13" t="n">
        <f aca="false">$C$53</f>
        <v>0.034</v>
      </c>
      <c r="E53" s="13" t="n">
        <f aca="false">$C$53</f>
        <v>0.034</v>
      </c>
      <c r="F53" s="13" t="n">
        <f aca="false">$C$53</f>
        <v>0.034</v>
      </c>
      <c r="G53" s="13" t="n">
        <f aca="false">$C$53</f>
        <v>0.034</v>
      </c>
      <c r="H53" s="6" t="s">
        <v>164</v>
      </c>
      <c r="I53" s="6" t="s">
        <v>165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</row>
    <row r="54" customFormat="false" ht="15" hidden="false" customHeight="false" outlineLevel="0" collapsed="false">
      <c r="A54" s="6" t="s">
        <v>166</v>
      </c>
      <c r="B54" s="6" t="s">
        <v>167</v>
      </c>
      <c r="C54" s="8" t="n">
        <v>0.3</v>
      </c>
      <c r="D54" s="9" t="n">
        <f aca="false">$C$54</f>
        <v>0.3</v>
      </c>
      <c r="E54" s="9" t="n">
        <f aca="false">$C$54</f>
        <v>0.3</v>
      </c>
      <c r="F54" s="9" t="n">
        <f aca="false">$C$54</f>
        <v>0.3</v>
      </c>
      <c r="G54" s="9" t="n">
        <f aca="false">$C$54</f>
        <v>0.3</v>
      </c>
      <c r="H54" s="6" t="s">
        <v>168</v>
      </c>
      <c r="I54" s="6" t="s">
        <v>169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</row>
    <row r="55" customFormat="false" ht="15" hidden="false" customHeight="false" outlineLevel="0" collapsed="false">
      <c r="A55" s="6" t="s">
        <v>170</v>
      </c>
      <c r="B55" s="6" t="s">
        <v>171</v>
      </c>
      <c r="C55" s="8" t="n">
        <v>0.022</v>
      </c>
      <c r="D55" s="9" t="n">
        <f aca="false">$C$55</f>
        <v>0.022</v>
      </c>
      <c r="E55" s="9" t="n">
        <f aca="false">$C$55</f>
        <v>0.022</v>
      </c>
      <c r="F55" s="9" t="n">
        <f aca="false">$C$55</f>
        <v>0.022</v>
      </c>
      <c r="G55" s="9" t="n">
        <f aca="false">$C$55</f>
        <v>0.022</v>
      </c>
      <c r="H55" s="6" t="s">
        <v>172</v>
      </c>
      <c r="I55" s="6" t="s">
        <v>173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</row>
    <row r="56" customFormat="false" ht="15" hidden="false" customHeight="false" outlineLevel="0" collapsed="false">
      <c r="A56" s="6" t="s">
        <v>174</v>
      </c>
      <c r="B56" s="6" t="s">
        <v>175</v>
      </c>
      <c r="C56" s="7" t="n">
        <v>300</v>
      </c>
      <c r="D56" s="6" t="n">
        <f aca="false">$C$56</f>
        <v>300</v>
      </c>
      <c r="E56" s="6" t="n">
        <f aca="false">$C$56</f>
        <v>300</v>
      </c>
      <c r="F56" s="6" t="n">
        <f aca="false">$C$56</f>
        <v>300</v>
      </c>
      <c r="G56" s="6" t="n">
        <f aca="false">$C$56</f>
        <v>300</v>
      </c>
      <c r="H56" s="6" t="s">
        <v>176</v>
      </c>
      <c r="I56" s="6" t="s">
        <v>177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</row>
    <row r="57" customFormat="false" ht="15" hidden="false" customHeight="false" outlineLevel="0" collapsed="false">
      <c r="A57" s="6" t="s">
        <v>178</v>
      </c>
      <c r="B57" s="6" t="s">
        <v>179</v>
      </c>
      <c r="C57" s="7" t="n">
        <v>900</v>
      </c>
      <c r="D57" s="6" t="n">
        <f aca="false">$C$57</f>
        <v>900</v>
      </c>
      <c r="E57" s="6" t="n">
        <f aca="false">$C$57</f>
        <v>900</v>
      </c>
      <c r="F57" s="6" t="n">
        <f aca="false">$C$57</f>
        <v>900</v>
      </c>
      <c r="G57" s="6" t="n">
        <f aca="false">$C$57</f>
        <v>900</v>
      </c>
      <c r="H57" s="6" t="s">
        <v>176</v>
      </c>
      <c r="I57" s="6" t="s">
        <v>180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</row>
    <row r="58" customFormat="false" ht="15" hidden="false" customHeight="false" outlineLevel="0" collapsed="false">
      <c r="A58" s="6" t="s">
        <v>181</v>
      </c>
      <c r="B58" s="6" t="s">
        <v>182</v>
      </c>
      <c r="C58" s="7" t="n">
        <v>1.5</v>
      </c>
      <c r="D58" s="6" t="n">
        <f aca="false">$C$58</f>
        <v>1.5</v>
      </c>
      <c r="E58" s="6" t="n">
        <f aca="false">$C$58</f>
        <v>1.5</v>
      </c>
      <c r="F58" s="6" t="n">
        <f aca="false">$C$58</f>
        <v>1.5</v>
      </c>
      <c r="G58" s="6" t="n">
        <f aca="false">$C$58</f>
        <v>1.5</v>
      </c>
      <c r="H58" s="6" t="s">
        <v>183</v>
      </c>
      <c r="I58" s="6" t="s">
        <v>184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</row>
    <row r="59" customFormat="false" ht="15" hidden="false" customHeight="false" outlineLevel="0" collapsed="false">
      <c r="A59" s="6" t="s">
        <v>185</v>
      </c>
      <c r="B59" s="6" t="s">
        <v>186</v>
      </c>
      <c r="C59" s="7" t="n">
        <v>0.3</v>
      </c>
      <c r="D59" s="6" t="n">
        <f aca="false">$C$59</f>
        <v>0.3</v>
      </c>
      <c r="E59" s="6" t="n">
        <f aca="false">$C$59</f>
        <v>0.3</v>
      </c>
      <c r="F59" s="6" t="n">
        <f aca="false">$C$59</f>
        <v>0.3</v>
      </c>
      <c r="G59" s="6" t="n">
        <f aca="false">$C$59</f>
        <v>0.3</v>
      </c>
      <c r="H59" s="6" t="s">
        <v>176</v>
      </c>
      <c r="I59" s="6" t="s">
        <v>187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</row>
    <row r="60" customFormat="false" ht="15" hidden="false" customHeight="false" outlineLevel="0" collapsed="false">
      <c r="A60" s="6" t="s">
        <v>188</v>
      </c>
      <c r="B60" s="6" t="s">
        <v>189</v>
      </c>
      <c r="C60" s="8" t="n">
        <v>1</v>
      </c>
      <c r="D60" s="9" t="n">
        <f aca="false">$C$60</f>
        <v>1</v>
      </c>
      <c r="E60" s="9" t="n">
        <f aca="false">$C$60</f>
        <v>1</v>
      </c>
      <c r="F60" s="9" t="n">
        <f aca="false">$C$60</f>
        <v>1</v>
      </c>
      <c r="G60" s="9" t="n">
        <f aca="false">$C$60</f>
        <v>1</v>
      </c>
      <c r="H60" s="6" t="s">
        <v>125</v>
      </c>
      <c r="I60" s="6" t="s">
        <v>190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</row>
    <row r="61" customFormat="false" ht="15" hidden="false" customHeight="false" outlineLevel="0" collapsed="false">
      <c r="A61" s="6" t="s">
        <v>191</v>
      </c>
      <c r="B61" s="6" t="s">
        <v>192</v>
      </c>
      <c r="C61" s="8" t="n">
        <v>0.01</v>
      </c>
      <c r="D61" s="9" t="n">
        <f aca="false">$C$61</f>
        <v>0.01</v>
      </c>
      <c r="E61" s="9" t="n">
        <f aca="false">$C$61</f>
        <v>0.01</v>
      </c>
      <c r="F61" s="9" t="n">
        <f aca="false">$C$61</f>
        <v>0.01</v>
      </c>
      <c r="G61" s="9" t="n">
        <f aca="false">$C$61</f>
        <v>0.01</v>
      </c>
      <c r="H61" s="6" t="s">
        <v>125</v>
      </c>
      <c r="I61" s="6" t="s">
        <v>193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</row>
    <row r="62" customFormat="false" ht="15" hidden="false" customHeight="false" outlineLevel="0" collapsed="false">
      <c r="A62" s="6" t="s">
        <v>194</v>
      </c>
      <c r="B62" s="6" t="s">
        <v>195</v>
      </c>
      <c r="C62" s="8" t="n">
        <v>25</v>
      </c>
      <c r="D62" s="9" t="n">
        <f aca="false">$C$62</f>
        <v>25</v>
      </c>
      <c r="E62" s="9" t="n">
        <f aca="false">$C$62</f>
        <v>25</v>
      </c>
      <c r="F62" s="9" t="n">
        <f aca="false">$C$62</f>
        <v>25</v>
      </c>
      <c r="G62" s="9" t="n">
        <f aca="false">$C$62</f>
        <v>25</v>
      </c>
      <c r="H62" s="6" t="s">
        <v>196</v>
      </c>
      <c r="I62" s="6" t="s">
        <v>197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</row>
    <row r="63" customFormat="false" ht="15" hidden="false" customHeight="false" outlineLevel="0" collapsed="false">
      <c r="A63" s="6" t="s">
        <v>198</v>
      </c>
      <c r="B63" s="6" t="s">
        <v>199</v>
      </c>
      <c r="C63" s="7" t="n">
        <v>5</v>
      </c>
      <c r="D63" s="6" t="n">
        <f aca="false">$C$63</f>
        <v>5</v>
      </c>
      <c r="E63" s="6" t="n">
        <f aca="false">$C$63</f>
        <v>5</v>
      </c>
      <c r="F63" s="6" t="n">
        <f aca="false">$C$63</f>
        <v>5</v>
      </c>
      <c r="G63" s="6" t="n">
        <f aca="false">$C$63</f>
        <v>5</v>
      </c>
      <c r="H63" s="6" t="s">
        <v>200</v>
      </c>
      <c r="I63" s="6" t="s">
        <v>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</row>
    <row r="64" customFormat="false" ht="15" hidden="false" customHeight="false" outlineLevel="0" collapsed="false">
      <c r="A64" s="6" t="s">
        <v>201</v>
      </c>
      <c r="B64" s="6" t="s">
        <v>202</v>
      </c>
      <c r="C64" s="7" t="n">
        <v>15</v>
      </c>
      <c r="D64" s="6" t="n">
        <f aca="false">$C$64</f>
        <v>15</v>
      </c>
      <c r="E64" s="6" t="n">
        <f aca="false">$C$64</f>
        <v>15</v>
      </c>
      <c r="F64" s="6" t="n">
        <f aca="false">$C$64</f>
        <v>15</v>
      </c>
      <c r="G64" s="6" t="n">
        <f aca="false">$C$64</f>
        <v>15</v>
      </c>
      <c r="H64" s="6" t="s">
        <v>200</v>
      </c>
      <c r="I64" s="6" t="s">
        <v>203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</row>
    <row r="65" customFormat="false" ht="15" hidden="false" customHeight="false" outlineLevel="0" collapsed="false">
      <c r="A65" s="6" t="s">
        <v>204</v>
      </c>
      <c r="B65" s="6" t="s">
        <v>205</v>
      </c>
      <c r="C65" s="11" t="n">
        <v>0.15</v>
      </c>
      <c r="D65" s="13" t="n">
        <f aca="false">$C$65</f>
        <v>0.15</v>
      </c>
      <c r="E65" s="13" t="n">
        <f aca="false">$C$65</f>
        <v>0.15</v>
      </c>
      <c r="F65" s="13" t="n">
        <f aca="false">$C$65</f>
        <v>0.15</v>
      </c>
      <c r="G65" s="13" t="n">
        <f aca="false">$C$65</f>
        <v>0.15</v>
      </c>
      <c r="H65" s="6" t="s">
        <v>206</v>
      </c>
      <c r="I65" s="6" t="s">
        <v>207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</row>
    <row r="66" customFormat="false" ht="15" hidden="false" customHeight="false" outlineLevel="0" collapsed="false">
      <c r="A66" s="6" t="s">
        <v>208</v>
      </c>
      <c r="B66" s="6" t="s">
        <v>209</v>
      </c>
      <c r="C66" s="8" t="n">
        <v>3</v>
      </c>
      <c r="D66" s="9" t="n">
        <f aca="false">$C$66</f>
        <v>3</v>
      </c>
      <c r="E66" s="9" t="n">
        <f aca="false">$C$66</f>
        <v>3</v>
      </c>
      <c r="F66" s="9" t="n">
        <f aca="false">$C$66</f>
        <v>3</v>
      </c>
      <c r="G66" s="9" t="n">
        <f aca="false">$C$66</f>
        <v>3</v>
      </c>
      <c r="H66" s="6" t="s">
        <v>20</v>
      </c>
      <c r="I66" s="6" t="s">
        <v>210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</row>
    <row r="67" customFormat="false" ht="15" hidden="false" customHeight="false" outlineLevel="0" collapsed="false">
      <c r="A67" s="6" t="s">
        <v>211</v>
      </c>
      <c r="B67" s="6" t="s">
        <v>212</v>
      </c>
      <c r="C67" s="11" t="n">
        <v>0.6</v>
      </c>
      <c r="D67" s="13" t="n">
        <f aca="false">$C$67</f>
        <v>0.6</v>
      </c>
      <c r="E67" s="13" t="n">
        <f aca="false">$C$67</f>
        <v>0.6</v>
      </c>
      <c r="F67" s="13" t="n">
        <f aca="false">$C$67</f>
        <v>0.6</v>
      </c>
      <c r="G67" s="13" t="n">
        <f aca="false">$C$67</f>
        <v>0.6</v>
      </c>
      <c r="H67" s="6" t="s">
        <v>213</v>
      </c>
      <c r="I67" s="6" t="s">
        <v>214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</row>
    <row r="68" customFormat="false" ht="15" hidden="false" customHeight="false" outlineLevel="0" collapsed="false">
      <c r="A68" s="6" t="s">
        <v>215</v>
      </c>
      <c r="B68" s="6" t="s">
        <v>216</v>
      </c>
      <c r="C68" s="7" t="n">
        <v>6</v>
      </c>
      <c r="D68" s="6" t="n">
        <f aca="false">$C$68</f>
        <v>6</v>
      </c>
      <c r="E68" s="6" t="n">
        <f aca="false">$C$68</f>
        <v>6</v>
      </c>
      <c r="F68" s="6" t="n">
        <f aca="false">$C$68</f>
        <v>6</v>
      </c>
      <c r="G68" s="6" t="n">
        <f aca="false">$C$68</f>
        <v>6</v>
      </c>
      <c r="H68" s="6" t="s">
        <v>217</v>
      </c>
      <c r="I68" s="6" t="s">
        <v>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</row>
    <row r="69" customFormat="false" ht="15" hidden="false" customHeight="false" outlineLevel="0" collapsed="false">
      <c r="A69" s="6" t="s">
        <v>218</v>
      </c>
      <c r="B69" s="6" t="s">
        <v>219</v>
      </c>
      <c r="C69" s="7" t="n">
        <v>2</v>
      </c>
      <c r="D69" s="6" t="n">
        <f aca="false">$C$69</f>
        <v>2</v>
      </c>
      <c r="E69" s="6" t="n">
        <f aca="false">$C$69</f>
        <v>2</v>
      </c>
      <c r="F69" s="6" t="n">
        <f aca="false">$C$69</f>
        <v>2</v>
      </c>
      <c r="G69" s="6" t="n">
        <f aca="false">$C$69</f>
        <v>2</v>
      </c>
      <c r="H69" s="6" t="s">
        <v>220</v>
      </c>
      <c r="I69" s="6" t="s">
        <v>221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</row>
    <row r="70" customFormat="false" ht="15" hidden="false" customHeight="false" outlineLevel="0" collapsed="false">
      <c r="A70" s="6" t="s">
        <v>222</v>
      </c>
      <c r="B70" s="6" t="s">
        <v>223</v>
      </c>
      <c r="C70" s="11" t="n">
        <v>0.2</v>
      </c>
      <c r="D70" s="12" t="n">
        <v>0.1</v>
      </c>
      <c r="E70" s="13" t="n">
        <f aca="false">$C$70</f>
        <v>0.2</v>
      </c>
      <c r="F70" s="13" t="n">
        <f aca="false">$C$70</f>
        <v>0.2</v>
      </c>
      <c r="G70" s="12" t="n">
        <v>0.3</v>
      </c>
      <c r="H70" s="6" t="s">
        <v>224</v>
      </c>
      <c r="I70" s="6" t="s">
        <v>225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</row>
    <row r="71" customFormat="false" ht="15" hidden="false" customHeight="false" outlineLevel="0" collapsed="false">
      <c r="A71" s="6" t="s">
        <v>226</v>
      </c>
      <c r="B71" s="6" t="s">
        <v>227</v>
      </c>
      <c r="C71" s="8" t="n">
        <v>12</v>
      </c>
      <c r="D71" s="16" t="n">
        <v>8</v>
      </c>
      <c r="E71" s="9" t="n">
        <f aca="false">$C$71</f>
        <v>12</v>
      </c>
      <c r="F71" s="9" t="n">
        <f aca="false">$C$71</f>
        <v>12</v>
      </c>
      <c r="G71" s="16" t="n">
        <v>15</v>
      </c>
      <c r="H71" s="6" t="s">
        <v>228</v>
      </c>
      <c r="I71" s="6" t="s">
        <v>229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</row>
    <row r="72" customFormat="false" ht="15" hidden="false" customHeight="false" outlineLevel="0" collapsed="false">
      <c r="A72" s="6" t="s">
        <v>230</v>
      </c>
      <c r="B72" s="6" t="s">
        <v>231</v>
      </c>
      <c r="C72" s="11" t="n">
        <v>0.03</v>
      </c>
      <c r="D72" s="13" t="n">
        <f aca="false">$C$72</f>
        <v>0.03</v>
      </c>
      <c r="E72" s="13" t="n">
        <f aca="false">$C$72</f>
        <v>0.03</v>
      </c>
      <c r="F72" s="13" t="n">
        <f aca="false">$C$72</f>
        <v>0.03</v>
      </c>
      <c r="G72" s="13" t="n">
        <f aca="false">$C$72</f>
        <v>0.03</v>
      </c>
      <c r="H72" s="6" t="s">
        <v>232</v>
      </c>
      <c r="I72" s="6" t="s">
        <v>233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</row>
    <row r="73" customFormat="false" ht="15" hidden="false" customHeight="false" outlineLevel="0" collapsed="false">
      <c r="A73" s="6" t="s">
        <v>234</v>
      </c>
      <c r="B73" s="6" t="s">
        <v>235</v>
      </c>
      <c r="C73" s="8" t="n">
        <v>75</v>
      </c>
      <c r="D73" s="9" t="n">
        <f aca="false">$C$73</f>
        <v>75</v>
      </c>
      <c r="E73" s="9" t="n">
        <f aca="false">$C$73</f>
        <v>75</v>
      </c>
      <c r="F73" s="9" t="n">
        <f aca="false">$C$73</f>
        <v>75</v>
      </c>
      <c r="G73" s="9" t="n">
        <f aca="false">$C$73</f>
        <v>75</v>
      </c>
      <c r="H73" s="6" t="s">
        <v>125</v>
      </c>
      <c r="I73" s="6" t="s">
        <v>236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</row>
    <row r="74" customFormat="false" ht="15" hidden="false" customHeight="false" outlineLevel="0" collapsed="false">
      <c r="A74" s="6" t="s">
        <v>237</v>
      </c>
      <c r="B74" s="6" t="s">
        <v>238</v>
      </c>
      <c r="C74" s="11" t="n">
        <v>0.04</v>
      </c>
      <c r="D74" s="13" t="n">
        <f aca="false">$C$74</f>
        <v>0.04</v>
      </c>
      <c r="E74" s="13" t="n">
        <f aca="false">$C$74</f>
        <v>0.04</v>
      </c>
      <c r="F74" s="13" t="n">
        <f aca="false">$C$74</f>
        <v>0.04</v>
      </c>
      <c r="G74" s="13" t="n">
        <f aca="false">$C$74</f>
        <v>0.04</v>
      </c>
      <c r="H74" s="6" t="s">
        <v>232</v>
      </c>
      <c r="I74" s="6" t="s">
        <v>239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</row>
    <row r="75" customFormat="false" ht="15" hidden="false" customHeight="false" outlineLevel="0" collapsed="false">
      <c r="A75" s="6" t="s">
        <v>240</v>
      </c>
      <c r="B75" s="6" t="s">
        <v>241</v>
      </c>
      <c r="C75" s="7" t="n">
        <v>2</v>
      </c>
      <c r="D75" s="6" t="n">
        <f aca="false">$C$75</f>
        <v>2</v>
      </c>
      <c r="E75" s="6" t="n">
        <f aca="false">$C$75</f>
        <v>2</v>
      </c>
      <c r="F75" s="6" t="n">
        <f aca="false">$C$75</f>
        <v>2</v>
      </c>
      <c r="G75" s="6" t="n">
        <f aca="false">$C$75</f>
        <v>2</v>
      </c>
      <c r="H75" s="6" t="s">
        <v>242</v>
      </c>
      <c r="I75" s="6" t="s">
        <v>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</row>
    <row r="76" customFormat="false" ht="15" hidden="false" customHeight="false" outlineLevel="0" collapsed="false">
      <c r="A76" s="6" t="s">
        <v>243</v>
      </c>
      <c r="B76" s="6" t="s">
        <v>244</v>
      </c>
      <c r="C76" s="8" t="n">
        <v>25</v>
      </c>
      <c r="D76" s="9" t="n">
        <f aca="false">$C$76</f>
        <v>25</v>
      </c>
      <c r="E76" s="9" t="n">
        <f aca="false">$C$76</f>
        <v>25</v>
      </c>
      <c r="F76" s="9" t="n">
        <f aca="false">$C$76</f>
        <v>25</v>
      </c>
      <c r="G76" s="9" t="n">
        <f aca="false">$C$76</f>
        <v>25</v>
      </c>
      <c r="H76" s="6" t="s">
        <v>245</v>
      </c>
      <c r="I76" s="6" t="s">
        <v>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</row>
    <row r="77" customFormat="false" ht="15" hidden="false" customHeight="false" outlineLevel="0" collapsed="false">
      <c r="A77" s="6" t="s">
        <v>246</v>
      </c>
      <c r="B77" s="6" t="s">
        <v>247</v>
      </c>
      <c r="C77" s="7" t="n">
        <v>6</v>
      </c>
      <c r="D77" s="6" t="n">
        <f aca="false">$C$77</f>
        <v>6</v>
      </c>
      <c r="E77" s="6" t="n">
        <f aca="false">$C$77</f>
        <v>6</v>
      </c>
      <c r="F77" s="6" t="n">
        <f aca="false">$C$77</f>
        <v>6</v>
      </c>
      <c r="G77" s="6" t="n">
        <f aca="false">$C$77</f>
        <v>6</v>
      </c>
      <c r="H77" s="6" t="s">
        <v>12</v>
      </c>
      <c r="I77" s="6" t="s">
        <v>248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</row>
    <row r="78" customFormat="false" ht="15" hidden="false" customHeight="false" outlineLevel="0" collapsed="false">
      <c r="A78" s="6" t="s">
        <v>249</v>
      </c>
      <c r="B78" s="6" t="s">
        <v>250</v>
      </c>
      <c r="C78" s="11" t="n">
        <v>0.1</v>
      </c>
      <c r="D78" s="13" t="n">
        <f aca="false">$C$78</f>
        <v>0.1</v>
      </c>
      <c r="E78" s="13" t="n">
        <f aca="false">$C$78</f>
        <v>0.1</v>
      </c>
      <c r="F78" s="13" t="n">
        <f aca="false">$C$78</f>
        <v>0.1</v>
      </c>
      <c r="G78" s="13" t="n">
        <f aca="false">$C$78</f>
        <v>0.1</v>
      </c>
      <c r="H78" s="6" t="s">
        <v>251</v>
      </c>
      <c r="I78" s="6" t="s">
        <v>252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</row>
    <row r="79" customFormat="false" ht="15" hidden="false" customHeight="false" outlineLevel="0" collapsed="false">
      <c r="A79" s="6" t="s">
        <v>253</v>
      </c>
      <c r="B79" s="6" t="s">
        <v>254</v>
      </c>
      <c r="C79" s="7" t="n">
        <v>6</v>
      </c>
      <c r="D79" s="6" t="n">
        <f aca="false">$C$79</f>
        <v>6</v>
      </c>
      <c r="E79" s="6" t="n">
        <f aca="false">$C$79</f>
        <v>6</v>
      </c>
      <c r="F79" s="6" t="n">
        <f aca="false">$C$79</f>
        <v>6</v>
      </c>
      <c r="G79" s="6" t="n">
        <f aca="false">$C$79</f>
        <v>6</v>
      </c>
      <c r="H79" s="6" t="s">
        <v>12</v>
      </c>
      <c r="I79" s="6" t="s">
        <v>255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</row>
    <row r="80" customFormat="false" ht="15" hidden="false" customHeight="false" outlineLevel="0" collapsed="false">
      <c r="A80" s="6" t="s">
        <v>256</v>
      </c>
      <c r="B80" s="6" t="s">
        <v>257</v>
      </c>
      <c r="C80" s="7" t="n">
        <v>1</v>
      </c>
      <c r="D80" s="10" t="n">
        <v>0.5</v>
      </c>
      <c r="E80" s="6" t="n">
        <f aca="false">$C$80</f>
        <v>1</v>
      </c>
      <c r="F80" s="10" t="n">
        <v>2</v>
      </c>
      <c r="G80" s="10" t="n">
        <v>1.5</v>
      </c>
      <c r="H80" s="6" t="s">
        <v>258</v>
      </c>
      <c r="I80" s="6" t="s">
        <v>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</row>
    <row r="81" customFormat="false" ht="15" hidden="false" customHeight="false" outlineLevel="0" collapsed="false">
      <c r="A81" s="6" t="s">
        <v>259</v>
      </c>
      <c r="B81" s="6" t="s">
        <v>260</v>
      </c>
      <c r="C81" s="8" t="n">
        <v>2250</v>
      </c>
      <c r="D81" s="9" t="n">
        <f aca="false">$C$81</f>
        <v>2250</v>
      </c>
      <c r="E81" s="9" t="n">
        <f aca="false">$C$81</f>
        <v>2250</v>
      </c>
      <c r="F81" s="9" t="n">
        <f aca="false">$C$81</f>
        <v>2250</v>
      </c>
      <c r="G81" s="9" t="n">
        <f aca="false">$C$81</f>
        <v>2250</v>
      </c>
      <c r="H81" s="6" t="s">
        <v>261</v>
      </c>
      <c r="I81" s="6" t="s">
        <v>262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</row>
    <row r="82" customFormat="false" ht="15" hidden="false" customHeight="false" outlineLevel="0" collapsed="false">
      <c r="A82" s="6" t="s">
        <v>263</v>
      </c>
      <c r="B82" s="6" t="s">
        <v>264</v>
      </c>
      <c r="C82" s="11" t="n">
        <v>0.3</v>
      </c>
      <c r="D82" s="13" t="n">
        <f aca="false">$C$82</f>
        <v>0.3</v>
      </c>
      <c r="E82" s="13" t="n">
        <f aca="false">$C$82</f>
        <v>0.3</v>
      </c>
      <c r="F82" s="13" t="n">
        <f aca="false">$C$82</f>
        <v>0.3</v>
      </c>
      <c r="G82" s="13" t="n">
        <f aca="false">$C$82</f>
        <v>0.3</v>
      </c>
      <c r="H82" s="6" t="s">
        <v>265</v>
      </c>
      <c r="I82" s="6" t="s">
        <v>266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</row>
    <row r="83" customFormat="false" ht="15" hidden="false" customHeight="false" outlineLevel="0" collapsed="false">
      <c r="A83" s="6" t="s">
        <v>267</v>
      </c>
      <c r="B83" s="6" t="s">
        <v>268</v>
      </c>
      <c r="C83" s="8" t="n">
        <v>17.95</v>
      </c>
      <c r="D83" s="9" t="n">
        <f aca="false">$C$83</f>
        <v>17.95</v>
      </c>
      <c r="E83" s="9" t="n">
        <f aca="false">$C$83</f>
        <v>17.95</v>
      </c>
      <c r="F83" s="9" t="n">
        <f aca="false">$C$83</f>
        <v>17.95</v>
      </c>
      <c r="G83" s="9" t="n">
        <f aca="false">$C$83</f>
        <v>17.95</v>
      </c>
      <c r="H83" s="6" t="s">
        <v>196</v>
      </c>
      <c r="I83" s="6" t="s">
        <v>269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</row>
    <row r="84" customFormat="false" ht="15" hidden="false" customHeight="false" outlineLevel="0" collapsed="false">
      <c r="A84" s="6" t="s">
        <v>270</v>
      </c>
      <c r="B84" s="6" t="s">
        <v>271</v>
      </c>
      <c r="C84" s="11" t="n">
        <v>0.025</v>
      </c>
      <c r="D84" s="13" t="n">
        <f aca="false">$C$84</f>
        <v>0.025</v>
      </c>
      <c r="E84" s="13" t="n">
        <f aca="false">$C$84</f>
        <v>0.025</v>
      </c>
      <c r="F84" s="13" t="n">
        <f aca="false">$C$84</f>
        <v>0.025</v>
      </c>
      <c r="G84" s="13" t="n">
        <f aca="false">$C$84</f>
        <v>0.025</v>
      </c>
      <c r="H84" s="6" t="s">
        <v>272</v>
      </c>
      <c r="I84" s="6" t="s">
        <v>273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</row>
    <row r="85" customFormat="false" ht="15" hidden="false" customHeight="false" outlineLevel="0" collapsed="false">
      <c r="A85" s="6" t="s">
        <v>274</v>
      </c>
      <c r="B85" s="6" t="s">
        <v>275</v>
      </c>
      <c r="C85" s="11" t="n">
        <v>0.13</v>
      </c>
      <c r="D85" s="13" t="n">
        <f aca="false">$C$85</f>
        <v>0.13</v>
      </c>
      <c r="E85" s="13" t="n">
        <f aca="false">$C$85</f>
        <v>0.13</v>
      </c>
      <c r="F85" s="13" t="n">
        <f aca="false">$C$85</f>
        <v>0.13</v>
      </c>
      <c r="G85" s="13" t="n">
        <f aca="false">$C$85</f>
        <v>0.13</v>
      </c>
      <c r="H85" s="6" t="s">
        <v>276</v>
      </c>
      <c r="I85" s="6" t="s">
        <v>277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</row>
    <row r="86" customFormat="false" ht="15" hidden="false" customHeight="false" outlineLevel="0" collapsed="false">
      <c r="A86" s="6" t="s">
        <v>278</v>
      </c>
      <c r="B86" s="6" t="s">
        <v>279</v>
      </c>
      <c r="C86" s="7" t="n">
        <v>2.5</v>
      </c>
      <c r="D86" s="10" t="n">
        <v>3.5</v>
      </c>
      <c r="E86" s="6" t="n">
        <f aca="false">$C$86</f>
        <v>2.5</v>
      </c>
      <c r="F86" s="6" t="n">
        <f aca="false">$C$86</f>
        <v>2.5</v>
      </c>
      <c r="G86" s="10" t="n">
        <v>2</v>
      </c>
      <c r="H86" s="6" t="s">
        <v>280</v>
      </c>
      <c r="I86" s="6" t="s">
        <v>281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</row>
    <row r="87" customFormat="false" ht="15" hidden="false" customHeight="false" outlineLevel="0" collapsed="false">
      <c r="A87" s="6" t="s">
        <v>282</v>
      </c>
      <c r="B87" s="6" t="s">
        <v>283</v>
      </c>
      <c r="C87" s="8" t="n">
        <v>25</v>
      </c>
      <c r="D87" s="9" t="n">
        <f aca="false">$C$87</f>
        <v>25</v>
      </c>
      <c r="E87" s="9" t="n">
        <f aca="false">$C$87</f>
        <v>25</v>
      </c>
      <c r="F87" s="9" t="n">
        <f aca="false">$C$87</f>
        <v>25</v>
      </c>
      <c r="G87" s="9" t="n">
        <f aca="false">$C$87</f>
        <v>25</v>
      </c>
      <c r="H87" s="6" t="s">
        <v>284</v>
      </c>
      <c r="I87" s="6" t="s">
        <v>285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</row>
    <row r="88" customFormat="false" ht="15" hidden="false" customHeight="false" outlineLevel="0" collapsed="false">
      <c r="A88" s="6" t="s">
        <v>286</v>
      </c>
      <c r="B88" s="6" t="s">
        <v>287</v>
      </c>
      <c r="C88" s="8" t="n">
        <v>15</v>
      </c>
      <c r="D88" s="9" t="n">
        <f aca="false">$C$88</f>
        <v>15</v>
      </c>
      <c r="E88" s="9" t="n">
        <f aca="false">$C$88</f>
        <v>15</v>
      </c>
      <c r="F88" s="9" t="n">
        <f aca="false">$C$88</f>
        <v>15</v>
      </c>
      <c r="G88" s="9" t="n">
        <f aca="false">$C$88</f>
        <v>15</v>
      </c>
      <c r="H88" s="6" t="s">
        <v>288</v>
      </c>
      <c r="I88" s="6" t="s">
        <v>289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</row>
    <row r="89" customFormat="false" ht="15" hidden="false" customHeight="false" outlineLevel="0" collapsed="false">
      <c r="A89" s="6" t="s">
        <v>290</v>
      </c>
      <c r="B89" s="6" t="s">
        <v>291</v>
      </c>
      <c r="C89" s="8" t="n">
        <v>750</v>
      </c>
      <c r="D89" s="9" t="n">
        <f aca="false">$C$89</f>
        <v>750</v>
      </c>
      <c r="E89" s="9" t="n">
        <f aca="false">$C$89</f>
        <v>750</v>
      </c>
      <c r="F89" s="9" t="n">
        <f aca="false">$C$89</f>
        <v>750</v>
      </c>
      <c r="G89" s="9" t="n">
        <f aca="false">$C$89</f>
        <v>750</v>
      </c>
      <c r="H89" s="6" t="s">
        <v>292</v>
      </c>
      <c r="I89" s="6" t="s">
        <v>293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</row>
    <row r="90" customFormat="false" ht="15" hidden="false" customHeight="false" outlineLevel="0" collapsed="false">
      <c r="A90" s="6" t="s">
        <v>294</v>
      </c>
      <c r="B90" s="6" t="s">
        <v>295</v>
      </c>
      <c r="C90" s="11" t="n">
        <v>50</v>
      </c>
      <c r="D90" s="13" t="n">
        <f aca="false">$C$90</f>
        <v>50</v>
      </c>
      <c r="E90" s="13" t="n">
        <f aca="false">$C$90</f>
        <v>50</v>
      </c>
      <c r="F90" s="13" t="n">
        <f aca="false">$C$90</f>
        <v>50</v>
      </c>
      <c r="G90" s="13" t="n">
        <f aca="false">$C$90</f>
        <v>50</v>
      </c>
      <c r="H90" s="6" t="s">
        <v>296</v>
      </c>
      <c r="I90" s="6" t="s">
        <v>297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</row>
    <row r="91" customFormat="false" ht="15" hidden="false" customHeight="false" outlineLevel="0" collapsed="false">
      <c r="A91" s="6" t="s">
        <v>298</v>
      </c>
      <c r="B91" s="6" t="s">
        <v>299</v>
      </c>
      <c r="C91" s="7" t="n">
        <v>1</v>
      </c>
      <c r="D91" s="6" t="n">
        <f aca="false">$C$91</f>
        <v>1</v>
      </c>
      <c r="E91" s="6" t="n">
        <f aca="false">$C$91</f>
        <v>1</v>
      </c>
      <c r="F91" s="6" t="n">
        <f aca="false">$C$91</f>
        <v>1</v>
      </c>
      <c r="G91" s="6" t="n">
        <f aca="false">$C$91</f>
        <v>1</v>
      </c>
      <c r="H91" s="6" t="s">
        <v>118</v>
      </c>
      <c r="I91" s="6" t="s">
        <v>300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</row>
    <row r="92" customFormat="false" ht="15" hidden="false" customHeight="false" outlineLevel="0" collapsed="false">
      <c r="A92" s="6" t="s">
        <v>301</v>
      </c>
      <c r="B92" s="6" t="s">
        <v>302</v>
      </c>
      <c r="C92" s="8" t="n">
        <v>250</v>
      </c>
      <c r="D92" s="9" t="n">
        <f aca="false">$C$92</f>
        <v>250</v>
      </c>
      <c r="E92" s="9" t="n">
        <f aca="false">$C$92</f>
        <v>250</v>
      </c>
      <c r="F92" s="9" t="n">
        <f aca="false">$C$92</f>
        <v>250</v>
      </c>
      <c r="G92" s="9" t="n">
        <f aca="false">$C$92</f>
        <v>250</v>
      </c>
      <c r="H92" s="6" t="s">
        <v>125</v>
      </c>
      <c r="I92" s="6" t="s">
        <v>303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</row>
    <row r="93" customFormat="false" ht="15" hidden="false" customHeight="false" outlineLevel="0" collapsed="false">
      <c r="A93" s="6" t="s">
        <v>304</v>
      </c>
      <c r="B93" s="6" t="s">
        <v>305</v>
      </c>
      <c r="C93" s="8" t="n">
        <v>250</v>
      </c>
      <c r="D93" s="9" t="n">
        <f aca="false">$C$93</f>
        <v>250</v>
      </c>
      <c r="E93" s="9" t="n">
        <f aca="false">$C$93</f>
        <v>250</v>
      </c>
      <c r="F93" s="9" t="n">
        <f aca="false">$C$93</f>
        <v>250</v>
      </c>
      <c r="G93" s="9" t="n">
        <f aca="false">$C$93</f>
        <v>250</v>
      </c>
      <c r="H93" s="6" t="s">
        <v>125</v>
      </c>
      <c r="I93" s="6" t="s">
        <v>306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</row>
    <row r="94" customFormat="false" ht="15" hidden="false" customHeight="false" outlineLevel="0" collapsed="false">
      <c r="A94" s="6" t="s">
        <v>307</v>
      </c>
      <c r="B94" s="6" t="s">
        <v>308</v>
      </c>
      <c r="C94" s="8" t="n">
        <v>150</v>
      </c>
      <c r="D94" s="9" t="n">
        <f aca="false">$C$94</f>
        <v>150</v>
      </c>
      <c r="E94" s="9" t="n">
        <f aca="false">$C$94</f>
        <v>150</v>
      </c>
      <c r="F94" s="9" t="n">
        <f aca="false">$C$94</f>
        <v>150</v>
      </c>
      <c r="G94" s="9" t="n">
        <f aca="false">$C$94</f>
        <v>150</v>
      </c>
      <c r="H94" s="6" t="s">
        <v>125</v>
      </c>
      <c r="I94" s="6" t="s">
        <v>309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</row>
    <row r="95" customFormat="false" ht="15" hidden="false" customHeight="false" outlineLevel="0" collapsed="false">
      <c r="A95" s="6" t="s">
        <v>310</v>
      </c>
      <c r="B95" s="6" t="s">
        <v>311</v>
      </c>
      <c r="C95" s="8" t="n">
        <v>250</v>
      </c>
      <c r="D95" s="9" t="n">
        <f aca="false">$C$95</f>
        <v>250</v>
      </c>
      <c r="E95" s="9" t="n">
        <f aca="false">$C$95</f>
        <v>250</v>
      </c>
      <c r="F95" s="9" t="n">
        <f aca="false">$C$95</f>
        <v>250</v>
      </c>
      <c r="G95" s="9" t="n">
        <f aca="false">$C$95</f>
        <v>250</v>
      </c>
      <c r="H95" s="6" t="s">
        <v>125</v>
      </c>
      <c r="I95" s="6" t="s">
        <v>312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</row>
    <row r="96" customFormat="false" ht="15" hidden="false" customHeight="false" outlineLevel="0" collapsed="false">
      <c r="A96" s="6" t="s">
        <v>313</v>
      </c>
      <c r="B96" s="6" t="s">
        <v>314</v>
      </c>
      <c r="C96" s="8" t="n">
        <v>15</v>
      </c>
      <c r="D96" s="9" t="n">
        <f aca="false">$C$96</f>
        <v>15</v>
      </c>
      <c r="E96" s="9" t="n">
        <f aca="false">$C$96</f>
        <v>15</v>
      </c>
      <c r="F96" s="9" t="n">
        <f aca="false">$C$96</f>
        <v>15</v>
      </c>
      <c r="G96" s="9" t="n">
        <f aca="false">$C$96</f>
        <v>15</v>
      </c>
      <c r="H96" s="6" t="s">
        <v>125</v>
      </c>
      <c r="I96" s="6" t="s">
        <v>315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</row>
    <row r="97" customFormat="false" ht="15" hidden="false" customHeight="false" outlineLevel="0" collapsed="false">
      <c r="A97" s="6" t="s">
        <v>316</v>
      </c>
      <c r="B97" s="6" t="s">
        <v>317</v>
      </c>
      <c r="C97" s="8" t="n">
        <v>100</v>
      </c>
      <c r="D97" s="9" t="n">
        <f aca="false">$C$97</f>
        <v>100</v>
      </c>
      <c r="E97" s="9" t="n">
        <f aca="false">$C$97</f>
        <v>100</v>
      </c>
      <c r="F97" s="9" t="n">
        <f aca="false">$C$97</f>
        <v>100</v>
      </c>
      <c r="G97" s="9" t="n">
        <f aca="false">$C$97</f>
        <v>100</v>
      </c>
      <c r="H97" s="6" t="s">
        <v>125</v>
      </c>
      <c r="I97" s="6" t="s">
        <v>3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</row>
    <row r="98" customFormat="false" ht="15" hidden="false" customHeight="false" outlineLevel="0" collapsed="false">
      <c r="A98" s="6" t="s">
        <v>318</v>
      </c>
      <c r="B98" s="6" t="s">
        <v>319</v>
      </c>
      <c r="C98" s="8" t="n">
        <v>300</v>
      </c>
      <c r="D98" s="9" t="n">
        <f aca="false">$C$98</f>
        <v>300</v>
      </c>
      <c r="E98" s="9" t="n">
        <f aca="false">$C$98</f>
        <v>300</v>
      </c>
      <c r="F98" s="9" t="n">
        <f aca="false">$C$98</f>
        <v>300</v>
      </c>
      <c r="G98" s="9" t="n">
        <f aca="false">$C$98</f>
        <v>300</v>
      </c>
      <c r="H98" s="6" t="s">
        <v>125</v>
      </c>
      <c r="I98" s="6" t="s">
        <v>320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</row>
    <row r="99" customFormat="false" ht="15" hidden="false" customHeight="false" outlineLevel="0" collapsed="false">
      <c r="A99" s="6" t="s">
        <v>321</v>
      </c>
      <c r="B99" s="6" t="s">
        <v>322</v>
      </c>
      <c r="C99" s="8" t="n">
        <v>150</v>
      </c>
      <c r="D99" s="9" t="n">
        <f aca="false">$C$99</f>
        <v>150</v>
      </c>
      <c r="E99" s="9" t="n">
        <f aca="false">$C$99</f>
        <v>150</v>
      </c>
      <c r="F99" s="9" t="n">
        <f aca="false">$C$99</f>
        <v>150</v>
      </c>
      <c r="G99" s="9" t="n">
        <f aca="false">$C$99</f>
        <v>150</v>
      </c>
      <c r="H99" s="6" t="s">
        <v>125</v>
      </c>
      <c r="I99" s="6" t="s">
        <v>323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</row>
    <row r="100" customFormat="false" ht="15" hidden="false" customHeight="false" outlineLevel="0" collapsed="false">
      <c r="A100" s="6" t="s">
        <v>324</v>
      </c>
      <c r="B100" s="6" t="s">
        <v>325</v>
      </c>
      <c r="C100" s="8" t="n">
        <v>4000</v>
      </c>
      <c r="D100" s="9" t="n">
        <f aca="false">$C$100</f>
        <v>4000</v>
      </c>
      <c r="E100" s="9" t="n">
        <f aca="false">$C$100</f>
        <v>4000</v>
      </c>
      <c r="F100" s="16" t="n">
        <v>2000</v>
      </c>
      <c r="G100" s="9" t="n">
        <f aca="false">$C$100</f>
        <v>4000</v>
      </c>
      <c r="H100" s="6" t="s">
        <v>125</v>
      </c>
      <c r="I100" s="6" t="s">
        <v>326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</row>
    <row r="101" customFormat="false" ht="15" hidden="false" customHeight="false" outlineLevel="0" collapsed="false">
      <c r="A101" s="6" t="s">
        <v>327</v>
      </c>
      <c r="B101" s="6" t="s">
        <v>328</v>
      </c>
      <c r="C101" s="8" t="n">
        <v>5000</v>
      </c>
      <c r="D101" s="9" t="n">
        <f aca="false">$C$101</f>
        <v>5000</v>
      </c>
      <c r="E101" s="9" t="n">
        <f aca="false">$C$101</f>
        <v>5000</v>
      </c>
      <c r="F101" s="16" t="n">
        <v>2500</v>
      </c>
      <c r="G101" s="9" t="n">
        <f aca="false">$C$101</f>
        <v>5000</v>
      </c>
      <c r="H101" s="6" t="s">
        <v>125</v>
      </c>
      <c r="I101" s="6" t="s">
        <v>329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</row>
    <row r="102" customFormat="false" ht="15" hidden="false" customHeight="false" outlineLevel="0" collapsed="false">
      <c r="A102" s="6" t="s">
        <v>330</v>
      </c>
      <c r="B102" s="6" t="s">
        <v>331</v>
      </c>
      <c r="C102" s="8" t="n">
        <v>6000</v>
      </c>
      <c r="D102" s="9" t="n">
        <f aca="false">$C$102</f>
        <v>6000</v>
      </c>
      <c r="E102" s="9" t="n">
        <f aca="false">$C$102</f>
        <v>6000</v>
      </c>
      <c r="F102" s="16" t="n">
        <v>3000</v>
      </c>
      <c r="G102" s="9" t="n">
        <f aca="false">$C$102</f>
        <v>6000</v>
      </c>
      <c r="H102" s="6" t="s">
        <v>125</v>
      </c>
      <c r="I102" s="6" t="s">
        <v>332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</row>
    <row r="103" customFormat="false" ht="15" hidden="false" customHeight="false" outlineLevel="0" collapsed="false">
      <c r="A103" s="6" t="s">
        <v>333</v>
      </c>
      <c r="B103" s="6" t="s">
        <v>334</v>
      </c>
      <c r="C103" s="7" t="n">
        <v>1000</v>
      </c>
      <c r="D103" s="6" t="n">
        <f aca="false">$C$103</f>
        <v>1000</v>
      </c>
      <c r="E103" s="6" t="n">
        <f aca="false">$C$103</f>
        <v>1000</v>
      </c>
      <c r="F103" s="6" t="n">
        <f aca="false">$C$103</f>
        <v>1000</v>
      </c>
      <c r="G103" s="6" t="n">
        <f aca="false">$C$103</f>
        <v>1000</v>
      </c>
      <c r="H103" s="6" t="s">
        <v>335</v>
      </c>
      <c r="I103" s="6" t="s">
        <v>336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</row>
    <row r="104" customFormat="false" ht="15" hidden="false" customHeight="false" outlineLevel="0" collapsed="false">
      <c r="A104" s="6" t="s">
        <v>337</v>
      </c>
      <c r="B104" s="6" t="s">
        <v>338</v>
      </c>
      <c r="C104" s="8" t="n">
        <v>4200</v>
      </c>
      <c r="D104" s="9" t="n">
        <f aca="false">$C$104</f>
        <v>4200</v>
      </c>
      <c r="E104" s="9" t="n">
        <f aca="false">$C$104</f>
        <v>4200</v>
      </c>
      <c r="F104" s="9" t="n">
        <f aca="false">$C$104</f>
        <v>4200</v>
      </c>
      <c r="G104" s="9" t="n">
        <f aca="false">$C$104</f>
        <v>4200</v>
      </c>
      <c r="H104" s="6" t="s">
        <v>125</v>
      </c>
      <c r="I104" s="6" t="s">
        <v>339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</row>
    <row r="105" customFormat="false" ht="15" hidden="false" customHeight="false" outlineLevel="0" collapsed="false">
      <c r="A105" s="6" t="s">
        <v>340</v>
      </c>
      <c r="B105" s="6" t="s">
        <v>341</v>
      </c>
      <c r="C105" s="8" t="n">
        <v>0</v>
      </c>
      <c r="D105" s="9" t="n">
        <f aca="false">$C$105</f>
        <v>0</v>
      </c>
      <c r="E105" s="9" t="n">
        <f aca="false">$C$105</f>
        <v>0</v>
      </c>
      <c r="F105" s="9" t="n">
        <f aca="false">$C$105</f>
        <v>0</v>
      </c>
      <c r="G105" s="9" t="n">
        <f aca="false">$C$105</f>
        <v>0</v>
      </c>
      <c r="H105" s="6" t="s">
        <v>125</v>
      </c>
      <c r="I105" s="6" t="s">
        <v>342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</row>
    <row r="106" customFormat="false" ht="15" hidden="false" customHeight="false" outlineLevel="0" collapsed="false">
      <c r="A106" s="6" t="s">
        <v>343</v>
      </c>
      <c r="B106" s="6" t="s">
        <v>344</v>
      </c>
      <c r="C106" s="7" t="n">
        <v>999</v>
      </c>
      <c r="D106" s="6" t="n">
        <f aca="false">$C$106</f>
        <v>999</v>
      </c>
      <c r="E106" s="6" t="n">
        <f aca="false">$C$106</f>
        <v>999</v>
      </c>
      <c r="F106" s="6" t="n">
        <f aca="false">$C$106</f>
        <v>999</v>
      </c>
      <c r="G106" s="6" t="n">
        <f aca="false">$C$106</f>
        <v>999</v>
      </c>
      <c r="H106" s="6" t="s">
        <v>59</v>
      </c>
      <c r="I106" s="6" t="s">
        <v>345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</row>
    <row r="107" customFormat="false" ht="15" hidden="false" customHeight="false" outlineLevel="0" collapsed="false">
      <c r="A107" s="6" t="s">
        <v>346</v>
      </c>
      <c r="B107" s="6" t="s">
        <v>347</v>
      </c>
      <c r="C107" s="8" t="n">
        <v>5000</v>
      </c>
      <c r="D107" s="9" t="n">
        <f aca="false">$C$107</f>
        <v>5000</v>
      </c>
      <c r="E107" s="9" t="n">
        <f aca="false">$C$107</f>
        <v>5000</v>
      </c>
      <c r="F107" s="9" t="n">
        <f aca="false">$C$107</f>
        <v>5000</v>
      </c>
      <c r="G107" s="9" t="n">
        <f aca="false">$C$107</f>
        <v>5000</v>
      </c>
      <c r="H107" s="6" t="s">
        <v>125</v>
      </c>
      <c r="I107" s="6" t="s">
        <v>348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</row>
    <row r="108" customFormat="false" ht="15" hidden="false" customHeight="false" outlineLevel="0" collapsed="false">
      <c r="A108" s="6" t="s">
        <v>349</v>
      </c>
      <c r="B108" s="5" t="s">
        <v>350</v>
      </c>
      <c r="C108" s="17" t="n">
        <f aca="false">C92+C93+C94+C95+C96+C97+C98+C99</f>
        <v>1465</v>
      </c>
      <c r="D108" s="17" t="n">
        <f aca="false">D92+D93+D94+D95+D96+D97+D98+D99</f>
        <v>1465</v>
      </c>
      <c r="E108" s="17" t="n">
        <f aca="false">E92+E93+E94+E95+E96+E97+E98+E99</f>
        <v>1465</v>
      </c>
      <c r="F108" s="17" t="n">
        <f aca="false">F92+F93+F94+F95+F96+F97+F98+F99</f>
        <v>1465</v>
      </c>
      <c r="G108" s="17" t="n">
        <f aca="false">G92+G93+G94+G95+G96+G97+G98+G99</f>
        <v>1465</v>
      </c>
      <c r="H108" s="2" t="s">
        <v>125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</row>
    <row r="110" customFormat="false" ht="15" hidden="false" customHeight="false" outlineLevel="0" collapsed="false">
      <c r="A110" s="5" t="s">
        <v>351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</row>
    <row r="111" customFormat="false" ht="15" hidden="false" customHeight="false" outlineLevel="0" collapsed="false">
      <c r="A111" s="6" t="s">
        <v>352</v>
      </c>
      <c r="B111" s="6" t="s">
        <v>353</v>
      </c>
      <c r="C111" s="11" t="n">
        <v>0.25</v>
      </c>
      <c r="D111" s="13" t="n">
        <f aca="false">$C$111</f>
        <v>0.25</v>
      </c>
      <c r="E111" s="13" t="n">
        <f aca="false">$C$111</f>
        <v>0.25</v>
      </c>
      <c r="F111" s="13" t="n">
        <f aca="false">$C$111</f>
        <v>0.25</v>
      </c>
      <c r="G111" s="13" t="n">
        <f aca="false">$C$111</f>
        <v>0.25</v>
      </c>
      <c r="H111" s="6" t="s">
        <v>354</v>
      </c>
      <c r="I111" s="6" t="s">
        <v>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</row>
    <row r="112" customFormat="false" ht="15" hidden="false" customHeight="false" outlineLevel="0" collapsed="false">
      <c r="A112" s="6" t="s">
        <v>355</v>
      </c>
      <c r="B112" s="6" t="s">
        <v>356</v>
      </c>
      <c r="C112" s="11" t="n">
        <v>0.22</v>
      </c>
      <c r="D112" s="13" t="n">
        <f aca="false">$C$112</f>
        <v>0.22</v>
      </c>
      <c r="E112" s="13" t="n">
        <f aca="false">$C$112</f>
        <v>0.22</v>
      </c>
      <c r="F112" s="13" t="n">
        <f aca="false">$C$112</f>
        <v>0.22</v>
      </c>
      <c r="G112" s="13" t="n">
        <f aca="false">$C$112</f>
        <v>0.22</v>
      </c>
      <c r="H112" s="6" t="s">
        <v>354</v>
      </c>
      <c r="I112" s="6" t="s">
        <v>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</row>
    <row r="113" customFormat="false" ht="15" hidden="false" customHeight="false" outlineLevel="0" collapsed="false">
      <c r="A113" s="6" t="s">
        <v>357</v>
      </c>
      <c r="B113" s="6" t="s">
        <v>358</v>
      </c>
      <c r="C113" s="11" t="n">
        <v>0.15</v>
      </c>
      <c r="D113" s="13" t="n">
        <f aca="false">$C$113</f>
        <v>0.15</v>
      </c>
      <c r="E113" s="13" t="n">
        <f aca="false">$C$113</f>
        <v>0.15</v>
      </c>
      <c r="F113" s="13" t="n">
        <f aca="false">$C$113</f>
        <v>0.15</v>
      </c>
      <c r="G113" s="13" t="n">
        <f aca="false">$C$113</f>
        <v>0.15</v>
      </c>
      <c r="H113" s="6" t="s">
        <v>354</v>
      </c>
      <c r="I113" s="6" t="s">
        <v>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</row>
    <row r="114" customFormat="false" ht="15" hidden="false" customHeight="false" outlineLevel="0" collapsed="false">
      <c r="A114" s="6" t="s">
        <v>359</v>
      </c>
      <c r="B114" s="6" t="s">
        <v>360</v>
      </c>
      <c r="C114" s="11" t="n">
        <v>0.1</v>
      </c>
      <c r="D114" s="13" t="n">
        <f aca="false">$C$114</f>
        <v>0.1</v>
      </c>
      <c r="E114" s="13" t="n">
        <f aca="false">$C$114</f>
        <v>0.1</v>
      </c>
      <c r="F114" s="13" t="n">
        <f aca="false">$C$114</f>
        <v>0.1</v>
      </c>
      <c r="G114" s="13" t="n">
        <f aca="false">$C$114</f>
        <v>0.1</v>
      </c>
      <c r="H114" s="6" t="s">
        <v>354</v>
      </c>
      <c r="I114" s="6" t="s">
        <v>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</row>
    <row r="115" customFormat="false" ht="15" hidden="false" customHeight="false" outlineLevel="0" collapsed="false">
      <c r="A115" s="6" t="s">
        <v>361</v>
      </c>
      <c r="B115" s="6" t="s">
        <v>362</v>
      </c>
      <c r="C115" s="11" t="n">
        <v>0.06</v>
      </c>
      <c r="D115" s="13" t="n">
        <f aca="false">$C$115</f>
        <v>0.06</v>
      </c>
      <c r="E115" s="13" t="n">
        <f aca="false">$C$115</f>
        <v>0.06</v>
      </c>
      <c r="F115" s="13" t="n">
        <f aca="false">$C$115</f>
        <v>0.06</v>
      </c>
      <c r="G115" s="13" t="n">
        <f aca="false">$C$115</f>
        <v>0.06</v>
      </c>
      <c r="H115" s="6" t="s">
        <v>354</v>
      </c>
      <c r="I115" s="6" t="s">
        <v>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</row>
    <row r="116" customFormat="false" ht="15" hidden="false" customHeight="false" outlineLevel="0" collapsed="false">
      <c r="A116" s="6" t="s">
        <v>363</v>
      </c>
      <c r="B116" s="6" t="s">
        <v>364</v>
      </c>
      <c r="C116" s="11" t="n">
        <v>0.05</v>
      </c>
      <c r="D116" s="13" t="n">
        <f aca="false">$C$116</f>
        <v>0.05</v>
      </c>
      <c r="E116" s="13" t="n">
        <f aca="false">$C$116</f>
        <v>0.05</v>
      </c>
      <c r="F116" s="13" t="n">
        <f aca="false">$C$116</f>
        <v>0.05</v>
      </c>
      <c r="G116" s="13" t="n">
        <f aca="false">$C$116</f>
        <v>0.05</v>
      </c>
      <c r="H116" s="6" t="s">
        <v>354</v>
      </c>
      <c r="I116" s="6" t="s">
        <v>3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</row>
    <row r="117" customFormat="false" ht="15" hidden="false" customHeight="false" outlineLevel="0" collapsed="false">
      <c r="A117" s="6" t="s">
        <v>365</v>
      </c>
      <c r="B117" s="6" t="s">
        <v>366</v>
      </c>
      <c r="C117" s="11" t="n">
        <v>0.01</v>
      </c>
      <c r="D117" s="13" t="n">
        <f aca="false">$C$117</f>
        <v>0.01</v>
      </c>
      <c r="E117" s="13" t="n">
        <f aca="false">$C$117</f>
        <v>0.01</v>
      </c>
      <c r="F117" s="13" t="n">
        <f aca="false">$C$117</f>
        <v>0.01</v>
      </c>
      <c r="G117" s="13" t="n">
        <f aca="false">$C$117</f>
        <v>0.01</v>
      </c>
      <c r="H117" s="6" t="s">
        <v>354</v>
      </c>
      <c r="I117" s="6" t="s">
        <v>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</row>
    <row r="118" customFormat="false" ht="15" hidden="false" customHeight="false" outlineLevel="0" collapsed="false">
      <c r="A118" s="6" t="s">
        <v>367</v>
      </c>
      <c r="B118" s="6" t="s">
        <v>368</v>
      </c>
      <c r="C118" s="11" t="n">
        <v>0.01</v>
      </c>
      <c r="D118" s="13" t="n">
        <f aca="false">$C$118</f>
        <v>0.01</v>
      </c>
      <c r="E118" s="13" t="n">
        <f aca="false">$C$118</f>
        <v>0.01</v>
      </c>
      <c r="F118" s="13" t="n">
        <f aca="false">$C$118</f>
        <v>0.01</v>
      </c>
      <c r="G118" s="13" t="n">
        <f aca="false">$C$118</f>
        <v>0.01</v>
      </c>
      <c r="H118" s="6" t="s">
        <v>354</v>
      </c>
      <c r="I118" s="6" t="s">
        <v>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</row>
    <row r="119" customFormat="false" ht="15" hidden="false" customHeight="false" outlineLevel="0" collapsed="false">
      <c r="A119" s="6" t="s">
        <v>369</v>
      </c>
      <c r="B119" s="6" t="s">
        <v>370</v>
      </c>
      <c r="C119" s="11" t="n">
        <v>0.01</v>
      </c>
      <c r="D119" s="13" t="n">
        <f aca="false">$C$119</f>
        <v>0.01</v>
      </c>
      <c r="E119" s="13" t="n">
        <f aca="false">$C$119</f>
        <v>0.01</v>
      </c>
      <c r="F119" s="13" t="n">
        <f aca="false">$C$119</f>
        <v>0.01</v>
      </c>
      <c r="G119" s="13" t="n">
        <f aca="false">$C$119</f>
        <v>0.01</v>
      </c>
      <c r="H119" s="6" t="s">
        <v>354</v>
      </c>
      <c r="I119" s="6" t="s">
        <v>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</row>
    <row r="120" customFormat="false" ht="15" hidden="false" customHeight="false" outlineLevel="0" collapsed="false">
      <c r="A120" s="6" t="s">
        <v>371</v>
      </c>
      <c r="B120" s="6" t="s">
        <v>372</v>
      </c>
      <c r="C120" s="11" t="n">
        <v>0.01</v>
      </c>
      <c r="D120" s="13" t="n">
        <f aca="false">$C$120</f>
        <v>0.01</v>
      </c>
      <c r="E120" s="13" t="n">
        <f aca="false">$C$120</f>
        <v>0.01</v>
      </c>
      <c r="F120" s="13" t="n">
        <f aca="false">$C$120</f>
        <v>0.01</v>
      </c>
      <c r="G120" s="13" t="n">
        <f aca="false">$C$120</f>
        <v>0.01</v>
      </c>
      <c r="H120" s="6" t="s">
        <v>354</v>
      </c>
      <c r="I120" s="6" t="s">
        <v>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</row>
    <row r="121" customFormat="false" ht="15" hidden="false" customHeight="false" outlineLevel="0" collapsed="false">
      <c r="A121" s="6" t="s">
        <v>373</v>
      </c>
      <c r="B121" s="6" t="s">
        <v>374</v>
      </c>
      <c r="C121" s="11" t="n">
        <v>0.01</v>
      </c>
      <c r="D121" s="13" t="n">
        <f aca="false">$C$121</f>
        <v>0.01</v>
      </c>
      <c r="E121" s="13" t="n">
        <f aca="false">$C$121</f>
        <v>0.01</v>
      </c>
      <c r="F121" s="13" t="n">
        <f aca="false">$C$121</f>
        <v>0.01</v>
      </c>
      <c r="G121" s="13" t="n">
        <f aca="false">$C$121</f>
        <v>0.01</v>
      </c>
      <c r="H121" s="6" t="s">
        <v>354</v>
      </c>
      <c r="I121" s="6" t="s">
        <v>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</row>
    <row r="122" customFormat="false" ht="15" hidden="false" customHeight="false" outlineLevel="0" collapsed="false">
      <c r="A122" s="6" t="s">
        <v>375</v>
      </c>
      <c r="B122" s="6" t="s">
        <v>376</v>
      </c>
      <c r="C122" s="11" t="n">
        <v>0.01</v>
      </c>
      <c r="D122" s="13" t="n">
        <f aca="false">$C$122</f>
        <v>0.01</v>
      </c>
      <c r="E122" s="13" t="n">
        <f aca="false">$C$122</f>
        <v>0.01</v>
      </c>
      <c r="F122" s="13" t="n">
        <f aca="false">$C$122</f>
        <v>0.01</v>
      </c>
      <c r="G122" s="13" t="n">
        <f aca="false">$C$122</f>
        <v>0.01</v>
      </c>
      <c r="H122" s="6" t="s">
        <v>354</v>
      </c>
      <c r="I122" s="6" t="s">
        <v>3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</row>
    <row r="123" customFormat="false" ht="15" hidden="false" customHeight="false" outlineLevel="0" collapsed="false">
      <c r="A123" s="6" t="s">
        <v>377</v>
      </c>
      <c r="B123" s="6" t="s">
        <v>378</v>
      </c>
      <c r="C123" s="11" t="n">
        <v>0.01</v>
      </c>
      <c r="D123" s="13" t="n">
        <f aca="false">$C$123</f>
        <v>0.01</v>
      </c>
      <c r="E123" s="13" t="n">
        <f aca="false">$C$123</f>
        <v>0.01</v>
      </c>
      <c r="F123" s="13" t="n">
        <f aca="false">$C$123</f>
        <v>0.01</v>
      </c>
      <c r="G123" s="13" t="n">
        <f aca="false">$C$123</f>
        <v>0.01</v>
      </c>
      <c r="H123" s="6" t="s">
        <v>354</v>
      </c>
      <c r="I123" s="6" t="s">
        <v>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</row>
    <row r="124" customFormat="false" ht="15" hidden="false" customHeight="false" outlineLevel="0" collapsed="false">
      <c r="A124" s="6" t="s">
        <v>379</v>
      </c>
      <c r="B124" s="6" t="s">
        <v>380</v>
      </c>
      <c r="C124" s="11" t="n">
        <v>0.01</v>
      </c>
      <c r="D124" s="13" t="n">
        <f aca="false">$C$124</f>
        <v>0.01</v>
      </c>
      <c r="E124" s="13" t="n">
        <f aca="false">$C$124</f>
        <v>0.01</v>
      </c>
      <c r="F124" s="13" t="n">
        <f aca="false">$C$124</f>
        <v>0.01</v>
      </c>
      <c r="G124" s="13" t="n">
        <f aca="false">$C$124</f>
        <v>0.01</v>
      </c>
      <c r="H124" s="6" t="s">
        <v>354</v>
      </c>
      <c r="I124" s="6" t="s">
        <v>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</row>
    <row r="125" customFormat="false" ht="15" hidden="false" customHeight="false" outlineLevel="0" collapsed="false">
      <c r="A125" s="6" t="s">
        <v>381</v>
      </c>
      <c r="B125" s="6" t="s">
        <v>382</v>
      </c>
      <c r="C125" s="11" t="n">
        <v>0.01</v>
      </c>
      <c r="D125" s="13" t="n">
        <f aca="false">$C$125</f>
        <v>0.01</v>
      </c>
      <c r="E125" s="13" t="n">
        <f aca="false">$C$125</f>
        <v>0.01</v>
      </c>
      <c r="F125" s="13" t="n">
        <f aca="false">$C$125</f>
        <v>0.01</v>
      </c>
      <c r="G125" s="13" t="n">
        <f aca="false">$C$125</f>
        <v>0.01</v>
      </c>
      <c r="H125" s="6" t="s">
        <v>354</v>
      </c>
      <c r="I125" s="6" t="s">
        <v>3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</row>
    <row r="126" customFormat="false" ht="15" hidden="false" customHeight="false" outlineLevel="0" collapsed="false">
      <c r="A126" s="6" t="s">
        <v>383</v>
      </c>
      <c r="B126" s="6" t="s">
        <v>384</v>
      </c>
      <c r="C126" s="11" t="n">
        <v>0.01</v>
      </c>
      <c r="D126" s="13" t="n">
        <f aca="false">$C$126</f>
        <v>0.01</v>
      </c>
      <c r="E126" s="13" t="n">
        <f aca="false">$C$126</f>
        <v>0.01</v>
      </c>
      <c r="F126" s="13" t="n">
        <f aca="false">$C$126</f>
        <v>0.01</v>
      </c>
      <c r="G126" s="13" t="n">
        <f aca="false">$C$126</f>
        <v>0.01</v>
      </c>
      <c r="H126" s="6" t="s">
        <v>354</v>
      </c>
      <c r="I126" s="6" t="s">
        <v>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</row>
    <row r="127" customFormat="false" ht="15" hidden="false" customHeight="false" outlineLevel="0" collapsed="false">
      <c r="A127" s="6" t="s">
        <v>385</v>
      </c>
      <c r="B127" s="6" t="s">
        <v>386</v>
      </c>
      <c r="C127" s="11" t="n">
        <v>0.01</v>
      </c>
      <c r="D127" s="13" t="n">
        <f aca="false">$C$127</f>
        <v>0.01</v>
      </c>
      <c r="E127" s="13" t="n">
        <f aca="false">$C$127</f>
        <v>0.01</v>
      </c>
      <c r="F127" s="13" t="n">
        <f aca="false">$C$127</f>
        <v>0.01</v>
      </c>
      <c r="G127" s="13" t="n">
        <f aca="false">$C$127</f>
        <v>0.01</v>
      </c>
      <c r="H127" s="6" t="s">
        <v>354</v>
      </c>
      <c r="I127" s="6" t="s">
        <v>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</row>
    <row r="128" customFormat="false" ht="15" hidden="false" customHeight="false" outlineLevel="0" collapsed="false">
      <c r="A128" s="6" t="s">
        <v>387</v>
      </c>
      <c r="B128" s="6" t="s">
        <v>388</v>
      </c>
      <c r="C128" s="11" t="n">
        <v>0.01</v>
      </c>
      <c r="D128" s="13" t="n">
        <f aca="false">$C$128</f>
        <v>0.01</v>
      </c>
      <c r="E128" s="13" t="n">
        <f aca="false">$C$128</f>
        <v>0.01</v>
      </c>
      <c r="F128" s="13" t="n">
        <f aca="false">$C$128</f>
        <v>0.01</v>
      </c>
      <c r="G128" s="13" t="n">
        <f aca="false">$C$128</f>
        <v>0.01</v>
      </c>
      <c r="H128" s="6" t="s">
        <v>354</v>
      </c>
      <c r="I128" s="6" t="s">
        <v>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</row>
    <row r="129" customFormat="false" ht="15" hidden="false" customHeight="false" outlineLevel="0" collapsed="false">
      <c r="A129" s="6" t="s">
        <v>389</v>
      </c>
      <c r="B129" s="6" t="s">
        <v>390</v>
      </c>
      <c r="C129" s="11" t="n">
        <v>0.01</v>
      </c>
      <c r="D129" s="13" t="n">
        <f aca="false">$C$129</f>
        <v>0.01</v>
      </c>
      <c r="E129" s="13" t="n">
        <f aca="false">$C$129</f>
        <v>0.01</v>
      </c>
      <c r="F129" s="13" t="n">
        <f aca="false">$C$129</f>
        <v>0.01</v>
      </c>
      <c r="G129" s="13" t="n">
        <f aca="false">$C$129</f>
        <v>0.01</v>
      </c>
      <c r="H129" s="6" t="s">
        <v>354</v>
      </c>
      <c r="I129" s="6" t="s">
        <v>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</row>
    <row r="130" customFormat="false" ht="15" hidden="false" customHeight="false" outlineLevel="0" collapsed="false">
      <c r="A130" s="6" t="s">
        <v>391</v>
      </c>
      <c r="B130" s="6" t="s">
        <v>392</v>
      </c>
      <c r="C130" s="11" t="n">
        <v>0.01</v>
      </c>
      <c r="D130" s="13" t="n">
        <f aca="false">$C$130</f>
        <v>0.01</v>
      </c>
      <c r="E130" s="13" t="n">
        <f aca="false">$C$130</f>
        <v>0.01</v>
      </c>
      <c r="F130" s="13" t="n">
        <f aca="false">$C$130</f>
        <v>0.01</v>
      </c>
      <c r="G130" s="13" t="n">
        <f aca="false">$C$130</f>
        <v>0.01</v>
      </c>
      <c r="H130" s="6" t="s">
        <v>354</v>
      </c>
      <c r="I130" s="6" t="s">
        <v>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</row>
    <row r="131" customFormat="false" ht="15" hidden="false" customHeight="false" outlineLevel="0" collapsed="false">
      <c r="A131" s="6" t="s">
        <v>393</v>
      </c>
      <c r="B131" s="6" t="s">
        <v>394</v>
      </c>
      <c r="C131" s="11" t="n">
        <v>0.01</v>
      </c>
      <c r="D131" s="13" t="n">
        <f aca="false">$C$131</f>
        <v>0.01</v>
      </c>
      <c r="E131" s="13" t="n">
        <f aca="false">$C$131</f>
        <v>0.01</v>
      </c>
      <c r="F131" s="13" t="n">
        <f aca="false">$C$131</f>
        <v>0.01</v>
      </c>
      <c r="G131" s="13" t="n">
        <f aca="false">$C$131</f>
        <v>0.01</v>
      </c>
      <c r="H131" s="6" t="s">
        <v>354</v>
      </c>
      <c r="I131" s="6" t="s">
        <v>3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</row>
    <row r="132" customFormat="false" ht="15" hidden="false" customHeight="false" outlineLevel="0" collapsed="false">
      <c r="A132" s="6" t="s">
        <v>395</v>
      </c>
      <c r="B132" s="6" t="s">
        <v>396</v>
      </c>
      <c r="C132" s="11" t="n">
        <v>0.01</v>
      </c>
      <c r="D132" s="13" t="n">
        <f aca="false">$C$132</f>
        <v>0.01</v>
      </c>
      <c r="E132" s="13" t="n">
        <f aca="false">$C$132</f>
        <v>0.01</v>
      </c>
      <c r="F132" s="13" t="n">
        <f aca="false">$C$132</f>
        <v>0.01</v>
      </c>
      <c r="G132" s="13" t="n">
        <f aca="false">$C$132</f>
        <v>0.01</v>
      </c>
      <c r="H132" s="6" t="s">
        <v>354</v>
      </c>
      <c r="I132" s="6" t="s">
        <v>3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</row>
    <row r="133" customFormat="false" ht="15" hidden="false" customHeight="false" outlineLevel="0" collapsed="false">
      <c r="A133" s="6" t="s">
        <v>397</v>
      </c>
      <c r="B133" s="6" t="s">
        <v>398</v>
      </c>
      <c r="C133" s="11" t="n">
        <v>0.01</v>
      </c>
      <c r="D133" s="13" t="n">
        <f aca="false">$C$133</f>
        <v>0.01</v>
      </c>
      <c r="E133" s="13" t="n">
        <f aca="false">$C$133</f>
        <v>0.01</v>
      </c>
      <c r="F133" s="13" t="n">
        <f aca="false">$C$133</f>
        <v>0.01</v>
      </c>
      <c r="G133" s="13" t="n">
        <f aca="false">$C$133</f>
        <v>0.01</v>
      </c>
      <c r="H133" s="6" t="s">
        <v>354</v>
      </c>
      <c r="I133" s="6" t="s">
        <v>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</row>
    <row r="134" customFormat="false" ht="15" hidden="false" customHeight="false" outlineLevel="0" collapsed="false">
      <c r="A134" s="2"/>
      <c r="B134" s="5" t="s">
        <v>399</v>
      </c>
      <c r="C134" s="18" t="n">
        <f aca="false">SUM(C111:C133)</f>
        <v>1</v>
      </c>
      <c r="D134" s="18" t="n">
        <f aca="false">SUM(D111:D133)</f>
        <v>1</v>
      </c>
      <c r="E134" s="18" t="n">
        <f aca="false">SUM(E111:E133)</f>
        <v>1</v>
      </c>
      <c r="F134" s="18" t="n">
        <f aca="false">SUM(F111:F133)</f>
        <v>1</v>
      </c>
      <c r="G134" s="18" t="n">
        <f aca="false">SUM(G111:G133)</f>
        <v>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</row>
    <row r="136" customFormat="false" ht="15" hidden="false" customHeight="false" outlineLevel="0" collapsed="false">
      <c r="A136" s="5" t="s">
        <v>400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</row>
    <row r="137" customFormat="false" ht="15" hidden="false" customHeight="false" outlineLevel="0" collapsed="false">
      <c r="A137" s="2"/>
      <c r="B137" s="5" t="s">
        <v>401</v>
      </c>
      <c r="C137" s="4" t="n">
        <v>1</v>
      </c>
      <c r="D137" s="4" t="n">
        <v>2</v>
      </c>
      <c r="E137" s="4" t="n">
        <v>3</v>
      </c>
      <c r="F137" s="4" t="n">
        <v>4</v>
      </c>
      <c r="G137" s="4" t="n">
        <v>5</v>
      </c>
      <c r="H137" s="4" t="n">
        <v>6</v>
      </c>
      <c r="I137" s="4" t="n">
        <v>7</v>
      </c>
      <c r="J137" s="4" t="n">
        <v>8</v>
      </c>
      <c r="K137" s="4" t="n">
        <v>9</v>
      </c>
      <c r="L137" s="4" t="n">
        <v>10</v>
      </c>
      <c r="M137" s="4" t="n">
        <v>11</v>
      </c>
      <c r="N137" s="4" t="n">
        <v>12</v>
      </c>
      <c r="O137" s="4" t="n">
        <v>13</v>
      </c>
      <c r="P137" s="4" t="n">
        <v>14</v>
      </c>
      <c r="Q137" s="4" t="n">
        <v>15</v>
      </c>
      <c r="R137" s="4" t="n">
        <v>16</v>
      </c>
      <c r="S137" s="4" t="n">
        <v>17</v>
      </c>
      <c r="T137" s="4" t="n">
        <v>18</v>
      </c>
      <c r="U137" s="4" t="n">
        <v>19</v>
      </c>
      <c r="V137" s="4" t="n">
        <v>20</v>
      </c>
      <c r="W137" s="4" t="n">
        <v>21</v>
      </c>
      <c r="X137" s="4" t="n">
        <v>22</v>
      </c>
      <c r="Y137" s="4" t="n">
        <v>23</v>
      </c>
      <c r="Z137" s="4" t="n">
        <v>24</v>
      </c>
      <c r="AA137" s="4" t="n">
        <v>25</v>
      </c>
      <c r="AB137" s="4" t="n">
        <v>26</v>
      </c>
      <c r="AC137" s="4" t="n">
        <v>27</v>
      </c>
      <c r="AD137" s="4" t="n">
        <v>28</v>
      </c>
      <c r="AE137" s="4" t="n">
        <v>29</v>
      </c>
      <c r="AF137" s="4" t="n">
        <v>30</v>
      </c>
      <c r="AG137" s="4" t="n">
        <v>31</v>
      </c>
      <c r="AH137" s="4" t="n">
        <v>32</v>
      </c>
      <c r="AI137" s="4" t="n">
        <v>33</v>
      </c>
      <c r="AJ137" s="4" t="n">
        <v>34</v>
      </c>
      <c r="AK137" s="4" t="n">
        <v>35</v>
      </c>
      <c r="AL137" s="4" t="n">
        <v>36</v>
      </c>
      <c r="AM137" s="19" t="n">
        <v>37</v>
      </c>
      <c r="AN137" s="19" t="n">
        <v>38</v>
      </c>
      <c r="AO137" s="19" t="n">
        <v>39</v>
      </c>
      <c r="AP137" s="19" t="n">
        <v>40</v>
      </c>
      <c r="AQ137" s="19" t="n">
        <v>41</v>
      </c>
      <c r="AR137" s="19" t="n">
        <v>42</v>
      </c>
      <c r="AS137" s="19" t="n">
        <v>43</v>
      </c>
      <c r="AT137" s="19" t="n">
        <v>44</v>
      </c>
      <c r="AU137" s="19" t="n">
        <v>45</v>
      </c>
      <c r="AV137" s="19" t="n">
        <v>46</v>
      </c>
      <c r="AW137" s="19" t="n">
        <v>47</v>
      </c>
      <c r="AX137" s="19" t="n">
        <v>48</v>
      </c>
      <c r="AY137" s="19" t="n">
        <v>49</v>
      </c>
      <c r="AZ137" s="19" t="n">
        <v>50</v>
      </c>
      <c r="BA137" s="19" t="n">
        <v>51</v>
      </c>
      <c r="BB137" s="19" t="n">
        <v>52</v>
      </c>
      <c r="BC137" s="19" t="n">
        <v>53</v>
      </c>
      <c r="BD137" s="19" t="n">
        <v>54</v>
      </c>
      <c r="BE137" s="19" t="n">
        <v>55</v>
      </c>
      <c r="BF137" s="19" t="n">
        <v>56</v>
      </c>
      <c r="BG137" s="19" t="n">
        <v>57</v>
      </c>
      <c r="BH137" s="19" t="n">
        <v>58</v>
      </c>
      <c r="BI137" s="19" t="n">
        <v>59</v>
      </c>
      <c r="BJ137" s="19" t="n">
        <v>60</v>
      </c>
      <c r="BK137" s="2"/>
    </row>
    <row r="138" customFormat="false" ht="15" hidden="false" customHeight="false" outlineLevel="0" collapsed="false">
      <c r="A138" s="2"/>
      <c r="B138" s="5" t="s">
        <v>402</v>
      </c>
      <c r="C138" s="2" t="s">
        <v>403</v>
      </c>
      <c r="D138" s="2" t="s">
        <v>404</v>
      </c>
      <c r="E138" s="2" t="s">
        <v>405</v>
      </c>
      <c r="F138" s="2" t="s">
        <v>406</v>
      </c>
      <c r="G138" s="2" t="s">
        <v>407</v>
      </c>
      <c r="H138" s="2" t="s">
        <v>408</v>
      </c>
      <c r="I138" s="2" t="s">
        <v>409</v>
      </c>
      <c r="J138" s="2" t="s">
        <v>410</v>
      </c>
      <c r="K138" s="2" t="s">
        <v>411</v>
      </c>
      <c r="L138" s="2" t="s">
        <v>412</v>
      </c>
      <c r="M138" s="2" t="s">
        <v>413</v>
      </c>
      <c r="N138" s="2" t="s">
        <v>414</v>
      </c>
      <c r="O138" s="2" t="s">
        <v>415</v>
      </c>
      <c r="P138" s="2" t="s">
        <v>416</v>
      </c>
      <c r="Q138" s="2" t="s">
        <v>417</v>
      </c>
      <c r="R138" s="2" t="s">
        <v>418</v>
      </c>
      <c r="S138" s="2" t="s">
        <v>419</v>
      </c>
      <c r="T138" s="2" t="s">
        <v>420</v>
      </c>
      <c r="U138" s="2" t="s">
        <v>421</v>
      </c>
      <c r="V138" s="2" t="s">
        <v>422</v>
      </c>
      <c r="W138" s="2" t="s">
        <v>423</v>
      </c>
      <c r="X138" s="2" t="s">
        <v>424</v>
      </c>
      <c r="Y138" s="2" t="s">
        <v>425</v>
      </c>
      <c r="Z138" s="2" t="s">
        <v>426</v>
      </c>
      <c r="AA138" s="2" t="s">
        <v>427</v>
      </c>
      <c r="AB138" s="2" t="s">
        <v>428</v>
      </c>
      <c r="AC138" s="2" t="s">
        <v>429</v>
      </c>
      <c r="AD138" s="2" t="s">
        <v>430</v>
      </c>
      <c r="AE138" s="2" t="s">
        <v>431</v>
      </c>
      <c r="AF138" s="2" t="s">
        <v>432</v>
      </c>
      <c r="AG138" s="2" t="s">
        <v>433</v>
      </c>
      <c r="AH138" s="2" t="s">
        <v>434</v>
      </c>
      <c r="AI138" s="2" t="s">
        <v>435</v>
      </c>
      <c r="AJ138" s="2" t="s">
        <v>436</v>
      </c>
      <c r="AK138" s="2" t="s">
        <v>437</v>
      </c>
      <c r="AL138" s="2" t="s">
        <v>438</v>
      </c>
      <c r="AM138" s="2" t="s">
        <v>439</v>
      </c>
      <c r="AN138" s="2" t="s">
        <v>440</v>
      </c>
      <c r="AO138" s="2" t="s">
        <v>441</v>
      </c>
      <c r="AP138" s="2" t="s">
        <v>442</v>
      </c>
      <c r="AQ138" s="2" t="s">
        <v>443</v>
      </c>
      <c r="AR138" s="2" t="s">
        <v>444</v>
      </c>
      <c r="AS138" s="2" t="s">
        <v>445</v>
      </c>
      <c r="AT138" s="2" t="s">
        <v>446</v>
      </c>
      <c r="AU138" s="2" t="s">
        <v>447</v>
      </c>
      <c r="AV138" s="2" t="s">
        <v>448</v>
      </c>
      <c r="AW138" s="2" t="s">
        <v>449</v>
      </c>
      <c r="AX138" s="2" t="s">
        <v>450</v>
      </c>
      <c r="AY138" s="2" t="s">
        <v>451</v>
      </c>
      <c r="AZ138" s="2" t="s">
        <v>452</v>
      </c>
      <c r="BA138" s="2" t="s">
        <v>453</v>
      </c>
      <c r="BB138" s="2" t="s">
        <v>454</v>
      </c>
      <c r="BC138" s="2" t="s">
        <v>455</v>
      </c>
      <c r="BD138" s="2" t="s">
        <v>456</v>
      </c>
      <c r="BE138" s="2" t="s">
        <v>457</v>
      </c>
      <c r="BF138" s="2" t="s">
        <v>458</v>
      </c>
      <c r="BG138" s="2" t="s">
        <v>459</v>
      </c>
      <c r="BH138" s="2" t="s">
        <v>460</v>
      </c>
      <c r="BI138" s="2" t="s">
        <v>461</v>
      </c>
      <c r="BJ138" s="2" t="s">
        <v>462</v>
      </c>
      <c r="BK138" s="2"/>
    </row>
    <row r="139" customFormat="false" ht="15" hidden="false" customHeight="false" outlineLevel="0" collapsed="false">
      <c r="A139" s="2" t="s">
        <v>463</v>
      </c>
      <c r="B139" s="6" t="s">
        <v>464</v>
      </c>
      <c r="C139" s="7" t="n">
        <v>0</v>
      </c>
      <c r="D139" s="7" t="n">
        <v>0</v>
      </c>
      <c r="E139" s="7" t="n">
        <v>0</v>
      </c>
      <c r="F139" s="7" t="n">
        <v>0</v>
      </c>
      <c r="G139" s="7" t="n">
        <v>1</v>
      </c>
      <c r="H139" s="7" t="n">
        <v>0</v>
      </c>
      <c r="I139" s="7" t="n">
        <v>0</v>
      </c>
      <c r="J139" s="7" t="n">
        <v>1</v>
      </c>
      <c r="K139" s="7" t="n">
        <v>0</v>
      </c>
      <c r="L139" s="7" t="n">
        <v>0</v>
      </c>
      <c r="M139" s="7" t="n">
        <v>1</v>
      </c>
      <c r="N139" s="7" t="n">
        <v>1</v>
      </c>
      <c r="O139" s="7" t="n">
        <v>0</v>
      </c>
      <c r="P139" s="7" t="n">
        <v>1</v>
      </c>
      <c r="Q139" s="7" t="n">
        <v>1</v>
      </c>
      <c r="R139" s="7" t="n">
        <v>0</v>
      </c>
      <c r="S139" s="7" t="n">
        <v>1</v>
      </c>
      <c r="T139" s="7" t="n">
        <v>1</v>
      </c>
      <c r="U139" s="7" t="n">
        <v>1</v>
      </c>
      <c r="V139" s="7" t="n">
        <v>1</v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7" t="n">
        <v>1</v>
      </c>
      <c r="AC139" s="7" t="n">
        <v>1</v>
      </c>
      <c r="AD139" s="7" t="n">
        <v>1</v>
      </c>
      <c r="AE139" s="7" t="n">
        <v>2</v>
      </c>
      <c r="AF139" s="7" t="n">
        <v>1</v>
      </c>
      <c r="AG139" s="7" t="n">
        <v>1</v>
      </c>
      <c r="AH139" s="7" t="n">
        <v>2</v>
      </c>
      <c r="AI139" s="7" t="n">
        <v>1</v>
      </c>
      <c r="AJ139" s="7" t="n">
        <v>1</v>
      </c>
      <c r="AK139" s="7" t="n">
        <v>2</v>
      </c>
      <c r="AL139" s="7" t="n">
        <v>1</v>
      </c>
      <c r="AM139" s="7" t="n">
        <v>1</v>
      </c>
      <c r="AN139" s="7" t="n">
        <v>2</v>
      </c>
      <c r="AO139" s="7" t="n">
        <v>1</v>
      </c>
      <c r="AP139" s="7" t="n">
        <v>1</v>
      </c>
      <c r="AQ139" s="7" t="n">
        <v>2</v>
      </c>
      <c r="AR139" s="7" t="n">
        <v>1</v>
      </c>
      <c r="AS139" s="7" t="n">
        <v>1</v>
      </c>
      <c r="AT139" s="7" t="n">
        <v>2</v>
      </c>
      <c r="AU139" s="7" t="n">
        <v>1</v>
      </c>
      <c r="AV139" s="7" t="n">
        <v>1</v>
      </c>
      <c r="AW139" s="7" t="n">
        <v>2</v>
      </c>
      <c r="AX139" s="7" t="n">
        <v>1</v>
      </c>
      <c r="AY139" s="7" t="n">
        <v>1</v>
      </c>
      <c r="AZ139" s="7" t="n">
        <v>2</v>
      </c>
      <c r="BA139" s="7" t="n">
        <v>1</v>
      </c>
      <c r="BB139" s="7" t="n">
        <v>1</v>
      </c>
      <c r="BC139" s="7" t="n">
        <v>2</v>
      </c>
      <c r="BD139" s="7" t="n">
        <v>1</v>
      </c>
      <c r="BE139" s="7" t="n">
        <v>1</v>
      </c>
      <c r="BF139" s="7" t="n">
        <v>2</v>
      </c>
      <c r="BG139" s="7" t="n">
        <v>1</v>
      </c>
      <c r="BH139" s="7" t="n">
        <v>1</v>
      </c>
      <c r="BI139" s="7" t="n">
        <v>2</v>
      </c>
      <c r="BJ139" s="7" t="n">
        <v>1</v>
      </c>
      <c r="BK139" s="2" t="s">
        <v>465</v>
      </c>
    </row>
    <row r="140" customFormat="false" ht="15" hidden="false" customHeight="false" outlineLevel="0" collapsed="false">
      <c r="A140" s="2" t="s">
        <v>466</v>
      </c>
      <c r="B140" s="6" t="s">
        <v>467</v>
      </c>
      <c r="C140" s="7" t="n">
        <v>0</v>
      </c>
      <c r="D140" s="7" t="n">
        <v>0</v>
      </c>
      <c r="E140" s="7" t="n">
        <v>0</v>
      </c>
      <c r="F140" s="7" t="n">
        <v>0</v>
      </c>
      <c r="G140" s="7" t="n">
        <v>1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1</v>
      </c>
      <c r="N140" s="7" t="n">
        <v>0</v>
      </c>
      <c r="O140" s="7" t="n">
        <v>0</v>
      </c>
      <c r="P140" s="7" t="n">
        <v>1</v>
      </c>
      <c r="Q140" s="7" t="n">
        <v>0</v>
      </c>
      <c r="R140" s="7" t="n">
        <v>0</v>
      </c>
      <c r="S140" s="7" t="n">
        <v>1</v>
      </c>
      <c r="T140" s="7" t="n">
        <v>1</v>
      </c>
      <c r="U140" s="7" t="n">
        <v>0</v>
      </c>
      <c r="V140" s="7" t="n">
        <v>1</v>
      </c>
      <c r="W140" s="7" t="n">
        <v>1</v>
      </c>
      <c r="X140" s="7" t="n">
        <v>0</v>
      </c>
      <c r="Y140" s="7" t="n">
        <v>1</v>
      </c>
      <c r="Z140" s="7" t="n">
        <v>1</v>
      </c>
      <c r="AA140" s="7" t="n">
        <v>0</v>
      </c>
      <c r="AB140" s="7" t="n">
        <v>1</v>
      </c>
      <c r="AC140" s="7" t="n">
        <v>1</v>
      </c>
      <c r="AD140" s="7" t="n">
        <v>1</v>
      </c>
      <c r="AE140" s="7" t="n">
        <v>1</v>
      </c>
      <c r="AF140" s="7" t="n">
        <v>1</v>
      </c>
      <c r="AG140" s="7" t="n">
        <v>1</v>
      </c>
      <c r="AH140" s="7" t="n">
        <v>1</v>
      </c>
      <c r="AI140" s="7" t="n">
        <v>1</v>
      </c>
      <c r="AJ140" s="7" t="n">
        <v>1</v>
      </c>
      <c r="AK140" s="7" t="n">
        <v>1</v>
      </c>
      <c r="AL140" s="7" t="n">
        <v>1</v>
      </c>
      <c r="AM140" s="7" t="n">
        <v>1</v>
      </c>
      <c r="AN140" s="7" t="n">
        <v>1</v>
      </c>
      <c r="AO140" s="7" t="n">
        <v>1</v>
      </c>
      <c r="AP140" s="7" t="n">
        <v>1</v>
      </c>
      <c r="AQ140" s="7" t="n">
        <v>1</v>
      </c>
      <c r="AR140" s="7" t="n">
        <v>1</v>
      </c>
      <c r="AS140" s="7" t="n">
        <v>1</v>
      </c>
      <c r="AT140" s="7" t="n">
        <v>1</v>
      </c>
      <c r="AU140" s="7" t="n">
        <v>1</v>
      </c>
      <c r="AV140" s="7" t="n">
        <v>1</v>
      </c>
      <c r="AW140" s="7" t="n">
        <v>1</v>
      </c>
      <c r="AX140" s="7" t="n">
        <v>1</v>
      </c>
      <c r="AY140" s="7" t="n">
        <v>1</v>
      </c>
      <c r="AZ140" s="7" t="n">
        <v>1</v>
      </c>
      <c r="BA140" s="7" t="n">
        <v>1</v>
      </c>
      <c r="BB140" s="7" t="n">
        <v>1</v>
      </c>
      <c r="BC140" s="7" t="n">
        <v>1</v>
      </c>
      <c r="BD140" s="7" t="n">
        <v>1</v>
      </c>
      <c r="BE140" s="7" t="n">
        <v>1</v>
      </c>
      <c r="BF140" s="7" t="n">
        <v>1</v>
      </c>
      <c r="BG140" s="7" t="n">
        <v>1</v>
      </c>
      <c r="BH140" s="7" t="n">
        <v>1</v>
      </c>
      <c r="BI140" s="7" t="n">
        <v>1</v>
      </c>
      <c r="BJ140" s="7" t="n">
        <v>1</v>
      </c>
      <c r="BK140" s="2" t="s">
        <v>468</v>
      </c>
    </row>
    <row r="141" customFormat="false" ht="15" hidden="false" customHeight="false" outlineLevel="0" collapsed="false">
      <c r="A141" s="2" t="s">
        <v>469</v>
      </c>
      <c r="B141" s="6" t="s">
        <v>470</v>
      </c>
      <c r="C141" s="7" t="n">
        <v>0</v>
      </c>
      <c r="D141" s="7" t="n">
        <v>0</v>
      </c>
      <c r="E141" s="7" t="n">
        <v>0</v>
      </c>
      <c r="F141" s="7" t="n">
        <v>0</v>
      </c>
      <c r="G141" s="7" t="n">
        <v>1</v>
      </c>
      <c r="H141" s="7" t="n">
        <v>0</v>
      </c>
      <c r="I141" s="7" t="n">
        <v>0</v>
      </c>
      <c r="J141" s="7" t="n">
        <v>1</v>
      </c>
      <c r="K141" s="7" t="n">
        <v>0</v>
      </c>
      <c r="L141" s="7" t="n">
        <v>0</v>
      </c>
      <c r="M141" s="7" t="n">
        <v>1</v>
      </c>
      <c r="N141" s="7" t="n">
        <v>1</v>
      </c>
      <c r="O141" s="7" t="n">
        <v>0</v>
      </c>
      <c r="P141" s="7" t="n">
        <v>1</v>
      </c>
      <c r="Q141" s="7" t="n">
        <v>1</v>
      </c>
      <c r="R141" s="7" t="n">
        <v>0</v>
      </c>
      <c r="S141" s="7" t="n">
        <v>1</v>
      </c>
      <c r="T141" s="7" t="n">
        <v>1</v>
      </c>
      <c r="U141" s="7" t="n">
        <v>1</v>
      </c>
      <c r="V141" s="7" t="n">
        <v>1</v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7" t="n">
        <v>1</v>
      </c>
      <c r="AC141" s="7" t="n">
        <v>1</v>
      </c>
      <c r="AD141" s="7" t="n">
        <v>1</v>
      </c>
      <c r="AE141" s="7" t="n">
        <v>2</v>
      </c>
      <c r="AF141" s="7" t="n">
        <v>1</v>
      </c>
      <c r="AG141" s="7" t="n">
        <v>1</v>
      </c>
      <c r="AH141" s="7" t="n">
        <v>2</v>
      </c>
      <c r="AI141" s="7" t="n">
        <v>1</v>
      </c>
      <c r="AJ141" s="7" t="n">
        <v>1</v>
      </c>
      <c r="AK141" s="7" t="n">
        <v>2</v>
      </c>
      <c r="AL141" s="7" t="n">
        <v>1</v>
      </c>
      <c r="AM141" s="7" t="n">
        <v>1</v>
      </c>
      <c r="AN141" s="7" t="n">
        <v>2</v>
      </c>
      <c r="AO141" s="7" t="n">
        <v>1</v>
      </c>
      <c r="AP141" s="7" t="n">
        <v>1</v>
      </c>
      <c r="AQ141" s="7" t="n">
        <v>2</v>
      </c>
      <c r="AR141" s="7" t="n">
        <v>1</v>
      </c>
      <c r="AS141" s="7" t="n">
        <v>1</v>
      </c>
      <c r="AT141" s="7" t="n">
        <v>2</v>
      </c>
      <c r="AU141" s="7" t="n">
        <v>1</v>
      </c>
      <c r="AV141" s="7" t="n">
        <v>1</v>
      </c>
      <c r="AW141" s="7" t="n">
        <v>2</v>
      </c>
      <c r="AX141" s="7" t="n">
        <v>1</v>
      </c>
      <c r="AY141" s="7" t="n">
        <v>1</v>
      </c>
      <c r="AZ141" s="7" t="n">
        <v>2</v>
      </c>
      <c r="BA141" s="7" t="n">
        <v>1</v>
      </c>
      <c r="BB141" s="7" t="n">
        <v>1</v>
      </c>
      <c r="BC141" s="7" t="n">
        <v>2</v>
      </c>
      <c r="BD141" s="7" t="n">
        <v>1</v>
      </c>
      <c r="BE141" s="7" t="n">
        <v>1</v>
      </c>
      <c r="BF141" s="7" t="n">
        <v>2</v>
      </c>
      <c r="BG141" s="7" t="n">
        <v>1</v>
      </c>
      <c r="BH141" s="7" t="n">
        <v>1</v>
      </c>
      <c r="BI141" s="7" t="n">
        <v>2</v>
      </c>
      <c r="BJ141" s="7" t="n">
        <v>1</v>
      </c>
      <c r="BK141" s="2" t="s">
        <v>465</v>
      </c>
    </row>
    <row r="142" customFormat="false" ht="15" hidden="false" customHeight="false" outlineLevel="0" collapsed="false">
      <c r="A142" s="2" t="s">
        <v>471</v>
      </c>
      <c r="B142" s="6" t="s">
        <v>472</v>
      </c>
      <c r="C142" s="7" t="n">
        <v>0</v>
      </c>
      <c r="D142" s="7" t="n">
        <v>0</v>
      </c>
      <c r="E142" s="7" t="n">
        <v>0</v>
      </c>
      <c r="F142" s="7" t="n">
        <v>0</v>
      </c>
      <c r="G142" s="7" t="n">
        <v>1</v>
      </c>
      <c r="H142" s="7" t="n">
        <v>0</v>
      </c>
      <c r="I142" s="7" t="n">
        <v>0</v>
      </c>
      <c r="J142" s="7" t="n">
        <v>1</v>
      </c>
      <c r="K142" s="7" t="n">
        <v>1</v>
      </c>
      <c r="L142" s="7" t="n">
        <v>0</v>
      </c>
      <c r="M142" s="7" t="n">
        <v>1</v>
      </c>
      <c r="N142" s="7" t="n">
        <v>1</v>
      </c>
      <c r="O142" s="7" t="n">
        <v>1</v>
      </c>
      <c r="P142" s="7" t="n">
        <v>1</v>
      </c>
      <c r="Q142" s="7" t="n">
        <v>1</v>
      </c>
      <c r="R142" s="7" t="n">
        <v>1</v>
      </c>
      <c r="S142" s="7" t="n">
        <v>1</v>
      </c>
      <c r="T142" s="7" t="n">
        <v>1</v>
      </c>
      <c r="U142" s="7" t="n">
        <v>1</v>
      </c>
      <c r="V142" s="7" t="n">
        <v>2</v>
      </c>
      <c r="W142" s="7" t="n">
        <v>1</v>
      </c>
      <c r="X142" s="7" t="n">
        <v>1</v>
      </c>
      <c r="Y142" s="7" t="n">
        <v>2</v>
      </c>
      <c r="Z142" s="7" t="n">
        <v>1</v>
      </c>
      <c r="AA142" s="7" t="n">
        <v>1</v>
      </c>
      <c r="AB142" s="7" t="n">
        <v>2</v>
      </c>
      <c r="AC142" s="7" t="n">
        <v>2</v>
      </c>
      <c r="AD142" s="7" t="n">
        <v>1</v>
      </c>
      <c r="AE142" s="7" t="n">
        <v>2</v>
      </c>
      <c r="AF142" s="7" t="n">
        <v>2</v>
      </c>
      <c r="AG142" s="7" t="n">
        <v>1</v>
      </c>
      <c r="AH142" s="7" t="n">
        <v>2</v>
      </c>
      <c r="AI142" s="7" t="n">
        <v>2</v>
      </c>
      <c r="AJ142" s="7" t="n">
        <v>2</v>
      </c>
      <c r="AK142" s="7" t="n">
        <v>2</v>
      </c>
      <c r="AL142" s="7" t="n">
        <v>2</v>
      </c>
      <c r="AM142" s="7" t="n">
        <v>2</v>
      </c>
      <c r="AN142" s="7" t="n">
        <v>2</v>
      </c>
      <c r="AO142" s="7" t="n">
        <v>2</v>
      </c>
      <c r="AP142" s="7" t="n">
        <v>2</v>
      </c>
      <c r="AQ142" s="7" t="n">
        <v>2</v>
      </c>
      <c r="AR142" s="7" t="n">
        <v>2</v>
      </c>
      <c r="AS142" s="7" t="n">
        <v>2</v>
      </c>
      <c r="AT142" s="7" t="n">
        <v>2</v>
      </c>
      <c r="AU142" s="7" t="n">
        <v>2</v>
      </c>
      <c r="AV142" s="7" t="n">
        <v>2</v>
      </c>
      <c r="AW142" s="7" t="n">
        <v>2</v>
      </c>
      <c r="AX142" s="7" t="n">
        <v>2</v>
      </c>
      <c r="AY142" s="7" t="n">
        <v>2</v>
      </c>
      <c r="AZ142" s="7" t="n">
        <v>2</v>
      </c>
      <c r="BA142" s="7" t="n">
        <v>2</v>
      </c>
      <c r="BB142" s="7" t="n">
        <v>2</v>
      </c>
      <c r="BC142" s="7" t="n">
        <v>2</v>
      </c>
      <c r="BD142" s="7" t="n">
        <v>2</v>
      </c>
      <c r="BE142" s="7" t="n">
        <v>2</v>
      </c>
      <c r="BF142" s="7" t="n">
        <v>2</v>
      </c>
      <c r="BG142" s="7" t="n">
        <v>2</v>
      </c>
      <c r="BH142" s="7" t="n">
        <v>2</v>
      </c>
      <c r="BI142" s="7" t="n">
        <v>2</v>
      </c>
      <c r="BJ142" s="7" t="n">
        <v>2</v>
      </c>
      <c r="BK142" s="2" t="s">
        <v>473</v>
      </c>
    </row>
    <row r="143" customFormat="false" ht="15" hidden="false" customHeight="false" outlineLevel="0" collapsed="false">
      <c r="A143" s="2" t="s">
        <v>474</v>
      </c>
      <c r="B143" s="6" t="s">
        <v>475</v>
      </c>
      <c r="C143" s="7" t="n">
        <v>0</v>
      </c>
      <c r="D143" s="7" t="n">
        <v>0</v>
      </c>
      <c r="E143" s="7" t="n">
        <v>0</v>
      </c>
      <c r="F143" s="7" t="n">
        <v>0</v>
      </c>
      <c r="G143" s="7" t="n">
        <v>1</v>
      </c>
      <c r="H143" s="7" t="n">
        <v>0</v>
      </c>
      <c r="I143" s="7" t="n">
        <v>0</v>
      </c>
      <c r="J143" s="7" t="n">
        <v>1</v>
      </c>
      <c r="K143" s="7" t="n">
        <v>1</v>
      </c>
      <c r="L143" s="7" t="n">
        <v>0</v>
      </c>
      <c r="M143" s="7" t="n">
        <v>1</v>
      </c>
      <c r="N143" s="7" t="n">
        <v>1</v>
      </c>
      <c r="O143" s="7" t="n">
        <v>1</v>
      </c>
      <c r="P143" s="7" t="n">
        <v>1</v>
      </c>
      <c r="Q143" s="7" t="n">
        <v>1</v>
      </c>
      <c r="R143" s="7" t="n">
        <v>1</v>
      </c>
      <c r="S143" s="7" t="n">
        <v>1</v>
      </c>
      <c r="T143" s="7" t="n">
        <v>1</v>
      </c>
      <c r="U143" s="7" t="n">
        <v>1</v>
      </c>
      <c r="V143" s="7" t="n">
        <v>2</v>
      </c>
      <c r="W143" s="7" t="n">
        <v>1</v>
      </c>
      <c r="X143" s="7" t="n">
        <v>1</v>
      </c>
      <c r="Y143" s="7" t="n">
        <v>2</v>
      </c>
      <c r="Z143" s="7" t="n">
        <v>1</v>
      </c>
      <c r="AA143" s="7" t="n">
        <v>1</v>
      </c>
      <c r="AB143" s="7" t="n">
        <v>2</v>
      </c>
      <c r="AC143" s="7" t="n">
        <v>2</v>
      </c>
      <c r="AD143" s="7" t="n">
        <v>1</v>
      </c>
      <c r="AE143" s="7" t="n">
        <v>2</v>
      </c>
      <c r="AF143" s="7" t="n">
        <v>2</v>
      </c>
      <c r="AG143" s="7" t="n">
        <v>1</v>
      </c>
      <c r="AH143" s="7" t="n">
        <v>2</v>
      </c>
      <c r="AI143" s="7" t="n">
        <v>2</v>
      </c>
      <c r="AJ143" s="7" t="n">
        <v>2</v>
      </c>
      <c r="AK143" s="7" t="n">
        <v>2</v>
      </c>
      <c r="AL143" s="7" t="n">
        <v>2</v>
      </c>
      <c r="AM143" s="7" t="n">
        <v>2</v>
      </c>
      <c r="AN143" s="7" t="n">
        <v>2</v>
      </c>
      <c r="AO143" s="7" t="n">
        <v>2</v>
      </c>
      <c r="AP143" s="7" t="n">
        <v>2</v>
      </c>
      <c r="AQ143" s="7" t="n">
        <v>2</v>
      </c>
      <c r="AR143" s="7" t="n">
        <v>2</v>
      </c>
      <c r="AS143" s="7" t="n">
        <v>2</v>
      </c>
      <c r="AT143" s="7" t="n">
        <v>2</v>
      </c>
      <c r="AU143" s="7" t="n">
        <v>2</v>
      </c>
      <c r="AV143" s="7" t="n">
        <v>2</v>
      </c>
      <c r="AW143" s="7" t="n">
        <v>2</v>
      </c>
      <c r="AX143" s="7" t="n">
        <v>2</v>
      </c>
      <c r="AY143" s="7" t="n">
        <v>2</v>
      </c>
      <c r="AZ143" s="7" t="n">
        <v>2</v>
      </c>
      <c r="BA143" s="7" t="n">
        <v>2</v>
      </c>
      <c r="BB143" s="7" t="n">
        <v>2</v>
      </c>
      <c r="BC143" s="7" t="n">
        <v>2</v>
      </c>
      <c r="BD143" s="7" t="n">
        <v>2</v>
      </c>
      <c r="BE143" s="7" t="n">
        <v>2</v>
      </c>
      <c r="BF143" s="7" t="n">
        <v>2</v>
      </c>
      <c r="BG143" s="7" t="n">
        <v>2</v>
      </c>
      <c r="BH143" s="7" t="n">
        <v>2</v>
      </c>
      <c r="BI143" s="7" t="n">
        <v>2</v>
      </c>
      <c r="BJ143" s="7" t="n">
        <v>2</v>
      </c>
      <c r="BK143" s="2" t="s">
        <v>473</v>
      </c>
    </row>
    <row r="144" customFormat="false" ht="15" hidden="false" customHeight="false" outlineLevel="0" collapsed="false">
      <c r="A144" s="2" t="s">
        <v>476</v>
      </c>
      <c r="B144" s="6" t="s">
        <v>477</v>
      </c>
      <c r="C144" s="20" t="n">
        <v>3500</v>
      </c>
      <c r="D144" s="20" t="n">
        <v>1500</v>
      </c>
      <c r="E144" s="20" t="n">
        <v>3000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  <c r="K144" s="20" t="n">
        <v>0</v>
      </c>
      <c r="L144" s="20" t="n">
        <v>0</v>
      </c>
      <c r="M144" s="20" t="n">
        <v>0</v>
      </c>
      <c r="N144" s="20" t="n">
        <v>0</v>
      </c>
      <c r="O144" s="20" t="n">
        <v>0</v>
      </c>
      <c r="P144" s="20" t="n">
        <v>0</v>
      </c>
      <c r="Q144" s="20" t="n">
        <v>0</v>
      </c>
      <c r="R144" s="20" t="n">
        <v>0</v>
      </c>
      <c r="S144" s="20" t="n">
        <v>0</v>
      </c>
      <c r="T144" s="20" t="n">
        <v>0</v>
      </c>
      <c r="U144" s="20" t="n">
        <v>0</v>
      </c>
      <c r="V144" s="20" t="n">
        <v>0</v>
      </c>
      <c r="W144" s="20" t="n">
        <v>0</v>
      </c>
      <c r="X144" s="20" t="n">
        <v>0</v>
      </c>
      <c r="Y144" s="20" t="n">
        <v>0</v>
      </c>
      <c r="Z144" s="20" t="n">
        <v>0</v>
      </c>
      <c r="AA144" s="20" t="n">
        <v>0</v>
      </c>
      <c r="AB144" s="20" t="n">
        <v>0</v>
      </c>
      <c r="AC144" s="20" t="n">
        <v>0</v>
      </c>
      <c r="AD144" s="20" t="n">
        <v>0</v>
      </c>
      <c r="AE144" s="20" t="n">
        <v>0</v>
      </c>
      <c r="AF144" s="20" t="n">
        <v>0</v>
      </c>
      <c r="AG144" s="20" t="n">
        <v>0</v>
      </c>
      <c r="AH144" s="20" t="n">
        <v>0</v>
      </c>
      <c r="AI144" s="20" t="n">
        <v>0</v>
      </c>
      <c r="AJ144" s="20" t="n">
        <v>0</v>
      </c>
      <c r="AK144" s="20" t="n">
        <v>0</v>
      </c>
      <c r="AL144" s="20" t="n">
        <v>0</v>
      </c>
      <c r="AM144" s="20" t="n">
        <v>0</v>
      </c>
      <c r="AN144" s="20" t="n">
        <v>0</v>
      </c>
      <c r="AO144" s="20" t="n">
        <v>0</v>
      </c>
      <c r="AP144" s="20" t="n">
        <v>0</v>
      </c>
      <c r="AQ144" s="20" t="n">
        <v>0</v>
      </c>
      <c r="AR144" s="20" t="n">
        <v>0</v>
      </c>
      <c r="AS144" s="20" t="n">
        <v>0</v>
      </c>
      <c r="AT144" s="20" t="n">
        <v>0</v>
      </c>
      <c r="AU144" s="20" t="n">
        <v>0</v>
      </c>
      <c r="AV144" s="20" t="n">
        <v>0</v>
      </c>
      <c r="AW144" s="20" t="n">
        <v>0</v>
      </c>
      <c r="AX144" s="20" t="n">
        <v>0</v>
      </c>
      <c r="AY144" s="20" t="n">
        <v>0</v>
      </c>
      <c r="AZ144" s="20" t="n">
        <v>0</v>
      </c>
      <c r="BA144" s="20" t="n">
        <v>0</v>
      </c>
      <c r="BB144" s="20" t="n">
        <v>0</v>
      </c>
      <c r="BC144" s="20" t="n">
        <v>0</v>
      </c>
      <c r="BD144" s="20" t="n">
        <v>0</v>
      </c>
      <c r="BE144" s="20" t="n">
        <v>0</v>
      </c>
      <c r="BF144" s="20" t="n">
        <v>0</v>
      </c>
      <c r="BG144" s="20" t="n">
        <v>0</v>
      </c>
      <c r="BH144" s="20" t="n">
        <v>0</v>
      </c>
      <c r="BI144" s="20" t="n">
        <v>0</v>
      </c>
      <c r="BJ144" s="20" t="n">
        <v>0</v>
      </c>
      <c r="BK144" s="2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479</v>
      </c>
    </row>
    <row r="2" customFormat="false" ht="15" hidden="false" customHeight="false" outlineLevel="0" collapsed="false">
      <c r="A2" s="3" t="s">
        <v>480</v>
      </c>
    </row>
    <row r="4" customFormat="false" ht="15" hidden="false" customHeight="false" outlineLevel="0" collapsed="false">
      <c r="A4" s="5" t="s">
        <v>481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customFormat="false" ht="15" hidden="false" customHeight="false" outlineLevel="0" collapsed="false">
      <c r="A5" s="6" t="s">
        <v>482</v>
      </c>
      <c r="B5" s="21" t="str">
        <f aca="false">Monthly!$C$85</f>
        <v>none</v>
      </c>
      <c r="C5" s="21" t="str">
        <f aca="false">Monthly_Bear!$C$85</f>
        <v>none</v>
      </c>
      <c r="D5" s="21" t="str">
        <f aca="false">Monthly_RecoGates!$C$85</f>
        <v>none</v>
      </c>
      <c r="E5" s="21" t="str">
        <f aca="false">Monthly_Lean!$C$85</f>
        <v>none</v>
      </c>
      <c r="F5" s="21" t="str">
        <f aca="false">Monthly_Bull!$C$85</f>
        <v>none</v>
      </c>
    </row>
    <row r="6" customFormat="false" ht="15" hidden="false" customHeight="false" outlineLevel="0" collapsed="false">
      <c r="A6" s="6" t="s">
        <v>483</v>
      </c>
      <c r="B6" s="21" t="n">
        <f aca="false">Monthly!$C$86</f>
        <v>60</v>
      </c>
      <c r="C6" s="21" t="str">
        <f aca="false">Monthly_Bear!$C$86</f>
        <v>none</v>
      </c>
      <c r="D6" s="21" t="n">
        <f aca="false">Monthly_RecoGates!$C$86</f>
        <v>60</v>
      </c>
      <c r="E6" s="21" t="n">
        <f aca="false">Monthly_Lean!$C$86</f>
        <v>39</v>
      </c>
      <c r="F6" s="21" t="n">
        <f aca="false">Monthly_Bull!$C$86</f>
        <v>46</v>
      </c>
    </row>
    <row r="7" customFormat="false" ht="15" hidden="false" customHeight="false" outlineLevel="0" collapsed="false">
      <c r="A7" s="6" t="s">
        <v>484</v>
      </c>
      <c r="B7" s="21" t="str">
        <f aca="false">Monthly!$C$87</f>
        <v>none</v>
      </c>
      <c r="C7" s="21" t="str">
        <f aca="false">Monthly_Bear!$C$87</f>
        <v>none</v>
      </c>
      <c r="D7" s="21" t="str">
        <f aca="false">Monthly_RecoGates!$C$87</f>
        <v>none</v>
      </c>
      <c r="E7" s="21" t="str">
        <f aca="false">Monthly_Lean!$C$87</f>
        <v>none</v>
      </c>
      <c r="F7" s="21" t="str">
        <f aca="false">Monthly_Bull!$C$87</f>
        <v>none</v>
      </c>
    </row>
    <row r="8" customFormat="false" ht="15" hidden="false" customHeight="false" outlineLevel="0" collapsed="false">
      <c r="A8" s="6" t="s">
        <v>485</v>
      </c>
      <c r="B8" s="22" t="n">
        <f aca="false">Monthly!$C$88</f>
        <v>322991.102253089</v>
      </c>
      <c r="C8" s="22" t="n">
        <f aca="false">Monthly_Bear!$C$88</f>
        <v>305899.549182425</v>
      </c>
      <c r="D8" s="22" t="n">
        <f aca="false">Monthly_RecoGates!$C$88</f>
        <v>310918.02818356</v>
      </c>
      <c r="E8" s="22" t="n">
        <f aca="false">Monthly_Lean!$C$88</f>
        <v>197411.147228238</v>
      </c>
      <c r="F8" s="22" t="n">
        <f aca="false">Monthly_Bull!$C$88</f>
        <v>297222.8578713</v>
      </c>
    </row>
    <row r="9" customFormat="false" ht="15" hidden="false" customHeight="false" outlineLevel="0" collapsed="false">
      <c r="A9" s="6" t="s">
        <v>486</v>
      </c>
      <c r="B9" s="22" t="n">
        <f aca="false">Monthly!$C$90</f>
        <v>420715.244799276</v>
      </c>
      <c r="C9" s="22" t="n">
        <f aca="false">Monthly_Bear!$C$90</f>
        <v>545418.099752801</v>
      </c>
      <c r="D9" s="22" t="n">
        <f aca="false">Monthly_RecoGates!$C$90</f>
        <v>401426.703514944</v>
      </c>
      <c r="E9" s="22" t="n">
        <f aca="false">Monthly_Lean!$C$90</f>
        <v>199397.637969554</v>
      </c>
      <c r="F9" s="22" t="n">
        <f aca="false">Monthly_Bull!$C$90</f>
        <v>315810.812661434</v>
      </c>
    </row>
    <row r="10" customFormat="false" ht="15" hidden="false" customHeight="false" outlineLevel="0" collapsed="false">
      <c r="A10" s="6" t="s">
        <v>487</v>
      </c>
      <c r="B10" s="21" t="n">
        <f aca="false">Monthly!$C$89</f>
        <v>36</v>
      </c>
      <c r="C10" s="21" t="n">
        <f aca="false">Monthly_Bear!$C$89</f>
        <v>36</v>
      </c>
      <c r="D10" s="21" t="n">
        <f aca="false">Monthly_RecoGates!$C$89</f>
        <v>36</v>
      </c>
      <c r="E10" s="21" t="n">
        <f aca="false">Monthly_Lean!$C$89</f>
        <v>36</v>
      </c>
      <c r="F10" s="21" t="n">
        <f aca="false">Monthly_Bull!$C$89</f>
        <v>36</v>
      </c>
    </row>
    <row r="11" customFormat="false" ht="15" hidden="false" customHeight="false" outlineLevel="0" collapsed="false">
      <c r="A11" s="6" t="s">
        <v>488</v>
      </c>
      <c r="B11" s="21" t="n">
        <f aca="false">Monthly!$C$91</f>
        <v>22</v>
      </c>
      <c r="C11" s="21" t="n">
        <f aca="false">Monthly_Bear!$C$91</f>
        <v>36</v>
      </c>
      <c r="D11" s="21" t="n">
        <f aca="false">Monthly_RecoGates!$C$91</f>
        <v>18</v>
      </c>
      <c r="E11" s="21" t="n">
        <f aca="false">Monthly_Lean!$C$91</f>
        <v>16</v>
      </c>
      <c r="F11" s="21" t="n">
        <f aca="false">Monthly_Bull!$C$91</f>
        <v>16</v>
      </c>
    </row>
    <row r="12" customFormat="false" ht="15" hidden="false" customHeight="false" outlineLevel="0" collapsed="false">
      <c r="A12" s="6" t="s">
        <v>489</v>
      </c>
      <c r="B12" s="21" t="n">
        <f aca="false">Monthly!$C$92</f>
        <v>22</v>
      </c>
      <c r="C12" s="21" t="n">
        <f aca="false">Monthly_Bear!$C$92</f>
        <v>36</v>
      </c>
      <c r="D12" s="21" t="n">
        <f aca="false">Monthly_RecoGates!$C$92</f>
        <v>12</v>
      </c>
      <c r="E12" s="21" t="n">
        <f aca="false">Monthly_Lean!$C$92</f>
        <v>11</v>
      </c>
      <c r="F12" s="21" t="n">
        <f aca="false">Monthly_Bull!$C$92</f>
        <v>16</v>
      </c>
    </row>
    <row r="13" customFormat="false" ht="15" hidden="false" customHeight="false" outlineLevel="0" collapsed="false">
      <c r="A13" s="6" t="s">
        <v>490</v>
      </c>
      <c r="B13" s="21" t="n">
        <f aca="false">Monthly!$C$93</f>
        <v>18</v>
      </c>
      <c r="C13" s="21" t="n">
        <f aca="false">Monthly_Bear!$C$93</f>
        <v>29</v>
      </c>
      <c r="D13" s="21" t="n">
        <f aca="false">Monthly_RecoGates!$C$93</f>
        <v>18</v>
      </c>
      <c r="E13" s="21" t="n">
        <f aca="false">Monthly_Lean!$C$93</f>
        <v>16</v>
      </c>
      <c r="F13" s="21" t="n">
        <f aca="false">Monthly_Bull!$C$93</f>
        <v>14</v>
      </c>
    </row>
    <row r="14" customFormat="false" ht="15" hidden="false" customHeight="false" outlineLevel="0" collapsed="false">
      <c r="A14" s="6" t="s">
        <v>491</v>
      </c>
      <c r="B14" s="21" t="str">
        <f aca="false">Monthly!$C$94</f>
        <v>none</v>
      </c>
      <c r="C14" s="21" t="str">
        <f aca="false">Monthly_Bear!$C$94</f>
        <v>none</v>
      </c>
      <c r="D14" s="21" t="n">
        <f aca="false">Monthly_RecoGates!$C$94</f>
        <v>31</v>
      </c>
      <c r="E14" s="21" t="n">
        <f aca="false">Monthly_Lean!$C$94</f>
        <v>27</v>
      </c>
      <c r="F14" s="21" t="n">
        <f aca="false">Monthly_Bull!$C$94</f>
        <v>26</v>
      </c>
    </row>
    <row r="15" customFormat="false" ht="15" hidden="false" customHeight="false" outlineLevel="0" collapsed="false">
      <c r="A15" s="6" t="s">
        <v>492</v>
      </c>
      <c r="B15" s="23" t="n">
        <f aca="false">Monthly!$C$95</f>
        <v>398.760479684234</v>
      </c>
      <c r="C15" s="23" t="n">
        <f aca="false">Monthly_Bear!$C$95</f>
        <v>155.619347152439</v>
      </c>
      <c r="D15" s="23" t="n">
        <f aca="false">Monthly_RecoGates!$C$95</f>
        <v>398.760479684234</v>
      </c>
      <c r="E15" s="23" t="n">
        <f aca="false">Monthly_Lean!$C$95</f>
        <v>546.012891142947</v>
      </c>
      <c r="F15" s="23" t="n">
        <f aca="false">Monthly_Bull!$C$95</f>
        <v>797.370303173366</v>
      </c>
    </row>
    <row r="16" customFormat="false" ht="15" hidden="false" customHeight="false" outlineLevel="0" collapsed="false">
      <c r="A16" s="6" t="s">
        <v>493</v>
      </c>
      <c r="B16" s="23" t="n">
        <f aca="false">Monthly!$C$96</f>
        <v>58.1043885634005</v>
      </c>
      <c r="C16" s="23" t="n">
        <f aca="false">Monthly_Bear!$C$96</f>
        <v>1.81027270229358</v>
      </c>
      <c r="D16" s="23" t="n">
        <f aca="false">Monthly_RecoGates!$C$96</f>
        <v>62.5414685025348</v>
      </c>
      <c r="E16" s="23" t="n">
        <f aca="false">Monthly_Lean!$C$96</f>
        <v>86.712948353366</v>
      </c>
      <c r="F16" s="23" t="n">
        <f aca="false">Monthly_Bull!$C$96</f>
        <v>162.1638320989</v>
      </c>
    </row>
    <row r="17" customFormat="false" ht="15" hidden="false" customHeight="false" outlineLevel="0" collapsed="false">
      <c r="A17" s="6" t="s">
        <v>494</v>
      </c>
      <c r="B17" s="23" t="n">
        <f aca="false">Monthly!$C$97</f>
        <v>19474.9912321755</v>
      </c>
      <c r="C17" s="23" t="n">
        <f aca="false">Monthly_Bear!$C$97</f>
        <v>5041.53664253499</v>
      </c>
      <c r="D17" s="23" t="n">
        <f aca="false">Monthly_RecoGates!$C$97</f>
        <v>19474.9912321755</v>
      </c>
      <c r="E17" s="23" t="n">
        <f aca="false">Monthly_Lean!$C$97</f>
        <v>26607.8698294962</v>
      </c>
      <c r="F17" s="23" t="n">
        <f aca="false">Monthly_Bull!$C$97</f>
        <v>51684.3205853649</v>
      </c>
    </row>
    <row r="18" customFormat="false" ht="15" hidden="false" customHeight="false" outlineLevel="0" collapsed="false">
      <c r="A18" s="6" t="s">
        <v>495</v>
      </c>
      <c r="B18" s="22" t="n">
        <f aca="false">Monthly!$C$98</f>
        <v>8117.51312001458</v>
      </c>
      <c r="C18" s="22" t="n">
        <f aca="false">Monthly_Bear!$C$98</f>
        <v>1434.51280688557</v>
      </c>
      <c r="D18" s="22" t="n">
        <f aca="false">Monthly_RecoGates!$C$98</f>
        <v>10333.8283856429</v>
      </c>
      <c r="E18" s="22" t="n">
        <f aca="false">Monthly_Lean!$C$98</f>
        <v>19693.5781031006</v>
      </c>
      <c r="F18" s="22" t="n">
        <f aca="false">Monthly_Bull!$C$98</f>
        <v>24766.7865293195</v>
      </c>
    </row>
    <row r="19" customFormat="false" ht="15" hidden="false" customHeight="false" outlineLevel="0" collapsed="false">
      <c r="A19" s="6" t="s">
        <v>496</v>
      </c>
      <c r="B19" s="22" t="n">
        <f aca="false">Monthly!$C$99</f>
        <v>-9622.44895970039</v>
      </c>
      <c r="C19" s="22" t="n">
        <f aca="false">Monthly_Bear!$C$99</f>
        <v>-10902.9032428284</v>
      </c>
      <c r="D19" s="22" t="n">
        <f aca="false">Monthly_RecoGates!$C$99</f>
        <v>-7711.50744197948</v>
      </c>
      <c r="E19" s="22" t="n">
        <f aca="false">Monthly_Lean!$C$99</f>
        <v>-1648.64654450398</v>
      </c>
      <c r="F19" s="22" t="n">
        <f aca="false">Monthly_Bull!$C$99</f>
        <v>-3785.92486031691</v>
      </c>
    </row>
    <row r="20" customFormat="false" ht="15" hidden="false" customHeight="false" outlineLevel="0" collapsed="false">
      <c r="A20" s="6" t="s">
        <v>497</v>
      </c>
      <c r="B20" s="22" t="n">
        <f aca="false">Monthly!$C$100</f>
        <v>0</v>
      </c>
      <c r="C20" s="22" t="n">
        <f aca="false">Monthly_Bear!$C$100</f>
        <v>0</v>
      </c>
      <c r="D20" s="22" t="n">
        <f aca="false">Monthly_RecoGates!$C$100</f>
        <v>35.1665104930414</v>
      </c>
      <c r="E20" s="22" t="n">
        <f aca="false">Monthly_Lean!$C$100</f>
        <v>116.790138415027</v>
      </c>
      <c r="F20" s="22" t="n">
        <f aca="false">Monthly_Bull!$C$100</f>
        <v>0</v>
      </c>
    </row>
    <row r="21" customFormat="false" ht="15" hidden="false" customHeight="false" outlineLevel="0" collapsed="false">
      <c r="A21" s="6" t="s">
        <v>498</v>
      </c>
      <c r="B21" s="22" t="n">
        <f aca="false">Monthly!$C$101</f>
        <v>8877.78282342445</v>
      </c>
      <c r="C21" s="22" t="n">
        <f aca="false">Monthly_Bear!$C$101</f>
        <v>0</v>
      </c>
      <c r="D21" s="22" t="n">
        <f aca="false">Monthly_RecoGates!$C$101</f>
        <v>14442.0056273632</v>
      </c>
      <c r="E21" s="22" t="n">
        <f aca="false">Monthly_Lean!$C$101</f>
        <v>34541.8484731325</v>
      </c>
      <c r="F21" s="22" t="n">
        <f aca="false">Monthly_Bull!$C$101</f>
        <v>36148.2089425027</v>
      </c>
    </row>
    <row r="22" customFormat="false" ht="15" hidden="false" customHeight="false" outlineLevel="0" collapsed="false">
      <c r="A22" s="6" t="s">
        <v>499</v>
      </c>
      <c r="B22" s="22" t="n">
        <f aca="false">Monthly!$C$102</f>
        <v>62747.4566900113</v>
      </c>
      <c r="C22" s="22" t="n">
        <f aca="false">Monthly_Bear!$C$102</f>
        <v>8184.51280688557</v>
      </c>
      <c r="D22" s="22" t="n">
        <f aca="false">Monthly_RecoGates!$C$102</f>
        <v>74485.4603965307</v>
      </c>
      <c r="E22" s="22" t="n">
        <f aca="false">Monthly_Lean!$C$102</f>
        <v>156099.47020308</v>
      </c>
      <c r="F22" s="22" t="n">
        <f aca="false">Monthly_Bull!$C$102</f>
        <v>193437.701818053</v>
      </c>
    </row>
    <row r="23" customFormat="false" ht="15" hidden="false" customHeight="false" outlineLevel="0" collapsed="false">
      <c r="A23" s="6" t="s">
        <v>500</v>
      </c>
      <c r="B23" s="22" t="n">
        <f aca="false">Monthly!$C$103</f>
        <v>-84348.511480517</v>
      </c>
      <c r="C23" s="22" t="n">
        <f aca="false">Monthly_Bear!$C$103</f>
        <v>-78847.2862579676</v>
      </c>
      <c r="D23" s="22" t="n">
        <f aca="false">Monthly_RecoGates!$C$103</f>
        <v>-84344.4152191027</v>
      </c>
      <c r="E23" s="22" t="n">
        <f aca="false">Monthly_Lean!$C$103</f>
        <v>-63351.3665498653</v>
      </c>
      <c r="F23" s="22" t="n">
        <f aca="false">Monthly_Bull!$C$103</f>
        <v>-88986.2551487285</v>
      </c>
    </row>
    <row r="24" customFormat="false" ht="15" hidden="false" customHeight="false" outlineLevel="0" collapsed="false">
      <c r="A24" s="6" t="s">
        <v>501</v>
      </c>
      <c r="B24" s="22" t="n">
        <f aca="false">Monthly!$C$104</f>
        <v>-113012.321170328</v>
      </c>
      <c r="C24" s="22" t="n">
        <f aca="false">Monthly_Bear!$C$104</f>
        <v>-99702.9232637591</v>
      </c>
      <c r="D24" s="22" t="n">
        <f aca="false">Monthly_RecoGates!$C$104</f>
        <v>-110057.239591176</v>
      </c>
      <c r="E24" s="22" t="n">
        <f aca="false">Monthly_Lean!$C$104</f>
        <v>-82521.6027846002</v>
      </c>
      <c r="F24" s="22" t="n">
        <f aca="false">Monthly_Bull!$C$104</f>
        <v>-122340.515715824</v>
      </c>
    </row>
    <row r="25" customFormat="false" ht="15" hidden="false" customHeight="false" outlineLevel="0" collapsed="false">
      <c r="A25" s="6" t="s">
        <v>502</v>
      </c>
      <c r="B25" s="22" t="n">
        <f aca="false">Monthly!$C$105</f>
        <v>-125630.269602244</v>
      </c>
      <c r="C25" s="22" t="n">
        <f aca="false">Monthly_Bear!$C$105</f>
        <v>-127349.339660698</v>
      </c>
      <c r="D25" s="22" t="n">
        <f aca="false">Monthly_RecoGates!$C$105</f>
        <v>-116516.373373281</v>
      </c>
      <c r="E25" s="22" t="n">
        <f aca="false">Monthly_Lean!$C$105</f>
        <v>-51538.1778937728</v>
      </c>
      <c r="F25" s="22" t="n">
        <f aca="false">Monthly_Bull!$C$105</f>
        <v>-85896.0870067478</v>
      </c>
    </row>
    <row r="27" customFormat="false" ht="15" hidden="false" customHeight="false" outlineLevel="0" collapsed="false">
      <c r="A27" s="6" t="s">
        <v>503</v>
      </c>
      <c r="B27" s="24" t="n">
        <f aca="false">'Unit Economics'!B22</f>
        <v>2.64601440742447</v>
      </c>
      <c r="C27" s="24" t="n">
        <f aca="false">'Unit Economics'!C22</f>
        <v>0.780880832982254</v>
      </c>
      <c r="D27" s="24" t="n">
        <f aca="false">'Unit Economics'!D22</f>
        <v>2.64601440742447</v>
      </c>
      <c r="E27" s="24" t="n">
        <f aca="false">'Unit Economics'!E22</f>
        <v>2.64601440742447</v>
      </c>
      <c r="F27" s="24" t="n">
        <f aca="false">'Unit Economics'!F22</f>
        <v>5.51529779033519</v>
      </c>
    </row>
    <row r="28" customFormat="false" ht="15" hidden="false" customHeight="false" outlineLevel="0" collapsed="false">
      <c r="A28" s="6" t="s">
        <v>504</v>
      </c>
      <c r="B28" s="25" t="n">
        <f aca="false">'Unit Economics'!B23</f>
        <v>12.5975630517366</v>
      </c>
      <c r="C28" s="25" t="n">
        <f aca="false">'Unit Economics'!C23</f>
        <v>28.4578917596857</v>
      </c>
      <c r="D28" s="25" t="n">
        <f aca="false">'Unit Economics'!D23</f>
        <v>12.5975630517366</v>
      </c>
      <c r="E28" s="25" t="n">
        <f aca="false">'Unit Economics'!E23</f>
        <v>12.5975630517366</v>
      </c>
      <c r="F28" s="25" t="n">
        <f aca="false">'Unit Economics'!F23</f>
        <v>8.05839433046159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505</v>
      </c>
    </row>
    <row r="2" customFormat="false" ht="15" hidden="false" customHeight="false" outlineLevel="0" collapsed="false">
      <c r="A2" s="3" t="s">
        <v>506</v>
      </c>
    </row>
    <row r="4" customFormat="false" ht="15" hidden="false" customHeight="false" outlineLevel="0" collapsed="false">
      <c r="A4" s="5" t="s">
        <v>481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customFormat="false" ht="15" hidden="false" customHeight="false" outlineLevel="0" collapsed="false">
      <c r="A5" s="6" t="s">
        <v>507</v>
      </c>
      <c r="B5" s="26" t="n">
        <f aca="false">Assumptions!$C$13/Assumptions!$C$15</f>
        <v>53.5714285714286</v>
      </c>
      <c r="C5" s="26" t="n">
        <f aca="false">Assumptions!$D$13/Assumptions!$D$15</f>
        <v>35.7142857142857</v>
      </c>
      <c r="D5" s="26" t="n">
        <f aca="false">Assumptions!$E$13/Assumptions!$E$15</f>
        <v>53.5714285714286</v>
      </c>
      <c r="E5" s="26" t="n">
        <f aca="false">Assumptions!$F$13/Assumptions!$F$15</f>
        <v>53.5714285714286</v>
      </c>
      <c r="F5" s="26" t="n">
        <f aca="false">Assumptions!$G$13/Assumptions!$G$15</f>
        <v>71.4285714285714</v>
      </c>
    </row>
    <row r="6" customFormat="false" ht="15" hidden="false" customHeight="false" outlineLevel="0" collapsed="false">
      <c r="A6" s="6" t="s">
        <v>508</v>
      </c>
      <c r="B6" s="9" t="n">
        <f aca="false">Assumptions!$C$60+Assumptions!$C$63/60*Assumptions!$C$62</f>
        <v>3.08333333333333</v>
      </c>
      <c r="C6" s="9" t="n">
        <f aca="false">Assumptions!$D$60+Assumptions!$D$63/60*Assumptions!$D$62</f>
        <v>3.08333333333333</v>
      </c>
      <c r="D6" s="9" t="n">
        <f aca="false">Assumptions!$E$60+Assumptions!$E$63/60*Assumptions!$E$62</f>
        <v>3.08333333333333</v>
      </c>
      <c r="E6" s="9" t="n">
        <f aca="false">Assumptions!$F$60+Assumptions!$F$63/60*Assumptions!$F$62</f>
        <v>3.08333333333333</v>
      </c>
      <c r="F6" s="9" t="n">
        <f aca="false">Assumptions!$G$60+Assumptions!$G$63/60*Assumptions!$G$62</f>
        <v>3.08333333333333</v>
      </c>
    </row>
    <row r="7" customFormat="false" ht="15" hidden="false" customHeight="false" outlineLevel="0" collapsed="false">
      <c r="A7" s="6" t="s">
        <v>509</v>
      </c>
      <c r="B7" s="9" t="n">
        <f aca="false">B5*(Assumptions!$C$61+Assumptions!$C$59*Assumptions!$C$55+Assumptions!$C$16*(Assumptions!$C$58*Assumptions!$C$55+Assumptions!$C$65*Assumptions!$C$66*Assumptions!$C$67))</f>
        <v>1.53857142857143</v>
      </c>
      <c r="C7" s="9" t="n">
        <f aca="false">C5*(Assumptions!$D$61+Assumptions!$D$59*Assumptions!$D$55+Assumptions!$D$16*(Assumptions!$D$58*Assumptions!$D$55+Assumptions!$D$65*Assumptions!$D$66*Assumptions!$D$67))</f>
        <v>1.02571428571429</v>
      </c>
      <c r="D7" s="9" t="n">
        <f aca="false">D5*(Assumptions!$E$61+Assumptions!$E$59*Assumptions!$E$55+Assumptions!$E$16*(Assumptions!$E$58*Assumptions!$E$55+Assumptions!$E$65*Assumptions!$E$66*Assumptions!$E$67))</f>
        <v>1.53857142857143</v>
      </c>
      <c r="E7" s="9" t="n">
        <f aca="false">E5*(Assumptions!$F$61+Assumptions!$F$59*Assumptions!$F$55+Assumptions!$F$16*(Assumptions!$F$58*Assumptions!$F$55+Assumptions!$F$65*Assumptions!$F$66*Assumptions!$F$67))</f>
        <v>1.53857142857143</v>
      </c>
      <c r="F7" s="9" t="n">
        <f aca="false">F5*(Assumptions!$G$61+Assumptions!$G$59*Assumptions!$G$55+Assumptions!$G$16*(Assumptions!$G$58*Assumptions!$G$55+Assumptions!$G$65*Assumptions!$G$66*Assumptions!$G$67))</f>
        <v>2.05142857142857</v>
      </c>
    </row>
    <row r="8" customFormat="false" ht="15" hidden="false" customHeight="false" outlineLevel="0" collapsed="false">
      <c r="A8" s="6" t="s">
        <v>510</v>
      </c>
      <c r="B8" s="9" t="n">
        <f aca="false">B6+B7</f>
        <v>4.62190476190476</v>
      </c>
      <c r="C8" s="9" t="n">
        <f aca="false">C6+C7</f>
        <v>4.10904761904762</v>
      </c>
      <c r="D8" s="9" t="n">
        <f aca="false">D6+D7</f>
        <v>4.62190476190476</v>
      </c>
      <c r="E8" s="9" t="n">
        <f aca="false">E6+E7</f>
        <v>4.62190476190476</v>
      </c>
      <c r="F8" s="9" t="n">
        <f aca="false">F6+F7</f>
        <v>5.1347619047619</v>
      </c>
    </row>
    <row r="9" customFormat="false" ht="15" hidden="false" customHeight="false" outlineLevel="0" collapsed="false">
      <c r="A9" s="6" t="s">
        <v>511</v>
      </c>
      <c r="B9" s="13" t="n">
        <f aca="false">Assumptions!$C$25*(1-(1-((1-(1-Assumptions!$C$30)^(1/12))*Assumptions!$C$40))^24)+Assumptions!$C$26*(1-(1-((1-(1-Assumptions!$C$31)^(1/12))*Assumptions!$C$40))^24)+Assumptions!$C$27*(1-(1-((1-(1-Assumptions!$C$32)^(1/12))*Assumptions!$C$40))^24)+Assumptions!$C$28*(1-(1-((1-(1-Assumptions!$C$33)^(1/12))*Assumptions!$C$40))^24)+Assumptions!$C$29*(1-(1-((1-(1-Assumptions!$C$34)^(1/12))*Assumptions!$C$40))^24)</f>
        <v>0.3515</v>
      </c>
      <c r="C9" s="13" t="n">
        <f aca="false">Assumptions!$D$25*(1-(1-((1-(1-Assumptions!$D$30)^(1/12))*Assumptions!$D$40))^24)+Assumptions!$D$26*(1-(1-((1-(1-Assumptions!$D$31)^(1/12))*Assumptions!$D$40))^24)+Assumptions!$D$27*(1-(1-((1-(1-Assumptions!$D$32)^(1/12))*Assumptions!$D$40))^24)+Assumptions!$D$28*(1-(1-((1-(1-Assumptions!$D$33)^(1/12))*Assumptions!$D$40))^24)+Assumptions!$D$29*(1-(1-((1-(1-Assumptions!$D$34)^(1/12))*Assumptions!$D$40))^24)</f>
        <v>0.234504827226239</v>
      </c>
      <c r="D9" s="13" t="n">
        <f aca="false">Assumptions!$E$25*(1-(1-((1-(1-Assumptions!$E$30)^(1/12))*Assumptions!$E$40))^24)+Assumptions!$E$26*(1-(1-((1-(1-Assumptions!$E$31)^(1/12))*Assumptions!$E$40))^24)+Assumptions!$E$27*(1-(1-((1-(1-Assumptions!$E$32)^(1/12))*Assumptions!$E$40))^24)+Assumptions!$E$28*(1-(1-((1-(1-Assumptions!$E$33)^(1/12))*Assumptions!$E$40))^24)+Assumptions!$E$29*(1-(1-((1-(1-Assumptions!$E$34)^(1/12))*Assumptions!$E$40))^24)</f>
        <v>0.3515</v>
      </c>
      <c r="E9" s="13" t="n">
        <f aca="false">Assumptions!$F$25*(1-(1-((1-(1-Assumptions!$F$30)^(1/12))*Assumptions!$F$40))^24)+Assumptions!$F$26*(1-(1-((1-(1-Assumptions!$F$31)^(1/12))*Assumptions!$F$40))^24)+Assumptions!$F$27*(1-(1-((1-(1-Assumptions!$F$32)^(1/12))*Assumptions!$F$40))^24)+Assumptions!$F$28*(1-(1-((1-(1-Assumptions!$F$33)^(1/12))*Assumptions!$F$40))^24)+Assumptions!$F$29*(1-(1-((1-(1-Assumptions!$F$34)^(1/12))*Assumptions!$F$40))^24)</f>
        <v>0.3515</v>
      </c>
      <c r="F9" s="13" t="n">
        <f aca="false">Assumptions!$G$25*(1-(1-((1-(1-Assumptions!$G$30)^(1/12))*Assumptions!$G$40))^24)+Assumptions!$G$26*(1-(1-((1-(1-Assumptions!$G$31)^(1/12))*Assumptions!$G$40))^24)+Assumptions!$G$27*(1-(1-((1-(1-Assumptions!$G$32)^(1/12))*Assumptions!$G$40))^24)+Assumptions!$G$28*(1-(1-((1-(1-Assumptions!$G$33)^(1/12))*Assumptions!$G$40))^24)+Assumptions!$G$29*(1-(1-((1-(1-Assumptions!$G$34)^(1/12))*Assumptions!$G$40))^24)</f>
        <v>0.424060750017473</v>
      </c>
    </row>
    <row r="10" customFormat="false" ht="15" hidden="false" customHeight="false" outlineLevel="0" collapsed="false">
      <c r="A10" s="6" t="s">
        <v>512</v>
      </c>
      <c r="B10" s="13" t="n">
        <f aca="false">(Assumptions!$C$25*(1-(1-((1-(1-Assumptions!$C$30)^(1/12))*Assumptions!$C$40))^24)*Assumptions!$C$35+Assumptions!$C$26*(1-(1-((1-(1-Assumptions!$C$31)^(1/12))*Assumptions!$C$40))^24)*Assumptions!$C$36+Assumptions!$C$27*(1-(1-((1-(1-Assumptions!$C$32)^(1/12))*Assumptions!$C$40))^24)*Assumptions!$C$37+Assumptions!$C$28*(1-(1-((1-(1-Assumptions!$C$33)^(1/12))*Assumptions!$C$40))^24)*Assumptions!$C$38+Assumptions!$C$29*(1-(1-((1-(1-Assumptions!$C$34)^(1/12))*Assumptions!$C$40))^24)*Assumptions!$C$39)/B9</f>
        <v>0.363897581792319</v>
      </c>
      <c r="C10" s="13" t="n">
        <f aca="false">(Assumptions!$D$25*(1-(1-((1-(1-Assumptions!$D$30)^(1/12))*Assumptions!$D$40))^24)*Assumptions!$D$35+Assumptions!$D$26*(1-(1-((1-(1-Assumptions!$D$31)^(1/12))*Assumptions!$D$40))^24)*Assumptions!$D$36+Assumptions!$D$27*(1-(1-((1-(1-Assumptions!$D$32)^(1/12))*Assumptions!$D$40))^24)*Assumptions!$D$37+Assumptions!$D$28*(1-(1-((1-(1-Assumptions!$D$33)^(1/12))*Assumptions!$D$40))^24)*Assumptions!$D$38+Assumptions!$D$29*(1-(1-((1-(1-Assumptions!$D$34)^(1/12))*Assumptions!$D$40))^24)*Assumptions!$D$39)/C9</f>
        <v>0.382328180407523</v>
      </c>
      <c r="D10" s="13" t="n">
        <f aca="false">(Assumptions!$E$25*(1-(1-((1-(1-Assumptions!$E$30)^(1/12))*Assumptions!$E$40))^24)*Assumptions!$E$35+Assumptions!$E$26*(1-(1-((1-(1-Assumptions!$E$31)^(1/12))*Assumptions!$E$40))^24)*Assumptions!$E$36+Assumptions!$E$27*(1-(1-((1-(1-Assumptions!$E$32)^(1/12))*Assumptions!$E$40))^24)*Assumptions!$E$37+Assumptions!$E$28*(1-(1-((1-(1-Assumptions!$E$33)^(1/12))*Assumptions!$E$40))^24)*Assumptions!$E$38+Assumptions!$E$29*(1-(1-((1-(1-Assumptions!$E$34)^(1/12))*Assumptions!$E$40))^24)*Assumptions!$E$39)/D9</f>
        <v>0.363897581792319</v>
      </c>
      <c r="E10" s="13" t="n">
        <f aca="false">(Assumptions!$F$25*(1-(1-((1-(1-Assumptions!$F$30)^(1/12))*Assumptions!$F$40))^24)*Assumptions!$F$35+Assumptions!$F$26*(1-(1-((1-(1-Assumptions!$F$31)^(1/12))*Assumptions!$F$40))^24)*Assumptions!$F$36+Assumptions!$F$27*(1-(1-((1-(1-Assumptions!$F$32)^(1/12))*Assumptions!$F$40))^24)*Assumptions!$F$37+Assumptions!$F$28*(1-(1-((1-(1-Assumptions!$F$33)^(1/12))*Assumptions!$F$40))^24)*Assumptions!$F$38+Assumptions!$F$29*(1-(1-((1-(1-Assumptions!$F$34)^(1/12))*Assumptions!$F$40))^24)*Assumptions!$F$39)/E9</f>
        <v>0.363897581792319</v>
      </c>
      <c r="F10" s="13" t="n">
        <f aca="false">(Assumptions!$G$25*(1-(1-((1-(1-Assumptions!$G$30)^(1/12))*Assumptions!$G$40))^24)*Assumptions!$G$35+Assumptions!$G$26*(1-(1-((1-(1-Assumptions!$G$31)^(1/12))*Assumptions!$G$40))^24)*Assumptions!$G$36+Assumptions!$G$27*(1-(1-((1-(1-Assumptions!$G$32)^(1/12))*Assumptions!$G$40))^24)*Assumptions!$G$37+Assumptions!$G$28*(1-(1-((1-(1-Assumptions!$G$33)^(1/12))*Assumptions!$G$40))^24)*Assumptions!$G$38+Assumptions!$G$29*(1-(1-((1-(1-Assumptions!$G$34)^(1/12))*Assumptions!$G$40))^24)*Assumptions!$G$39)/F9</f>
        <v>0.351436747696631</v>
      </c>
    </row>
    <row r="11" customFormat="false" ht="15" hidden="false" customHeight="false" outlineLevel="0" collapsed="false">
      <c r="A11" s="6" t="s">
        <v>513</v>
      </c>
      <c r="B11" s="9" t="n">
        <f aca="false">Assumptions!$C$42*(1-B10)+Assumptions!$C$43*B10</f>
        <v>53.5559032716927</v>
      </c>
      <c r="C11" s="9" t="n">
        <f aca="false">Assumptions!$D$42*(1-C10)+Assumptions!$D$43*C10</f>
        <v>54.2931272163009</v>
      </c>
      <c r="D11" s="9" t="n">
        <f aca="false">Assumptions!$E$42*(1-D10)+Assumptions!$E$43*D10</f>
        <v>53.5559032716927</v>
      </c>
      <c r="E11" s="9" t="n">
        <f aca="false">Assumptions!$F$42*(1-E10)+Assumptions!$F$43*E10</f>
        <v>53.5559032716927</v>
      </c>
      <c r="F11" s="9" t="n">
        <f aca="false">Assumptions!$G$42*(1-F10)+Assumptions!$G$43*F10</f>
        <v>53.0574699078653</v>
      </c>
    </row>
    <row r="12" customFormat="false" ht="15" hidden="false" customHeight="false" outlineLevel="0" collapsed="false">
      <c r="A12" s="6" t="s">
        <v>514</v>
      </c>
      <c r="B12" s="9" t="n">
        <f aca="false">Assumptions!$C$45*((Assumptions!$C$46*(1-B10)+Assumptions!$C$47*B10)*(Assumptions!$C$44-Assumptions!$C$51)-Assumptions!$C$52)</f>
        <v>10.1209246088193</v>
      </c>
      <c r="C12" s="9" t="n">
        <f aca="false">Assumptions!$D$45*((Assumptions!$D$46*(1-C10)+Assumptions!$D$47*C10)*(Assumptions!$D$44-Assumptions!$D$51)-Assumptions!$D$52)</f>
        <v>6.87629726285266</v>
      </c>
      <c r="D12" s="9" t="n">
        <f aca="false">Assumptions!$E$45*((Assumptions!$E$46*(1-D10)+Assumptions!$E$47*D10)*(Assumptions!$E$44-Assumptions!$E$51)-Assumptions!$E$52)</f>
        <v>10.1209246088193</v>
      </c>
      <c r="E12" s="9" t="n">
        <f aca="false">Assumptions!$F$45*((Assumptions!$F$46*(1-E10)+Assumptions!$F$47*E10)*(Assumptions!$F$44-Assumptions!$F$51)-Assumptions!$F$52)</f>
        <v>10.1209246088193</v>
      </c>
      <c r="F12" s="9" t="n">
        <f aca="false">Assumptions!$G$45*((Assumptions!$G$46*(1-F10)+Assumptions!$G$47*F10)*(Assumptions!$G$44-Assumptions!$G$51)-Assumptions!$G$52)</f>
        <v>12.4876073135183</v>
      </c>
    </row>
    <row r="13" customFormat="false" ht="15" hidden="false" customHeight="false" outlineLevel="0" collapsed="false">
      <c r="A13" s="6" t="s">
        <v>515</v>
      </c>
      <c r="B13" s="9" t="n">
        <f aca="false">(Assumptions!$C$56*(1-B10)+Assumptions!$C$57*B10)*Assumptions!$C$55</f>
        <v>11.4034480796586</v>
      </c>
      <c r="C13" s="9" t="n">
        <f aca="false">(Assumptions!$D$56*(1-C10)+Assumptions!$D$57*C10)*Assumptions!$D$55</f>
        <v>11.6467319813793</v>
      </c>
      <c r="D13" s="9" t="n">
        <f aca="false">(Assumptions!$E$56*(1-D10)+Assumptions!$E$57*D10)*Assumptions!$E$55</f>
        <v>11.4034480796586</v>
      </c>
      <c r="E13" s="9" t="n">
        <f aca="false">(Assumptions!$F$56*(1-E10)+Assumptions!$F$57*E10)*Assumptions!$F$55</f>
        <v>11.4034480796586</v>
      </c>
      <c r="F13" s="9" t="n">
        <f aca="false">(Assumptions!$G$56*(1-F10)+Assumptions!$G$57*F10)*Assumptions!$G$55</f>
        <v>11.2389650695955</v>
      </c>
    </row>
    <row r="14" customFormat="false" ht="15" hidden="false" customHeight="false" outlineLevel="0" collapsed="false">
      <c r="A14" s="6" t="s">
        <v>516</v>
      </c>
      <c r="B14" s="9" t="n">
        <f aca="false">B11*Assumptions!$C$53+Assumptions!$C$54</f>
        <v>2.12090071123755</v>
      </c>
      <c r="C14" s="9" t="n">
        <f aca="false">C11*Assumptions!$D$53+Assumptions!$D$54</f>
        <v>2.14596632535423</v>
      </c>
      <c r="D14" s="9" t="n">
        <f aca="false">D11*Assumptions!$E$53+Assumptions!$E$54</f>
        <v>2.12090071123755</v>
      </c>
      <c r="E14" s="9" t="n">
        <f aca="false">E11*Assumptions!$F$53+Assumptions!$F$54</f>
        <v>2.12090071123755</v>
      </c>
      <c r="F14" s="9" t="n">
        <f aca="false">F11*Assumptions!$G$53+Assumptions!$G$54</f>
        <v>2.10395397686742</v>
      </c>
    </row>
    <row r="15" customFormat="false" ht="15" hidden="false" customHeight="false" outlineLevel="0" collapsed="false">
      <c r="A15" s="6" t="s">
        <v>517</v>
      </c>
      <c r="B15" s="9" t="n">
        <f aca="false">Assumptions!$C$64/60*Assumptions!$C$62</f>
        <v>6.25</v>
      </c>
      <c r="C15" s="9" t="n">
        <f aca="false">Assumptions!$D$64/60*Assumptions!$D$62</f>
        <v>6.25</v>
      </c>
      <c r="D15" s="9" t="n">
        <f aca="false">Assumptions!$E$64/60*Assumptions!$E$62</f>
        <v>6.25</v>
      </c>
      <c r="E15" s="9" t="n">
        <f aca="false">Assumptions!$F$64/60*Assumptions!$F$62</f>
        <v>6.25</v>
      </c>
      <c r="F15" s="9" t="n">
        <f aca="false">Assumptions!$G$64/60*Assumptions!$G$62</f>
        <v>6.25</v>
      </c>
    </row>
    <row r="16" customFormat="false" ht="15" hidden="false" customHeight="false" outlineLevel="0" collapsed="false">
      <c r="A16" s="5" t="s">
        <v>518</v>
      </c>
      <c r="B16" s="9" t="n">
        <f aca="false">B11+B12-B13-B14-B15</f>
        <v>43.9024790896159</v>
      </c>
      <c r="C16" s="9" t="n">
        <f aca="false">C11+C12-C13-C14-C15</f>
        <v>41.12672617242</v>
      </c>
      <c r="D16" s="9" t="n">
        <f aca="false">D11+D12-D13-D14-D15</f>
        <v>43.9024790896159</v>
      </c>
      <c r="E16" s="9" t="n">
        <f aca="false">E11+E12-E13-E14-E15</f>
        <v>43.9024790896159</v>
      </c>
      <c r="F16" s="9" t="n">
        <f aca="false">F11+F12-F13-F14-F15</f>
        <v>45.9521581749206</v>
      </c>
    </row>
    <row r="17" customFormat="false" ht="15" hidden="false" customHeight="false" outlineLevel="0" collapsed="false">
      <c r="A17" s="6" t="s">
        <v>519</v>
      </c>
      <c r="B17" s="9" t="n">
        <f aca="false">Assumptions!$C$91*(Assumptions!$C$86*Assumptions!$C$83*(1+Assumptions!$C$85)+Assumptions!$C$11*Assumptions!$C$87*(1+Assumptions!$C$85)+Assumptions!$C$88+Assumptions!$C$89/Assumptions!$C$10)</f>
        <v>106.09625</v>
      </c>
      <c r="C17" s="9" t="n">
        <f aca="false">Assumptions!$D$91*(Assumptions!$D$86*Assumptions!$D$83*(1+Assumptions!$D$85)+Assumptions!$D$11*Assumptions!$D$87*(1+Assumptions!$D$85)+Assumptions!$D$88+Assumptions!$D$89/Assumptions!$D$10)</f>
        <v>131.36725</v>
      </c>
      <c r="D17" s="9" t="n">
        <f aca="false">Assumptions!$E$91*(Assumptions!$E$86*Assumptions!$E$83*(1+Assumptions!$E$85)+Assumptions!$E$11*Assumptions!$E$87*(1+Assumptions!$E$85)+Assumptions!$E$88+Assumptions!$E$89/Assumptions!$E$10)</f>
        <v>106.09625</v>
      </c>
      <c r="E17" s="9" t="n">
        <f aca="false">Assumptions!$F$91*(Assumptions!$F$86*Assumptions!$F$83*(1+Assumptions!$F$85)+Assumptions!$F$11*Assumptions!$F$87*(1+Assumptions!$F$85)+Assumptions!$F$88+Assumptions!$F$89/Assumptions!$F$10)</f>
        <v>106.09625</v>
      </c>
      <c r="F17" s="9" t="n">
        <f aca="false">Assumptions!$G$91*(Assumptions!$G$86*Assumptions!$G$83*(1+Assumptions!$G$85)+Assumptions!$G$11*Assumptions!$G$87*(1+Assumptions!$G$85)+Assumptions!$G$88+Assumptions!$G$89/Assumptions!$G$10)</f>
        <v>95.0788421052631</v>
      </c>
    </row>
    <row r="18" customFormat="false" ht="15" hidden="false" customHeight="false" outlineLevel="0" collapsed="false">
      <c r="A18" s="6" t="s">
        <v>520</v>
      </c>
      <c r="B18" s="9" t="n">
        <f aca="false">B17/Assumptions!$C$11</f>
        <v>176.827083333333</v>
      </c>
      <c r="C18" s="9" t="n">
        <f aca="false">C17/Assumptions!$D$11</f>
        <v>262.7345</v>
      </c>
      <c r="D18" s="9" t="n">
        <f aca="false">D17/Assumptions!$E$11</f>
        <v>176.827083333333</v>
      </c>
      <c r="E18" s="9" t="n">
        <f aca="false">E17/Assumptions!$F$11</f>
        <v>176.827083333333</v>
      </c>
      <c r="F18" s="9" t="n">
        <f aca="false">F17/Assumptions!$G$11</f>
        <v>135.826917293233</v>
      </c>
    </row>
    <row r="19" customFormat="false" ht="15" hidden="false" customHeight="false" outlineLevel="0" collapsed="false">
      <c r="A19" s="5" t="s">
        <v>521</v>
      </c>
      <c r="B19" s="9" t="n">
        <f aca="false">B17/(Assumptions!$C$11*B9)+Assumptions!$C$90*Assumptions!$C$91</f>
        <v>553.064248458986</v>
      </c>
      <c r="C19" s="9" t="n">
        <f aca="false">C17/(Assumptions!$D$11*C9)+Assumptions!$D$90*Assumptions!$D$91</f>
        <v>1170.37992184496</v>
      </c>
      <c r="D19" s="9" t="n">
        <f aca="false">D17/(Assumptions!$E$11*D9)+Assumptions!$E$90*Assumptions!$E$91</f>
        <v>553.064248458986</v>
      </c>
      <c r="E19" s="9" t="n">
        <f aca="false">E17/(Assumptions!$F$11*E9)+Assumptions!$F$90*Assumptions!$F$91</f>
        <v>553.064248458986</v>
      </c>
      <c r="F19" s="9" t="n">
        <f aca="false">F17/(Assumptions!$G$11*F9)+Assumptions!$G$90*Assumptions!$G$91</f>
        <v>370.300610909254</v>
      </c>
    </row>
    <row r="20" customFormat="false" ht="15" hidden="false" customHeight="false" outlineLevel="0" collapsed="false">
      <c r="A20" s="6" t="s">
        <v>522</v>
      </c>
      <c r="B20" s="26" t="n">
        <f aca="false">1/Assumptions!$C$41</f>
        <v>33.3333333333333</v>
      </c>
      <c r="C20" s="26" t="n">
        <f aca="false">1/Assumptions!$D$41</f>
        <v>22.2222222222222</v>
      </c>
      <c r="D20" s="26" t="n">
        <f aca="false">1/Assumptions!$E$41</f>
        <v>33.3333333333333</v>
      </c>
      <c r="E20" s="26" t="n">
        <f aca="false">1/Assumptions!$F$41</f>
        <v>33.3333333333333</v>
      </c>
      <c r="F20" s="26" t="n">
        <f aca="false">1/Assumptions!$G$41</f>
        <v>44.4444444444444</v>
      </c>
    </row>
    <row r="21" customFormat="false" ht="15" hidden="false" customHeight="false" outlineLevel="0" collapsed="false">
      <c r="A21" s="6" t="s">
        <v>523</v>
      </c>
      <c r="B21" s="17" t="n">
        <f aca="false">B16*B20</f>
        <v>1463.41596965386</v>
      </c>
      <c r="C21" s="17" t="n">
        <f aca="false">C16*C20</f>
        <v>913.927248276001</v>
      </c>
      <c r="D21" s="17" t="n">
        <f aca="false">D16*D20</f>
        <v>1463.41596965386</v>
      </c>
      <c r="E21" s="17" t="n">
        <f aca="false">E16*E20</f>
        <v>1463.41596965386</v>
      </c>
      <c r="F21" s="17" t="n">
        <f aca="false">F16*F20</f>
        <v>2042.31814110758</v>
      </c>
    </row>
    <row r="22" customFormat="false" ht="15" hidden="false" customHeight="false" outlineLevel="0" collapsed="false">
      <c r="A22" s="5" t="s">
        <v>524</v>
      </c>
      <c r="B22" s="27" t="n">
        <f aca="false">B21/B19</f>
        <v>2.64601440742447</v>
      </c>
      <c r="C22" s="27" t="n">
        <f aca="false">C21/C19</f>
        <v>0.780880832982254</v>
      </c>
      <c r="D22" s="27" t="n">
        <f aca="false">D21/D19</f>
        <v>2.64601440742447</v>
      </c>
      <c r="E22" s="27" t="n">
        <f aca="false">E21/E19</f>
        <v>2.64601440742447</v>
      </c>
      <c r="F22" s="27" t="n">
        <f aca="false">F21/F19</f>
        <v>5.51529779033519</v>
      </c>
    </row>
    <row r="23" customFormat="false" ht="15" hidden="false" customHeight="false" outlineLevel="0" collapsed="false">
      <c r="A23" s="6" t="s">
        <v>525</v>
      </c>
      <c r="B23" s="26" t="n">
        <f aca="false">B19/B16</f>
        <v>12.5975630517366</v>
      </c>
      <c r="C23" s="26" t="n">
        <f aca="false">C19/C16</f>
        <v>28.4578917596857</v>
      </c>
      <c r="D23" s="26" t="n">
        <f aca="false">D19/D16</f>
        <v>12.5975630517366</v>
      </c>
      <c r="E23" s="26" t="n">
        <f aca="false">E19/E16</f>
        <v>12.5975630517366</v>
      </c>
      <c r="F23" s="26" t="n">
        <f aca="false">F19/F16</f>
        <v>8.05839433046159</v>
      </c>
    </row>
    <row r="24" customFormat="false" ht="15" hidden="false" customHeight="false" outlineLevel="0" collapsed="false">
      <c r="A24" s="6" t="s">
        <v>526</v>
      </c>
      <c r="B24" s="17" t="n">
        <f aca="false">(1-B9)/B9*B8*24</f>
        <v>204.652420239789</v>
      </c>
      <c r="C24" s="17" t="n">
        <f aca="false">(1-C9)/C9*C8*24</f>
        <v>321.916387405762</v>
      </c>
      <c r="D24" s="17" t="n">
        <f aca="false">(1-D9)/D9*D8*24</f>
        <v>204.652420239789</v>
      </c>
      <c r="E24" s="17" t="n">
        <f aca="false">(1-E9)/E9*E8*24</f>
        <v>204.652420239789</v>
      </c>
      <c r="F24" s="17" t="n">
        <f aca="false">(1-F9)/F9*F8*24</f>
        <v>167.370977114703</v>
      </c>
    </row>
    <row r="25" customFormat="false" ht="15" hidden="false" customHeight="false" outlineLevel="0" collapsed="false">
      <c r="A25" s="6" t="s">
        <v>527</v>
      </c>
      <c r="B25" s="27" t="n">
        <f aca="false">B21/(B19+B24)</f>
        <v>1.93134984369156</v>
      </c>
      <c r="C25" s="27" t="n">
        <f aca="false">C21/(C19+C24)</f>
        <v>0.61243014715682</v>
      </c>
      <c r="D25" s="27" t="n">
        <f aca="false">D21/(D19+D24)</f>
        <v>1.93134984369156</v>
      </c>
      <c r="E25" s="27" t="n">
        <f aca="false">E21/(E19+E24)</f>
        <v>1.93134984369156</v>
      </c>
      <c r="F25" s="27" t="n">
        <f aca="false">F21/(F19+F24)</f>
        <v>3.79844906555967</v>
      </c>
    </row>
    <row r="26" customFormat="false" ht="15" hidden="false" customHeight="false" outlineLevel="0" collapsed="false">
      <c r="A26" s="6" t="s">
        <v>528</v>
      </c>
      <c r="B26" s="15" t="n">
        <f aca="false">Assumptions!$C$49+Assumptions!$C$50/Assumptions!$C$48+Assumptions!$C$44</f>
        <v>0.0450714285714286</v>
      </c>
      <c r="C26" s="15" t="n">
        <f aca="false">Assumptions!$D$49+Assumptions!$D$50/Assumptions!$D$48+Assumptions!$D$44</f>
        <v>0.0450714285714286</v>
      </c>
      <c r="D26" s="15" t="n">
        <f aca="false">Assumptions!$E$49+Assumptions!$E$50/Assumptions!$E$48+Assumptions!$E$44</f>
        <v>0.0450714285714286</v>
      </c>
      <c r="E26" s="15" t="n">
        <f aca="false">Assumptions!$F$49+Assumptions!$F$50/Assumptions!$F$48+Assumptions!$F$44</f>
        <v>0.0450714285714286</v>
      </c>
      <c r="F26" s="15" t="n">
        <f aca="false">Assumptions!$G$49+Assumptions!$G$50/Assumptions!$G$48+Assumptions!$G$44</f>
        <v>0.0450714285714286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63" min="3" style="0" width="11"/>
  </cols>
  <sheetData>
    <row r="1" customFormat="false" ht="17.35" hidden="false" customHeight="false" outlineLevel="0" collapsed="false">
      <c r="A1" s="1" t="s">
        <v>529</v>
      </c>
    </row>
    <row r="2" customFormat="false" ht="15" hidden="false" customHeight="false" outlineLevel="0" collapsed="false">
      <c r="A2" s="3" t="s">
        <v>530</v>
      </c>
    </row>
    <row r="4" customFormat="false" ht="15" hidden="false" customHeight="false" outlineLevel="0" collapsed="false">
      <c r="B4" s="5" t="s">
        <v>531</v>
      </c>
      <c r="C4" s="4" t="n">
        <v>0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19" t="n">
        <v>37</v>
      </c>
      <c r="AO4" s="19" t="n">
        <v>38</v>
      </c>
      <c r="AP4" s="19" t="n">
        <v>39</v>
      </c>
      <c r="AQ4" s="19" t="n">
        <v>40</v>
      </c>
      <c r="AR4" s="19" t="n">
        <v>41</v>
      </c>
      <c r="AS4" s="19" t="n">
        <v>42</v>
      </c>
      <c r="AT4" s="19" t="n">
        <v>43</v>
      </c>
      <c r="AU4" s="19" t="n">
        <v>44</v>
      </c>
      <c r="AV4" s="19" t="n">
        <v>45</v>
      </c>
      <c r="AW4" s="19" t="n">
        <v>46</v>
      </c>
      <c r="AX4" s="19" t="n">
        <v>47</v>
      </c>
      <c r="AY4" s="19" t="n">
        <v>48</v>
      </c>
      <c r="AZ4" s="19" t="n">
        <v>49</v>
      </c>
      <c r="BA4" s="19" t="n">
        <v>50</v>
      </c>
      <c r="BB4" s="19" t="n">
        <v>51</v>
      </c>
      <c r="BC4" s="19" t="n">
        <v>52</v>
      </c>
      <c r="BD4" s="19" t="n">
        <v>53</v>
      </c>
      <c r="BE4" s="19" t="n">
        <v>54</v>
      </c>
      <c r="BF4" s="19" t="n">
        <v>55</v>
      </c>
      <c r="BG4" s="19" t="n">
        <v>56</v>
      </c>
      <c r="BH4" s="19" t="n">
        <v>57</v>
      </c>
      <c r="BI4" s="19" t="n">
        <v>58</v>
      </c>
      <c r="BJ4" s="19" t="n">
        <v>59</v>
      </c>
      <c r="BK4" s="19" t="n">
        <v>60</v>
      </c>
    </row>
    <row r="5" customFormat="false" ht="15" hidden="false" customHeight="false" outlineLevel="0" collapsed="false">
      <c r="B5" s="5" t="s">
        <v>402</v>
      </c>
      <c r="C5" s="5" t="s">
        <v>532</v>
      </c>
      <c r="D5" s="5" t="s">
        <v>403</v>
      </c>
      <c r="E5" s="5" t="s">
        <v>404</v>
      </c>
      <c r="F5" s="5" t="s">
        <v>405</v>
      </c>
      <c r="G5" s="5" t="s">
        <v>406</v>
      </c>
      <c r="H5" s="5" t="s">
        <v>407</v>
      </c>
      <c r="I5" s="5" t="s">
        <v>408</v>
      </c>
      <c r="J5" s="5" t="s">
        <v>409</v>
      </c>
      <c r="K5" s="5" t="s">
        <v>410</v>
      </c>
      <c r="L5" s="5" t="s">
        <v>411</v>
      </c>
      <c r="M5" s="5" t="s">
        <v>412</v>
      </c>
      <c r="N5" s="5" t="s">
        <v>413</v>
      </c>
      <c r="O5" s="5" t="s">
        <v>414</v>
      </c>
      <c r="P5" s="5" t="s">
        <v>415</v>
      </c>
      <c r="Q5" s="5" t="s">
        <v>416</v>
      </c>
      <c r="R5" s="5" t="s">
        <v>417</v>
      </c>
      <c r="S5" s="5" t="s">
        <v>418</v>
      </c>
      <c r="T5" s="5" t="s">
        <v>419</v>
      </c>
      <c r="U5" s="5" t="s">
        <v>420</v>
      </c>
      <c r="V5" s="5" t="s">
        <v>421</v>
      </c>
      <c r="W5" s="5" t="s">
        <v>422</v>
      </c>
      <c r="X5" s="5" t="s">
        <v>423</v>
      </c>
      <c r="Y5" s="5" t="s">
        <v>424</v>
      </c>
      <c r="Z5" s="5" t="s">
        <v>425</v>
      </c>
      <c r="AA5" s="5" t="s">
        <v>426</v>
      </c>
      <c r="AB5" s="5" t="s">
        <v>427</v>
      </c>
      <c r="AC5" s="5" t="s">
        <v>428</v>
      </c>
      <c r="AD5" s="5" t="s">
        <v>429</v>
      </c>
      <c r="AE5" s="5" t="s">
        <v>430</v>
      </c>
      <c r="AF5" s="5" t="s">
        <v>431</v>
      </c>
      <c r="AG5" s="5" t="s">
        <v>432</v>
      </c>
      <c r="AH5" s="5" t="s">
        <v>433</v>
      </c>
      <c r="AI5" s="5" t="s">
        <v>434</v>
      </c>
      <c r="AJ5" s="5" t="s">
        <v>435</v>
      </c>
      <c r="AK5" s="5" t="s">
        <v>436</v>
      </c>
      <c r="AL5" s="5" t="s">
        <v>437</v>
      </c>
      <c r="AM5" s="5" t="s">
        <v>438</v>
      </c>
      <c r="AN5" s="5" t="s">
        <v>439</v>
      </c>
      <c r="AO5" s="5" t="s">
        <v>440</v>
      </c>
      <c r="AP5" s="5" t="s">
        <v>441</v>
      </c>
      <c r="AQ5" s="5" t="s">
        <v>442</v>
      </c>
      <c r="AR5" s="5" t="s">
        <v>443</v>
      </c>
      <c r="AS5" s="5" t="s">
        <v>444</v>
      </c>
      <c r="AT5" s="5" t="s">
        <v>445</v>
      </c>
      <c r="AU5" s="5" t="s">
        <v>446</v>
      </c>
      <c r="AV5" s="5" t="s">
        <v>447</v>
      </c>
      <c r="AW5" s="5" t="s">
        <v>448</v>
      </c>
      <c r="AX5" s="5" t="s">
        <v>449</v>
      </c>
      <c r="AY5" s="5" t="s">
        <v>450</v>
      </c>
      <c r="AZ5" s="5" t="s">
        <v>451</v>
      </c>
      <c r="BA5" s="5" t="s">
        <v>452</v>
      </c>
      <c r="BB5" s="5" t="s">
        <v>453</v>
      </c>
      <c r="BC5" s="5" t="s">
        <v>454</v>
      </c>
      <c r="BD5" s="5" t="s">
        <v>455</v>
      </c>
      <c r="BE5" s="5" t="s">
        <v>456</v>
      </c>
      <c r="BF5" s="5" t="s">
        <v>457</v>
      </c>
      <c r="BG5" s="5" t="s">
        <v>458</v>
      </c>
      <c r="BH5" s="5" t="s">
        <v>459</v>
      </c>
      <c r="BI5" s="5" t="s">
        <v>460</v>
      </c>
      <c r="BJ5" s="5" t="s">
        <v>461</v>
      </c>
      <c r="BK5" s="5" t="s">
        <v>462</v>
      </c>
    </row>
    <row r="6" customFormat="false" ht="15" hidden="false" customHeight="false" outlineLevel="0" collapsed="false">
      <c r="B6" s="5" t="s">
        <v>533</v>
      </c>
    </row>
    <row r="7" customFormat="false" ht="15" hidden="false" customHeight="false" outlineLevel="0" collapsed="false">
      <c r="A7" s="28" t="s">
        <v>534</v>
      </c>
      <c r="B7" s="6" t="s">
        <v>531</v>
      </c>
      <c r="C7" s="29" t="n">
        <v>0</v>
      </c>
      <c r="D7" s="30" t="n">
        <v>1</v>
      </c>
      <c r="E7" s="30" t="n">
        <v>2</v>
      </c>
      <c r="F7" s="30" t="n">
        <v>3</v>
      </c>
      <c r="G7" s="30" t="n">
        <v>4</v>
      </c>
      <c r="H7" s="30" t="n">
        <v>5</v>
      </c>
      <c r="I7" s="30" t="n">
        <v>6</v>
      </c>
      <c r="J7" s="30" t="n">
        <v>7</v>
      </c>
      <c r="K7" s="30" t="n">
        <v>8</v>
      </c>
      <c r="L7" s="30" t="n">
        <v>9</v>
      </c>
      <c r="M7" s="30" t="n">
        <v>10</v>
      </c>
      <c r="N7" s="30" t="n">
        <v>11</v>
      </c>
      <c r="O7" s="30" t="n">
        <v>12</v>
      </c>
      <c r="P7" s="30" t="n">
        <v>13</v>
      </c>
      <c r="Q7" s="30" t="n">
        <v>14</v>
      </c>
      <c r="R7" s="30" t="n">
        <v>15</v>
      </c>
      <c r="S7" s="30" t="n">
        <v>16</v>
      </c>
      <c r="T7" s="30" t="n">
        <v>17</v>
      </c>
      <c r="U7" s="30" t="n">
        <v>18</v>
      </c>
      <c r="V7" s="30" t="n">
        <v>19</v>
      </c>
      <c r="W7" s="30" t="n">
        <v>20</v>
      </c>
      <c r="X7" s="30" t="n">
        <v>21</v>
      </c>
      <c r="Y7" s="30" t="n">
        <v>22</v>
      </c>
      <c r="Z7" s="30" t="n">
        <v>23</v>
      </c>
      <c r="AA7" s="30" t="n">
        <v>24</v>
      </c>
      <c r="AB7" s="30" t="n">
        <v>25</v>
      </c>
      <c r="AC7" s="30" t="n">
        <v>26</v>
      </c>
      <c r="AD7" s="30" t="n">
        <v>27</v>
      </c>
      <c r="AE7" s="30" t="n">
        <v>28</v>
      </c>
      <c r="AF7" s="30" t="n">
        <v>29</v>
      </c>
      <c r="AG7" s="30" t="n">
        <v>30</v>
      </c>
      <c r="AH7" s="30" t="n">
        <v>31</v>
      </c>
      <c r="AI7" s="30" t="n">
        <v>32</v>
      </c>
      <c r="AJ7" s="30" t="n">
        <v>33</v>
      </c>
      <c r="AK7" s="30" t="n">
        <v>34</v>
      </c>
      <c r="AL7" s="30" t="n">
        <v>35</v>
      </c>
      <c r="AM7" s="30" t="n">
        <v>36</v>
      </c>
      <c r="AN7" s="31" t="n">
        <v>37</v>
      </c>
      <c r="AO7" s="31" t="n">
        <v>38</v>
      </c>
      <c r="AP7" s="31" t="n">
        <v>39</v>
      </c>
      <c r="AQ7" s="31" t="n">
        <v>40</v>
      </c>
      <c r="AR7" s="31" t="n">
        <v>41</v>
      </c>
      <c r="AS7" s="31" t="n">
        <v>42</v>
      </c>
      <c r="AT7" s="31" t="n">
        <v>43</v>
      </c>
      <c r="AU7" s="31" t="n">
        <v>44</v>
      </c>
      <c r="AV7" s="31" t="n">
        <v>45</v>
      </c>
      <c r="AW7" s="31" t="n">
        <v>46</v>
      </c>
      <c r="AX7" s="31" t="n">
        <v>47</v>
      </c>
      <c r="AY7" s="31" t="n">
        <v>48</v>
      </c>
      <c r="AZ7" s="31" t="n">
        <v>49</v>
      </c>
      <c r="BA7" s="31" t="n">
        <v>50</v>
      </c>
      <c r="BB7" s="31" t="n">
        <v>51</v>
      </c>
      <c r="BC7" s="31" t="n">
        <v>52</v>
      </c>
      <c r="BD7" s="31" t="n">
        <v>53</v>
      </c>
      <c r="BE7" s="31" t="n">
        <v>54</v>
      </c>
      <c r="BF7" s="31" t="n">
        <v>55</v>
      </c>
      <c r="BG7" s="31" t="n">
        <v>56</v>
      </c>
      <c r="BH7" s="31" t="n">
        <v>57</v>
      </c>
      <c r="BI7" s="31" t="n">
        <v>58</v>
      </c>
      <c r="BJ7" s="31" t="n">
        <v>59</v>
      </c>
      <c r="BK7" s="31" t="n">
        <v>60</v>
      </c>
    </row>
    <row r="8" customFormat="false" ht="15" hidden="false" customHeight="false" outlineLevel="0" collapsed="false">
      <c r="A8" s="28" t="s">
        <v>535</v>
      </c>
      <c r="B8" s="6" t="s">
        <v>536</v>
      </c>
      <c r="C8" s="32" t="n">
        <v>0</v>
      </c>
      <c r="D8" s="23" t="n">
        <f aca="false">Assumptions!C$139</f>
        <v>0</v>
      </c>
      <c r="E8" s="23" t="n">
        <f aca="false">Assumptions!D$139</f>
        <v>0</v>
      </c>
      <c r="F8" s="23" t="n">
        <f aca="false">Assumptions!E$139</f>
        <v>0</v>
      </c>
      <c r="G8" s="23" t="n">
        <f aca="false">Assumptions!F$139</f>
        <v>0</v>
      </c>
      <c r="H8" s="23" t="n">
        <f aca="false">Assumptions!G$139</f>
        <v>1</v>
      </c>
      <c r="I8" s="23" t="n">
        <f aca="false">Assumptions!H$139</f>
        <v>0</v>
      </c>
      <c r="J8" s="23" t="n">
        <f aca="false">Assumptions!I$139</f>
        <v>0</v>
      </c>
      <c r="K8" s="23" t="n">
        <f aca="false">Assumptions!J$139</f>
        <v>1</v>
      </c>
      <c r="L8" s="23" t="n">
        <f aca="false">Assumptions!K$139</f>
        <v>0</v>
      </c>
      <c r="M8" s="23" t="n">
        <f aca="false">Assumptions!L$139</f>
        <v>0</v>
      </c>
      <c r="N8" s="23" t="n">
        <f aca="false">Assumptions!M$139</f>
        <v>1</v>
      </c>
      <c r="O8" s="23" t="n">
        <f aca="false">Assumptions!N$139</f>
        <v>1</v>
      </c>
      <c r="P8" s="23" t="n">
        <f aca="false">Assumptions!O$139</f>
        <v>0</v>
      </c>
      <c r="Q8" s="23" t="n">
        <f aca="false">Assumptions!P$139</f>
        <v>1</v>
      </c>
      <c r="R8" s="23" t="n">
        <f aca="false">Assumptions!Q$139</f>
        <v>1</v>
      </c>
      <c r="S8" s="23" t="n">
        <f aca="false">Assumptions!R$139</f>
        <v>0</v>
      </c>
      <c r="T8" s="23" t="n">
        <f aca="false">Assumptions!S$139</f>
        <v>1</v>
      </c>
      <c r="U8" s="23" t="n">
        <f aca="false">Assumptions!T$139</f>
        <v>1</v>
      </c>
      <c r="V8" s="23" t="n">
        <f aca="false">Assumptions!U$139</f>
        <v>1</v>
      </c>
      <c r="W8" s="23" t="n">
        <f aca="false">Assumptions!V$139</f>
        <v>1</v>
      </c>
      <c r="X8" s="23" t="n">
        <f aca="false">Assumptions!W$139</f>
        <v>1</v>
      </c>
      <c r="Y8" s="23" t="n">
        <f aca="false">Assumptions!X$139</f>
        <v>1</v>
      </c>
      <c r="Z8" s="23" t="n">
        <f aca="false">Assumptions!Y$139</f>
        <v>1</v>
      </c>
      <c r="AA8" s="23" t="n">
        <f aca="false">Assumptions!Z$139</f>
        <v>1</v>
      </c>
      <c r="AB8" s="23" t="n">
        <f aca="false">Assumptions!AA$139</f>
        <v>1</v>
      </c>
      <c r="AC8" s="23" t="n">
        <f aca="false">Assumptions!AB$139</f>
        <v>1</v>
      </c>
      <c r="AD8" s="23" t="n">
        <f aca="false">Assumptions!AC$139</f>
        <v>1</v>
      </c>
      <c r="AE8" s="23" t="n">
        <f aca="false">Assumptions!AD$139</f>
        <v>1</v>
      </c>
      <c r="AF8" s="23" t="n">
        <f aca="false">Assumptions!AE$139</f>
        <v>2</v>
      </c>
      <c r="AG8" s="23" t="n">
        <f aca="false">Assumptions!AF$139</f>
        <v>1</v>
      </c>
      <c r="AH8" s="23" t="n">
        <f aca="false">Assumptions!AG$139</f>
        <v>1</v>
      </c>
      <c r="AI8" s="23" t="n">
        <f aca="false">Assumptions!AH$139</f>
        <v>2</v>
      </c>
      <c r="AJ8" s="23" t="n">
        <f aca="false">Assumptions!AI$139</f>
        <v>1</v>
      </c>
      <c r="AK8" s="23" t="n">
        <f aca="false">Assumptions!AJ$139</f>
        <v>1</v>
      </c>
      <c r="AL8" s="23" t="n">
        <f aca="false">Assumptions!AK$139</f>
        <v>2</v>
      </c>
      <c r="AM8" s="23" t="n">
        <f aca="false">Assumptions!AL$139</f>
        <v>1</v>
      </c>
      <c r="AN8" s="33" t="n">
        <f aca="false">Assumptions!AM$139</f>
        <v>1</v>
      </c>
      <c r="AO8" s="33" t="n">
        <f aca="false">Assumptions!AN$139</f>
        <v>2</v>
      </c>
      <c r="AP8" s="33" t="n">
        <f aca="false">Assumptions!AO$139</f>
        <v>1</v>
      </c>
      <c r="AQ8" s="33" t="n">
        <f aca="false">Assumptions!AP$139</f>
        <v>1</v>
      </c>
      <c r="AR8" s="33" t="n">
        <f aca="false">Assumptions!AQ$139</f>
        <v>2</v>
      </c>
      <c r="AS8" s="33" t="n">
        <f aca="false">Assumptions!AR$139</f>
        <v>1</v>
      </c>
      <c r="AT8" s="33" t="n">
        <f aca="false">Assumptions!AS$139</f>
        <v>1</v>
      </c>
      <c r="AU8" s="33" t="n">
        <f aca="false">Assumptions!AT$139</f>
        <v>2</v>
      </c>
      <c r="AV8" s="33" t="n">
        <f aca="false">Assumptions!AU$139</f>
        <v>1</v>
      </c>
      <c r="AW8" s="33" t="n">
        <f aca="false">Assumptions!AV$139</f>
        <v>1</v>
      </c>
      <c r="AX8" s="33" t="n">
        <f aca="false">Assumptions!AW$139</f>
        <v>2</v>
      </c>
      <c r="AY8" s="33" t="n">
        <f aca="false">Assumptions!AX$139</f>
        <v>1</v>
      </c>
      <c r="AZ8" s="33" t="n">
        <f aca="false">Assumptions!AY$139</f>
        <v>1</v>
      </c>
      <c r="BA8" s="33" t="n">
        <f aca="false">Assumptions!AZ$139</f>
        <v>2</v>
      </c>
      <c r="BB8" s="33" t="n">
        <f aca="false">Assumptions!BA$139</f>
        <v>1</v>
      </c>
      <c r="BC8" s="33" t="n">
        <f aca="false">Assumptions!BB$139</f>
        <v>1</v>
      </c>
      <c r="BD8" s="33" t="n">
        <f aca="false">Assumptions!BC$139</f>
        <v>2</v>
      </c>
      <c r="BE8" s="33" t="n">
        <f aca="false">Assumptions!BD$139</f>
        <v>1</v>
      </c>
      <c r="BF8" s="33" t="n">
        <f aca="false">Assumptions!BE$139</f>
        <v>1</v>
      </c>
      <c r="BG8" s="33" t="n">
        <f aca="false">Assumptions!BF$139</f>
        <v>2</v>
      </c>
      <c r="BH8" s="33" t="n">
        <f aca="false">Assumptions!BG$139</f>
        <v>1</v>
      </c>
      <c r="BI8" s="33" t="n">
        <f aca="false">Assumptions!BH$139</f>
        <v>1</v>
      </c>
      <c r="BJ8" s="33" t="n">
        <f aca="false">Assumptions!BI$139</f>
        <v>2</v>
      </c>
      <c r="BK8" s="33" t="n">
        <f aca="false">Assumptions!BJ$139</f>
        <v>1</v>
      </c>
    </row>
    <row r="9" customFormat="false" ht="15" hidden="false" customHeight="false" outlineLevel="0" collapsed="false">
      <c r="A9" s="28" t="s">
        <v>537</v>
      </c>
      <c r="B9" s="6" t="s">
        <v>538</v>
      </c>
      <c r="C9" s="32" t="n">
        <v>0</v>
      </c>
      <c r="D9" s="34" t="n">
        <f aca="false">C9+D8</f>
        <v>0</v>
      </c>
      <c r="E9" s="34" t="n">
        <f aca="false">D9+E8</f>
        <v>0</v>
      </c>
      <c r="F9" s="34" t="n">
        <f aca="false">E9+F8</f>
        <v>0</v>
      </c>
      <c r="G9" s="34" t="n">
        <f aca="false">F9+G8</f>
        <v>0</v>
      </c>
      <c r="H9" s="34" t="n">
        <f aca="false">G9+H8</f>
        <v>1</v>
      </c>
      <c r="I9" s="34" t="n">
        <f aca="false">H9+I8</f>
        <v>1</v>
      </c>
      <c r="J9" s="34" t="n">
        <f aca="false">I9+J8</f>
        <v>1</v>
      </c>
      <c r="K9" s="34" t="n">
        <f aca="false">J9+K8</f>
        <v>2</v>
      </c>
      <c r="L9" s="34" t="n">
        <f aca="false">K9+L8</f>
        <v>2</v>
      </c>
      <c r="M9" s="34" t="n">
        <f aca="false">L9+M8</f>
        <v>2</v>
      </c>
      <c r="N9" s="34" t="n">
        <f aca="false">M9+N8</f>
        <v>3</v>
      </c>
      <c r="O9" s="34" t="n">
        <f aca="false">N9+O8</f>
        <v>4</v>
      </c>
      <c r="P9" s="34" t="n">
        <f aca="false">O9+P8</f>
        <v>4</v>
      </c>
      <c r="Q9" s="34" t="n">
        <f aca="false">P9+Q8</f>
        <v>5</v>
      </c>
      <c r="R9" s="34" t="n">
        <f aca="false">Q9+R8</f>
        <v>6</v>
      </c>
      <c r="S9" s="34" t="n">
        <f aca="false">R9+S8</f>
        <v>6</v>
      </c>
      <c r="T9" s="34" t="n">
        <f aca="false">S9+T8</f>
        <v>7</v>
      </c>
      <c r="U9" s="34" t="n">
        <f aca="false">T9+U8</f>
        <v>8</v>
      </c>
      <c r="V9" s="34" t="n">
        <f aca="false">U9+V8</f>
        <v>9</v>
      </c>
      <c r="W9" s="34" t="n">
        <f aca="false">V9+W8</f>
        <v>10</v>
      </c>
      <c r="X9" s="34" t="n">
        <f aca="false">W9+X8</f>
        <v>11</v>
      </c>
      <c r="Y9" s="34" t="n">
        <f aca="false">X9+Y8</f>
        <v>12</v>
      </c>
      <c r="Z9" s="34" t="n">
        <f aca="false">Y9+Z8</f>
        <v>13</v>
      </c>
      <c r="AA9" s="34" t="n">
        <f aca="false">Z9+AA8</f>
        <v>14</v>
      </c>
      <c r="AB9" s="34" t="n">
        <f aca="false">AA9+AB8</f>
        <v>15</v>
      </c>
      <c r="AC9" s="34" t="n">
        <f aca="false">AB9+AC8</f>
        <v>16</v>
      </c>
      <c r="AD9" s="34" t="n">
        <f aca="false">AC9+AD8</f>
        <v>17</v>
      </c>
      <c r="AE9" s="34" t="n">
        <f aca="false">AD9+AE8</f>
        <v>18</v>
      </c>
      <c r="AF9" s="34" t="n">
        <f aca="false">AE9+AF8</f>
        <v>20</v>
      </c>
      <c r="AG9" s="34" t="n">
        <f aca="false">AF9+AG8</f>
        <v>21</v>
      </c>
      <c r="AH9" s="34" t="n">
        <f aca="false">AG9+AH8</f>
        <v>22</v>
      </c>
      <c r="AI9" s="34" t="n">
        <f aca="false">AH9+AI8</f>
        <v>24</v>
      </c>
      <c r="AJ9" s="34" t="n">
        <f aca="false">AI9+AJ8</f>
        <v>25</v>
      </c>
      <c r="AK9" s="34" t="n">
        <f aca="false">AJ9+AK8</f>
        <v>26</v>
      </c>
      <c r="AL9" s="34" t="n">
        <f aca="false">AK9+AL8</f>
        <v>28</v>
      </c>
      <c r="AM9" s="34" t="n">
        <f aca="false">AL9+AM8</f>
        <v>29</v>
      </c>
      <c r="AN9" s="35" t="n">
        <f aca="false">AM9+AN8</f>
        <v>30</v>
      </c>
      <c r="AO9" s="35" t="n">
        <f aca="false">AN9+AO8</f>
        <v>32</v>
      </c>
      <c r="AP9" s="35" t="n">
        <f aca="false">AO9+AP8</f>
        <v>33</v>
      </c>
      <c r="AQ9" s="35" t="n">
        <f aca="false">AP9+AQ8</f>
        <v>34</v>
      </c>
      <c r="AR9" s="35" t="n">
        <f aca="false">AQ9+AR8</f>
        <v>36</v>
      </c>
      <c r="AS9" s="35" t="n">
        <f aca="false">AR9+AS8</f>
        <v>37</v>
      </c>
      <c r="AT9" s="35" t="n">
        <f aca="false">AS9+AT8</f>
        <v>38</v>
      </c>
      <c r="AU9" s="35" t="n">
        <f aca="false">AT9+AU8</f>
        <v>40</v>
      </c>
      <c r="AV9" s="35" t="n">
        <f aca="false">AU9+AV8</f>
        <v>41</v>
      </c>
      <c r="AW9" s="35" t="n">
        <f aca="false">AV9+AW8</f>
        <v>42</v>
      </c>
      <c r="AX9" s="35" t="n">
        <f aca="false">AW9+AX8</f>
        <v>44</v>
      </c>
      <c r="AY9" s="35" t="n">
        <f aca="false">AX9+AY8</f>
        <v>45</v>
      </c>
      <c r="AZ9" s="35" t="n">
        <f aca="false">AY9+AZ8</f>
        <v>46</v>
      </c>
      <c r="BA9" s="35" t="n">
        <f aca="false">AZ9+BA8</f>
        <v>48</v>
      </c>
      <c r="BB9" s="35" t="n">
        <f aca="false">BA9+BB8</f>
        <v>49</v>
      </c>
      <c r="BC9" s="35" t="n">
        <f aca="false">BB9+BC8</f>
        <v>50</v>
      </c>
      <c r="BD9" s="35" t="n">
        <f aca="false">BC9+BD8</f>
        <v>52</v>
      </c>
      <c r="BE9" s="35" t="n">
        <f aca="false">BD9+BE8</f>
        <v>53</v>
      </c>
      <c r="BF9" s="35" t="n">
        <f aca="false">BE9+BF8</f>
        <v>54</v>
      </c>
      <c r="BG9" s="35" t="n">
        <f aca="false">BF9+BG8</f>
        <v>56</v>
      </c>
      <c r="BH9" s="35" t="n">
        <f aca="false">BG9+BH8</f>
        <v>57</v>
      </c>
      <c r="BI9" s="35" t="n">
        <f aca="false">BH9+BI8</f>
        <v>58</v>
      </c>
      <c r="BJ9" s="35" t="n">
        <f aca="false">BI9+BJ8</f>
        <v>60</v>
      </c>
      <c r="BK9" s="35" t="n">
        <f aca="false">BJ9+BK8</f>
        <v>61</v>
      </c>
    </row>
    <row r="10" customFormat="false" ht="15" hidden="false" customHeight="false" outlineLevel="0" collapsed="false">
      <c r="A10" s="28" t="s">
        <v>539</v>
      </c>
      <c r="B10" s="6" t="s">
        <v>540</v>
      </c>
      <c r="C10" s="32" t="n">
        <v>0</v>
      </c>
      <c r="D10" s="34" t="n">
        <f aca="false">IF(D7&gt;Assumptions!$C$79,INDEX($D$9:$BK$9,D7-Assumptions!$C$79),0)</f>
        <v>0</v>
      </c>
      <c r="E10" s="34" t="n">
        <f aca="false">IF(E7&gt;Assumptions!$C$79,INDEX($D$9:$BK$9,E7-Assumptions!$C$79),0)</f>
        <v>0</v>
      </c>
      <c r="F10" s="34" t="n">
        <f aca="false">IF(F7&gt;Assumptions!$C$79,INDEX($D$9:$BK$9,F7-Assumptions!$C$79),0)</f>
        <v>0</v>
      </c>
      <c r="G10" s="34" t="n">
        <f aca="false">IF(G7&gt;Assumptions!$C$79,INDEX($D$9:$BK$9,G7-Assumptions!$C$79),0)</f>
        <v>0</v>
      </c>
      <c r="H10" s="34" t="n">
        <f aca="false">IF(H7&gt;Assumptions!$C$79,INDEX($D$9:$BK$9,H7-Assumptions!$C$79),0)</f>
        <v>0</v>
      </c>
      <c r="I10" s="34" t="n">
        <f aca="false">IF(I7&gt;Assumptions!$C$79,INDEX($D$9:$BK$9,I7-Assumptions!$C$79),0)</f>
        <v>0</v>
      </c>
      <c r="J10" s="34" t="n">
        <f aca="false">IF(J7&gt;Assumptions!$C$79,INDEX($D$9:$BK$9,J7-Assumptions!$C$79),0)</f>
        <v>0</v>
      </c>
      <c r="K10" s="34" t="n">
        <f aca="false">IF(K7&gt;Assumptions!$C$79,INDEX($D$9:$BK$9,K7-Assumptions!$C$79),0)</f>
        <v>0</v>
      </c>
      <c r="L10" s="34" t="n">
        <f aca="false">IF(L7&gt;Assumptions!$C$79,INDEX($D$9:$BK$9,L7-Assumptions!$C$79),0)</f>
        <v>0</v>
      </c>
      <c r="M10" s="34" t="n">
        <f aca="false">IF(M7&gt;Assumptions!$C$79,INDEX($D$9:$BK$9,M7-Assumptions!$C$79),0)</f>
        <v>0</v>
      </c>
      <c r="N10" s="34" t="n">
        <f aca="false">IF(N7&gt;Assumptions!$C$79,INDEX($D$9:$BK$9,N7-Assumptions!$C$79),0)</f>
        <v>1</v>
      </c>
      <c r="O10" s="34" t="n">
        <f aca="false">IF(O7&gt;Assumptions!$C$79,INDEX($D$9:$BK$9,O7-Assumptions!$C$79),0)</f>
        <v>1</v>
      </c>
      <c r="P10" s="34" t="n">
        <f aca="false">IF(P7&gt;Assumptions!$C$79,INDEX($D$9:$BK$9,P7-Assumptions!$C$79),0)</f>
        <v>1</v>
      </c>
      <c r="Q10" s="34" t="n">
        <f aca="false">IF(Q7&gt;Assumptions!$C$79,INDEX($D$9:$BK$9,Q7-Assumptions!$C$79),0)</f>
        <v>2</v>
      </c>
      <c r="R10" s="34" t="n">
        <f aca="false">IF(R7&gt;Assumptions!$C$79,INDEX($D$9:$BK$9,R7-Assumptions!$C$79),0)</f>
        <v>2</v>
      </c>
      <c r="S10" s="34" t="n">
        <f aca="false">IF(S7&gt;Assumptions!$C$79,INDEX($D$9:$BK$9,S7-Assumptions!$C$79),0)</f>
        <v>2</v>
      </c>
      <c r="T10" s="34" t="n">
        <f aca="false">IF(T7&gt;Assumptions!$C$79,INDEX($D$9:$BK$9,T7-Assumptions!$C$79),0)</f>
        <v>3</v>
      </c>
      <c r="U10" s="34" t="n">
        <f aca="false">IF(U7&gt;Assumptions!$C$79,INDEX($D$9:$BK$9,U7-Assumptions!$C$79),0)</f>
        <v>4</v>
      </c>
      <c r="V10" s="34" t="n">
        <f aca="false">IF(V7&gt;Assumptions!$C$79,INDEX($D$9:$BK$9,V7-Assumptions!$C$79),0)</f>
        <v>4</v>
      </c>
      <c r="W10" s="34" t="n">
        <f aca="false">IF(W7&gt;Assumptions!$C$79,INDEX($D$9:$BK$9,W7-Assumptions!$C$79),0)</f>
        <v>5</v>
      </c>
      <c r="X10" s="34" t="n">
        <f aca="false">IF(X7&gt;Assumptions!$C$79,INDEX($D$9:$BK$9,X7-Assumptions!$C$79),0)</f>
        <v>6</v>
      </c>
      <c r="Y10" s="34" t="n">
        <f aca="false">IF(Y7&gt;Assumptions!$C$79,INDEX($D$9:$BK$9,Y7-Assumptions!$C$79),0)</f>
        <v>6</v>
      </c>
      <c r="Z10" s="34" t="n">
        <f aca="false">IF(Z7&gt;Assumptions!$C$79,INDEX($D$9:$BK$9,Z7-Assumptions!$C$79),0)</f>
        <v>7</v>
      </c>
      <c r="AA10" s="34" t="n">
        <f aca="false">IF(AA7&gt;Assumptions!$C$79,INDEX($D$9:$BK$9,AA7-Assumptions!$C$79),0)</f>
        <v>8</v>
      </c>
      <c r="AB10" s="34" t="n">
        <f aca="false">IF(AB7&gt;Assumptions!$C$79,INDEX($D$9:$BK$9,AB7-Assumptions!$C$79),0)</f>
        <v>9</v>
      </c>
      <c r="AC10" s="34" t="n">
        <f aca="false">IF(AC7&gt;Assumptions!$C$79,INDEX($D$9:$BK$9,AC7-Assumptions!$C$79),0)</f>
        <v>10</v>
      </c>
      <c r="AD10" s="34" t="n">
        <f aca="false">IF(AD7&gt;Assumptions!$C$79,INDEX($D$9:$BK$9,AD7-Assumptions!$C$79),0)</f>
        <v>11</v>
      </c>
      <c r="AE10" s="34" t="n">
        <f aca="false">IF(AE7&gt;Assumptions!$C$79,INDEX($D$9:$BK$9,AE7-Assumptions!$C$79),0)</f>
        <v>12</v>
      </c>
      <c r="AF10" s="34" t="n">
        <f aca="false">IF(AF7&gt;Assumptions!$C$79,INDEX($D$9:$BK$9,AF7-Assumptions!$C$79),0)</f>
        <v>13</v>
      </c>
      <c r="AG10" s="34" t="n">
        <f aca="false">IF(AG7&gt;Assumptions!$C$79,INDEX($D$9:$BK$9,AG7-Assumptions!$C$79),0)</f>
        <v>14</v>
      </c>
      <c r="AH10" s="34" t="n">
        <f aca="false">IF(AH7&gt;Assumptions!$C$79,INDEX($D$9:$BK$9,AH7-Assumptions!$C$79),0)</f>
        <v>15</v>
      </c>
      <c r="AI10" s="34" t="n">
        <f aca="false">IF(AI7&gt;Assumptions!$C$79,INDEX($D$9:$BK$9,AI7-Assumptions!$C$79),0)</f>
        <v>16</v>
      </c>
      <c r="AJ10" s="34" t="n">
        <f aca="false">IF(AJ7&gt;Assumptions!$C$79,INDEX($D$9:$BK$9,AJ7-Assumptions!$C$79),0)</f>
        <v>17</v>
      </c>
      <c r="AK10" s="34" t="n">
        <f aca="false">IF(AK7&gt;Assumptions!$C$79,INDEX($D$9:$BK$9,AK7-Assumptions!$C$79),0)</f>
        <v>18</v>
      </c>
      <c r="AL10" s="34" t="n">
        <f aca="false">IF(AL7&gt;Assumptions!$C$79,INDEX($D$9:$BK$9,AL7-Assumptions!$C$79),0)</f>
        <v>20</v>
      </c>
      <c r="AM10" s="34" t="n">
        <f aca="false">IF(AM7&gt;Assumptions!$C$79,INDEX($D$9:$BK$9,AM7-Assumptions!$C$79),0)</f>
        <v>21</v>
      </c>
      <c r="AN10" s="35" t="n">
        <f aca="false">IF(AN7&gt;Assumptions!$C$79,INDEX($D$9:$BK$9,AN7-Assumptions!$C$79),0)</f>
        <v>22</v>
      </c>
      <c r="AO10" s="35" t="n">
        <f aca="false">IF(AO7&gt;Assumptions!$C$79,INDEX($D$9:$BK$9,AO7-Assumptions!$C$79),0)</f>
        <v>24</v>
      </c>
      <c r="AP10" s="35" t="n">
        <f aca="false">IF(AP7&gt;Assumptions!$C$79,INDEX($D$9:$BK$9,AP7-Assumptions!$C$79),0)</f>
        <v>25</v>
      </c>
      <c r="AQ10" s="35" t="n">
        <f aca="false">IF(AQ7&gt;Assumptions!$C$79,INDEX($D$9:$BK$9,AQ7-Assumptions!$C$79),0)</f>
        <v>26</v>
      </c>
      <c r="AR10" s="35" t="n">
        <f aca="false">IF(AR7&gt;Assumptions!$C$79,INDEX($D$9:$BK$9,AR7-Assumptions!$C$79),0)</f>
        <v>28</v>
      </c>
      <c r="AS10" s="35" t="n">
        <f aca="false">IF(AS7&gt;Assumptions!$C$79,INDEX($D$9:$BK$9,AS7-Assumptions!$C$79),0)</f>
        <v>29</v>
      </c>
      <c r="AT10" s="35" t="n">
        <f aca="false">IF(AT7&gt;Assumptions!$C$79,INDEX($D$9:$BK$9,AT7-Assumptions!$C$79),0)</f>
        <v>30</v>
      </c>
      <c r="AU10" s="35" t="n">
        <f aca="false">IF(AU7&gt;Assumptions!$C$79,INDEX($D$9:$BK$9,AU7-Assumptions!$C$79),0)</f>
        <v>32</v>
      </c>
      <c r="AV10" s="35" t="n">
        <f aca="false">IF(AV7&gt;Assumptions!$C$79,INDEX($D$9:$BK$9,AV7-Assumptions!$C$79),0)</f>
        <v>33</v>
      </c>
      <c r="AW10" s="35" t="n">
        <f aca="false">IF(AW7&gt;Assumptions!$C$79,INDEX($D$9:$BK$9,AW7-Assumptions!$C$79),0)</f>
        <v>34</v>
      </c>
      <c r="AX10" s="35" t="n">
        <f aca="false">IF(AX7&gt;Assumptions!$C$79,INDEX($D$9:$BK$9,AX7-Assumptions!$C$79),0)</f>
        <v>36</v>
      </c>
      <c r="AY10" s="35" t="n">
        <f aca="false">IF(AY7&gt;Assumptions!$C$79,INDEX($D$9:$BK$9,AY7-Assumptions!$C$79),0)</f>
        <v>37</v>
      </c>
      <c r="AZ10" s="35" t="n">
        <f aca="false">IF(AZ7&gt;Assumptions!$C$79,INDEX($D$9:$BK$9,AZ7-Assumptions!$C$79),0)</f>
        <v>38</v>
      </c>
      <c r="BA10" s="35" t="n">
        <f aca="false">IF(BA7&gt;Assumptions!$C$79,INDEX($D$9:$BK$9,BA7-Assumptions!$C$79),0)</f>
        <v>40</v>
      </c>
      <c r="BB10" s="35" t="n">
        <f aca="false">IF(BB7&gt;Assumptions!$C$79,INDEX($D$9:$BK$9,BB7-Assumptions!$C$79),0)</f>
        <v>41</v>
      </c>
      <c r="BC10" s="35" t="n">
        <f aca="false">IF(BC7&gt;Assumptions!$C$79,INDEX($D$9:$BK$9,BC7-Assumptions!$C$79),0)</f>
        <v>42</v>
      </c>
      <c r="BD10" s="35" t="n">
        <f aca="false">IF(BD7&gt;Assumptions!$C$79,INDEX($D$9:$BK$9,BD7-Assumptions!$C$79),0)</f>
        <v>44</v>
      </c>
      <c r="BE10" s="35" t="n">
        <f aca="false">IF(BE7&gt;Assumptions!$C$79,INDEX($D$9:$BK$9,BE7-Assumptions!$C$79),0)</f>
        <v>45</v>
      </c>
      <c r="BF10" s="35" t="n">
        <f aca="false">IF(BF7&gt;Assumptions!$C$79,INDEX($D$9:$BK$9,BF7-Assumptions!$C$79),0)</f>
        <v>46</v>
      </c>
      <c r="BG10" s="35" t="n">
        <f aca="false">IF(BG7&gt;Assumptions!$C$79,INDEX($D$9:$BK$9,BG7-Assumptions!$C$79),0)</f>
        <v>48</v>
      </c>
      <c r="BH10" s="35" t="n">
        <f aca="false">IF(BH7&gt;Assumptions!$C$79,INDEX($D$9:$BK$9,BH7-Assumptions!$C$79),0)</f>
        <v>49</v>
      </c>
      <c r="BI10" s="35" t="n">
        <f aca="false">IF(BI7&gt;Assumptions!$C$79,INDEX($D$9:$BK$9,BI7-Assumptions!$C$79),0)</f>
        <v>50</v>
      </c>
      <c r="BJ10" s="35" t="n">
        <f aca="false">IF(BJ7&gt;Assumptions!$C$79,INDEX($D$9:$BK$9,BJ7-Assumptions!$C$79),0)</f>
        <v>52</v>
      </c>
      <c r="BK10" s="35" t="n">
        <f aca="false">IF(BK7&gt;Assumptions!$C$79,INDEX($D$9:$BK$9,BK7-Assumptions!$C$79),0)</f>
        <v>53</v>
      </c>
    </row>
    <row r="11" customFormat="false" ht="15" hidden="false" customHeight="false" outlineLevel="0" collapsed="false">
      <c r="A11" s="28" t="s">
        <v>541</v>
      </c>
      <c r="B11" s="6" t="s">
        <v>542</v>
      </c>
      <c r="C11" s="36" t="n">
        <v>0</v>
      </c>
      <c r="D11" s="26" t="n">
        <f aca="false">Assumptions!$C$10*(D8*Assumptions!$C$111)</f>
        <v>0</v>
      </c>
      <c r="E11" s="26" t="n">
        <f aca="false">Assumptions!$C$10*(E8*Assumptions!$C$111+D8*Assumptions!$C$112)</f>
        <v>0</v>
      </c>
      <c r="F11" s="26" t="n">
        <f aca="false">Assumptions!$C$10*(F8*Assumptions!$C$111+E8*Assumptions!$C$112+D8*Assumptions!$C$113)</f>
        <v>0</v>
      </c>
      <c r="G11" s="26" t="n">
        <f aca="false">Assumptions!$C$10*(G8*Assumptions!$C$111+F8*Assumptions!$C$112+E8*Assumptions!$C$113+D8*Assumptions!$C$114)</f>
        <v>0</v>
      </c>
      <c r="H11" s="26" t="n">
        <f aca="false">Assumptions!$C$10*(H8*Assumptions!$C$111+G8*Assumptions!$C$112+F8*Assumptions!$C$113+E8*Assumptions!$C$114+D8*Assumptions!$C$115)</f>
        <v>8</v>
      </c>
      <c r="I11" s="26" t="n">
        <f aca="false">Assumptions!$C$10*(I8*Assumptions!$C$111+H8*Assumptions!$C$112+G8*Assumptions!$C$113+F8*Assumptions!$C$114+E8*Assumptions!$C$115+D8*Assumptions!$C$116)</f>
        <v>7.04</v>
      </c>
      <c r="J11" s="26" t="n">
        <f aca="false">Assumptions!$C$10*(J8*Assumptions!$C$111+I8*Assumptions!$C$112+H8*Assumptions!$C$113+G8*Assumptions!$C$114+F8*Assumptions!$C$115+E8*Assumptions!$C$116+D8*Assumptions!$C$117)</f>
        <v>4.8</v>
      </c>
      <c r="K11" s="26" t="n">
        <f aca="false">Assumptions!$C$10*(K8*Assumptions!$C$111+J8*Assumptions!$C$112+I8*Assumptions!$C$113+H8*Assumptions!$C$114+G8*Assumptions!$C$115+F8*Assumptions!$C$116+E8*Assumptions!$C$117+D8*Assumptions!$C$118)</f>
        <v>11.2</v>
      </c>
      <c r="L11" s="26" t="n">
        <f aca="false">Assumptions!$C$10*(L8*Assumptions!$C$111+K8*Assumptions!$C$112+J8*Assumptions!$C$113+I8*Assumptions!$C$114+H8*Assumptions!$C$115+G8*Assumptions!$C$116+F8*Assumptions!$C$117+E8*Assumptions!$C$118+D8*Assumptions!$C$119)</f>
        <v>8.96</v>
      </c>
      <c r="M11" s="26" t="n">
        <f aca="false">Assumptions!$C$10*(M8*Assumptions!$C$111+L8*Assumptions!$C$112+K8*Assumptions!$C$113+J8*Assumptions!$C$114+I8*Assumptions!$C$115+H8*Assumptions!$C$116+G8*Assumptions!$C$117+F8*Assumptions!$C$118+E8*Assumptions!$C$119+D8*Assumptions!$C$120)</f>
        <v>6.4</v>
      </c>
      <c r="N11" s="26" t="n">
        <f aca="false">Assumptions!$C$10*(N8*Assumptions!$C$111+M8*Assumptions!$C$112+L8*Assumptions!$C$113+K8*Assumptions!$C$114+J8*Assumptions!$C$115+I8*Assumptions!$C$116+H8*Assumptions!$C$117+G8*Assumptions!$C$118+F8*Assumptions!$C$119+E8*Assumptions!$C$120+D8*Assumptions!$C$121)</f>
        <v>11.52</v>
      </c>
      <c r="O11" s="26" t="n">
        <f aca="false">Assumptions!$C$10*(O8*Assumptions!$C$111+N8*Assumptions!$C$112+M8*Assumptions!$C$113+L8*Assumptions!$C$114+K8*Assumptions!$C$115+J8*Assumptions!$C$116+I8*Assumptions!$C$117+H8*Assumptions!$C$118+G8*Assumptions!$C$119+F8*Assumptions!$C$120+E8*Assumptions!$C$121+D8*Assumptions!$C$122)</f>
        <v>17.28</v>
      </c>
      <c r="P11" s="26" t="n">
        <f aca="false">Assumptions!$C$10*(P8*Assumptions!$C$111+O8*Assumptions!$C$112+N8*Assumptions!$C$113+M8*Assumptions!$C$114+L8*Assumptions!$C$115+K8*Assumptions!$C$116+J8*Assumptions!$C$117+I8*Assumptions!$C$118+H8*Assumptions!$C$119+G8*Assumptions!$C$120+F8*Assumptions!$C$121+E8*Assumptions!$C$122+D8*Assumptions!$C$123)</f>
        <v>13.76</v>
      </c>
      <c r="Q11" s="26" t="n">
        <f aca="false">Assumptions!$C$10*(Q8*Assumptions!$C$111+P8*Assumptions!$C$112+O8*Assumptions!$C$113+N8*Assumptions!$C$114+M8*Assumptions!$C$115+L8*Assumptions!$C$116+K8*Assumptions!$C$117+J8*Assumptions!$C$118+I8*Assumptions!$C$119+H8*Assumptions!$C$120+G8*Assumptions!$C$121+F8*Assumptions!$C$122+E8*Assumptions!$C$123+D8*Assumptions!$C$124)</f>
        <v>16.64</v>
      </c>
      <c r="R11" s="26" t="n">
        <f aca="false">Assumptions!$C$10*(R8*Assumptions!$C$111+Q8*Assumptions!$C$112+P8*Assumptions!$C$113+O8*Assumptions!$C$114+N8*Assumptions!$C$115+M8*Assumptions!$C$116+L8*Assumptions!$C$117+K8*Assumptions!$C$118+J8*Assumptions!$C$119+I8*Assumptions!$C$120+H8*Assumptions!$C$121+G8*Assumptions!$C$122+F8*Assumptions!$C$123+E8*Assumptions!$C$124+D8*Assumptions!$C$125)</f>
        <v>20.8</v>
      </c>
      <c r="S11" s="26" t="n">
        <f aca="false">Assumptions!$C$10*(S8*Assumptions!$C$111+R8*Assumptions!$C$112+Q8*Assumptions!$C$113+P8*Assumptions!$C$114+O8*Assumptions!$C$115+N8*Assumptions!$C$116+M8*Assumptions!$C$117+L8*Assumptions!$C$118+K8*Assumptions!$C$119+J8*Assumptions!$C$120+I8*Assumptions!$C$121+H8*Assumptions!$C$122+G8*Assumptions!$C$123+F8*Assumptions!$C$124+E8*Assumptions!$C$125+D8*Assumptions!$C$126)</f>
        <v>16</v>
      </c>
      <c r="T11" s="26" t="n">
        <f aca="false">Assumptions!$C$10*(T8*Assumptions!$C$111+S8*Assumptions!$C$112+R8*Assumptions!$C$113+Q8*Assumptions!$C$114+P8*Assumptions!$C$115+O8*Assumptions!$C$116+N8*Assumptions!$C$117+M8*Assumptions!$C$118+L8*Assumptions!$C$119+K8*Assumptions!$C$120+J8*Assumptions!$C$121+I8*Assumptions!$C$122+H8*Assumptions!$C$123+G8*Assumptions!$C$124+F8*Assumptions!$C$125+E8*Assumptions!$C$126+D8*Assumptions!$C$127)</f>
        <v>18.56</v>
      </c>
      <c r="U11" s="26" t="n">
        <f aca="false">Assumptions!$C$10*(U8*Assumptions!$C$111+T8*Assumptions!$C$112+S8*Assumptions!$C$113+R8*Assumptions!$C$114+Q8*Assumptions!$C$115+P8*Assumptions!$C$116+O8*Assumptions!$C$117+N8*Assumptions!$C$118+M8*Assumptions!$C$119+L8*Assumptions!$C$120+K8*Assumptions!$C$121+J8*Assumptions!$C$122+I8*Assumptions!$C$123+H8*Assumptions!$C$124+G8*Assumptions!$C$125+F8*Assumptions!$C$126+E8*Assumptions!$C$127+D8*Assumptions!$C$128)</f>
        <v>21.44</v>
      </c>
      <c r="V11" s="26" t="n">
        <f aca="false">Assumptions!$C$10*(V8*Assumptions!$C$111+U8*Assumptions!$C$112+T8*Assumptions!$C$113+S8*Assumptions!$C$114+R8*Assumptions!$C$115+Q8*Assumptions!$C$116+P8*Assumptions!$C$117+O8*Assumptions!$C$118+N8*Assumptions!$C$119+M8*Assumptions!$C$120+L8*Assumptions!$C$121+K8*Assumptions!$C$122+J8*Assumptions!$C$123+I8*Assumptions!$C$124+H8*Assumptions!$C$125+G8*Assumptions!$C$126+F8*Assumptions!$C$127+E8*Assumptions!$C$128+D8*Assumptions!$C$129)</f>
        <v>24.64</v>
      </c>
      <c r="W11" s="26" t="n">
        <f aca="false">Assumptions!$C$10*(W8*Assumptions!$C$111+V8*Assumptions!$C$112+U8*Assumptions!$C$113+T8*Assumptions!$C$114+S8*Assumptions!$C$115+R8*Assumptions!$C$116+Q8*Assumptions!$C$117+P8*Assumptions!$C$118+O8*Assumptions!$C$119+N8*Assumptions!$C$120+M8*Assumptions!$C$121+L8*Assumptions!$C$122+K8*Assumptions!$C$123+J8*Assumptions!$C$124+I8*Assumptions!$C$125+H8*Assumptions!$C$126+G8*Assumptions!$C$127+F8*Assumptions!$C$128+E8*Assumptions!$C$129+D8*Assumptions!$C$130)</f>
        <v>26.24</v>
      </c>
      <c r="X11" s="26" t="n">
        <f aca="false">Assumptions!$C$10*(X8*Assumptions!$C$111+W8*Assumptions!$C$112+V8*Assumptions!$C$113+U8*Assumptions!$C$114+T8*Assumptions!$C$115+S8*Assumptions!$C$116+R8*Assumptions!$C$117+Q8*Assumptions!$C$118+P8*Assumptions!$C$119+O8*Assumptions!$C$120+N8*Assumptions!$C$121+M8*Assumptions!$C$122+L8*Assumptions!$C$123+K8*Assumptions!$C$124+J8*Assumptions!$C$125+I8*Assumptions!$C$126+H8*Assumptions!$C$127+G8*Assumptions!$C$128+F8*Assumptions!$C$129+E8*Assumptions!$C$130+D8*Assumptions!$C$131)</f>
        <v>26.88</v>
      </c>
      <c r="Y11" s="26" t="n">
        <f aca="false">Assumptions!$C$10*(Y8*Assumptions!$C$111+X8*Assumptions!$C$112+W8*Assumptions!$C$113+V8*Assumptions!$C$114+U8*Assumptions!$C$115+T8*Assumptions!$C$116+S8*Assumptions!$C$117+R8*Assumptions!$C$118+Q8*Assumptions!$C$119+P8*Assumptions!$C$120+O8*Assumptions!$C$121+N8*Assumptions!$C$122+M8*Assumptions!$C$123+L8*Assumptions!$C$124+K8*Assumptions!$C$125+J8*Assumptions!$C$126+I8*Assumptions!$C$127+H8*Assumptions!$C$128+G8*Assumptions!$C$129+F8*Assumptions!$C$130+E8*Assumptions!$C$131+D8*Assumptions!$C$132)</f>
        <v>28.48</v>
      </c>
      <c r="Z11" s="26" t="n">
        <f aca="false">Assumptions!$C$10*(Z8*Assumptions!$C$111+Y8*Assumptions!$C$112+X8*Assumptions!$C$113+W8*Assumptions!$C$114+V8*Assumptions!$C$115+U8*Assumptions!$C$116+T8*Assumptions!$C$117+S8*Assumptions!$C$118+R8*Assumptions!$C$119+Q8*Assumptions!$C$120+P8*Assumptions!$C$121+O8*Assumptions!$C$122+N8*Assumptions!$C$123+M8*Assumptions!$C$124+L8*Assumptions!$C$125+K8*Assumptions!$C$126+J8*Assumptions!$C$127+I8*Assumptions!$C$128+H8*Assumptions!$C$129+G8*Assumptions!$C$130+F8*Assumptions!$C$131+E8*Assumptions!$C$132+D8*Assumptions!$C$133)</f>
        <v>28.8</v>
      </c>
      <c r="AA11" s="26" t="n">
        <f aca="false">Assumptions!$C$10*(AA8*Assumptions!$C$111+Z8*Assumptions!$C$112+Y8*Assumptions!$C$113+X8*Assumptions!$C$114+W8*Assumptions!$C$115+V8*Assumptions!$C$116+U8*Assumptions!$C$117+T8*Assumptions!$C$118+S8*Assumptions!$C$119+R8*Assumptions!$C$120+Q8*Assumptions!$C$121+P8*Assumptions!$C$122+O8*Assumptions!$C$123+N8*Assumptions!$C$124+M8*Assumptions!$C$125+L8*Assumptions!$C$126+K8*Assumptions!$C$127+J8*Assumptions!$C$128+I8*Assumptions!$C$129+H8*Assumptions!$C$130+G8*Assumptions!$C$131+F8*Assumptions!$C$132+E8*Assumptions!$C$133)</f>
        <v>29.12</v>
      </c>
      <c r="AB11" s="26" t="n">
        <f aca="false">Assumptions!$C$10*(AB8*Assumptions!$C$111+AA8*Assumptions!$C$112+Z8*Assumptions!$C$113+Y8*Assumptions!$C$114+X8*Assumptions!$C$115+W8*Assumptions!$C$116+V8*Assumptions!$C$117+U8*Assumptions!$C$118+T8*Assumptions!$C$119+S8*Assumptions!$C$120+R8*Assumptions!$C$121+Q8*Assumptions!$C$122+P8*Assumptions!$C$123+O8*Assumptions!$C$124+N8*Assumptions!$C$125+M8*Assumptions!$C$126+L8*Assumptions!$C$127+K8*Assumptions!$C$128+J8*Assumptions!$C$129+I8*Assumptions!$C$130+H8*Assumptions!$C$131+G8*Assumptions!$C$132+F8*Assumptions!$C$133)</f>
        <v>29.44</v>
      </c>
      <c r="AC11" s="26" t="n">
        <f aca="false">Assumptions!$C$10*(AC8*Assumptions!$C$111+AB8*Assumptions!$C$112+AA8*Assumptions!$C$113+Z8*Assumptions!$C$114+Y8*Assumptions!$C$115+X8*Assumptions!$C$116+W8*Assumptions!$C$117+V8*Assumptions!$C$118+U8*Assumptions!$C$119+T8*Assumptions!$C$120+S8*Assumptions!$C$121+R8*Assumptions!$C$122+Q8*Assumptions!$C$123+P8*Assumptions!$C$124+O8*Assumptions!$C$125+N8*Assumptions!$C$126+M8*Assumptions!$C$127+L8*Assumptions!$C$128+K8*Assumptions!$C$129+J8*Assumptions!$C$130+I8*Assumptions!$C$131+H8*Assumptions!$C$132+G8*Assumptions!$C$133)</f>
        <v>29.76</v>
      </c>
      <c r="AD11" s="26" t="n">
        <f aca="false">Assumptions!$C$10*(AD8*Assumptions!$C$111+AC8*Assumptions!$C$112+AB8*Assumptions!$C$113+AA8*Assumptions!$C$114+Z8*Assumptions!$C$115+Y8*Assumptions!$C$116+X8*Assumptions!$C$117+W8*Assumptions!$C$118+V8*Assumptions!$C$119+U8*Assumptions!$C$120+T8*Assumptions!$C$121+S8*Assumptions!$C$122+R8*Assumptions!$C$123+Q8*Assumptions!$C$124+P8*Assumptions!$C$125+O8*Assumptions!$C$126+N8*Assumptions!$C$127+M8*Assumptions!$C$128+L8*Assumptions!$C$129+K8*Assumptions!$C$130+J8*Assumptions!$C$131+I8*Assumptions!$C$132+H8*Assumptions!$C$133)</f>
        <v>30.08</v>
      </c>
      <c r="AE11" s="26" t="n">
        <f aca="false">Assumptions!$C$10*(AE8*Assumptions!$C$111+AD8*Assumptions!$C$112+AC8*Assumptions!$C$113+AB8*Assumptions!$C$114+AA8*Assumptions!$C$115+Z8*Assumptions!$C$116+Y8*Assumptions!$C$117+X8*Assumptions!$C$118+W8*Assumptions!$C$119+V8*Assumptions!$C$120+U8*Assumptions!$C$121+T8*Assumptions!$C$122+S8*Assumptions!$C$123+R8*Assumptions!$C$124+Q8*Assumptions!$C$125+P8*Assumptions!$C$126+O8*Assumptions!$C$127+N8*Assumptions!$C$128+M8*Assumptions!$C$129+L8*Assumptions!$C$130+K8*Assumptions!$C$131+J8*Assumptions!$C$132+I8*Assumptions!$C$133)</f>
        <v>30.08</v>
      </c>
      <c r="AF11" s="26" t="n">
        <f aca="false">Assumptions!$C$10*(AF8*Assumptions!$C$111+AE8*Assumptions!$C$112+AD8*Assumptions!$C$113+AC8*Assumptions!$C$114+AB8*Assumptions!$C$115+AA8*Assumptions!$C$116+Z8*Assumptions!$C$117+Y8*Assumptions!$C$118+X8*Assumptions!$C$119+W8*Assumptions!$C$120+V8*Assumptions!$C$121+U8*Assumptions!$C$122+T8*Assumptions!$C$123+S8*Assumptions!$C$124+R8*Assumptions!$C$125+Q8*Assumptions!$C$126+P8*Assumptions!$C$127+O8*Assumptions!$C$128+N8*Assumptions!$C$129+M8*Assumptions!$C$130+L8*Assumptions!$C$131+K8*Assumptions!$C$132+J8*Assumptions!$C$133)</f>
        <v>38.4</v>
      </c>
      <c r="AG11" s="26" t="n">
        <f aca="false">Assumptions!$C$10*(AG8*Assumptions!$C$111+AF8*Assumptions!$C$112+AE8*Assumptions!$C$113+AD8*Assumptions!$C$114+AC8*Assumptions!$C$115+AB8*Assumptions!$C$116+AA8*Assumptions!$C$117+Z8*Assumptions!$C$118+Y8*Assumptions!$C$119+X8*Assumptions!$C$120+W8*Assumptions!$C$121+V8*Assumptions!$C$122+U8*Assumptions!$C$123+T8*Assumptions!$C$124+S8*Assumptions!$C$125+R8*Assumptions!$C$126+Q8*Assumptions!$C$127+P8*Assumptions!$C$128+O8*Assumptions!$C$129+N8*Assumptions!$C$130+M8*Assumptions!$C$131+L8*Assumptions!$C$132+K8*Assumptions!$C$133)</f>
        <v>37.76</v>
      </c>
      <c r="AH11" s="26" t="n">
        <f aca="false">Assumptions!$C$10*(AH8*Assumptions!$C$111+AG8*Assumptions!$C$112+AF8*Assumptions!$C$113+AE8*Assumptions!$C$114+AD8*Assumptions!$C$115+AC8*Assumptions!$C$116+AB8*Assumptions!$C$117+AA8*Assumptions!$C$118+Z8*Assumptions!$C$119+Y8*Assumptions!$C$120+X8*Assumptions!$C$121+W8*Assumptions!$C$122+V8*Assumptions!$C$123+U8*Assumptions!$C$124+T8*Assumptions!$C$125+S8*Assumptions!$C$126+R8*Assumptions!$C$127+Q8*Assumptions!$C$128+P8*Assumptions!$C$129+O8*Assumptions!$C$130+N8*Assumptions!$C$131+M8*Assumptions!$C$132+L8*Assumptions!$C$133)</f>
        <v>35.52</v>
      </c>
      <c r="AI11" s="26" t="n">
        <f aca="false">Assumptions!$C$10*(AI8*Assumptions!$C$111+AH8*Assumptions!$C$112+AG8*Assumptions!$C$113+AF8*Assumptions!$C$114+AE8*Assumptions!$C$115+AD8*Assumptions!$C$116+AC8*Assumptions!$C$117+AB8*Assumptions!$C$118+AA8*Assumptions!$C$119+Z8*Assumptions!$C$120+Y8*Assumptions!$C$121+X8*Assumptions!$C$122+W8*Assumptions!$C$123+V8*Assumptions!$C$124+U8*Assumptions!$C$125+T8*Assumptions!$C$126+S8*Assumptions!$C$127+R8*Assumptions!$C$128+Q8*Assumptions!$C$129+P8*Assumptions!$C$130+O8*Assumptions!$C$131+N8*Assumptions!$C$132+M8*Assumptions!$C$133)</f>
        <v>42.24</v>
      </c>
      <c r="AJ11" s="26" t="n">
        <f aca="false">Assumptions!$C$10*(AJ8*Assumptions!$C$111+AI8*Assumptions!$C$112+AH8*Assumptions!$C$113+AG8*Assumptions!$C$114+AF8*Assumptions!$C$115+AE8*Assumptions!$C$116+AD8*Assumptions!$C$117+AC8*Assumptions!$C$118+AB8*Assumptions!$C$119+AA8*Assumptions!$C$120+Z8*Assumptions!$C$121+Y8*Assumptions!$C$122+X8*Assumptions!$C$123+W8*Assumptions!$C$124+V8*Assumptions!$C$125+U8*Assumptions!$C$126+T8*Assumptions!$C$127+S8*Assumptions!$C$128+R8*Assumptions!$C$129+Q8*Assumptions!$C$130+P8*Assumptions!$C$131+O8*Assumptions!$C$132+N8*Assumptions!$C$133)</f>
        <v>40.32</v>
      </c>
      <c r="AK11" s="26" t="n">
        <f aca="false">Assumptions!$C$10*(AK8*Assumptions!$C$111+AJ8*Assumptions!$C$112+AI8*Assumptions!$C$113+AH8*Assumptions!$C$114+AG8*Assumptions!$C$115+AF8*Assumptions!$C$116+AE8*Assumptions!$C$117+AD8*Assumptions!$C$118+AC8*Assumptions!$C$119+AB8*Assumptions!$C$120+AA8*Assumptions!$C$121+Z8*Assumptions!$C$122+Y8*Assumptions!$C$123+X8*Assumptions!$C$124+W8*Assumptions!$C$125+V8*Assumptions!$C$126+U8*Assumptions!$C$127+T8*Assumptions!$C$128+S8*Assumptions!$C$129+R8*Assumptions!$C$130+Q8*Assumptions!$C$131+P8*Assumptions!$C$132+O8*Assumptions!$C$133)</f>
        <v>37.76</v>
      </c>
      <c r="AL11" s="26" t="n">
        <f aca="false">Assumptions!$C$10*(AL8*Assumptions!$C$111+AK8*Assumptions!$C$112+AJ8*Assumptions!$C$113+AI8*Assumptions!$C$114+AH8*Assumptions!$C$115+AG8*Assumptions!$C$116+AF8*Assumptions!$C$117+AE8*Assumptions!$C$118+AD8*Assumptions!$C$119+AC8*Assumptions!$C$120+AB8*Assumptions!$C$121+AA8*Assumptions!$C$122+Z8*Assumptions!$C$123+Y8*Assumptions!$C$124+X8*Assumptions!$C$125+W8*Assumptions!$C$126+V8*Assumptions!$C$127+U8*Assumptions!$C$128+T8*Assumptions!$C$129+S8*Assumptions!$C$130+R8*Assumptions!$C$131+Q8*Assumptions!$C$132+P8*Assumptions!$C$133)</f>
        <v>42.88</v>
      </c>
      <c r="AM11" s="26" t="n">
        <f aca="false">Assumptions!$C$10*(AM8*Assumptions!$C$111+AL8*Assumptions!$C$112+AK8*Assumptions!$C$113+AJ8*Assumptions!$C$114+AI8*Assumptions!$C$115+AH8*Assumptions!$C$116+AG8*Assumptions!$C$117+AF8*Assumptions!$C$118+AE8*Assumptions!$C$119+AD8*Assumptions!$C$120+AC8*Assumptions!$C$121+AB8*Assumptions!$C$122+AA8*Assumptions!$C$123+Z8*Assumptions!$C$124+Y8*Assumptions!$C$125+X8*Assumptions!$C$126+W8*Assumptions!$C$127+V8*Assumptions!$C$128+U8*Assumptions!$C$129+T8*Assumptions!$C$130+S8*Assumptions!$C$131+R8*Assumptions!$C$132+Q8*Assumptions!$C$133)</f>
        <v>40.96</v>
      </c>
      <c r="AN11" s="37" t="n">
        <f aca="false">Assumptions!$C$10*(AN8*Assumptions!$C$111+AM8*Assumptions!$C$112+AL8*Assumptions!$C$113+AK8*Assumptions!$C$114+AJ8*Assumptions!$C$115+AI8*Assumptions!$C$116+AH8*Assumptions!$C$117+AG8*Assumptions!$C$118+AF8*Assumptions!$C$119+AE8*Assumptions!$C$120+AD8*Assumptions!$C$121+AC8*Assumptions!$C$122+AB8*Assumptions!$C$123+AA8*Assumptions!$C$124+Z8*Assumptions!$C$125+Y8*Assumptions!$C$126+X8*Assumptions!$C$127+W8*Assumptions!$C$128+V8*Assumptions!$C$129+U8*Assumptions!$C$130+T8*Assumptions!$C$131+S8*Assumptions!$C$132+R8*Assumptions!$C$133)</f>
        <v>38.4</v>
      </c>
      <c r="AO11" s="37" t="n">
        <f aca="false">Assumptions!$C$10*(AO8*Assumptions!$C$111+AN8*Assumptions!$C$112+AM8*Assumptions!$C$113+AL8*Assumptions!$C$114+AK8*Assumptions!$C$115+AJ8*Assumptions!$C$116+AI8*Assumptions!$C$117+AH8*Assumptions!$C$118+AG8*Assumptions!$C$119+AF8*Assumptions!$C$120+AE8*Assumptions!$C$121+AD8*Assumptions!$C$122+AC8*Assumptions!$C$123+AB8*Assumptions!$C$124+AA8*Assumptions!$C$125+Z8*Assumptions!$C$126+Y8*Assumptions!$C$127+X8*Assumptions!$C$128+W8*Assumptions!$C$129+V8*Assumptions!$C$130+U8*Assumptions!$C$131+T8*Assumptions!$C$132+S8*Assumptions!$C$133)</f>
        <v>43.52</v>
      </c>
      <c r="AP11" s="37" t="n">
        <f aca="false">Assumptions!$C$10*(AP8*Assumptions!$C$111+AO8*Assumptions!$C$112+AN8*Assumptions!$C$113+AM8*Assumptions!$C$114+AL8*Assumptions!$C$115+AK8*Assumptions!$C$116+AJ8*Assumptions!$C$117+AI8*Assumptions!$C$118+AH8*Assumptions!$C$119+AG8*Assumptions!$C$120+AF8*Assumptions!$C$121+AE8*Assumptions!$C$122+AD8*Assumptions!$C$123+AC8*Assumptions!$C$124+AB8*Assumptions!$C$125+AA8*Assumptions!$C$126+Z8*Assumptions!$C$127+Y8*Assumptions!$C$128+X8*Assumptions!$C$129+W8*Assumptions!$C$130+V8*Assumptions!$C$131+U8*Assumptions!$C$132+T8*Assumptions!$C$133)</f>
        <v>41.6</v>
      </c>
      <c r="AQ11" s="37" t="n">
        <f aca="false">Assumptions!$C$10*(AQ8*Assumptions!$C$111+AP8*Assumptions!$C$112+AO8*Assumptions!$C$113+AN8*Assumptions!$C$114+AM8*Assumptions!$C$115+AL8*Assumptions!$C$116+AK8*Assumptions!$C$117+AJ8*Assumptions!$C$118+AI8*Assumptions!$C$119+AH8*Assumptions!$C$120+AG8*Assumptions!$C$121+AF8*Assumptions!$C$122+AE8*Assumptions!$C$123+AD8*Assumptions!$C$124+AC8*Assumptions!$C$125+AB8*Assumptions!$C$126+AA8*Assumptions!$C$127+Z8*Assumptions!$C$128+Y8*Assumptions!$C$129+X8*Assumptions!$C$130+W8*Assumptions!$C$131+V8*Assumptions!$C$132+U8*Assumptions!$C$133)</f>
        <v>39.04</v>
      </c>
      <c r="AR11" s="37" t="n">
        <f aca="false">Assumptions!$C$10*(AR8*Assumptions!$C$111+AQ8*Assumptions!$C$112+AP8*Assumptions!$C$113+AO8*Assumptions!$C$114+AN8*Assumptions!$C$115+AM8*Assumptions!$C$116+AL8*Assumptions!$C$117+AK8*Assumptions!$C$118+AJ8*Assumptions!$C$119+AI8*Assumptions!$C$120+AH8*Assumptions!$C$121+AG8*Assumptions!$C$122+AF8*Assumptions!$C$123+AE8*Assumptions!$C$124+AD8*Assumptions!$C$125+AC8*Assumptions!$C$126+AB8*Assumptions!$C$127+AA8*Assumptions!$C$128+Z8*Assumptions!$C$129+Y8*Assumptions!$C$130+X8*Assumptions!$C$131+W8*Assumptions!$C$132+V8*Assumptions!$C$133)</f>
        <v>44.16</v>
      </c>
      <c r="AS11" s="37" t="n">
        <f aca="false">Assumptions!$C$10*(AS8*Assumptions!$C$111+AR8*Assumptions!$C$112+AQ8*Assumptions!$C$113+AP8*Assumptions!$C$114+AO8*Assumptions!$C$115+AN8*Assumptions!$C$116+AM8*Assumptions!$C$117+AL8*Assumptions!$C$118+AK8*Assumptions!$C$119+AJ8*Assumptions!$C$120+AI8*Assumptions!$C$121+AH8*Assumptions!$C$122+AG8*Assumptions!$C$123+AF8*Assumptions!$C$124+AE8*Assumptions!$C$125+AD8*Assumptions!$C$126+AC8*Assumptions!$C$127+AB8*Assumptions!$C$128+AA8*Assumptions!$C$129+Z8*Assumptions!$C$130+Y8*Assumptions!$C$131+X8*Assumptions!$C$132+W8*Assumptions!$C$133)</f>
        <v>41.92</v>
      </c>
      <c r="AT11" s="37" t="n">
        <f aca="false">Assumptions!$C$10*(AT8*Assumptions!$C$111+AS8*Assumptions!$C$112+AR8*Assumptions!$C$113+AQ8*Assumptions!$C$114+AP8*Assumptions!$C$115+AO8*Assumptions!$C$116+AN8*Assumptions!$C$117+AM8*Assumptions!$C$118+AL8*Assumptions!$C$119+AK8*Assumptions!$C$120+AJ8*Assumptions!$C$121+AI8*Assumptions!$C$122+AH8*Assumptions!$C$123+AG8*Assumptions!$C$124+AF8*Assumptions!$C$125+AE8*Assumptions!$C$126+AD8*Assumptions!$C$127+AC8*Assumptions!$C$128+AB8*Assumptions!$C$129+AA8*Assumptions!$C$130+Z8*Assumptions!$C$131+Y8*Assumptions!$C$132+X8*Assumptions!$C$133)</f>
        <v>39.36</v>
      </c>
      <c r="AU11" s="37" t="n">
        <f aca="false">Assumptions!$C$10*(AU8*Assumptions!$C$111+AT8*Assumptions!$C$112+AS8*Assumptions!$C$113+AR8*Assumptions!$C$114+AQ8*Assumptions!$C$115+AP8*Assumptions!$C$116+AO8*Assumptions!$C$117+AN8*Assumptions!$C$118+AM8*Assumptions!$C$119+AL8*Assumptions!$C$120+AK8*Assumptions!$C$121+AJ8*Assumptions!$C$122+AI8*Assumptions!$C$123+AH8*Assumptions!$C$124+AG8*Assumptions!$C$125+AF8*Assumptions!$C$126+AE8*Assumptions!$C$127+AD8*Assumptions!$C$128+AC8*Assumptions!$C$129+AB8*Assumptions!$C$130+AA8*Assumptions!$C$131+Z8*Assumptions!$C$132+Y8*Assumptions!$C$133)</f>
        <v>44.48</v>
      </c>
      <c r="AV11" s="37" t="n">
        <f aca="false">Assumptions!$C$10*(AV8*Assumptions!$C$111+AU8*Assumptions!$C$112+AT8*Assumptions!$C$113+AS8*Assumptions!$C$114+AR8*Assumptions!$C$115+AQ8*Assumptions!$C$116+AP8*Assumptions!$C$117+AO8*Assumptions!$C$118+AN8*Assumptions!$C$119+AM8*Assumptions!$C$120+AL8*Assumptions!$C$121+AK8*Assumptions!$C$122+AJ8*Assumptions!$C$123+AI8*Assumptions!$C$124+AH8*Assumptions!$C$125+AG8*Assumptions!$C$126+AF8*Assumptions!$C$127+AE8*Assumptions!$C$128+AD8*Assumptions!$C$129+AC8*Assumptions!$C$130+AB8*Assumptions!$C$131+AA8*Assumptions!$C$132+Z8*Assumptions!$C$133)</f>
        <v>42.24</v>
      </c>
      <c r="AW11" s="37" t="n">
        <f aca="false">Assumptions!$C$10*(AW8*Assumptions!$C$111+AV8*Assumptions!$C$112+AU8*Assumptions!$C$113+AT8*Assumptions!$C$114+AS8*Assumptions!$C$115+AR8*Assumptions!$C$116+AQ8*Assumptions!$C$117+AP8*Assumptions!$C$118+AO8*Assumptions!$C$119+AN8*Assumptions!$C$120+AM8*Assumptions!$C$121+AL8*Assumptions!$C$122+AK8*Assumptions!$C$123+AJ8*Assumptions!$C$124+AI8*Assumptions!$C$125+AH8*Assumptions!$C$126+AG8*Assumptions!$C$127+AF8*Assumptions!$C$128+AE8*Assumptions!$C$129+AD8*Assumptions!$C$130+AC8*Assumptions!$C$131+AB8*Assumptions!$C$132+AA8*Assumptions!$C$133)</f>
        <v>39.68</v>
      </c>
      <c r="AX11" s="37" t="n">
        <f aca="false">Assumptions!$C$10*(AX8*Assumptions!$C$111+AW8*Assumptions!$C$112+AV8*Assumptions!$C$113+AU8*Assumptions!$C$114+AT8*Assumptions!$C$115+AS8*Assumptions!$C$116+AR8*Assumptions!$C$117+AQ8*Assumptions!$C$118+AP8*Assumptions!$C$119+AO8*Assumptions!$C$120+AN8*Assumptions!$C$121+AM8*Assumptions!$C$122+AL8*Assumptions!$C$123+AK8*Assumptions!$C$124+AJ8*Assumptions!$C$125+AI8*Assumptions!$C$126+AH8*Assumptions!$C$127+AG8*Assumptions!$C$128+AF8*Assumptions!$C$129+AE8*Assumptions!$C$130+AD8*Assumptions!$C$131+AC8*Assumptions!$C$132+AB8*Assumptions!$C$133)</f>
        <v>44.8</v>
      </c>
      <c r="AY11" s="37" t="n">
        <f aca="false">Assumptions!$C$10*(AY8*Assumptions!$C$111+AX8*Assumptions!$C$112+AW8*Assumptions!$C$113+AV8*Assumptions!$C$114+AU8*Assumptions!$C$115+AT8*Assumptions!$C$116+AS8*Assumptions!$C$117+AR8*Assumptions!$C$118+AQ8*Assumptions!$C$119+AP8*Assumptions!$C$120+AO8*Assumptions!$C$121+AN8*Assumptions!$C$122+AM8*Assumptions!$C$123+AL8*Assumptions!$C$124+AK8*Assumptions!$C$125+AJ8*Assumptions!$C$126+AI8*Assumptions!$C$127+AH8*Assumptions!$C$128+AG8*Assumptions!$C$129+AF8*Assumptions!$C$130+AE8*Assumptions!$C$131+AD8*Assumptions!$C$132+AC8*Assumptions!$C$133)</f>
        <v>42.56</v>
      </c>
      <c r="AZ11" s="37" t="n">
        <f aca="false">Assumptions!$C$10*(AZ8*Assumptions!$C$111+AY8*Assumptions!$C$112+AX8*Assumptions!$C$113+AW8*Assumptions!$C$114+AV8*Assumptions!$C$115+AU8*Assumptions!$C$116+AT8*Assumptions!$C$117+AS8*Assumptions!$C$118+AR8*Assumptions!$C$119+AQ8*Assumptions!$C$120+AP8*Assumptions!$C$121+AO8*Assumptions!$C$122+AN8*Assumptions!$C$123+AM8*Assumptions!$C$124+AL8*Assumptions!$C$125+AK8*Assumptions!$C$126+AJ8*Assumptions!$C$127+AI8*Assumptions!$C$128+AH8*Assumptions!$C$129+AG8*Assumptions!$C$130+AF8*Assumptions!$C$131+AE8*Assumptions!$C$132+AD8*Assumptions!$C$133)</f>
        <v>40</v>
      </c>
      <c r="BA11" s="37" t="n">
        <f aca="false">Assumptions!$C$10*(BA8*Assumptions!$C$111+AZ8*Assumptions!$C$112+AY8*Assumptions!$C$113+AX8*Assumptions!$C$114+AW8*Assumptions!$C$115+AV8*Assumptions!$C$116+AU8*Assumptions!$C$117+AT8*Assumptions!$C$118+AS8*Assumptions!$C$119+AR8*Assumptions!$C$120+AQ8*Assumptions!$C$121+AP8*Assumptions!$C$122+AO8*Assumptions!$C$123+AN8*Assumptions!$C$124+AM8*Assumptions!$C$125+AL8*Assumptions!$C$126+AK8*Assumptions!$C$127+AJ8*Assumptions!$C$128+AI8*Assumptions!$C$129+AH8*Assumptions!$C$130+AG8*Assumptions!$C$131+AF8*Assumptions!$C$132+AE8*Assumptions!$C$133)</f>
        <v>45.12</v>
      </c>
      <c r="BB11" s="37" t="n">
        <f aca="false">Assumptions!$C$10*(BB8*Assumptions!$C$111+BA8*Assumptions!$C$112+AZ8*Assumptions!$C$113+AY8*Assumptions!$C$114+AX8*Assumptions!$C$115+AW8*Assumptions!$C$116+AV8*Assumptions!$C$117+AU8*Assumptions!$C$118+AT8*Assumptions!$C$119+AS8*Assumptions!$C$120+AR8*Assumptions!$C$121+AQ8*Assumptions!$C$122+AP8*Assumptions!$C$123+AO8*Assumptions!$C$124+AN8*Assumptions!$C$125+AM8*Assumptions!$C$126+AL8*Assumptions!$C$127+AK8*Assumptions!$C$128+AJ8*Assumptions!$C$129+AI8*Assumptions!$C$130+AH8*Assumptions!$C$131+AG8*Assumptions!$C$132+AF8*Assumptions!$C$133)</f>
        <v>42.88</v>
      </c>
      <c r="BC11" s="37" t="n">
        <f aca="false">Assumptions!$C$10*(BC8*Assumptions!$C$111+BB8*Assumptions!$C$112+BA8*Assumptions!$C$113+AZ8*Assumptions!$C$114+AY8*Assumptions!$C$115+AX8*Assumptions!$C$116+AW8*Assumptions!$C$117+AV8*Assumptions!$C$118+AU8*Assumptions!$C$119+AT8*Assumptions!$C$120+AS8*Assumptions!$C$121+AR8*Assumptions!$C$122+AQ8*Assumptions!$C$123+AP8*Assumptions!$C$124+AO8*Assumptions!$C$125+AN8*Assumptions!$C$126+AM8*Assumptions!$C$127+AL8*Assumptions!$C$128+AK8*Assumptions!$C$129+AJ8*Assumptions!$C$130+AI8*Assumptions!$C$131+AH8*Assumptions!$C$132+AG8*Assumptions!$C$133)</f>
        <v>40</v>
      </c>
      <c r="BD11" s="37" t="n">
        <f aca="false">Assumptions!$C$10*(BD8*Assumptions!$C$111+BC8*Assumptions!$C$112+BB8*Assumptions!$C$113+BA8*Assumptions!$C$114+AZ8*Assumptions!$C$115+AY8*Assumptions!$C$116+AX8*Assumptions!$C$117+AW8*Assumptions!$C$118+AV8*Assumptions!$C$119+AU8*Assumptions!$C$120+AT8*Assumptions!$C$121+AS8*Assumptions!$C$122+AR8*Assumptions!$C$123+AQ8*Assumptions!$C$124+AP8*Assumptions!$C$125+AO8*Assumptions!$C$126+AN8*Assumptions!$C$127+AM8*Assumptions!$C$128+AL8*Assumptions!$C$129+AK8*Assumptions!$C$130+AJ8*Assumptions!$C$131+AI8*Assumptions!$C$132+AH8*Assumptions!$C$133)</f>
        <v>45.12</v>
      </c>
      <c r="BE11" s="37" t="n">
        <f aca="false">Assumptions!$C$10*(BE8*Assumptions!$C$111+BD8*Assumptions!$C$112+BC8*Assumptions!$C$113+BB8*Assumptions!$C$114+BA8*Assumptions!$C$115+AZ8*Assumptions!$C$116+AY8*Assumptions!$C$117+AX8*Assumptions!$C$118+AW8*Assumptions!$C$119+AV8*Assumptions!$C$120+AU8*Assumptions!$C$121+AT8*Assumptions!$C$122+AS8*Assumptions!$C$123+AR8*Assumptions!$C$124+AQ8*Assumptions!$C$125+AP8*Assumptions!$C$126+AO8*Assumptions!$C$127+AN8*Assumptions!$C$128+AM8*Assumptions!$C$129+AL8*Assumptions!$C$130+AK8*Assumptions!$C$131+AJ8*Assumptions!$C$132+AI8*Assumptions!$C$133)</f>
        <v>42.88</v>
      </c>
      <c r="BF11" s="37" t="n">
        <f aca="false">Assumptions!$C$10*(BF8*Assumptions!$C$111+BE8*Assumptions!$C$112+BD8*Assumptions!$C$113+BC8*Assumptions!$C$114+BB8*Assumptions!$C$115+BA8*Assumptions!$C$116+AZ8*Assumptions!$C$117+AY8*Assumptions!$C$118+AX8*Assumptions!$C$119+AW8*Assumptions!$C$120+AV8*Assumptions!$C$121+AU8*Assumptions!$C$122+AT8*Assumptions!$C$123+AS8*Assumptions!$C$124+AR8*Assumptions!$C$125+AQ8*Assumptions!$C$126+AP8*Assumptions!$C$127+AO8*Assumptions!$C$128+AN8*Assumptions!$C$129+AM8*Assumptions!$C$130+AL8*Assumptions!$C$131+AK8*Assumptions!$C$132+AJ8*Assumptions!$C$133)</f>
        <v>40</v>
      </c>
      <c r="BG11" s="37" t="n">
        <f aca="false">Assumptions!$C$10*(BG8*Assumptions!$C$111+BF8*Assumptions!$C$112+BE8*Assumptions!$C$113+BD8*Assumptions!$C$114+BC8*Assumptions!$C$115+BB8*Assumptions!$C$116+BA8*Assumptions!$C$117+AZ8*Assumptions!$C$118+AY8*Assumptions!$C$119+AX8*Assumptions!$C$120+AW8*Assumptions!$C$121+AV8*Assumptions!$C$122+AU8*Assumptions!$C$123+AT8*Assumptions!$C$124+AS8*Assumptions!$C$125+AR8*Assumptions!$C$126+AQ8*Assumptions!$C$127+AP8*Assumptions!$C$128+AO8*Assumptions!$C$129+AN8*Assumptions!$C$130+AM8*Assumptions!$C$131+AL8*Assumptions!$C$132+AK8*Assumptions!$C$133)</f>
        <v>45.12</v>
      </c>
      <c r="BH11" s="37" t="n">
        <f aca="false">Assumptions!$C$10*(BH8*Assumptions!$C$111+BG8*Assumptions!$C$112+BF8*Assumptions!$C$113+BE8*Assumptions!$C$114+BD8*Assumptions!$C$115+BC8*Assumptions!$C$116+BB8*Assumptions!$C$117+BA8*Assumptions!$C$118+AZ8*Assumptions!$C$119+AY8*Assumptions!$C$120+AX8*Assumptions!$C$121+AW8*Assumptions!$C$122+AV8*Assumptions!$C$123+AU8*Assumptions!$C$124+AT8*Assumptions!$C$125+AS8*Assumptions!$C$126+AR8*Assumptions!$C$127+AQ8*Assumptions!$C$128+AP8*Assumptions!$C$129+AO8*Assumptions!$C$130+AN8*Assumptions!$C$131+AM8*Assumptions!$C$132+AL8*Assumptions!$C$133)</f>
        <v>42.88</v>
      </c>
      <c r="BI11" s="37" t="n">
        <f aca="false">Assumptions!$C$10*(BI8*Assumptions!$C$111+BH8*Assumptions!$C$112+BG8*Assumptions!$C$113+BF8*Assumptions!$C$114+BE8*Assumptions!$C$115+BD8*Assumptions!$C$116+BC8*Assumptions!$C$117+BB8*Assumptions!$C$118+BA8*Assumptions!$C$119+AZ8*Assumptions!$C$120+AY8*Assumptions!$C$121+AX8*Assumptions!$C$122+AW8*Assumptions!$C$123+AV8*Assumptions!$C$124+AU8*Assumptions!$C$125+AT8*Assumptions!$C$126+AS8*Assumptions!$C$127+AR8*Assumptions!$C$128+AQ8*Assumptions!$C$129+AP8*Assumptions!$C$130+AO8*Assumptions!$C$131+AN8*Assumptions!$C$132+AM8*Assumptions!$C$133)</f>
        <v>40</v>
      </c>
      <c r="BJ11" s="37" t="n">
        <f aca="false">Assumptions!$C$10*(BJ8*Assumptions!$C$111+BI8*Assumptions!$C$112+BH8*Assumptions!$C$113+BG8*Assumptions!$C$114+BF8*Assumptions!$C$115+BE8*Assumptions!$C$116+BD8*Assumptions!$C$117+BC8*Assumptions!$C$118+BB8*Assumptions!$C$119+BA8*Assumptions!$C$120+AZ8*Assumptions!$C$121+AY8*Assumptions!$C$122+AX8*Assumptions!$C$123+AW8*Assumptions!$C$124+AV8*Assumptions!$C$125+AU8*Assumptions!$C$126+AT8*Assumptions!$C$127+AS8*Assumptions!$C$128+AR8*Assumptions!$C$129+AQ8*Assumptions!$C$130+AP8*Assumptions!$C$131+AO8*Assumptions!$C$132+AN8*Assumptions!$C$133)</f>
        <v>45.12</v>
      </c>
      <c r="BK11" s="37" t="n">
        <f aca="false">Assumptions!$C$10*(BK8*Assumptions!$C$111+BJ8*Assumptions!$C$112+BI8*Assumptions!$C$113+BH8*Assumptions!$C$114+BG8*Assumptions!$C$115+BF8*Assumptions!$C$116+BE8*Assumptions!$C$117+BD8*Assumptions!$C$118+BC8*Assumptions!$C$119+BB8*Assumptions!$C$120+BA8*Assumptions!$C$121+AZ8*Assumptions!$C$122+AY8*Assumptions!$C$123+AX8*Assumptions!$C$124+AW8*Assumptions!$C$125+AV8*Assumptions!$C$126+AU8*Assumptions!$C$127+AT8*Assumptions!$C$128+AS8*Assumptions!$C$129+AR8*Assumptions!$C$130+AQ8*Assumptions!$C$131+AP8*Assumptions!$C$132+AO8*Assumptions!$C$133)</f>
        <v>42.88</v>
      </c>
    </row>
    <row r="12" customFormat="false" ht="15" hidden="false" customHeight="false" outlineLevel="0" collapsed="false">
      <c r="A12" s="28" t="s">
        <v>543</v>
      </c>
      <c r="B12" s="6" t="s">
        <v>544</v>
      </c>
      <c r="C12" s="36" t="n">
        <v>0</v>
      </c>
      <c r="D12" s="26" t="n">
        <f aca="false">C12*(1-Assumptions!$C$12)+D11</f>
        <v>0</v>
      </c>
      <c r="E12" s="26" t="n">
        <f aca="false">D12*(1-Assumptions!$C$12)+E11</f>
        <v>0</v>
      </c>
      <c r="F12" s="26" t="n">
        <f aca="false">E12*(1-Assumptions!$C$12)+F11</f>
        <v>0</v>
      </c>
      <c r="G12" s="26" t="n">
        <f aca="false">F12*(1-Assumptions!$C$12)+G11</f>
        <v>0</v>
      </c>
      <c r="H12" s="26" t="n">
        <f aca="false">G12*(1-Assumptions!$C$12)+H11</f>
        <v>8</v>
      </c>
      <c r="I12" s="26" t="n">
        <f aca="false">H12*(1-Assumptions!$C$12)+I11</f>
        <v>14.92</v>
      </c>
      <c r="J12" s="26" t="n">
        <f aca="false">I12*(1-Assumptions!$C$12)+J11</f>
        <v>19.4962</v>
      </c>
      <c r="K12" s="26" t="n">
        <f aca="false">J12*(1-Assumptions!$C$12)+K11</f>
        <v>30.403757</v>
      </c>
      <c r="L12" s="26" t="n">
        <f aca="false">K12*(1-Assumptions!$C$12)+L11</f>
        <v>38.907700645</v>
      </c>
      <c r="M12" s="26" t="n">
        <f aca="false">L12*(1-Assumptions!$C$12)+M11</f>
        <v>44.724085135325</v>
      </c>
      <c r="N12" s="26" t="n">
        <f aca="false">M12*(1-Assumptions!$C$12)+N11</f>
        <v>55.5732238582951</v>
      </c>
      <c r="O12" s="26" t="n">
        <f aca="false">N12*(1-Assumptions!$C$12)+O11</f>
        <v>72.0196255004207</v>
      </c>
      <c r="P12" s="26" t="n">
        <f aca="false">O12*(1-Assumptions!$C$12)+P11</f>
        <v>84.6993311179144</v>
      </c>
      <c r="Q12" s="26" t="n">
        <f aca="false">P12*(1-Assumptions!$C$12)+Q11</f>
        <v>100.068841151146</v>
      </c>
      <c r="R12" s="26" t="n">
        <f aca="false">Q12*(1-Assumptions!$C$12)+R11</f>
        <v>119.367808533878</v>
      </c>
      <c r="S12" s="26" t="n">
        <f aca="false">R12*(1-Assumptions!$C$12)+S11</f>
        <v>133.57729140587</v>
      </c>
      <c r="T12" s="26" t="n">
        <f aca="false">S12*(1-Assumptions!$C$12)+T11</f>
        <v>150.133632034782</v>
      </c>
      <c r="U12" s="26" t="n">
        <f aca="false">T12*(1-Assumptions!$C$12)+U11</f>
        <v>169.321627554261</v>
      </c>
      <c r="V12" s="26" t="n">
        <f aca="false">U12*(1-Assumptions!$C$12)+V11</f>
        <v>191.421803140947</v>
      </c>
      <c r="W12" s="26" t="n">
        <f aca="false">V12*(1-Assumptions!$C$12)+W11</f>
        <v>214.790476093832</v>
      </c>
      <c r="X12" s="26" t="n">
        <f aca="false">W12*(1-Assumptions!$C$12)+X11</f>
        <v>238.448618952425</v>
      </c>
      <c r="Y12" s="26" t="n">
        <f aca="false">X12*(1-Assumptions!$C$12)+Y11</f>
        <v>263.351889668139</v>
      </c>
      <c r="Z12" s="26" t="n">
        <f aca="false">Y12*(1-Assumptions!$C$12)+Z11</f>
        <v>288.201611323117</v>
      </c>
      <c r="AA12" s="26" t="n">
        <f aca="false">Z12*(1-Assumptions!$C$12)+AA11</f>
        <v>312.99858715327</v>
      </c>
      <c r="AB12" s="26" t="n">
        <f aca="false">AA12*(1-Assumptions!$C$12)+AB11</f>
        <v>337.743608345971</v>
      </c>
      <c r="AC12" s="26" t="n">
        <f aca="false">AB12*(1-Assumptions!$C$12)+AC11</f>
        <v>362.437454220781</v>
      </c>
      <c r="AD12" s="26" t="n">
        <f aca="false">AC12*(1-Assumptions!$C$12)+AD11</f>
        <v>387.080892407469</v>
      </c>
      <c r="AE12" s="26" t="n">
        <f aca="false">AD12*(1-Assumptions!$C$12)+AE11</f>
        <v>411.354679021357</v>
      </c>
      <c r="AF12" s="26" t="n">
        <f aca="false">AE12*(1-Assumptions!$C$12)+AF11</f>
        <v>443.584358836037</v>
      </c>
      <c r="AG12" s="26" t="n">
        <f aca="false">AF12*(1-Assumptions!$C$12)+AG11</f>
        <v>474.690593453497</v>
      </c>
      <c r="AH12" s="26" t="n">
        <f aca="false">AG12*(1-Assumptions!$C$12)+AH11</f>
        <v>503.090234551694</v>
      </c>
      <c r="AI12" s="26" t="n">
        <f aca="false">AH12*(1-Assumptions!$C$12)+AI11</f>
        <v>537.783881033419</v>
      </c>
      <c r="AJ12" s="26" t="n">
        <f aca="false">AI12*(1-Assumptions!$C$12)+AJ11</f>
        <v>570.037122817917</v>
      </c>
      <c r="AK12" s="26" t="n">
        <f aca="false">AJ12*(1-Assumptions!$C$12)+AK11</f>
        <v>599.246565975649</v>
      </c>
      <c r="AL12" s="26" t="n">
        <f aca="false">AK12*(1-Assumptions!$C$12)+AL11</f>
        <v>633.137867486014</v>
      </c>
      <c r="AM12" s="26" t="n">
        <f aca="false">AL12*(1-Assumptions!$C$12)+AM11</f>
        <v>664.600799473724</v>
      </c>
      <c r="AN12" s="37" t="n">
        <f aca="false">AM12*(1-Assumptions!$C$12)+AN11</f>
        <v>693.031787481618</v>
      </c>
      <c r="AO12" s="37" t="n">
        <f aca="false">AN12*(1-Assumptions!$C$12)+AO11</f>
        <v>726.156310669394</v>
      </c>
      <c r="AP12" s="37" t="n">
        <f aca="false">AO12*(1-Assumptions!$C$12)+AP11</f>
        <v>756.863966009353</v>
      </c>
      <c r="AQ12" s="37" t="n">
        <f aca="false">AP12*(1-Assumptions!$C$12)+AQ11</f>
        <v>784.551006519212</v>
      </c>
      <c r="AR12" s="37" t="n">
        <f aca="false">AQ12*(1-Assumptions!$C$12)+AR11</f>
        <v>816.942741421424</v>
      </c>
      <c r="AS12" s="37" t="n">
        <f aca="false">AR12*(1-Assumptions!$C$12)+AS11</f>
        <v>846.608600300103</v>
      </c>
      <c r="AT12" s="37" t="n">
        <f aca="false">AS12*(1-Assumptions!$C$12)+AT11</f>
        <v>873.269471295601</v>
      </c>
      <c r="AU12" s="37" t="n">
        <f aca="false">AT12*(1-Assumptions!$C$12)+AU11</f>
        <v>904.650429226167</v>
      </c>
      <c r="AV12" s="37" t="n">
        <f aca="false">AU12*(1-Assumptions!$C$12)+AV11</f>
        <v>933.320672787775</v>
      </c>
      <c r="AW12" s="37" t="n">
        <f aca="false">AV12*(1-Assumptions!$C$12)+AW11</f>
        <v>959.000862695958</v>
      </c>
      <c r="AX12" s="37" t="n">
        <f aca="false">AW12*(1-Assumptions!$C$12)+AX11</f>
        <v>989.415849755519</v>
      </c>
      <c r="AY12" s="37" t="n">
        <f aca="false">AX12*(1-Assumptions!$C$12)+AY11</f>
        <v>1017.13461200919</v>
      </c>
      <c r="AZ12" s="37" t="n">
        <f aca="false">AY12*(1-Assumptions!$C$12)+AZ11</f>
        <v>1041.87759282905</v>
      </c>
      <c r="BA12" s="37" t="n">
        <f aca="false">AZ12*(1-Assumptions!$C$12)+BA11</f>
        <v>1071.36942893661</v>
      </c>
      <c r="BB12" s="37" t="n">
        <f aca="false">BA12*(1-Assumptions!$C$12)+BB11</f>
        <v>1098.17888750256</v>
      </c>
      <c r="BC12" s="37" t="n">
        <f aca="false">BB12*(1-Assumptions!$C$12)+BC11</f>
        <v>1121.70620419003</v>
      </c>
      <c r="BD12" s="37" t="n">
        <f aca="false">BC12*(1-Assumptions!$C$12)+BD11</f>
        <v>1150.00061112717</v>
      </c>
      <c r="BE12" s="37" t="n">
        <f aca="false">BD12*(1-Assumptions!$C$12)+BE11</f>
        <v>1175.63060196027</v>
      </c>
      <c r="BF12" s="37" t="n">
        <f aca="false">BE12*(1-Assumptions!$C$12)+BF11</f>
        <v>1197.99614293086</v>
      </c>
      <c r="BG12" s="37" t="n">
        <f aca="false">BF12*(1-Assumptions!$C$12)+BG11</f>
        <v>1225.1462007869</v>
      </c>
      <c r="BH12" s="37" t="n">
        <f aca="false">BG12*(1-Assumptions!$C$12)+BH11</f>
        <v>1249.6490077751</v>
      </c>
      <c r="BI12" s="37" t="n">
        <f aca="false">BH12*(1-Assumptions!$C$12)+BI11</f>
        <v>1270.90427265847</v>
      </c>
      <c r="BJ12" s="37" t="n">
        <f aca="false">BI12*(1-Assumptions!$C$12)+BJ11</f>
        <v>1296.96070856859</v>
      </c>
      <c r="BK12" s="37" t="n">
        <f aca="false">BJ12*(1-Assumptions!$C$12)+BK11</f>
        <v>1320.38629794006</v>
      </c>
    </row>
    <row r="13" customFormat="false" ht="15" hidden="false" customHeight="false" outlineLevel="0" collapsed="false">
      <c r="A13" s="28" t="s">
        <v>545</v>
      </c>
      <c r="B13" s="6" t="s">
        <v>546</v>
      </c>
      <c r="C13" s="36" t="n">
        <v>0</v>
      </c>
      <c r="D13" s="26" t="n">
        <f aca="false">D12*Assumptions!$C$11</f>
        <v>0</v>
      </c>
      <c r="E13" s="26" t="n">
        <f aca="false">E12*Assumptions!$C$11</f>
        <v>0</v>
      </c>
      <c r="F13" s="26" t="n">
        <f aca="false">F12*Assumptions!$C$11</f>
        <v>0</v>
      </c>
      <c r="G13" s="26" t="n">
        <f aca="false">G12*Assumptions!$C$11</f>
        <v>0</v>
      </c>
      <c r="H13" s="26" t="n">
        <f aca="false">H12*Assumptions!$C$11</f>
        <v>4.8</v>
      </c>
      <c r="I13" s="26" t="n">
        <f aca="false">I12*Assumptions!$C$11</f>
        <v>8.952</v>
      </c>
      <c r="J13" s="26" t="n">
        <f aca="false">J12*Assumptions!$C$11</f>
        <v>11.69772</v>
      </c>
      <c r="K13" s="26" t="n">
        <f aca="false">K12*Assumptions!$C$11</f>
        <v>18.2422542</v>
      </c>
      <c r="L13" s="26" t="n">
        <f aca="false">L12*Assumptions!$C$11</f>
        <v>23.344620387</v>
      </c>
      <c r="M13" s="26" t="n">
        <f aca="false">M12*Assumptions!$C$11</f>
        <v>26.834451081195</v>
      </c>
      <c r="N13" s="26" t="n">
        <f aca="false">N12*Assumptions!$C$11</f>
        <v>33.3439343149771</v>
      </c>
      <c r="O13" s="26" t="n">
        <f aca="false">O12*Assumptions!$C$11</f>
        <v>43.2117753002524</v>
      </c>
      <c r="P13" s="26" t="n">
        <f aca="false">P12*Assumptions!$C$11</f>
        <v>50.8195986707486</v>
      </c>
      <c r="Q13" s="26" t="n">
        <f aca="false">Q12*Assumptions!$C$11</f>
        <v>60.0413046906874</v>
      </c>
      <c r="R13" s="26" t="n">
        <f aca="false">R12*Assumptions!$C$11</f>
        <v>71.6206851203271</v>
      </c>
      <c r="S13" s="26" t="n">
        <f aca="false">S12*Assumptions!$C$11</f>
        <v>80.1463748435222</v>
      </c>
      <c r="T13" s="26" t="n">
        <f aca="false">T12*Assumptions!$C$11</f>
        <v>90.0801792208694</v>
      </c>
      <c r="U13" s="26" t="n">
        <f aca="false">U12*Assumptions!$C$11</f>
        <v>101.592976532556</v>
      </c>
      <c r="V13" s="26" t="n">
        <f aca="false">V12*Assumptions!$C$11</f>
        <v>114.853081884568</v>
      </c>
      <c r="W13" s="26" t="n">
        <f aca="false">W12*Assumptions!$C$11</f>
        <v>128.874285656299</v>
      </c>
      <c r="X13" s="26" t="n">
        <f aca="false">X12*Assumptions!$C$11</f>
        <v>143.069171371455</v>
      </c>
      <c r="Y13" s="26" t="n">
        <f aca="false">Y12*Assumptions!$C$11</f>
        <v>158.011133800883</v>
      </c>
      <c r="Z13" s="26" t="n">
        <f aca="false">Z12*Assumptions!$C$11</f>
        <v>172.92096679387</v>
      </c>
      <c r="AA13" s="26" t="n">
        <f aca="false">AA12*Assumptions!$C$11</f>
        <v>187.799152291962</v>
      </c>
      <c r="AB13" s="26" t="n">
        <f aca="false">AB12*Assumptions!$C$11</f>
        <v>202.646165007582</v>
      </c>
      <c r="AC13" s="26" t="n">
        <f aca="false">AC12*Assumptions!$C$11</f>
        <v>217.462472532469</v>
      </c>
      <c r="AD13" s="26" t="n">
        <f aca="false">AD12*Assumptions!$C$11</f>
        <v>232.248535444482</v>
      </c>
      <c r="AE13" s="26" t="n">
        <f aca="false">AE12*Assumptions!$C$11</f>
        <v>246.812807412814</v>
      </c>
      <c r="AF13" s="26" t="n">
        <f aca="false">AF12*Assumptions!$C$11</f>
        <v>266.150615301622</v>
      </c>
      <c r="AG13" s="26" t="n">
        <f aca="false">AG12*Assumptions!$C$11</f>
        <v>284.814356072098</v>
      </c>
      <c r="AH13" s="26" t="n">
        <f aca="false">AH12*Assumptions!$C$11</f>
        <v>301.854140731016</v>
      </c>
      <c r="AI13" s="26" t="n">
        <f aca="false">AI12*Assumptions!$C$11</f>
        <v>322.670328620051</v>
      </c>
      <c r="AJ13" s="26" t="n">
        <f aca="false">AJ12*Assumptions!$C$11</f>
        <v>342.02227369075</v>
      </c>
      <c r="AK13" s="26" t="n">
        <f aca="false">AK12*Assumptions!$C$11</f>
        <v>359.547939585389</v>
      </c>
      <c r="AL13" s="26" t="n">
        <f aca="false">AL12*Assumptions!$C$11</f>
        <v>379.882720491608</v>
      </c>
      <c r="AM13" s="26" t="n">
        <f aca="false">AM12*Assumptions!$C$11</f>
        <v>398.760479684234</v>
      </c>
      <c r="AN13" s="37" t="n">
        <f aca="false">AN12*Assumptions!$C$11</f>
        <v>415.819072488971</v>
      </c>
      <c r="AO13" s="37" t="n">
        <f aca="false">AO12*Assumptions!$C$11</f>
        <v>435.693786401636</v>
      </c>
      <c r="AP13" s="37" t="n">
        <f aca="false">AP12*Assumptions!$C$11</f>
        <v>454.118379605612</v>
      </c>
      <c r="AQ13" s="37" t="n">
        <f aca="false">AQ12*Assumptions!$C$11</f>
        <v>470.730603911527</v>
      </c>
      <c r="AR13" s="37" t="n">
        <f aca="false">AR12*Assumptions!$C$11</f>
        <v>490.165644852854</v>
      </c>
      <c r="AS13" s="37" t="n">
        <f aca="false">AS12*Assumptions!$C$11</f>
        <v>507.965160180062</v>
      </c>
      <c r="AT13" s="37" t="n">
        <f aca="false">AT12*Assumptions!$C$11</f>
        <v>523.961682777361</v>
      </c>
      <c r="AU13" s="37" t="n">
        <f aca="false">AU12*Assumptions!$C$11</f>
        <v>542.7902575357</v>
      </c>
      <c r="AV13" s="37" t="n">
        <f aca="false">AV12*Assumptions!$C$11</f>
        <v>559.992403672665</v>
      </c>
      <c r="AW13" s="37" t="n">
        <f aca="false">AW12*Assumptions!$C$11</f>
        <v>575.400517617575</v>
      </c>
      <c r="AX13" s="37" t="n">
        <f aca="false">AX12*Assumptions!$C$11</f>
        <v>593.649509853311</v>
      </c>
      <c r="AY13" s="37" t="n">
        <f aca="false">AY12*Assumptions!$C$11</f>
        <v>610.280767205511</v>
      </c>
      <c r="AZ13" s="37" t="n">
        <f aca="false">AZ12*Assumptions!$C$11</f>
        <v>625.126555697429</v>
      </c>
      <c r="BA13" s="37" t="n">
        <f aca="false">BA12*Assumptions!$C$11</f>
        <v>642.821657361968</v>
      </c>
      <c r="BB13" s="37" t="n">
        <f aca="false">BB12*Assumptions!$C$11</f>
        <v>658.907332501538</v>
      </c>
      <c r="BC13" s="37" t="n">
        <f aca="false">BC12*Assumptions!$C$11</f>
        <v>673.023722514015</v>
      </c>
      <c r="BD13" s="37" t="n">
        <f aca="false">BD12*Assumptions!$C$11</f>
        <v>690.000366676305</v>
      </c>
      <c r="BE13" s="37" t="n">
        <f aca="false">BE12*Assumptions!$C$11</f>
        <v>705.37836117616</v>
      </c>
      <c r="BF13" s="37" t="n">
        <f aca="false">BF12*Assumptions!$C$11</f>
        <v>718.797685758518</v>
      </c>
      <c r="BG13" s="37" t="n">
        <f aca="false">BG12*Assumptions!$C$11</f>
        <v>735.08772047214</v>
      </c>
      <c r="BH13" s="37" t="n">
        <f aca="false">BH12*Assumptions!$C$11</f>
        <v>749.789404665058</v>
      </c>
      <c r="BI13" s="37" t="n">
        <f aca="false">BI12*Assumptions!$C$11</f>
        <v>762.542563595082</v>
      </c>
      <c r="BJ13" s="37" t="n">
        <f aca="false">BJ12*Assumptions!$C$11</f>
        <v>778.176425141156</v>
      </c>
      <c r="BK13" s="37" t="n">
        <f aca="false">BK12*Assumptions!$C$11</f>
        <v>792.231778764039</v>
      </c>
    </row>
    <row r="14" customFormat="false" ht="15" hidden="false" customHeight="false" outlineLevel="0" collapsed="false">
      <c r="A14" s="28" t="s">
        <v>547</v>
      </c>
      <c r="B14" s="6" t="s">
        <v>548</v>
      </c>
      <c r="C14" s="36" t="n">
        <v>0</v>
      </c>
      <c r="D14" s="26" t="n">
        <f aca="false">D11*Assumptions!$C$11</f>
        <v>0</v>
      </c>
      <c r="E14" s="26" t="n">
        <f aca="false">E11*Assumptions!$C$11</f>
        <v>0</v>
      </c>
      <c r="F14" s="26" t="n">
        <f aca="false">F11*Assumptions!$C$11</f>
        <v>0</v>
      </c>
      <c r="G14" s="26" t="n">
        <f aca="false">G11*Assumptions!$C$11</f>
        <v>0</v>
      </c>
      <c r="H14" s="26" t="n">
        <f aca="false">H11*Assumptions!$C$11</f>
        <v>4.8</v>
      </c>
      <c r="I14" s="26" t="n">
        <f aca="false">I11*Assumptions!$C$11</f>
        <v>4.224</v>
      </c>
      <c r="J14" s="26" t="n">
        <f aca="false">J11*Assumptions!$C$11</f>
        <v>2.88</v>
      </c>
      <c r="K14" s="26" t="n">
        <f aca="false">K11*Assumptions!$C$11</f>
        <v>6.72</v>
      </c>
      <c r="L14" s="26" t="n">
        <f aca="false">L11*Assumptions!$C$11</f>
        <v>5.376</v>
      </c>
      <c r="M14" s="26" t="n">
        <f aca="false">M11*Assumptions!$C$11</f>
        <v>3.84</v>
      </c>
      <c r="N14" s="26" t="n">
        <f aca="false">N11*Assumptions!$C$11</f>
        <v>6.912</v>
      </c>
      <c r="O14" s="26" t="n">
        <f aca="false">O11*Assumptions!$C$11</f>
        <v>10.368</v>
      </c>
      <c r="P14" s="26" t="n">
        <f aca="false">P11*Assumptions!$C$11</f>
        <v>8.256</v>
      </c>
      <c r="Q14" s="26" t="n">
        <f aca="false">Q11*Assumptions!$C$11</f>
        <v>9.984</v>
      </c>
      <c r="R14" s="26" t="n">
        <f aca="false">R11*Assumptions!$C$11</f>
        <v>12.48</v>
      </c>
      <c r="S14" s="26" t="n">
        <f aca="false">S11*Assumptions!$C$11</f>
        <v>9.6</v>
      </c>
      <c r="T14" s="26" t="n">
        <f aca="false">T11*Assumptions!$C$11</f>
        <v>11.136</v>
      </c>
      <c r="U14" s="26" t="n">
        <f aca="false">U11*Assumptions!$C$11</f>
        <v>12.864</v>
      </c>
      <c r="V14" s="26" t="n">
        <f aca="false">V11*Assumptions!$C$11</f>
        <v>14.784</v>
      </c>
      <c r="W14" s="26" t="n">
        <f aca="false">W11*Assumptions!$C$11</f>
        <v>15.744</v>
      </c>
      <c r="X14" s="26" t="n">
        <f aca="false">X11*Assumptions!$C$11</f>
        <v>16.128</v>
      </c>
      <c r="Y14" s="26" t="n">
        <f aca="false">Y11*Assumptions!$C$11</f>
        <v>17.088</v>
      </c>
      <c r="Z14" s="26" t="n">
        <f aca="false">Z11*Assumptions!$C$11</f>
        <v>17.28</v>
      </c>
      <c r="AA14" s="26" t="n">
        <f aca="false">AA11*Assumptions!$C$11</f>
        <v>17.472</v>
      </c>
      <c r="AB14" s="26" t="n">
        <f aca="false">AB11*Assumptions!$C$11</f>
        <v>17.664</v>
      </c>
      <c r="AC14" s="26" t="n">
        <f aca="false">AC11*Assumptions!$C$11</f>
        <v>17.856</v>
      </c>
      <c r="AD14" s="26" t="n">
        <f aca="false">AD11*Assumptions!$C$11</f>
        <v>18.048</v>
      </c>
      <c r="AE14" s="26" t="n">
        <f aca="false">AE11*Assumptions!$C$11</f>
        <v>18.048</v>
      </c>
      <c r="AF14" s="26" t="n">
        <f aca="false">AF11*Assumptions!$C$11</f>
        <v>23.04</v>
      </c>
      <c r="AG14" s="26" t="n">
        <f aca="false">AG11*Assumptions!$C$11</f>
        <v>22.656</v>
      </c>
      <c r="AH14" s="26" t="n">
        <f aca="false">AH11*Assumptions!$C$11</f>
        <v>21.312</v>
      </c>
      <c r="AI14" s="26" t="n">
        <f aca="false">AI11*Assumptions!$C$11</f>
        <v>25.344</v>
      </c>
      <c r="AJ14" s="26" t="n">
        <f aca="false">AJ11*Assumptions!$C$11</f>
        <v>24.192</v>
      </c>
      <c r="AK14" s="26" t="n">
        <f aca="false">AK11*Assumptions!$C$11</f>
        <v>22.656</v>
      </c>
      <c r="AL14" s="26" t="n">
        <f aca="false">AL11*Assumptions!$C$11</f>
        <v>25.728</v>
      </c>
      <c r="AM14" s="26" t="n">
        <f aca="false">AM11*Assumptions!$C$11</f>
        <v>24.576</v>
      </c>
      <c r="AN14" s="37" t="n">
        <f aca="false">AN11*Assumptions!$C$11</f>
        <v>23.04</v>
      </c>
      <c r="AO14" s="37" t="n">
        <f aca="false">AO11*Assumptions!$C$11</f>
        <v>26.112</v>
      </c>
      <c r="AP14" s="37" t="n">
        <f aca="false">AP11*Assumptions!$C$11</f>
        <v>24.96</v>
      </c>
      <c r="AQ14" s="37" t="n">
        <f aca="false">AQ11*Assumptions!$C$11</f>
        <v>23.424</v>
      </c>
      <c r="AR14" s="37" t="n">
        <f aca="false">AR11*Assumptions!$C$11</f>
        <v>26.496</v>
      </c>
      <c r="AS14" s="37" t="n">
        <f aca="false">AS11*Assumptions!$C$11</f>
        <v>25.152</v>
      </c>
      <c r="AT14" s="37" t="n">
        <f aca="false">AT11*Assumptions!$C$11</f>
        <v>23.616</v>
      </c>
      <c r="AU14" s="37" t="n">
        <f aca="false">AU11*Assumptions!$C$11</f>
        <v>26.688</v>
      </c>
      <c r="AV14" s="37" t="n">
        <f aca="false">AV11*Assumptions!$C$11</f>
        <v>25.344</v>
      </c>
      <c r="AW14" s="37" t="n">
        <f aca="false">AW11*Assumptions!$C$11</f>
        <v>23.808</v>
      </c>
      <c r="AX14" s="37" t="n">
        <f aca="false">AX11*Assumptions!$C$11</f>
        <v>26.88</v>
      </c>
      <c r="AY14" s="37" t="n">
        <f aca="false">AY11*Assumptions!$C$11</f>
        <v>25.536</v>
      </c>
      <c r="AZ14" s="37" t="n">
        <f aca="false">AZ11*Assumptions!$C$11</f>
        <v>24</v>
      </c>
      <c r="BA14" s="37" t="n">
        <f aca="false">BA11*Assumptions!$C$11</f>
        <v>27.072</v>
      </c>
      <c r="BB14" s="37" t="n">
        <f aca="false">BB11*Assumptions!$C$11</f>
        <v>25.728</v>
      </c>
      <c r="BC14" s="37" t="n">
        <f aca="false">BC11*Assumptions!$C$11</f>
        <v>24</v>
      </c>
      <c r="BD14" s="37" t="n">
        <f aca="false">BD11*Assumptions!$C$11</f>
        <v>27.072</v>
      </c>
      <c r="BE14" s="37" t="n">
        <f aca="false">BE11*Assumptions!$C$11</f>
        <v>25.728</v>
      </c>
      <c r="BF14" s="37" t="n">
        <f aca="false">BF11*Assumptions!$C$11</f>
        <v>24</v>
      </c>
      <c r="BG14" s="37" t="n">
        <f aca="false">BG11*Assumptions!$C$11</f>
        <v>27.072</v>
      </c>
      <c r="BH14" s="37" t="n">
        <f aca="false">BH11*Assumptions!$C$11</f>
        <v>25.728</v>
      </c>
      <c r="BI14" s="37" t="n">
        <f aca="false">BI11*Assumptions!$C$11</f>
        <v>24</v>
      </c>
      <c r="BJ14" s="37" t="n">
        <f aca="false">BJ11*Assumptions!$C$11</f>
        <v>27.072</v>
      </c>
      <c r="BK14" s="37" t="n">
        <f aca="false">BK11*Assumptions!$C$11</f>
        <v>25.728</v>
      </c>
    </row>
    <row r="15" customFormat="false" ht="15" hidden="false" customHeight="false" outlineLevel="0" collapsed="false">
      <c r="B15" s="5" t="s">
        <v>549</v>
      </c>
    </row>
    <row r="16" customFormat="false" ht="15" hidden="false" customHeight="false" outlineLevel="0" collapsed="false">
      <c r="A16" s="28" t="s">
        <v>550</v>
      </c>
      <c r="B16" s="6" t="s">
        <v>551</v>
      </c>
      <c r="C16" s="38" t="n">
        <v>0</v>
      </c>
      <c r="D16" s="39" t="n">
        <f aca="false">IF(OR(C16=1,AND(D13&gt;=Assumptions!$C$18,D7&gt;=Assumptions!$C$19)),1,0)</f>
        <v>0</v>
      </c>
      <c r="E16" s="39" t="n">
        <f aca="false">IF(OR(D16=1,AND(E13&gt;=Assumptions!$C$18,E7&gt;=Assumptions!$C$19)),1,0)</f>
        <v>0</v>
      </c>
      <c r="F16" s="39" t="n">
        <f aca="false">IF(OR(E16=1,AND(F13&gt;=Assumptions!$C$18,F7&gt;=Assumptions!$C$19)),1,0)</f>
        <v>0</v>
      </c>
      <c r="G16" s="39" t="n">
        <f aca="false">IF(OR(F16=1,AND(G13&gt;=Assumptions!$C$18,G7&gt;=Assumptions!$C$19)),1,0)</f>
        <v>0</v>
      </c>
      <c r="H16" s="39" t="n">
        <f aca="false">IF(OR(G16=1,AND(H13&gt;=Assumptions!$C$18,H7&gt;=Assumptions!$C$19)),1,0)</f>
        <v>0</v>
      </c>
      <c r="I16" s="39" t="n">
        <f aca="false">IF(OR(H16=1,AND(I13&gt;=Assumptions!$C$18,I7&gt;=Assumptions!$C$19)),1,0)</f>
        <v>0</v>
      </c>
      <c r="J16" s="39" t="n">
        <f aca="false">IF(OR(I16=1,AND(J13&gt;=Assumptions!$C$18,J7&gt;=Assumptions!$C$19)),1,0)</f>
        <v>0</v>
      </c>
      <c r="K16" s="39" t="n">
        <f aca="false">IF(OR(J16=1,AND(K13&gt;=Assumptions!$C$18,K7&gt;=Assumptions!$C$19)),1,0)</f>
        <v>0</v>
      </c>
      <c r="L16" s="39" t="n">
        <f aca="false">IF(OR(K16=1,AND(L13&gt;=Assumptions!$C$18,L7&gt;=Assumptions!$C$19)),1,0)</f>
        <v>0</v>
      </c>
      <c r="M16" s="39" t="n">
        <f aca="false">IF(OR(L16=1,AND(M13&gt;=Assumptions!$C$18,M7&gt;=Assumptions!$C$19)),1,0)</f>
        <v>0</v>
      </c>
      <c r="N16" s="39" t="n">
        <f aca="false">IF(OR(M16=1,AND(N13&gt;=Assumptions!$C$18,N7&gt;=Assumptions!$C$19)),1,0)</f>
        <v>0</v>
      </c>
      <c r="O16" s="39" t="n">
        <f aca="false">IF(OR(N16=1,AND(O13&gt;=Assumptions!$C$18,O7&gt;=Assumptions!$C$19)),1,0)</f>
        <v>0</v>
      </c>
      <c r="P16" s="39" t="n">
        <f aca="false">IF(OR(O16=1,AND(P13&gt;=Assumptions!$C$18,P7&gt;=Assumptions!$C$19)),1,0)</f>
        <v>0</v>
      </c>
      <c r="Q16" s="39" t="n">
        <f aca="false">IF(OR(P16=1,AND(Q13&gt;=Assumptions!$C$18,Q7&gt;=Assumptions!$C$19)),1,0)</f>
        <v>0</v>
      </c>
      <c r="R16" s="39" t="n">
        <f aca="false">IF(OR(Q16=1,AND(R13&gt;=Assumptions!$C$18,R7&gt;=Assumptions!$C$19)),1,0)</f>
        <v>0</v>
      </c>
      <c r="S16" s="39" t="n">
        <f aca="false">IF(OR(R16=1,AND(S13&gt;=Assumptions!$C$18,S7&gt;=Assumptions!$C$19)),1,0)</f>
        <v>0</v>
      </c>
      <c r="T16" s="39" t="n">
        <f aca="false">IF(OR(S16=1,AND(T13&gt;=Assumptions!$C$18,T7&gt;=Assumptions!$C$19)),1,0)</f>
        <v>0</v>
      </c>
      <c r="U16" s="39" t="n">
        <f aca="false">IF(OR(T16=1,AND(U13&gt;=Assumptions!$C$18,U7&gt;=Assumptions!$C$19)),1,0)</f>
        <v>0</v>
      </c>
      <c r="V16" s="39" t="n">
        <f aca="false">IF(OR(U16=1,AND(V13&gt;=Assumptions!$C$18,V7&gt;=Assumptions!$C$19)),1,0)</f>
        <v>0</v>
      </c>
      <c r="W16" s="39" t="n">
        <f aca="false">IF(OR(V16=1,AND(W13&gt;=Assumptions!$C$18,W7&gt;=Assumptions!$C$19)),1,0)</f>
        <v>0</v>
      </c>
      <c r="X16" s="39" t="n">
        <f aca="false">IF(OR(W16=1,AND(X13&gt;=Assumptions!$C$18,X7&gt;=Assumptions!$C$19)),1,0)</f>
        <v>0</v>
      </c>
      <c r="Y16" s="39" t="n">
        <f aca="false">IF(OR(X16=1,AND(Y13&gt;=Assumptions!$C$18,Y7&gt;=Assumptions!$C$19)),1,0)</f>
        <v>1</v>
      </c>
      <c r="Z16" s="39" t="n">
        <f aca="false">IF(OR(Y16=1,AND(Z13&gt;=Assumptions!$C$18,Z7&gt;=Assumptions!$C$19)),1,0)</f>
        <v>1</v>
      </c>
      <c r="AA16" s="39" t="n">
        <f aca="false">IF(OR(Z16=1,AND(AA13&gt;=Assumptions!$C$18,AA7&gt;=Assumptions!$C$19)),1,0)</f>
        <v>1</v>
      </c>
      <c r="AB16" s="39" t="n">
        <f aca="false">IF(OR(AA16=1,AND(AB13&gt;=Assumptions!$C$18,AB7&gt;=Assumptions!$C$19)),1,0)</f>
        <v>1</v>
      </c>
      <c r="AC16" s="39" t="n">
        <f aca="false">IF(OR(AB16=1,AND(AC13&gt;=Assumptions!$C$18,AC7&gt;=Assumptions!$C$19)),1,0)</f>
        <v>1</v>
      </c>
      <c r="AD16" s="39" t="n">
        <f aca="false">IF(OR(AC16=1,AND(AD13&gt;=Assumptions!$C$18,AD7&gt;=Assumptions!$C$19)),1,0)</f>
        <v>1</v>
      </c>
      <c r="AE16" s="39" t="n">
        <f aca="false">IF(OR(AD16=1,AND(AE13&gt;=Assumptions!$C$18,AE7&gt;=Assumptions!$C$19)),1,0)</f>
        <v>1</v>
      </c>
      <c r="AF16" s="39" t="n">
        <f aca="false">IF(OR(AE16=1,AND(AF13&gt;=Assumptions!$C$18,AF7&gt;=Assumptions!$C$19)),1,0)</f>
        <v>1</v>
      </c>
      <c r="AG16" s="39" t="n">
        <f aca="false">IF(OR(AF16=1,AND(AG13&gt;=Assumptions!$C$18,AG7&gt;=Assumptions!$C$19)),1,0)</f>
        <v>1</v>
      </c>
      <c r="AH16" s="39" t="n">
        <f aca="false">IF(OR(AG16=1,AND(AH13&gt;=Assumptions!$C$18,AH7&gt;=Assumptions!$C$19)),1,0)</f>
        <v>1</v>
      </c>
      <c r="AI16" s="39" t="n">
        <f aca="false">IF(OR(AH16=1,AND(AI13&gt;=Assumptions!$C$18,AI7&gt;=Assumptions!$C$19)),1,0)</f>
        <v>1</v>
      </c>
      <c r="AJ16" s="39" t="n">
        <f aca="false">IF(OR(AI16=1,AND(AJ13&gt;=Assumptions!$C$18,AJ7&gt;=Assumptions!$C$19)),1,0)</f>
        <v>1</v>
      </c>
      <c r="AK16" s="39" t="n">
        <f aca="false">IF(OR(AJ16=1,AND(AK13&gt;=Assumptions!$C$18,AK7&gt;=Assumptions!$C$19)),1,0)</f>
        <v>1</v>
      </c>
      <c r="AL16" s="39" t="n">
        <f aca="false">IF(OR(AK16=1,AND(AL13&gt;=Assumptions!$C$18,AL7&gt;=Assumptions!$C$19)),1,0)</f>
        <v>1</v>
      </c>
      <c r="AM16" s="39" t="n">
        <f aca="false">IF(OR(AL16=1,AND(AM13&gt;=Assumptions!$C$18,AM7&gt;=Assumptions!$C$19)),1,0)</f>
        <v>1</v>
      </c>
      <c r="AN16" s="40" t="n">
        <f aca="false">IF(OR(AM16=1,AND(AN13&gt;=Assumptions!$C$18,AN7&gt;=Assumptions!$C$19)),1,0)</f>
        <v>1</v>
      </c>
      <c r="AO16" s="40" t="n">
        <f aca="false">IF(OR(AN16=1,AND(AO13&gt;=Assumptions!$C$18,AO7&gt;=Assumptions!$C$19)),1,0)</f>
        <v>1</v>
      </c>
      <c r="AP16" s="40" t="n">
        <f aca="false">IF(OR(AO16=1,AND(AP13&gt;=Assumptions!$C$18,AP7&gt;=Assumptions!$C$19)),1,0)</f>
        <v>1</v>
      </c>
      <c r="AQ16" s="40" t="n">
        <f aca="false">IF(OR(AP16=1,AND(AQ13&gt;=Assumptions!$C$18,AQ7&gt;=Assumptions!$C$19)),1,0)</f>
        <v>1</v>
      </c>
      <c r="AR16" s="40" t="n">
        <f aca="false">IF(OR(AQ16=1,AND(AR13&gt;=Assumptions!$C$18,AR7&gt;=Assumptions!$C$19)),1,0)</f>
        <v>1</v>
      </c>
      <c r="AS16" s="40" t="n">
        <f aca="false">IF(OR(AR16=1,AND(AS13&gt;=Assumptions!$C$18,AS7&gt;=Assumptions!$C$19)),1,0)</f>
        <v>1</v>
      </c>
      <c r="AT16" s="40" t="n">
        <f aca="false">IF(OR(AS16=1,AND(AT13&gt;=Assumptions!$C$18,AT7&gt;=Assumptions!$C$19)),1,0)</f>
        <v>1</v>
      </c>
      <c r="AU16" s="40" t="n">
        <f aca="false">IF(OR(AT16=1,AND(AU13&gt;=Assumptions!$C$18,AU7&gt;=Assumptions!$C$19)),1,0)</f>
        <v>1</v>
      </c>
      <c r="AV16" s="40" t="n">
        <f aca="false">IF(OR(AU16=1,AND(AV13&gt;=Assumptions!$C$18,AV7&gt;=Assumptions!$C$19)),1,0)</f>
        <v>1</v>
      </c>
      <c r="AW16" s="40" t="n">
        <f aca="false">IF(OR(AV16=1,AND(AW13&gt;=Assumptions!$C$18,AW7&gt;=Assumptions!$C$19)),1,0)</f>
        <v>1</v>
      </c>
      <c r="AX16" s="40" t="n">
        <f aca="false">IF(OR(AW16=1,AND(AX13&gt;=Assumptions!$C$18,AX7&gt;=Assumptions!$C$19)),1,0)</f>
        <v>1</v>
      </c>
      <c r="AY16" s="40" t="n">
        <f aca="false">IF(OR(AX16=1,AND(AY13&gt;=Assumptions!$C$18,AY7&gt;=Assumptions!$C$19)),1,0)</f>
        <v>1</v>
      </c>
      <c r="AZ16" s="40" t="n">
        <f aca="false">IF(OR(AY16=1,AND(AZ13&gt;=Assumptions!$C$18,AZ7&gt;=Assumptions!$C$19)),1,0)</f>
        <v>1</v>
      </c>
      <c r="BA16" s="40" t="n">
        <f aca="false">IF(OR(AZ16=1,AND(BA13&gt;=Assumptions!$C$18,BA7&gt;=Assumptions!$C$19)),1,0)</f>
        <v>1</v>
      </c>
      <c r="BB16" s="40" t="n">
        <f aca="false">IF(OR(BA16=1,AND(BB13&gt;=Assumptions!$C$18,BB7&gt;=Assumptions!$C$19)),1,0)</f>
        <v>1</v>
      </c>
      <c r="BC16" s="40" t="n">
        <f aca="false">IF(OR(BB16=1,AND(BC13&gt;=Assumptions!$C$18,BC7&gt;=Assumptions!$C$19)),1,0)</f>
        <v>1</v>
      </c>
      <c r="BD16" s="40" t="n">
        <f aca="false">IF(OR(BC16=1,AND(BD13&gt;=Assumptions!$C$18,BD7&gt;=Assumptions!$C$19)),1,0)</f>
        <v>1</v>
      </c>
      <c r="BE16" s="40" t="n">
        <f aca="false">IF(OR(BD16=1,AND(BE13&gt;=Assumptions!$C$18,BE7&gt;=Assumptions!$C$19)),1,0)</f>
        <v>1</v>
      </c>
      <c r="BF16" s="40" t="n">
        <f aca="false">IF(OR(BE16=1,AND(BF13&gt;=Assumptions!$C$18,BF7&gt;=Assumptions!$C$19)),1,0)</f>
        <v>1</v>
      </c>
      <c r="BG16" s="40" t="n">
        <f aca="false">IF(OR(BF16=1,AND(BG13&gt;=Assumptions!$C$18,BG7&gt;=Assumptions!$C$19)),1,0)</f>
        <v>1</v>
      </c>
      <c r="BH16" s="40" t="n">
        <f aca="false">IF(OR(BG16=1,AND(BH13&gt;=Assumptions!$C$18,BH7&gt;=Assumptions!$C$19)),1,0)</f>
        <v>1</v>
      </c>
      <c r="BI16" s="40" t="n">
        <f aca="false">IF(OR(BH16=1,AND(BI13&gt;=Assumptions!$C$18,BI7&gt;=Assumptions!$C$19)),1,0)</f>
        <v>1</v>
      </c>
      <c r="BJ16" s="40" t="n">
        <f aca="false">IF(OR(BI16=1,AND(BJ13&gt;=Assumptions!$C$18,BJ7&gt;=Assumptions!$C$19)),1,0)</f>
        <v>1</v>
      </c>
      <c r="BK16" s="40" t="n">
        <f aca="false">IF(OR(BJ16=1,AND(BK13&gt;=Assumptions!$C$18,BK7&gt;=Assumptions!$C$19)),1,0)</f>
        <v>1</v>
      </c>
    </row>
    <row r="17" customFormat="false" ht="15" hidden="false" customHeight="false" outlineLevel="0" collapsed="false">
      <c r="A17" s="28" t="s">
        <v>552</v>
      </c>
      <c r="B17" s="6" t="s">
        <v>553</v>
      </c>
      <c r="C17" s="38" t="n">
        <v>0</v>
      </c>
      <c r="D17" s="39" t="n">
        <f aca="false">IF(OR(C17=1,AND(D13&gt;=Assumptions!$C$20,D7&gt;=Assumptions!$C$21)),1,0)</f>
        <v>0</v>
      </c>
      <c r="E17" s="39" t="n">
        <f aca="false">IF(OR(D17=1,AND(E13&gt;=Assumptions!$C$20,E7&gt;=Assumptions!$C$21)),1,0)</f>
        <v>0</v>
      </c>
      <c r="F17" s="39" t="n">
        <f aca="false">IF(OR(E17=1,AND(F13&gt;=Assumptions!$C$20,F7&gt;=Assumptions!$C$21)),1,0)</f>
        <v>0</v>
      </c>
      <c r="G17" s="39" t="n">
        <f aca="false">IF(OR(F17=1,AND(G13&gt;=Assumptions!$C$20,G7&gt;=Assumptions!$C$21)),1,0)</f>
        <v>0</v>
      </c>
      <c r="H17" s="39" t="n">
        <f aca="false">IF(OR(G17=1,AND(H13&gt;=Assumptions!$C$20,H7&gt;=Assumptions!$C$21)),1,0)</f>
        <v>0</v>
      </c>
      <c r="I17" s="39" t="n">
        <f aca="false">IF(OR(H17=1,AND(I13&gt;=Assumptions!$C$20,I7&gt;=Assumptions!$C$21)),1,0)</f>
        <v>0</v>
      </c>
      <c r="J17" s="39" t="n">
        <f aca="false">IF(OR(I17=1,AND(J13&gt;=Assumptions!$C$20,J7&gt;=Assumptions!$C$21)),1,0)</f>
        <v>0</v>
      </c>
      <c r="K17" s="39" t="n">
        <f aca="false">IF(OR(J17=1,AND(K13&gt;=Assumptions!$C$20,K7&gt;=Assumptions!$C$21)),1,0)</f>
        <v>0</v>
      </c>
      <c r="L17" s="39" t="n">
        <f aca="false">IF(OR(K17=1,AND(L13&gt;=Assumptions!$C$20,L7&gt;=Assumptions!$C$21)),1,0)</f>
        <v>0</v>
      </c>
      <c r="M17" s="39" t="n">
        <f aca="false">IF(OR(L17=1,AND(M13&gt;=Assumptions!$C$20,M7&gt;=Assumptions!$C$21)),1,0)</f>
        <v>0</v>
      </c>
      <c r="N17" s="39" t="n">
        <f aca="false">IF(OR(M17=1,AND(N13&gt;=Assumptions!$C$20,N7&gt;=Assumptions!$C$21)),1,0)</f>
        <v>0</v>
      </c>
      <c r="O17" s="39" t="n">
        <f aca="false">IF(OR(N17=1,AND(O13&gt;=Assumptions!$C$20,O7&gt;=Assumptions!$C$21)),1,0)</f>
        <v>0</v>
      </c>
      <c r="P17" s="39" t="n">
        <f aca="false">IF(OR(O17=1,AND(P13&gt;=Assumptions!$C$20,P7&gt;=Assumptions!$C$21)),1,0)</f>
        <v>0</v>
      </c>
      <c r="Q17" s="39" t="n">
        <f aca="false">IF(OR(P17=1,AND(Q13&gt;=Assumptions!$C$20,Q7&gt;=Assumptions!$C$21)),1,0)</f>
        <v>0</v>
      </c>
      <c r="R17" s="39" t="n">
        <f aca="false">IF(OR(Q17=1,AND(R13&gt;=Assumptions!$C$20,R7&gt;=Assumptions!$C$21)),1,0)</f>
        <v>0</v>
      </c>
      <c r="S17" s="39" t="n">
        <f aca="false">IF(OR(R17=1,AND(S13&gt;=Assumptions!$C$20,S7&gt;=Assumptions!$C$21)),1,0)</f>
        <v>0</v>
      </c>
      <c r="T17" s="39" t="n">
        <f aca="false">IF(OR(S17=1,AND(T13&gt;=Assumptions!$C$20,T7&gt;=Assumptions!$C$21)),1,0)</f>
        <v>0</v>
      </c>
      <c r="U17" s="39" t="n">
        <f aca="false">IF(OR(T17=1,AND(U13&gt;=Assumptions!$C$20,U7&gt;=Assumptions!$C$21)),1,0)</f>
        <v>0</v>
      </c>
      <c r="V17" s="39" t="n">
        <f aca="false">IF(OR(U17=1,AND(V13&gt;=Assumptions!$C$20,V7&gt;=Assumptions!$C$21)),1,0)</f>
        <v>0</v>
      </c>
      <c r="W17" s="39" t="n">
        <f aca="false">IF(OR(V17=1,AND(W13&gt;=Assumptions!$C$20,W7&gt;=Assumptions!$C$21)),1,0)</f>
        <v>0</v>
      </c>
      <c r="X17" s="39" t="n">
        <f aca="false">IF(OR(W17=1,AND(X13&gt;=Assumptions!$C$20,X7&gt;=Assumptions!$C$21)),1,0)</f>
        <v>0</v>
      </c>
      <c r="Y17" s="39" t="n">
        <f aca="false">IF(OR(X17=1,AND(Y13&gt;=Assumptions!$C$20,Y7&gt;=Assumptions!$C$21)),1,0)</f>
        <v>1</v>
      </c>
      <c r="Z17" s="39" t="n">
        <f aca="false">IF(OR(Y17=1,AND(Z13&gt;=Assumptions!$C$20,Z7&gt;=Assumptions!$C$21)),1,0)</f>
        <v>1</v>
      </c>
      <c r="AA17" s="39" t="n">
        <f aca="false">IF(OR(Z17=1,AND(AA13&gt;=Assumptions!$C$20,AA7&gt;=Assumptions!$C$21)),1,0)</f>
        <v>1</v>
      </c>
      <c r="AB17" s="39" t="n">
        <f aca="false">IF(OR(AA17=1,AND(AB13&gt;=Assumptions!$C$20,AB7&gt;=Assumptions!$C$21)),1,0)</f>
        <v>1</v>
      </c>
      <c r="AC17" s="39" t="n">
        <f aca="false">IF(OR(AB17=1,AND(AC13&gt;=Assumptions!$C$20,AC7&gt;=Assumptions!$C$21)),1,0)</f>
        <v>1</v>
      </c>
      <c r="AD17" s="39" t="n">
        <f aca="false">IF(OR(AC17=1,AND(AD13&gt;=Assumptions!$C$20,AD7&gt;=Assumptions!$C$21)),1,0)</f>
        <v>1</v>
      </c>
      <c r="AE17" s="39" t="n">
        <f aca="false">IF(OR(AD17=1,AND(AE13&gt;=Assumptions!$C$20,AE7&gt;=Assumptions!$C$21)),1,0)</f>
        <v>1</v>
      </c>
      <c r="AF17" s="39" t="n">
        <f aca="false">IF(OR(AE17=1,AND(AF13&gt;=Assumptions!$C$20,AF7&gt;=Assumptions!$C$21)),1,0)</f>
        <v>1</v>
      </c>
      <c r="AG17" s="39" t="n">
        <f aca="false">IF(OR(AF17=1,AND(AG13&gt;=Assumptions!$C$20,AG7&gt;=Assumptions!$C$21)),1,0)</f>
        <v>1</v>
      </c>
      <c r="AH17" s="39" t="n">
        <f aca="false">IF(OR(AG17=1,AND(AH13&gt;=Assumptions!$C$20,AH7&gt;=Assumptions!$C$21)),1,0)</f>
        <v>1</v>
      </c>
      <c r="AI17" s="39" t="n">
        <f aca="false">IF(OR(AH17=1,AND(AI13&gt;=Assumptions!$C$20,AI7&gt;=Assumptions!$C$21)),1,0)</f>
        <v>1</v>
      </c>
      <c r="AJ17" s="39" t="n">
        <f aca="false">IF(OR(AI17=1,AND(AJ13&gt;=Assumptions!$C$20,AJ7&gt;=Assumptions!$C$21)),1,0)</f>
        <v>1</v>
      </c>
      <c r="AK17" s="39" t="n">
        <f aca="false">IF(OR(AJ17=1,AND(AK13&gt;=Assumptions!$C$20,AK7&gt;=Assumptions!$C$21)),1,0)</f>
        <v>1</v>
      </c>
      <c r="AL17" s="39" t="n">
        <f aca="false">IF(OR(AK17=1,AND(AL13&gt;=Assumptions!$C$20,AL7&gt;=Assumptions!$C$21)),1,0)</f>
        <v>1</v>
      </c>
      <c r="AM17" s="39" t="n">
        <f aca="false">IF(OR(AL17=1,AND(AM13&gt;=Assumptions!$C$20,AM7&gt;=Assumptions!$C$21)),1,0)</f>
        <v>1</v>
      </c>
      <c r="AN17" s="40" t="n">
        <f aca="false">IF(OR(AM17=1,AND(AN13&gt;=Assumptions!$C$20,AN7&gt;=Assumptions!$C$21)),1,0)</f>
        <v>1</v>
      </c>
      <c r="AO17" s="40" t="n">
        <f aca="false">IF(OR(AN17=1,AND(AO13&gt;=Assumptions!$C$20,AO7&gt;=Assumptions!$C$21)),1,0)</f>
        <v>1</v>
      </c>
      <c r="AP17" s="40" t="n">
        <f aca="false">IF(OR(AO17=1,AND(AP13&gt;=Assumptions!$C$20,AP7&gt;=Assumptions!$C$21)),1,0)</f>
        <v>1</v>
      </c>
      <c r="AQ17" s="40" t="n">
        <f aca="false">IF(OR(AP17=1,AND(AQ13&gt;=Assumptions!$C$20,AQ7&gt;=Assumptions!$C$21)),1,0)</f>
        <v>1</v>
      </c>
      <c r="AR17" s="40" t="n">
        <f aca="false">IF(OR(AQ17=1,AND(AR13&gt;=Assumptions!$C$20,AR7&gt;=Assumptions!$C$21)),1,0)</f>
        <v>1</v>
      </c>
      <c r="AS17" s="40" t="n">
        <f aca="false">IF(OR(AR17=1,AND(AS13&gt;=Assumptions!$C$20,AS7&gt;=Assumptions!$C$21)),1,0)</f>
        <v>1</v>
      </c>
      <c r="AT17" s="40" t="n">
        <f aca="false">IF(OR(AS17=1,AND(AT13&gt;=Assumptions!$C$20,AT7&gt;=Assumptions!$C$21)),1,0)</f>
        <v>1</v>
      </c>
      <c r="AU17" s="40" t="n">
        <f aca="false">IF(OR(AT17=1,AND(AU13&gt;=Assumptions!$C$20,AU7&gt;=Assumptions!$C$21)),1,0)</f>
        <v>1</v>
      </c>
      <c r="AV17" s="40" t="n">
        <f aca="false">IF(OR(AU17=1,AND(AV13&gt;=Assumptions!$C$20,AV7&gt;=Assumptions!$C$21)),1,0)</f>
        <v>1</v>
      </c>
      <c r="AW17" s="40" t="n">
        <f aca="false">IF(OR(AV17=1,AND(AW13&gt;=Assumptions!$C$20,AW7&gt;=Assumptions!$C$21)),1,0)</f>
        <v>1</v>
      </c>
      <c r="AX17" s="40" t="n">
        <f aca="false">IF(OR(AW17=1,AND(AX13&gt;=Assumptions!$C$20,AX7&gt;=Assumptions!$C$21)),1,0)</f>
        <v>1</v>
      </c>
      <c r="AY17" s="40" t="n">
        <f aca="false">IF(OR(AX17=1,AND(AY13&gt;=Assumptions!$C$20,AY7&gt;=Assumptions!$C$21)),1,0)</f>
        <v>1</v>
      </c>
      <c r="AZ17" s="40" t="n">
        <f aca="false">IF(OR(AY17=1,AND(AZ13&gt;=Assumptions!$C$20,AZ7&gt;=Assumptions!$C$21)),1,0)</f>
        <v>1</v>
      </c>
      <c r="BA17" s="40" t="n">
        <f aca="false">IF(OR(AZ17=1,AND(BA13&gt;=Assumptions!$C$20,BA7&gt;=Assumptions!$C$21)),1,0)</f>
        <v>1</v>
      </c>
      <c r="BB17" s="40" t="n">
        <f aca="false">IF(OR(BA17=1,AND(BB13&gt;=Assumptions!$C$20,BB7&gt;=Assumptions!$C$21)),1,0)</f>
        <v>1</v>
      </c>
      <c r="BC17" s="40" t="n">
        <f aca="false">IF(OR(BB17=1,AND(BC13&gt;=Assumptions!$C$20,BC7&gt;=Assumptions!$C$21)),1,0)</f>
        <v>1</v>
      </c>
      <c r="BD17" s="40" t="n">
        <f aca="false">IF(OR(BC17=1,AND(BD13&gt;=Assumptions!$C$20,BD7&gt;=Assumptions!$C$21)),1,0)</f>
        <v>1</v>
      </c>
      <c r="BE17" s="40" t="n">
        <f aca="false">IF(OR(BD17=1,AND(BE13&gt;=Assumptions!$C$20,BE7&gt;=Assumptions!$C$21)),1,0)</f>
        <v>1</v>
      </c>
      <c r="BF17" s="40" t="n">
        <f aca="false">IF(OR(BE17=1,AND(BF13&gt;=Assumptions!$C$20,BF7&gt;=Assumptions!$C$21)),1,0)</f>
        <v>1</v>
      </c>
      <c r="BG17" s="40" t="n">
        <f aca="false">IF(OR(BF17=1,AND(BG13&gt;=Assumptions!$C$20,BG7&gt;=Assumptions!$C$21)),1,0)</f>
        <v>1</v>
      </c>
      <c r="BH17" s="40" t="n">
        <f aca="false">IF(OR(BG17=1,AND(BH13&gt;=Assumptions!$C$20,BH7&gt;=Assumptions!$C$21)),1,0)</f>
        <v>1</v>
      </c>
      <c r="BI17" s="40" t="n">
        <f aca="false">IF(OR(BH17=1,AND(BI13&gt;=Assumptions!$C$20,BI7&gt;=Assumptions!$C$21)),1,0)</f>
        <v>1</v>
      </c>
      <c r="BJ17" s="40" t="n">
        <f aca="false">IF(OR(BI17=1,AND(BJ13&gt;=Assumptions!$C$20,BJ7&gt;=Assumptions!$C$21)),1,0)</f>
        <v>1</v>
      </c>
      <c r="BK17" s="40" t="n">
        <f aca="false">IF(OR(BJ17=1,AND(BK13&gt;=Assumptions!$C$20,BK7&gt;=Assumptions!$C$21)),1,0)</f>
        <v>1</v>
      </c>
    </row>
    <row r="18" customFormat="false" ht="15" hidden="false" customHeight="false" outlineLevel="0" collapsed="false">
      <c r="A18" s="28" t="s">
        <v>554</v>
      </c>
      <c r="B18" s="6" t="s">
        <v>555</v>
      </c>
      <c r="C18" s="38" t="n">
        <v>0</v>
      </c>
      <c r="D18" s="39" t="n">
        <f aca="false">IF(OR(C18=1,D13&gt;=Assumptions!$C$22),1,0)</f>
        <v>0</v>
      </c>
      <c r="E18" s="39" t="n">
        <f aca="false">IF(OR(D18=1,E13&gt;=Assumptions!$C$22),1,0)</f>
        <v>0</v>
      </c>
      <c r="F18" s="39" t="n">
        <f aca="false">IF(OR(E18=1,F13&gt;=Assumptions!$C$22),1,0)</f>
        <v>0</v>
      </c>
      <c r="G18" s="39" t="n">
        <f aca="false">IF(OR(F18=1,G13&gt;=Assumptions!$C$22),1,0)</f>
        <v>0</v>
      </c>
      <c r="H18" s="39" t="n">
        <f aca="false">IF(OR(G18=1,H13&gt;=Assumptions!$C$22),1,0)</f>
        <v>0</v>
      </c>
      <c r="I18" s="39" t="n">
        <f aca="false">IF(OR(H18=1,I13&gt;=Assumptions!$C$22),1,0)</f>
        <v>0</v>
      </c>
      <c r="J18" s="39" t="n">
        <f aca="false">IF(OR(I18=1,J13&gt;=Assumptions!$C$22),1,0)</f>
        <v>0</v>
      </c>
      <c r="K18" s="39" t="n">
        <f aca="false">IF(OR(J18=1,K13&gt;=Assumptions!$C$22),1,0)</f>
        <v>0</v>
      </c>
      <c r="L18" s="39" t="n">
        <f aca="false">IF(OR(K18=1,L13&gt;=Assumptions!$C$22),1,0)</f>
        <v>0</v>
      </c>
      <c r="M18" s="39" t="n">
        <f aca="false">IF(OR(L18=1,M13&gt;=Assumptions!$C$22),1,0)</f>
        <v>0</v>
      </c>
      <c r="N18" s="39" t="n">
        <f aca="false">IF(OR(M18=1,N13&gt;=Assumptions!$C$22),1,0)</f>
        <v>0</v>
      </c>
      <c r="O18" s="39" t="n">
        <f aca="false">IF(OR(N18=1,O13&gt;=Assumptions!$C$22),1,0)</f>
        <v>0</v>
      </c>
      <c r="P18" s="39" t="n">
        <f aca="false">IF(OR(O18=1,P13&gt;=Assumptions!$C$22),1,0)</f>
        <v>0</v>
      </c>
      <c r="Q18" s="39" t="n">
        <f aca="false">IF(OR(P18=1,Q13&gt;=Assumptions!$C$22),1,0)</f>
        <v>0</v>
      </c>
      <c r="R18" s="39" t="n">
        <f aca="false">IF(OR(Q18=1,R13&gt;=Assumptions!$C$22),1,0)</f>
        <v>0</v>
      </c>
      <c r="S18" s="39" t="n">
        <f aca="false">IF(OR(R18=1,S13&gt;=Assumptions!$C$22),1,0)</f>
        <v>0</v>
      </c>
      <c r="T18" s="39" t="n">
        <f aca="false">IF(OR(S18=1,T13&gt;=Assumptions!$C$22),1,0)</f>
        <v>0</v>
      </c>
      <c r="U18" s="39" t="n">
        <f aca="false">IF(OR(T18=1,U13&gt;=Assumptions!$C$22),1,0)</f>
        <v>1</v>
      </c>
      <c r="V18" s="39" t="n">
        <f aca="false">IF(OR(U18=1,V13&gt;=Assumptions!$C$22),1,0)</f>
        <v>1</v>
      </c>
      <c r="W18" s="39" t="n">
        <f aca="false">IF(OR(V18=1,W13&gt;=Assumptions!$C$22),1,0)</f>
        <v>1</v>
      </c>
      <c r="X18" s="39" t="n">
        <f aca="false">IF(OR(W18=1,X13&gt;=Assumptions!$C$22),1,0)</f>
        <v>1</v>
      </c>
      <c r="Y18" s="39" t="n">
        <f aca="false">IF(OR(X18=1,Y13&gt;=Assumptions!$C$22),1,0)</f>
        <v>1</v>
      </c>
      <c r="Z18" s="39" t="n">
        <f aca="false">IF(OR(Y18=1,Z13&gt;=Assumptions!$C$22),1,0)</f>
        <v>1</v>
      </c>
      <c r="AA18" s="39" t="n">
        <f aca="false">IF(OR(Z18=1,AA13&gt;=Assumptions!$C$22),1,0)</f>
        <v>1</v>
      </c>
      <c r="AB18" s="39" t="n">
        <f aca="false">IF(OR(AA18=1,AB13&gt;=Assumptions!$C$22),1,0)</f>
        <v>1</v>
      </c>
      <c r="AC18" s="39" t="n">
        <f aca="false">IF(OR(AB18=1,AC13&gt;=Assumptions!$C$22),1,0)</f>
        <v>1</v>
      </c>
      <c r="AD18" s="39" t="n">
        <f aca="false">IF(OR(AC18=1,AD13&gt;=Assumptions!$C$22),1,0)</f>
        <v>1</v>
      </c>
      <c r="AE18" s="39" t="n">
        <f aca="false">IF(OR(AD18=1,AE13&gt;=Assumptions!$C$22),1,0)</f>
        <v>1</v>
      </c>
      <c r="AF18" s="39" t="n">
        <f aca="false">IF(OR(AE18=1,AF13&gt;=Assumptions!$C$22),1,0)</f>
        <v>1</v>
      </c>
      <c r="AG18" s="39" t="n">
        <f aca="false">IF(OR(AF18=1,AG13&gt;=Assumptions!$C$22),1,0)</f>
        <v>1</v>
      </c>
      <c r="AH18" s="39" t="n">
        <f aca="false">IF(OR(AG18=1,AH13&gt;=Assumptions!$C$22),1,0)</f>
        <v>1</v>
      </c>
      <c r="AI18" s="39" t="n">
        <f aca="false">IF(OR(AH18=1,AI13&gt;=Assumptions!$C$22),1,0)</f>
        <v>1</v>
      </c>
      <c r="AJ18" s="39" t="n">
        <f aca="false">IF(OR(AI18=1,AJ13&gt;=Assumptions!$C$22),1,0)</f>
        <v>1</v>
      </c>
      <c r="AK18" s="39" t="n">
        <f aca="false">IF(OR(AJ18=1,AK13&gt;=Assumptions!$C$22),1,0)</f>
        <v>1</v>
      </c>
      <c r="AL18" s="39" t="n">
        <f aca="false">IF(OR(AK18=1,AL13&gt;=Assumptions!$C$22),1,0)</f>
        <v>1</v>
      </c>
      <c r="AM18" s="39" t="n">
        <f aca="false">IF(OR(AL18=1,AM13&gt;=Assumptions!$C$22),1,0)</f>
        <v>1</v>
      </c>
      <c r="AN18" s="40" t="n">
        <f aca="false">IF(OR(AM18=1,AN13&gt;=Assumptions!$C$22),1,0)</f>
        <v>1</v>
      </c>
      <c r="AO18" s="40" t="n">
        <f aca="false">IF(OR(AN18=1,AO13&gt;=Assumptions!$C$22),1,0)</f>
        <v>1</v>
      </c>
      <c r="AP18" s="40" t="n">
        <f aca="false">IF(OR(AO18=1,AP13&gt;=Assumptions!$C$22),1,0)</f>
        <v>1</v>
      </c>
      <c r="AQ18" s="40" t="n">
        <f aca="false">IF(OR(AP18=1,AQ13&gt;=Assumptions!$C$22),1,0)</f>
        <v>1</v>
      </c>
      <c r="AR18" s="40" t="n">
        <f aca="false">IF(OR(AQ18=1,AR13&gt;=Assumptions!$C$22),1,0)</f>
        <v>1</v>
      </c>
      <c r="AS18" s="40" t="n">
        <f aca="false">IF(OR(AR18=1,AS13&gt;=Assumptions!$C$22),1,0)</f>
        <v>1</v>
      </c>
      <c r="AT18" s="40" t="n">
        <f aca="false">IF(OR(AS18=1,AT13&gt;=Assumptions!$C$22),1,0)</f>
        <v>1</v>
      </c>
      <c r="AU18" s="40" t="n">
        <f aca="false">IF(OR(AT18=1,AU13&gt;=Assumptions!$C$22),1,0)</f>
        <v>1</v>
      </c>
      <c r="AV18" s="40" t="n">
        <f aca="false">IF(OR(AU18=1,AV13&gt;=Assumptions!$C$22),1,0)</f>
        <v>1</v>
      </c>
      <c r="AW18" s="40" t="n">
        <f aca="false">IF(OR(AV18=1,AW13&gt;=Assumptions!$C$22),1,0)</f>
        <v>1</v>
      </c>
      <c r="AX18" s="40" t="n">
        <f aca="false">IF(OR(AW18=1,AX13&gt;=Assumptions!$C$22),1,0)</f>
        <v>1</v>
      </c>
      <c r="AY18" s="40" t="n">
        <f aca="false">IF(OR(AX18=1,AY13&gt;=Assumptions!$C$22),1,0)</f>
        <v>1</v>
      </c>
      <c r="AZ18" s="40" t="n">
        <f aca="false">IF(OR(AY18=1,AZ13&gt;=Assumptions!$C$22),1,0)</f>
        <v>1</v>
      </c>
      <c r="BA18" s="40" t="n">
        <f aca="false">IF(OR(AZ18=1,BA13&gt;=Assumptions!$C$22),1,0)</f>
        <v>1</v>
      </c>
      <c r="BB18" s="40" t="n">
        <f aca="false">IF(OR(BA18=1,BB13&gt;=Assumptions!$C$22),1,0)</f>
        <v>1</v>
      </c>
      <c r="BC18" s="40" t="n">
        <f aca="false">IF(OR(BB18=1,BC13&gt;=Assumptions!$C$22),1,0)</f>
        <v>1</v>
      </c>
      <c r="BD18" s="40" t="n">
        <f aca="false">IF(OR(BC18=1,BD13&gt;=Assumptions!$C$22),1,0)</f>
        <v>1</v>
      </c>
      <c r="BE18" s="40" t="n">
        <f aca="false">IF(OR(BD18=1,BE13&gt;=Assumptions!$C$22),1,0)</f>
        <v>1</v>
      </c>
      <c r="BF18" s="40" t="n">
        <f aca="false">IF(OR(BE18=1,BF13&gt;=Assumptions!$C$22),1,0)</f>
        <v>1</v>
      </c>
      <c r="BG18" s="40" t="n">
        <f aca="false">IF(OR(BF18=1,BG13&gt;=Assumptions!$C$22),1,0)</f>
        <v>1</v>
      </c>
      <c r="BH18" s="40" t="n">
        <f aca="false">IF(OR(BG18=1,BH13&gt;=Assumptions!$C$22),1,0)</f>
        <v>1</v>
      </c>
      <c r="BI18" s="40" t="n">
        <f aca="false">IF(OR(BH18=1,BI13&gt;=Assumptions!$C$22),1,0)</f>
        <v>1</v>
      </c>
      <c r="BJ18" s="40" t="n">
        <f aca="false">IF(OR(BI18=1,BJ13&gt;=Assumptions!$C$22),1,0)</f>
        <v>1</v>
      </c>
      <c r="BK18" s="40" t="n">
        <f aca="false">IF(OR(BJ18=1,BK13&gt;=Assumptions!$C$22),1,0)</f>
        <v>1</v>
      </c>
    </row>
    <row r="19" customFormat="false" ht="15" hidden="false" customHeight="false" outlineLevel="0" collapsed="false">
      <c r="A19" s="28" t="s">
        <v>556</v>
      </c>
      <c r="B19" s="6" t="s">
        <v>557</v>
      </c>
      <c r="C19" s="38" t="n">
        <v>0</v>
      </c>
      <c r="D19" s="39" t="n">
        <f aca="false">IF(OR(C19=1,AND(D13&gt;=Assumptions!$C$23,D7&gt;=Assumptions!$C$24)),1,0)</f>
        <v>0</v>
      </c>
      <c r="E19" s="39" t="n">
        <f aca="false">IF(OR(D19=1,AND(E13&gt;=Assumptions!$C$23,E7&gt;=Assumptions!$C$24)),1,0)</f>
        <v>0</v>
      </c>
      <c r="F19" s="39" t="n">
        <f aca="false">IF(OR(E19=1,AND(F13&gt;=Assumptions!$C$23,F7&gt;=Assumptions!$C$24)),1,0)</f>
        <v>0</v>
      </c>
      <c r="G19" s="39" t="n">
        <f aca="false">IF(OR(F19=1,AND(G13&gt;=Assumptions!$C$23,G7&gt;=Assumptions!$C$24)),1,0)</f>
        <v>0</v>
      </c>
      <c r="H19" s="39" t="n">
        <f aca="false">IF(OR(G19=1,AND(H13&gt;=Assumptions!$C$23,H7&gt;=Assumptions!$C$24)),1,0)</f>
        <v>0</v>
      </c>
      <c r="I19" s="39" t="n">
        <f aca="false">IF(OR(H19=1,AND(I13&gt;=Assumptions!$C$23,I7&gt;=Assumptions!$C$24)),1,0)</f>
        <v>0</v>
      </c>
      <c r="J19" s="39" t="n">
        <f aca="false">IF(OR(I19=1,AND(J13&gt;=Assumptions!$C$23,J7&gt;=Assumptions!$C$24)),1,0)</f>
        <v>0</v>
      </c>
      <c r="K19" s="39" t="n">
        <f aca="false">IF(OR(J19=1,AND(K13&gt;=Assumptions!$C$23,K7&gt;=Assumptions!$C$24)),1,0)</f>
        <v>0</v>
      </c>
      <c r="L19" s="39" t="n">
        <f aca="false">IF(OR(K19=1,AND(L13&gt;=Assumptions!$C$23,L7&gt;=Assumptions!$C$24)),1,0)</f>
        <v>0</v>
      </c>
      <c r="M19" s="39" t="n">
        <f aca="false">IF(OR(L19=1,AND(M13&gt;=Assumptions!$C$23,M7&gt;=Assumptions!$C$24)),1,0)</f>
        <v>0</v>
      </c>
      <c r="N19" s="39" t="n">
        <f aca="false">IF(OR(M19=1,AND(N13&gt;=Assumptions!$C$23,N7&gt;=Assumptions!$C$24)),1,0)</f>
        <v>0</v>
      </c>
      <c r="O19" s="39" t="n">
        <f aca="false">IF(OR(N19=1,AND(O13&gt;=Assumptions!$C$23,O7&gt;=Assumptions!$C$24)),1,0)</f>
        <v>0</v>
      </c>
      <c r="P19" s="39" t="n">
        <f aca="false">IF(OR(O19=1,AND(P13&gt;=Assumptions!$C$23,P7&gt;=Assumptions!$C$24)),1,0)</f>
        <v>0</v>
      </c>
      <c r="Q19" s="39" t="n">
        <f aca="false">IF(OR(P19=1,AND(Q13&gt;=Assumptions!$C$23,Q7&gt;=Assumptions!$C$24)),1,0)</f>
        <v>0</v>
      </c>
      <c r="R19" s="39" t="n">
        <f aca="false">IF(OR(Q19=1,AND(R13&gt;=Assumptions!$C$23,R7&gt;=Assumptions!$C$24)),1,0)</f>
        <v>0</v>
      </c>
      <c r="S19" s="39" t="n">
        <f aca="false">IF(OR(R19=1,AND(S13&gt;=Assumptions!$C$23,S7&gt;=Assumptions!$C$24)),1,0)</f>
        <v>0</v>
      </c>
      <c r="T19" s="39" t="n">
        <f aca="false">IF(OR(S19=1,AND(T13&gt;=Assumptions!$C$23,T7&gt;=Assumptions!$C$24)),1,0)</f>
        <v>0</v>
      </c>
      <c r="U19" s="39" t="n">
        <f aca="false">IF(OR(T19=1,AND(U13&gt;=Assumptions!$C$23,U7&gt;=Assumptions!$C$24)),1,0)</f>
        <v>0</v>
      </c>
      <c r="V19" s="39" t="n">
        <f aca="false">IF(OR(U19=1,AND(V13&gt;=Assumptions!$C$23,V7&gt;=Assumptions!$C$24)),1,0)</f>
        <v>0</v>
      </c>
      <c r="W19" s="39" t="n">
        <f aca="false">IF(OR(V19=1,AND(W13&gt;=Assumptions!$C$23,W7&gt;=Assumptions!$C$24)),1,0)</f>
        <v>0</v>
      </c>
      <c r="X19" s="39" t="n">
        <f aca="false">IF(OR(W19=1,AND(X13&gt;=Assumptions!$C$23,X7&gt;=Assumptions!$C$24)),1,0)</f>
        <v>0</v>
      </c>
      <c r="Y19" s="39" t="n">
        <f aca="false">IF(OR(X19=1,AND(Y13&gt;=Assumptions!$C$23,Y7&gt;=Assumptions!$C$24)),1,0)</f>
        <v>0</v>
      </c>
      <c r="Z19" s="39" t="n">
        <f aca="false">IF(OR(Y19=1,AND(Z13&gt;=Assumptions!$C$23,Z7&gt;=Assumptions!$C$24)),1,0)</f>
        <v>0</v>
      </c>
      <c r="AA19" s="39" t="n">
        <f aca="false">IF(OR(Z19=1,AND(AA13&gt;=Assumptions!$C$23,AA7&gt;=Assumptions!$C$24)),1,0)</f>
        <v>0</v>
      </c>
      <c r="AB19" s="39" t="n">
        <f aca="false">IF(OR(AA19=1,AND(AB13&gt;=Assumptions!$C$23,AB7&gt;=Assumptions!$C$24)),1,0)</f>
        <v>0</v>
      </c>
      <c r="AC19" s="39" t="n">
        <f aca="false">IF(OR(AB19=1,AND(AC13&gt;=Assumptions!$C$23,AC7&gt;=Assumptions!$C$24)),1,0)</f>
        <v>0</v>
      </c>
      <c r="AD19" s="39" t="n">
        <f aca="false">IF(OR(AC19=1,AND(AD13&gt;=Assumptions!$C$23,AD7&gt;=Assumptions!$C$24)),1,0)</f>
        <v>0</v>
      </c>
      <c r="AE19" s="39" t="n">
        <f aca="false">IF(OR(AD19=1,AND(AE13&gt;=Assumptions!$C$23,AE7&gt;=Assumptions!$C$24)),1,0)</f>
        <v>0</v>
      </c>
      <c r="AF19" s="39" t="n">
        <f aca="false">IF(OR(AE19=1,AND(AF13&gt;=Assumptions!$C$23,AF7&gt;=Assumptions!$C$24)),1,0)</f>
        <v>0</v>
      </c>
      <c r="AG19" s="39" t="n">
        <f aca="false">IF(OR(AF19=1,AND(AG13&gt;=Assumptions!$C$23,AG7&gt;=Assumptions!$C$24)),1,0)</f>
        <v>0</v>
      </c>
      <c r="AH19" s="39" t="n">
        <f aca="false">IF(OR(AG19=1,AND(AH13&gt;=Assumptions!$C$23,AH7&gt;=Assumptions!$C$24)),1,0)</f>
        <v>0</v>
      </c>
      <c r="AI19" s="39" t="n">
        <f aca="false">IF(OR(AH19=1,AND(AI13&gt;=Assumptions!$C$23,AI7&gt;=Assumptions!$C$24)),1,0)</f>
        <v>0</v>
      </c>
      <c r="AJ19" s="39" t="n">
        <f aca="false">IF(OR(AI19=1,AND(AJ13&gt;=Assumptions!$C$23,AJ7&gt;=Assumptions!$C$24)),1,0)</f>
        <v>0</v>
      </c>
      <c r="AK19" s="39" t="n">
        <f aca="false">IF(OR(AJ19=1,AND(AK13&gt;=Assumptions!$C$23,AK7&gt;=Assumptions!$C$24)),1,0)</f>
        <v>0</v>
      </c>
      <c r="AL19" s="39" t="n">
        <f aca="false">IF(OR(AK19=1,AND(AL13&gt;=Assumptions!$C$23,AL7&gt;=Assumptions!$C$24)),1,0)</f>
        <v>0</v>
      </c>
      <c r="AM19" s="39" t="n">
        <f aca="false">IF(OR(AL19=1,AND(AM13&gt;=Assumptions!$C$23,AM7&gt;=Assumptions!$C$24)),1,0)</f>
        <v>0</v>
      </c>
      <c r="AN19" s="40" t="n">
        <f aca="false">IF(OR(AM19=1,AND(AN13&gt;=Assumptions!$C$23,AN7&gt;=Assumptions!$C$24)),1,0)</f>
        <v>1</v>
      </c>
      <c r="AO19" s="40" t="n">
        <f aca="false">IF(OR(AN19=1,AND(AO13&gt;=Assumptions!$C$23,AO7&gt;=Assumptions!$C$24)),1,0)</f>
        <v>1</v>
      </c>
      <c r="AP19" s="40" t="n">
        <f aca="false">IF(OR(AO19=1,AND(AP13&gt;=Assumptions!$C$23,AP7&gt;=Assumptions!$C$24)),1,0)</f>
        <v>1</v>
      </c>
      <c r="AQ19" s="40" t="n">
        <f aca="false">IF(OR(AP19=1,AND(AQ13&gt;=Assumptions!$C$23,AQ7&gt;=Assumptions!$C$24)),1,0)</f>
        <v>1</v>
      </c>
      <c r="AR19" s="40" t="n">
        <f aca="false">IF(OR(AQ19=1,AND(AR13&gt;=Assumptions!$C$23,AR7&gt;=Assumptions!$C$24)),1,0)</f>
        <v>1</v>
      </c>
      <c r="AS19" s="40" t="n">
        <f aca="false">IF(OR(AR19=1,AND(AS13&gt;=Assumptions!$C$23,AS7&gt;=Assumptions!$C$24)),1,0)</f>
        <v>1</v>
      </c>
      <c r="AT19" s="40" t="n">
        <f aca="false">IF(OR(AS19=1,AND(AT13&gt;=Assumptions!$C$23,AT7&gt;=Assumptions!$C$24)),1,0)</f>
        <v>1</v>
      </c>
      <c r="AU19" s="40" t="n">
        <f aca="false">IF(OR(AT19=1,AND(AU13&gt;=Assumptions!$C$23,AU7&gt;=Assumptions!$C$24)),1,0)</f>
        <v>1</v>
      </c>
      <c r="AV19" s="40" t="n">
        <f aca="false">IF(OR(AU19=1,AND(AV13&gt;=Assumptions!$C$23,AV7&gt;=Assumptions!$C$24)),1,0)</f>
        <v>1</v>
      </c>
      <c r="AW19" s="40" t="n">
        <f aca="false">IF(OR(AV19=1,AND(AW13&gt;=Assumptions!$C$23,AW7&gt;=Assumptions!$C$24)),1,0)</f>
        <v>1</v>
      </c>
      <c r="AX19" s="40" t="n">
        <f aca="false">IF(OR(AW19=1,AND(AX13&gt;=Assumptions!$C$23,AX7&gt;=Assumptions!$C$24)),1,0)</f>
        <v>1</v>
      </c>
      <c r="AY19" s="40" t="n">
        <f aca="false">IF(OR(AX19=1,AND(AY13&gt;=Assumptions!$C$23,AY7&gt;=Assumptions!$C$24)),1,0)</f>
        <v>1</v>
      </c>
      <c r="AZ19" s="40" t="n">
        <f aca="false">IF(OR(AY19=1,AND(AZ13&gt;=Assumptions!$C$23,AZ7&gt;=Assumptions!$C$24)),1,0)</f>
        <v>1</v>
      </c>
      <c r="BA19" s="40" t="n">
        <f aca="false">IF(OR(AZ19=1,AND(BA13&gt;=Assumptions!$C$23,BA7&gt;=Assumptions!$C$24)),1,0)</f>
        <v>1</v>
      </c>
      <c r="BB19" s="40" t="n">
        <f aca="false">IF(OR(BA19=1,AND(BB13&gt;=Assumptions!$C$23,BB7&gt;=Assumptions!$C$24)),1,0)</f>
        <v>1</v>
      </c>
      <c r="BC19" s="40" t="n">
        <f aca="false">IF(OR(BB19=1,AND(BC13&gt;=Assumptions!$C$23,BC7&gt;=Assumptions!$C$24)),1,0)</f>
        <v>1</v>
      </c>
      <c r="BD19" s="40" t="n">
        <f aca="false">IF(OR(BC19=1,AND(BD13&gt;=Assumptions!$C$23,BD7&gt;=Assumptions!$C$24)),1,0)</f>
        <v>1</v>
      </c>
      <c r="BE19" s="40" t="n">
        <f aca="false">IF(OR(BD19=1,AND(BE13&gt;=Assumptions!$C$23,BE7&gt;=Assumptions!$C$24)),1,0)</f>
        <v>1</v>
      </c>
      <c r="BF19" s="40" t="n">
        <f aca="false">IF(OR(BE19=1,AND(BF13&gt;=Assumptions!$C$23,BF7&gt;=Assumptions!$C$24)),1,0)</f>
        <v>1</v>
      </c>
      <c r="BG19" s="40" t="n">
        <f aca="false">IF(OR(BF19=1,AND(BG13&gt;=Assumptions!$C$23,BG7&gt;=Assumptions!$C$24)),1,0)</f>
        <v>1</v>
      </c>
      <c r="BH19" s="40" t="n">
        <f aca="false">IF(OR(BG19=1,AND(BH13&gt;=Assumptions!$C$23,BH7&gt;=Assumptions!$C$24)),1,0)</f>
        <v>1</v>
      </c>
      <c r="BI19" s="40" t="n">
        <f aca="false">IF(OR(BH19=1,AND(BI13&gt;=Assumptions!$C$23,BI7&gt;=Assumptions!$C$24)),1,0)</f>
        <v>1</v>
      </c>
      <c r="BJ19" s="40" t="n">
        <f aca="false">IF(OR(BI19=1,AND(BJ13&gt;=Assumptions!$C$23,BJ7&gt;=Assumptions!$C$24)),1,0)</f>
        <v>1</v>
      </c>
      <c r="BK19" s="40" t="n">
        <f aca="false">IF(OR(BJ19=1,AND(BK13&gt;=Assumptions!$C$23,BK7&gt;=Assumptions!$C$24)),1,0)</f>
        <v>1</v>
      </c>
    </row>
    <row r="20" customFormat="false" ht="15" hidden="false" customHeight="false" outlineLevel="0" collapsed="false">
      <c r="A20" s="28" t="s">
        <v>558</v>
      </c>
      <c r="B20" s="6" t="s">
        <v>559</v>
      </c>
      <c r="C20" s="32" t="n">
        <v>0</v>
      </c>
      <c r="D20" s="34" t="n">
        <f aca="false">IF(D19=1,C20+1,0)</f>
        <v>0</v>
      </c>
      <c r="E20" s="34" t="n">
        <f aca="false">IF(E19=1,D20+1,0)</f>
        <v>0</v>
      </c>
      <c r="F20" s="34" t="n">
        <f aca="false">IF(F19=1,E20+1,0)</f>
        <v>0</v>
      </c>
      <c r="G20" s="34" t="n">
        <f aca="false">IF(G19=1,F20+1,0)</f>
        <v>0</v>
      </c>
      <c r="H20" s="34" t="n">
        <f aca="false">IF(H19=1,G20+1,0)</f>
        <v>0</v>
      </c>
      <c r="I20" s="34" t="n">
        <f aca="false">IF(I19=1,H20+1,0)</f>
        <v>0</v>
      </c>
      <c r="J20" s="34" t="n">
        <f aca="false">IF(J19=1,I20+1,0)</f>
        <v>0</v>
      </c>
      <c r="K20" s="34" t="n">
        <f aca="false">IF(K19=1,J20+1,0)</f>
        <v>0</v>
      </c>
      <c r="L20" s="34" t="n">
        <f aca="false">IF(L19=1,K20+1,0)</f>
        <v>0</v>
      </c>
      <c r="M20" s="34" t="n">
        <f aca="false">IF(M19=1,L20+1,0)</f>
        <v>0</v>
      </c>
      <c r="N20" s="34" t="n">
        <f aca="false">IF(N19=1,M20+1,0)</f>
        <v>0</v>
      </c>
      <c r="O20" s="34" t="n">
        <f aca="false">IF(O19=1,N20+1,0)</f>
        <v>0</v>
      </c>
      <c r="P20" s="34" t="n">
        <f aca="false">IF(P19=1,O20+1,0)</f>
        <v>0</v>
      </c>
      <c r="Q20" s="34" t="n">
        <f aca="false">IF(Q19=1,P20+1,0)</f>
        <v>0</v>
      </c>
      <c r="R20" s="34" t="n">
        <f aca="false">IF(R19=1,Q20+1,0)</f>
        <v>0</v>
      </c>
      <c r="S20" s="34" t="n">
        <f aca="false">IF(S19=1,R20+1,0)</f>
        <v>0</v>
      </c>
      <c r="T20" s="34" t="n">
        <f aca="false">IF(T19=1,S20+1,0)</f>
        <v>0</v>
      </c>
      <c r="U20" s="34" t="n">
        <f aca="false">IF(U19=1,T20+1,0)</f>
        <v>0</v>
      </c>
      <c r="V20" s="34" t="n">
        <f aca="false">IF(V19=1,U20+1,0)</f>
        <v>0</v>
      </c>
      <c r="W20" s="34" t="n">
        <f aca="false">IF(W19=1,V20+1,0)</f>
        <v>0</v>
      </c>
      <c r="X20" s="34" t="n">
        <f aca="false">IF(X19=1,W20+1,0)</f>
        <v>0</v>
      </c>
      <c r="Y20" s="34" t="n">
        <f aca="false">IF(Y19=1,X20+1,0)</f>
        <v>0</v>
      </c>
      <c r="Z20" s="34" t="n">
        <f aca="false">IF(Z19=1,Y20+1,0)</f>
        <v>0</v>
      </c>
      <c r="AA20" s="34" t="n">
        <f aca="false">IF(AA19=1,Z20+1,0)</f>
        <v>0</v>
      </c>
      <c r="AB20" s="34" t="n">
        <f aca="false">IF(AB19=1,AA20+1,0)</f>
        <v>0</v>
      </c>
      <c r="AC20" s="34" t="n">
        <f aca="false">IF(AC19=1,AB20+1,0)</f>
        <v>0</v>
      </c>
      <c r="AD20" s="34" t="n">
        <f aca="false">IF(AD19=1,AC20+1,0)</f>
        <v>0</v>
      </c>
      <c r="AE20" s="34" t="n">
        <f aca="false">IF(AE19=1,AD20+1,0)</f>
        <v>0</v>
      </c>
      <c r="AF20" s="34" t="n">
        <f aca="false">IF(AF19=1,AE20+1,0)</f>
        <v>0</v>
      </c>
      <c r="AG20" s="34" t="n">
        <f aca="false">IF(AG19=1,AF20+1,0)</f>
        <v>0</v>
      </c>
      <c r="AH20" s="34" t="n">
        <f aca="false">IF(AH19=1,AG20+1,0)</f>
        <v>0</v>
      </c>
      <c r="AI20" s="34" t="n">
        <f aca="false">IF(AI19=1,AH20+1,0)</f>
        <v>0</v>
      </c>
      <c r="AJ20" s="34" t="n">
        <f aca="false">IF(AJ19=1,AI20+1,0)</f>
        <v>0</v>
      </c>
      <c r="AK20" s="34" t="n">
        <f aca="false">IF(AK19=1,AJ20+1,0)</f>
        <v>0</v>
      </c>
      <c r="AL20" s="34" t="n">
        <f aca="false">IF(AL19=1,AK20+1,0)</f>
        <v>0</v>
      </c>
      <c r="AM20" s="34" t="n">
        <f aca="false">IF(AM19=1,AL20+1,0)</f>
        <v>0</v>
      </c>
      <c r="AN20" s="35" t="n">
        <f aca="false">IF(AN19=1,AM20+1,0)</f>
        <v>1</v>
      </c>
      <c r="AO20" s="35" t="n">
        <f aca="false">IF(AO19=1,AN20+1,0)</f>
        <v>2</v>
      </c>
      <c r="AP20" s="35" t="n">
        <f aca="false">IF(AP19=1,AO20+1,0)</f>
        <v>3</v>
      </c>
      <c r="AQ20" s="35" t="n">
        <f aca="false">IF(AQ19=1,AP20+1,0)</f>
        <v>4</v>
      </c>
      <c r="AR20" s="35" t="n">
        <f aca="false">IF(AR19=1,AQ20+1,0)</f>
        <v>5</v>
      </c>
      <c r="AS20" s="35" t="n">
        <f aca="false">IF(AS19=1,AR20+1,0)</f>
        <v>6</v>
      </c>
      <c r="AT20" s="35" t="n">
        <f aca="false">IF(AT19=1,AS20+1,0)</f>
        <v>7</v>
      </c>
      <c r="AU20" s="35" t="n">
        <f aca="false">IF(AU19=1,AT20+1,0)</f>
        <v>8</v>
      </c>
      <c r="AV20" s="35" t="n">
        <f aca="false">IF(AV19=1,AU20+1,0)</f>
        <v>9</v>
      </c>
      <c r="AW20" s="35" t="n">
        <f aca="false">IF(AW19=1,AV20+1,0)</f>
        <v>10</v>
      </c>
      <c r="AX20" s="35" t="n">
        <f aca="false">IF(AX19=1,AW20+1,0)</f>
        <v>11</v>
      </c>
      <c r="AY20" s="35" t="n">
        <f aca="false">IF(AY19=1,AX20+1,0)</f>
        <v>12</v>
      </c>
      <c r="AZ20" s="35" t="n">
        <f aca="false">IF(AZ19=1,AY20+1,0)</f>
        <v>13</v>
      </c>
      <c r="BA20" s="35" t="n">
        <f aca="false">IF(BA19=1,AZ20+1,0)</f>
        <v>14</v>
      </c>
      <c r="BB20" s="35" t="n">
        <f aca="false">IF(BB19=1,BA20+1,0)</f>
        <v>15</v>
      </c>
      <c r="BC20" s="35" t="n">
        <f aca="false">IF(BC19=1,BB20+1,0)</f>
        <v>16</v>
      </c>
      <c r="BD20" s="35" t="n">
        <f aca="false">IF(BD19=1,BC20+1,0)</f>
        <v>17</v>
      </c>
      <c r="BE20" s="35" t="n">
        <f aca="false">IF(BE19=1,BD20+1,0)</f>
        <v>18</v>
      </c>
      <c r="BF20" s="35" t="n">
        <f aca="false">IF(BF19=1,BE20+1,0)</f>
        <v>19</v>
      </c>
      <c r="BG20" s="35" t="n">
        <f aca="false">IF(BG19=1,BF20+1,0)</f>
        <v>20</v>
      </c>
      <c r="BH20" s="35" t="n">
        <f aca="false">IF(BH19=1,BG20+1,0)</f>
        <v>21</v>
      </c>
      <c r="BI20" s="35" t="n">
        <f aca="false">IF(BI19=1,BH20+1,0)</f>
        <v>22</v>
      </c>
      <c r="BJ20" s="35" t="n">
        <f aca="false">IF(BJ19=1,BI20+1,0)</f>
        <v>23</v>
      </c>
      <c r="BK20" s="35" t="n">
        <f aca="false">IF(BK19=1,BJ20+1,0)</f>
        <v>24</v>
      </c>
    </row>
    <row r="21" customFormat="false" ht="15" hidden="false" customHeight="false" outlineLevel="0" collapsed="false">
      <c r="A21" s="28" t="s">
        <v>560</v>
      </c>
      <c r="B21" s="6" t="s">
        <v>561</v>
      </c>
      <c r="C21" s="18" t="n">
        <v>0</v>
      </c>
      <c r="D21" s="13" t="n">
        <f aca="false">MIN(1,D20/Assumptions!$C$77)</f>
        <v>0</v>
      </c>
      <c r="E21" s="13" t="n">
        <f aca="false">MIN(1,E20/Assumptions!$C$77)</f>
        <v>0</v>
      </c>
      <c r="F21" s="13" t="n">
        <f aca="false">MIN(1,F20/Assumptions!$C$77)</f>
        <v>0</v>
      </c>
      <c r="G21" s="13" t="n">
        <f aca="false">MIN(1,G20/Assumptions!$C$77)</f>
        <v>0</v>
      </c>
      <c r="H21" s="13" t="n">
        <f aca="false">MIN(1,H20/Assumptions!$C$77)</f>
        <v>0</v>
      </c>
      <c r="I21" s="13" t="n">
        <f aca="false">MIN(1,I20/Assumptions!$C$77)</f>
        <v>0</v>
      </c>
      <c r="J21" s="13" t="n">
        <f aca="false">MIN(1,J20/Assumptions!$C$77)</f>
        <v>0</v>
      </c>
      <c r="K21" s="13" t="n">
        <f aca="false">MIN(1,K20/Assumptions!$C$77)</f>
        <v>0</v>
      </c>
      <c r="L21" s="13" t="n">
        <f aca="false">MIN(1,L20/Assumptions!$C$77)</f>
        <v>0</v>
      </c>
      <c r="M21" s="13" t="n">
        <f aca="false">MIN(1,M20/Assumptions!$C$77)</f>
        <v>0</v>
      </c>
      <c r="N21" s="13" t="n">
        <f aca="false">MIN(1,N20/Assumptions!$C$77)</f>
        <v>0</v>
      </c>
      <c r="O21" s="13" t="n">
        <f aca="false">MIN(1,O20/Assumptions!$C$77)</f>
        <v>0</v>
      </c>
      <c r="P21" s="13" t="n">
        <f aca="false">MIN(1,P20/Assumptions!$C$77)</f>
        <v>0</v>
      </c>
      <c r="Q21" s="13" t="n">
        <f aca="false">MIN(1,Q20/Assumptions!$C$77)</f>
        <v>0</v>
      </c>
      <c r="R21" s="13" t="n">
        <f aca="false">MIN(1,R20/Assumptions!$C$77)</f>
        <v>0</v>
      </c>
      <c r="S21" s="13" t="n">
        <f aca="false">MIN(1,S20/Assumptions!$C$77)</f>
        <v>0</v>
      </c>
      <c r="T21" s="13" t="n">
        <f aca="false">MIN(1,T20/Assumptions!$C$77)</f>
        <v>0</v>
      </c>
      <c r="U21" s="13" t="n">
        <f aca="false">MIN(1,U20/Assumptions!$C$77)</f>
        <v>0</v>
      </c>
      <c r="V21" s="13" t="n">
        <f aca="false">MIN(1,V20/Assumptions!$C$77)</f>
        <v>0</v>
      </c>
      <c r="W21" s="13" t="n">
        <f aca="false">MIN(1,W20/Assumptions!$C$77)</f>
        <v>0</v>
      </c>
      <c r="X21" s="13" t="n">
        <f aca="false">MIN(1,X20/Assumptions!$C$77)</f>
        <v>0</v>
      </c>
      <c r="Y21" s="13" t="n">
        <f aca="false">MIN(1,Y20/Assumptions!$C$77)</f>
        <v>0</v>
      </c>
      <c r="Z21" s="13" t="n">
        <f aca="false">MIN(1,Z20/Assumptions!$C$77)</f>
        <v>0</v>
      </c>
      <c r="AA21" s="13" t="n">
        <f aca="false">MIN(1,AA20/Assumptions!$C$77)</f>
        <v>0</v>
      </c>
      <c r="AB21" s="13" t="n">
        <f aca="false">MIN(1,AB20/Assumptions!$C$77)</f>
        <v>0</v>
      </c>
      <c r="AC21" s="13" t="n">
        <f aca="false">MIN(1,AC20/Assumptions!$C$77)</f>
        <v>0</v>
      </c>
      <c r="AD21" s="13" t="n">
        <f aca="false">MIN(1,AD20/Assumptions!$C$77)</f>
        <v>0</v>
      </c>
      <c r="AE21" s="13" t="n">
        <f aca="false">MIN(1,AE20/Assumptions!$C$77)</f>
        <v>0</v>
      </c>
      <c r="AF21" s="13" t="n">
        <f aca="false">MIN(1,AF20/Assumptions!$C$77)</f>
        <v>0</v>
      </c>
      <c r="AG21" s="13" t="n">
        <f aca="false">MIN(1,AG20/Assumptions!$C$77)</f>
        <v>0</v>
      </c>
      <c r="AH21" s="13" t="n">
        <f aca="false">MIN(1,AH20/Assumptions!$C$77)</f>
        <v>0</v>
      </c>
      <c r="AI21" s="13" t="n">
        <f aca="false">MIN(1,AI20/Assumptions!$C$77)</f>
        <v>0</v>
      </c>
      <c r="AJ21" s="13" t="n">
        <f aca="false">MIN(1,AJ20/Assumptions!$C$77)</f>
        <v>0</v>
      </c>
      <c r="AK21" s="13" t="n">
        <f aca="false">MIN(1,AK20/Assumptions!$C$77)</f>
        <v>0</v>
      </c>
      <c r="AL21" s="13" t="n">
        <f aca="false">MIN(1,AL20/Assumptions!$C$77)</f>
        <v>0</v>
      </c>
      <c r="AM21" s="13" t="n">
        <f aca="false">MIN(1,AM20/Assumptions!$C$77)</f>
        <v>0</v>
      </c>
      <c r="AN21" s="41" t="n">
        <f aca="false">MIN(1,AN20/Assumptions!$C$77)</f>
        <v>0.166666666666667</v>
      </c>
      <c r="AO21" s="41" t="n">
        <f aca="false">MIN(1,AO20/Assumptions!$C$77)</f>
        <v>0.333333333333333</v>
      </c>
      <c r="AP21" s="41" t="n">
        <f aca="false">MIN(1,AP20/Assumptions!$C$77)</f>
        <v>0.5</v>
      </c>
      <c r="AQ21" s="41" t="n">
        <f aca="false">MIN(1,AQ20/Assumptions!$C$77)</f>
        <v>0.666666666666667</v>
      </c>
      <c r="AR21" s="41" t="n">
        <f aca="false">MIN(1,AR20/Assumptions!$C$77)</f>
        <v>0.833333333333333</v>
      </c>
      <c r="AS21" s="41" t="n">
        <f aca="false">MIN(1,AS20/Assumptions!$C$77)</f>
        <v>1</v>
      </c>
      <c r="AT21" s="41" t="n">
        <f aca="false">MIN(1,AT20/Assumptions!$C$77)</f>
        <v>1</v>
      </c>
      <c r="AU21" s="41" t="n">
        <f aca="false">MIN(1,AU20/Assumptions!$C$77)</f>
        <v>1</v>
      </c>
      <c r="AV21" s="41" t="n">
        <f aca="false">MIN(1,AV20/Assumptions!$C$77)</f>
        <v>1</v>
      </c>
      <c r="AW21" s="41" t="n">
        <f aca="false">MIN(1,AW20/Assumptions!$C$77)</f>
        <v>1</v>
      </c>
      <c r="AX21" s="41" t="n">
        <f aca="false">MIN(1,AX20/Assumptions!$C$77)</f>
        <v>1</v>
      </c>
      <c r="AY21" s="41" t="n">
        <f aca="false">MIN(1,AY20/Assumptions!$C$77)</f>
        <v>1</v>
      </c>
      <c r="AZ21" s="41" t="n">
        <f aca="false">MIN(1,AZ20/Assumptions!$C$77)</f>
        <v>1</v>
      </c>
      <c r="BA21" s="41" t="n">
        <f aca="false">MIN(1,BA20/Assumptions!$C$77)</f>
        <v>1</v>
      </c>
      <c r="BB21" s="41" t="n">
        <f aca="false">MIN(1,BB20/Assumptions!$C$77)</f>
        <v>1</v>
      </c>
      <c r="BC21" s="41" t="n">
        <f aca="false">MIN(1,BC20/Assumptions!$C$77)</f>
        <v>1</v>
      </c>
      <c r="BD21" s="41" t="n">
        <f aca="false">MIN(1,BD20/Assumptions!$C$77)</f>
        <v>1</v>
      </c>
      <c r="BE21" s="41" t="n">
        <f aca="false">MIN(1,BE20/Assumptions!$C$77)</f>
        <v>1</v>
      </c>
      <c r="BF21" s="41" t="n">
        <f aca="false">MIN(1,BF20/Assumptions!$C$77)</f>
        <v>1</v>
      </c>
      <c r="BG21" s="41" t="n">
        <f aca="false">MIN(1,BG20/Assumptions!$C$77)</f>
        <v>1</v>
      </c>
      <c r="BH21" s="41" t="n">
        <f aca="false">MIN(1,BH20/Assumptions!$C$77)</f>
        <v>1</v>
      </c>
      <c r="BI21" s="41" t="n">
        <f aca="false">MIN(1,BI20/Assumptions!$C$77)</f>
        <v>1</v>
      </c>
      <c r="BJ21" s="41" t="n">
        <f aca="false">MIN(1,BJ20/Assumptions!$C$77)</f>
        <v>1</v>
      </c>
      <c r="BK21" s="41" t="n">
        <f aca="false">MIN(1,BK20/Assumptions!$C$77)</f>
        <v>1</v>
      </c>
    </row>
    <row r="22" customFormat="false" ht="15" hidden="false" customHeight="false" outlineLevel="0" collapsed="false">
      <c r="B22" s="5" t="s">
        <v>562</v>
      </c>
    </row>
    <row r="23" customFormat="false" ht="15" hidden="false" customHeight="false" outlineLevel="0" collapsed="false">
      <c r="A23" s="28" t="s">
        <v>563</v>
      </c>
      <c r="B23" s="6" t="s">
        <v>564</v>
      </c>
      <c r="C23" s="32" t="n">
        <v>0</v>
      </c>
      <c r="D23" s="34" t="n">
        <f aca="false">C23+(D13*Assumptions!$C$13-C23)*Assumptions!$C$14</f>
        <v>0</v>
      </c>
      <c r="E23" s="34" t="n">
        <f aca="false">D23+(E13*Assumptions!$C$13-D23)*Assumptions!$C$14</f>
        <v>0</v>
      </c>
      <c r="F23" s="34" t="n">
        <f aca="false">E23+(F13*Assumptions!$C$13-E23)*Assumptions!$C$14</f>
        <v>0</v>
      </c>
      <c r="G23" s="34" t="n">
        <f aca="false">F23+(G13*Assumptions!$C$13-F23)*Assumptions!$C$14</f>
        <v>0</v>
      </c>
      <c r="H23" s="34" t="n">
        <f aca="false">G23+(H13*Assumptions!$C$13-G23)*Assumptions!$C$14</f>
        <v>126</v>
      </c>
      <c r="I23" s="34" t="n">
        <f aca="false">H23+(I13*Assumptions!$C$13-H23)*Assumptions!$C$14</f>
        <v>316.89</v>
      </c>
      <c r="J23" s="34" t="n">
        <f aca="false">I23+(J13*Assumptions!$C$13-I23)*Assumptions!$C$14</f>
        <v>513.04365</v>
      </c>
      <c r="K23" s="34" t="n">
        <f aca="false">J23+(K13*Assumptions!$C$13-J23)*Assumptions!$C$14</f>
        <v>812.33754525</v>
      </c>
      <c r="L23" s="34" t="n">
        <f aca="false">K23+(L13*Assumptions!$C$13-K23)*Assumptions!$C$14</f>
        <v>1140.81568957125</v>
      </c>
      <c r="M23" s="34" t="n">
        <f aca="false">L23+(M13*Assumptions!$C$13-L23)*Assumptions!$C$14</f>
        <v>1445.93453910268</v>
      </c>
      <c r="N23" s="34" t="n">
        <f aca="false">M23+(N13*Assumptions!$C$13-M23)*Assumptions!$C$14</f>
        <v>1815.13572618489</v>
      </c>
      <c r="O23" s="34" t="n">
        <f aca="false">N23+(O13*Assumptions!$C$13-N23)*Assumptions!$C$14</f>
        <v>2314.1473236518</v>
      </c>
      <c r="P23" s="34" t="n">
        <f aca="false">O23+(P13*Assumptions!$C$13-O23)*Assumptions!$C$14</f>
        <v>2838.21022548082</v>
      </c>
      <c r="Q23" s="34" t="n">
        <f aca="false">P23+(Q13*Assumptions!$C$13-P23)*Assumptions!$C$14</f>
        <v>3420.92089469308</v>
      </c>
      <c r="R23" s="34" t="n">
        <f aca="false">Q23+(R13*Assumptions!$C$13-Q23)*Assumptions!$C$14</f>
        <v>4103.64156595909</v>
      </c>
      <c r="S23" s="34" t="n">
        <f aca="false">R23+(S13*Assumptions!$C$13-R23)*Assumptions!$C$14</f>
        <v>4771.20935751586</v>
      </c>
      <c r="T23" s="34" t="n">
        <f aca="false">S23+(T13*Assumptions!$C$13-S23)*Assumptions!$C$14</f>
        <v>5465.89078693313</v>
      </c>
      <c r="U23" s="34" t="n">
        <f aca="false">T23+(U13*Assumptions!$C$13-T23)*Assumptions!$C$14</f>
        <v>6219.64464548614</v>
      </c>
      <c r="V23" s="34" t="n">
        <f aca="false">U23+(V13*Assumptions!$C$13-U23)*Assumptions!$C$14</f>
        <v>7057.6624190359</v>
      </c>
      <c r="W23" s="34" t="n">
        <f aca="false">V23+(W13*Assumptions!$C$13-V23)*Assumptions!$C$14</f>
        <v>7970.4305708512</v>
      </c>
      <c r="X23" s="34" t="n">
        <f aca="false">W23+(X13*Assumptions!$C$13-W23)*Assumptions!$C$14</f>
        <v>8936.34561955397</v>
      </c>
      <c r="Y23" s="34" t="n">
        <f aca="false">X23+(Y13*Assumptions!$C$13-X23)*Assumptions!$C$14</f>
        <v>9956.41691498326</v>
      </c>
      <c r="Z23" s="34" t="n">
        <f aca="false">Y23+(Z13*Assumptions!$C$13-Y23)*Assumptions!$C$14</f>
        <v>11010.8463730782</v>
      </c>
      <c r="AA23" s="34" t="n">
        <f aca="false">Z23+(AA13*Assumptions!$C$13-Z23)*Assumptions!$C$14</f>
        <v>12086.7778901648</v>
      </c>
      <c r="AB23" s="34" t="n">
        <f aca="false">AA23+(AB13*Assumptions!$C$13-AA23)*Assumptions!$C$14</f>
        <v>13175.8674600562</v>
      </c>
      <c r="AC23" s="34" t="n">
        <f aca="false">AB23+(AC13*Assumptions!$C$13-AB23)*Assumptions!$C$14</f>
        <v>14272.7037530138</v>
      </c>
      <c r="AD23" s="34" t="n">
        <f aca="false">AC23+(AD13*Assumptions!$C$13-AC23)*Assumptions!$C$14</f>
        <v>15373.7814948766</v>
      </c>
      <c r="AE23" s="34" t="n">
        <f aca="false">AD23+(AE13*Assumptions!$C$13-AD23)*Assumptions!$C$14</f>
        <v>16471.7941662562</v>
      </c>
      <c r="AF23" s="34" t="n">
        <f aca="false">AE23+(AF13*Assumptions!$C$13-AE23)*Assumptions!$C$14</f>
        <v>17693.1198597341</v>
      </c>
      <c r="AG23" s="34" t="n">
        <f aca="false">AF23+(AG13*Assumptions!$C$13-AF23)*Assumptions!$C$14</f>
        <v>18976.9047557197</v>
      </c>
      <c r="AH23" s="34" t="n">
        <f aca="false">AG23+(AH13*Assumptions!$C$13-AG23)*Assumptions!$C$14</f>
        <v>20258.659285407</v>
      </c>
      <c r="AI23" s="34" t="n">
        <f aca="false">AH23+(AI13*Assumptions!$C$13-AH23)*Assumptions!$C$14</f>
        <v>21638.2246617909</v>
      </c>
      <c r="AJ23" s="34" t="n">
        <f aca="false">AI23+(AJ13*Assumptions!$C$13-AI23)*Assumptions!$C$14</f>
        <v>23042.9307145463</v>
      </c>
      <c r="AK23" s="34" t="n">
        <f aca="false">AJ23+(AK13*Assumptions!$C$13-AJ23)*Assumptions!$C$14</f>
        <v>24416.0383785716</v>
      </c>
      <c r="AL23" s="34" t="n">
        <f aca="false">AK23+(AL13*Assumptions!$C$13-AK23)*Assumptions!$C$14</f>
        <v>25842.3463589762</v>
      </c>
      <c r="AM23" s="34" t="n">
        <f aca="false">AL23+(AM13*Assumptions!$C$13-AL23)*Assumptions!$C$14</f>
        <v>27264.9877250457</v>
      </c>
      <c r="AN23" s="35" t="n">
        <f aca="false">AM23+(AN13*Assumptions!$C$13-AM23)*Assumptions!$C$14</f>
        <v>28637.4926741152</v>
      </c>
      <c r="AO23" s="35" t="n">
        <f aca="false">AN23+(AO13*Assumptions!$C$13-AN23)*Assumptions!$C$14</f>
        <v>30051.3321312178</v>
      </c>
      <c r="AP23" s="35" t="n">
        <f aca="false">AO23+(AP13*Assumptions!$C$13-AO23)*Assumptions!$C$14</f>
        <v>31453.9733499389</v>
      </c>
      <c r="AQ23" s="35" t="n">
        <f aca="false">AP23+(AQ13*Assumptions!$C$13-AP23)*Assumptions!$C$14</f>
        <v>32801.7610301379</v>
      </c>
      <c r="AR23" s="35" t="n">
        <f aca="false">AQ23+(AR13*Assumptions!$C$13-AQ23)*Assumptions!$C$14</f>
        <v>34187.992846977</v>
      </c>
      <c r="AS23" s="35" t="n">
        <f aca="false">AR23+(AS13*Assumptions!$C$13-AR23)*Assumptions!$C$14</f>
        <v>35556.2808052617</v>
      </c>
      <c r="AT23" s="35" t="n">
        <f aca="false">AS23+(AT13*Assumptions!$C$13-AS23)*Assumptions!$C$14</f>
        <v>36865.5766963258</v>
      </c>
      <c r="AU23" s="35" t="n">
        <f aca="false">AT23+(AU13*Assumptions!$C$13-AT23)*Assumptions!$C$14</f>
        <v>38210.8691129239</v>
      </c>
      <c r="AV23" s="35" t="n">
        <f aca="false">AU23+(AV13*Assumptions!$C$13-AU23)*Assumptions!$C$14</f>
        <v>39536.865519808</v>
      </c>
      <c r="AW23" s="35" t="n">
        <f aca="false">AV23+(AW13*Assumptions!$C$13-AV23)*Assumptions!$C$14</f>
        <v>40803.2261753365</v>
      </c>
      <c r="AX23" s="35" t="n">
        <f aca="false">AW23+(AX13*Assumptions!$C$13-AW23)*Assumptions!$C$14</f>
        <v>42105.3966476182</v>
      </c>
      <c r="AY23" s="35" t="n">
        <f aca="false">AX23+(AY13*Assumptions!$C$13-AX23)*Assumptions!$C$14</f>
        <v>43388.3779600965</v>
      </c>
      <c r="AZ23" s="35" t="n">
        <f aca="false">AY23+(AZ13*Assumptions!$C$13-AY23)*Assumptions!$C$14</f>
        <v>44612.0177611202</v>
      </c>
      <c r="BA23" s="35" t="n">
        <f aca="false">AZ23+(BA13*Assumptions!$C$13-AZ23)*Assumptions!$C$14</f>
        <v>45871.8800504798</v>
      </c>
      <c r="BB23" s="35" t="n">
        <f aca="false">BA23+(BB13*Assumptions!$C$13-BA23)*Assumptions!$C$14</f>
        <v>47113.0395109772</v>
      </c>
      <c r="BC23" s="35" t="n">
        <f aca="false">BB23+(BC13*Assumptions!$C$13-BB23)*Assumptions!$C$14</f>
        <v>48290.3483981281</v>
      </c>
      <c r="BD23" s="35" t="n">
        <f aca="false">BC23+(BD13*Assumptions!$C$13-BC23)*Assumptions!$C$14</f>
        <v>49501.2360840363</v>
      </c>
      <c r="BE23" s="35" t="n">
        <f aca="false">BD23+(BE13*Assumptions!$C$13-BD23)*Assumptions!$C$14</f>
        <v>50691.9854354978</v>
      </c>
      <c r="BF23" s="35" t="n">
        <f aca="false">BE23+(BF13*Assumptions!$C$13-BE23)*Assumptions!$C$14</f>
        <v>51818.2297842347</v>
      </c>
      <c r="BG23" s="35" t="n">
        <f aca="false">BF23+(BG13*Assumptions!$C$13-BF23)*Assumptions!$C$14</f>
        <v>52977.9020221462</v>
      </c>
      <c r="BH23" s="35" t="n">
        <f aca="false">BG23+(BH13*Assumptions!$C$13-BG23)*Assumptions!$C$14</f>
        <v>54117.6081868528</v>
      </c>
      <c r="BI23" s="35" t="n">
        <f aca="false">BH23+(BI13*Assumptions!$C$13-BH23)*Assumptions!$C$14</f>
        <v>55193.1876158252</v>
      </c>
      <c r="BJ23" s="35" t="n">
        <f aca="false">BI23+(BJ13*Assumptions!$C$13-BI23)*Assumptions!$C$14</f>
        <v>56302.7031102418</v>
      </c>
      <c r="BK23" s="35" t="n">
        <f aca="false">BJ23+(BK13*Assumptions!$C$13-BJ23)*Assumptions!$C$14</f>
        <v>57392.8412142132</v>
      </c>
    </row>
    <row r="24" customFormat="false" ht="15" hidden="false" customHeight="false" outlineLevel="0" collapsed="false">
      <c r="A24" s="28" t="s">
        <v>565</v>
      </c>
      <c r="B24" s="6" t="s">
        <v>566</v>
      </c>
      <c r="C24" s="32" t="n">
        <v>0</v>
      </c>
      <c r="D24" s="34" t="n">
        <f aca="false">D23/Assumptions!$C$15</f>
        <v>0</v>
      </c>
      <c r="E24" s="34" t="n">
        <f aca="false">E23/Assumptions!$C$15</f>
        <v>0</v>
      </c>
      <c r="F24" s="34" t="n">
        <f aca="false">F23/Assumptions!$C$15</f>
        <v>0</v>
      </c>
      <c r="G24" s="34" t="n">
        <f aca="false">G23/Assumptions!$C$15</f>
        <v>0</v>
      </c>
      <c r="H24" s="34" t="n">
        <f aca="false">H23/Assumptions!$C$15</f>
        <v>90</v>
      </c>
      <c r="I24" s="34" t="n">
        <f aca="false">I23/Assumptions!$C$15</f>
        <v>226.35</v>
      </c>
      <c r="J24" s="34" t="n">
        <f aca="false">J23/Assumptions!$C$15</f>
        <v>366.45975</v>
      </c>
      <c r="K24" s="34" t="n">
        <f aca="false">K23/Assumptions!$C$15</f>
        <v>580.24110375</v>
      </c>
      <c r="L24" s="34" t="n">
        <f aca="false">L23/Assumptions!$C$15</f>
        <v>814.86834969375</v>
      </c>
      <c r="M24" s="34" t="n">
        <f aca="false">M23/Assumptions!$C$15</f>
        <v>1032.81038507334</v>
      </c>
      <c r="N24" s="34" t="n">
        <f aca="false">N23/Assumptions!$C$15</f>
        <v>1296.52551870349</v>
      </c>
      <c r="O24" s="34" t="n">
        <f aca="false">O23/Assumptions!$C$15</f>
        <v>1652.962374037</v>
      </c>
      <c r="P24" s="34" t="n">
        <f aca="false">P23/Assumptions!$C$15</f>
        <v>2027.29301820059</v>
      </c>
      <c r="Q24" s="34" t="n">
        <f aca="false">Q23/Assumptions!$C$15</f>
        <v>2443.51492478077</v>
      </c>
      <c r="R24" s="34" t="n">
        <f aca="false">R23/Assumptions!$C$15</f>
        <v>2931.17254711363</v>
      </c>
      <c r="S24" s="34" t="n">
        <f aca="false">S23/Assumptions!$C$15</f>
        <v>3408.0066839399</v>
      </c>
      <c r="T24" s="34" t="n">
        <f aca="false">T23/Assumptions!$C$15</f>
        <v>3904.20770495224</v>
      </c>
      <c r="U24" s="34" t="n">
        <f aca="false">U23/Assumptions!$C$15</f>
        <v>4442.60331820439</v>
      </c>
      <c r="V24" s="34" t="n">
        <f aca="false">V23/Assumptions!$C$15</f>
        <v>5041.1874421685</v>
      </c>
      <c r="W24" s="34" t="n">
        <f aca="false">W23/Assumptions!$C$15</f>
        <v>5693.16469346514</v>
      </c>
      <c r="X24" s="34" t="n">
        <f aca="false">X23/Assumptions!$C$15</f>
        <v>6383.10401396712</v>
      </c>
      <c r="Y24" s="34" t="n">
        <f aca="false">Y23/Assumptions!$C$15</f>
        <v>7111.72636784519</v>
      </c>
      <c r="Z24" s="34" t="n">
        <f aca="false">Z23/Assumptions!$C$15</f>
        <v>7864.89026648443</v>
      </c>
      <c r="AA24" s="34" t="n">
        <f aca="false">AA23/Assumptions!$C$15</f>
        <v>8633.41277868917</v>
      </c>
      <c r="AB24" s="34" t="n">
        <f aca="false">AB23/Assumptions!$C$15</f>
        <v>9411.33390004013</v>
      </c>
      <c r="AC24" s="34" t="n">
        <f aca="false">AC23/Assumptions!$C$15</f>
        <v>10194.7883950099</v>
      </c>
      <c r="AD24" s="34" t="n">
        <f aca="false">AD23/Assumptions!$C$15</f>
        <v>10981.2724963404</v>
      </c>
      <c r="AE24" s="34" t="n">
        <f aca="false">AE23/Assumptions!$C$15</f>
        <v>11765.5672616116</v>
      </c>
      <c r="AF24" s="34" t="n">
        <f aca="false">AF23/Assumptions!$C$15</f>
        <v>12637.9427569529</v>
      </c>
      <c r="AG24" s="34" t="n">
        <f aca="false">AG23/Assumptions!$C$15</f>
        <v>13554.9319683712</v>
      </c>
      <c r="AH24" s="34" t="n">
        <f aca="false">AH23/Assumptions!$C$15</f>
        <v>14470.4709181479</v>
      </c>
      <c r="AI24" s="34" t="n">
        <f aca="false">AI23/Assumptions!$C$15</f>
        <v>15455.8747584221</v>
      </c>
      <c r="AJ24" s="34" t="n">
        <f aca="false">AJ23/Assumptions!$C$15</f>
        <v>16459.2362246759</v>
      </c>
      <c r="AK24" s="34" t="n">
        <f aca="false">AK23/Assumptions!$C$15</f>
        <v>17440.0274132654</v>
      </c>
      <c r="AL24" s="34" t="n">
        <f aca="false">AL23/Assumptions!$C$15</f>
        <v>18458.8188278402</v>
      </c>
      <c r="AM24" s="34" t="n">
        <f aca="false">AM23/Assumptions!$C$15</f>
        <v>19474.9912321755</v>
      </c>
      <c r="AN24" s="35" t="n">
        <f aca="false">AN23/Assumptions!$C$15</f>
        <v>20455.3519100823</v>
      </c>
      <c r="AO24" s="35" t="n">
        <f aca="false">AO23/Assumptions!$C$15</f>
        <v>21465.2372365842</v>
      </c>
      <c r="AP24" s="35" t="n">
        <f aca="false">AP23/Assumptions!$C$15</f>
        <v>22467.1238213849</v>
      </c>
      <c r="AQ24" s="35" t="n">
        <f aca="false">AQ23/Assumptions!$C$15</f>
        <v>23429.8293072413</v>
      </c>
      <c r="AR24" s="35" t="n">
        <f aca="false">AR23/Assumptions!$C$15</f>
        <v>24419.9948906979</v>
      </c>
      <c r="AS24" s="35" t="n">
        <f aca="false">AS23/Assumptions!$C$15</f>
        <v>25397.3434323298</v>
      </c>
      <c r="AT24" s="35" t="n">
        <f aca="false">AT23/Assumptions!$C$15</f>
        <v>26332.5547830899</v>
      </c>
      <c r="AU24" s="35" t="n">
        <f aca="false">AU23/Assumptions!$C$15</f>
        <v>27293.4779378028</v>
      </c>
      <c r="AV24" s="35" t="n">
        <f aca="false">AV23/Assumptions!$C$15</f>
        <v>28240.6182284343</v>
      </c>
      <c r="AW24" s="35" t="n">
        <f aca="false">AW23/Assumptions!$C$15</f>
        <v>29145.1615538118</v>
      </c>
      <c r="AX24" s="35" t="n">
        <f aca="false">AX23/Assumptions!$C$15</f>
        <v>30075.2833197273</v>
      </c>
      <c r="AY24" s="35" t="n">
        <f aca="false">AY23/Assumptions!$C$15</f>
        <v>30991.6985429261</v>
      </c>
      <c r="AZ24" s="35" t="n">
        <f aca="false">AZ23/Assumptions!$C$15</f>
        <v>31865.7269722287</v>
      </c>
      <c r="BA24" s="35" t="n">
        <f aca="false">BA23/Assumptions!$C$15</f>
        <v>32765.6286074856</v>
      </c>
      <c r="BB24" s="35" t="n">
        <f aca="false">BB23/Assumptions!$C$15</f>
        <v>33652.1710792695</v>
      </c>
      <c r="BC24" s="35" t="n">
        <f aca="false">BC23/Assumptions!$C$15</f>
        <v>34493.1059986629</v>
      </c>
      <c r="BD24" s="35" t="n">
        <f aca="false">BD23/Assumptions!$C$15</f>
        <v>35358.0257743116</v>
      </c>
      <c r="BE24" s="35" t="n">
        <f aca="false">BE23/Assumptions!$C$15</f>
        <v>36208.5610253556</v>
      </c>
      <c r="BF24" s="35" t="n">
        <f aca="false">BF23/Assumptions!$C$15</f>
        <v>37013.0212744533</v>
      </c>
      <c r="BG24" s="35" t="n">
        <f aca="false">BG23/Assumptions!$C$15</f>
        <v>37841.3585872473</v>
      </c>
      <c r="BH24" s="35" t="n">
        <f aca="false">BH23/Assumptions!$C$15</f>
        <v>38655.4344191806</v>
      </c>
      <c r="BI24" s="35" t="n">
        <f aca="false">BI23/Assumptions!$C$15</f>
        <v>39423.7054398752</v>
      </c>
      <c r="BJ24" s="35" t="n">
        <f aca="false">BJ23/Assumptions!$C$15</f>
        <v>40216.2165073155</v>
      </c>
      <c r="BK24" s="35" t="n">
        <f aca="false">BK23/Assumptions!$C$15</f>
        <v>40994.8865815808</v>
      </c>
    </row>
    <row r="25" customFormat="false" ht="15" hidden="false" customHeight="false" outlineLevel="0" collapsed="false">
      <c r="A25" s="28" t="s">
        <v>567</v>
      </c>
      <c r="B25" s="6" t="s">
        <v>568</v>
      </c>
      <c r="C25" s="32" t="n">
        <v>0</v>
      </c>
      <c r="D25" s="34" t="n">
        <f aca="false">MAX(0,D24-C24)+C24*Assumptions!$C$16</f>
        <v>0</v>
      </c>
      <c r="E25" s="34" t="n">
        <f aca="false">MAX(0,E24-D24)+D24*Assumptions!$C$16</f>
        <v>0</v>
      </c>
      <c r="F25" s="34" t="n">
        <f aca="false">MAX(0,F24-E24)+E24*Assumptions!$C$16</f>
        <v>0</v>
      </c>
      <c r="G25" s="34" t="n">
        <f aca="false">MAX(0,G24-F24)+F24*Assumptions!$C$16</f>
        <v>0</v>
      </c>
      <c r="H25" s="34" t="n">
        <f aca="false">MAX(0,H24-G24)+G24*Assumptions!$C$16</f>
        <v>90</v>
      </c>
      <c r="I25" s="34" t="n">
        <f aca="false">MAX(0,I24-H24)+H24*Assumptions!$C$16</f>
        <v>139.95</v>
      </c>
      <c r="J25" s="34" t="n">
        <f aca="false">MAX(0,J24-I24)+I24*Assumptions!$C$16</f>
        <v>149.16375</v>
      </c>
      <c r="K25" s="34" t="n">
        <f aca="false">MAX(0,K24-J24)+J24*Assumptions!$C$16</f>
        <v>228.43974375</v>
      </c>
      <c r="L25" s="34" t="n">
        <f aca="false">MAX(0,L24-K24)+K24*Assumptions!$C$16</f>
        <v>257.83689009375</v>
      </c>
      <c r="M25" s="34" t="n">
        <f aca="false">MAX(0,M24-L24)+L24*Assumptions!$C$16</f>
        <v>250.536769367344</v>
      </c>
      <c r="N25" s="34" t="n">
        <f aca="false">MAX(0,N24-M24)+M24*Assumptions!$C$16</f>
        <v>305.027549033083</v>
      </c>
      <c r="O25" s="34" t="n">
        <f aca="false">MAX(0,O24-N24)+N24*Assumptions!$C$16</f>
        <v>408.29787608165</v>
      </c>
      <c r="P25" s="34" t="n">
        <f aca="false">MAX(0,P24-O24)+O24*Assumptions!$C$16</f>
        <v>440.449139125066</v>
      </c>
      <c r="Q25" s="34" t="n">
        <f aca="false">MAX(0,Q24-P24)+P24*Assumptions!$C$16</f>
        <v>497.313627308206</v>
      </c>
      <c r="R25" s="34" t="n">
        <f aca="false">MAX(0,R24-Q24)+Q24*Assumptions!$C$16</f>
        <v>585.398219324094</v>
      </c>
      <c r="S25" s="34" t="n">
        <f aca="false">MAX(0,S24-R24)+R24*Assumptions!$C$16</f>
        <v>594.081038710815</v>
      </c>
      <c r="T25" s="34" t="n">
        <f aca="false">MAX(0,T24-S24)+S24*Assumptions!$C$16</f>
        <v>632.521288369931</v>
      </c>
      <c r="U25" s="34" t="n">
        <f aca="false">MAX(0,U24-T24)+T24*Assumptions!$C$16</f>
        <v>694.563921450237</v>
      </c>
      <c r="V25" s="34" t="n">
        <f aca="false">MAX(0,V24-U24)+U24*Assumptions!$C$16</f>
        <v>776.28825669229</v>
      </c>
      <c r="W25" s="34" t="n">
        <f aca="false">MAX(0,W24-V24)+V24*Assumptions!$C$16</f>
        <v>853.62474898338</v>
      </c>
      <c r="X25" s="34" t="n">
        <f aca="false">MAX(0,X24-W24)+W24*Assumptions!$C$16</f>
        <v>917.665908240587</v>
      </c>
      <c r="Y25" s="34" t="n">
        <f aca="false">MAX(0,Y24-X24)+X24*Assumptions!$C$16</f>
        <v>983.946514436751</v>
      </c>
      <c r="Z25" s="34" t="n">
        <f aca="false">MAX(0,Z24-Y24)+Y24*Assumptions!$C$16</f>
        <v>1037.63295335305</v>
      </c>
      <c r="AA25" s="34" t="n">
        <f aca="false">MAX(0,AA24-Z24)+Z24*Assumptions!$C$16</f>
        <v>1083.11812286411</v>
      </c>
      <c r="AB25" s="34" t="n">
        <f aca="false">MAX(0,AB24-AA24)+AA24*Assumptions!$C$16</f>
        <v>1123.25763249853</v>
      </c>
      <c r="AC25" s="34" t="n">
        <f aca="false">MAX(0,AC24-AB24)+AB24*Assumptions!$C$16</f>
        <v>1159.90785097135</v>
      </c>
      <c r="AD25" s="34" t="n">
        <f aca="false">MAX(0,AD24-AC24)+AC24*Assumptions!$C$16</f>
        <v>1194.27563713097</v>
      </c>
      <c r="AE25" s="34" t="n">
        <f aca="false">MAX(0,AE24-AD24)+AD24*Assumptions!$C$16</f>
        <v>1223.54566512473</v>
      </c>
      <c r="AF25" s="34" t="n">
        <f aca="false">MAX(0,AF24-AE24)+AE24*Assumptions!$C$16</f>
        <v>1342.99818580583</v>
      </c>
      <c r="AG25" s="34" t="n">
        <f aca="false">MAX(0,AG24-AF24)+AF24*Assumptions!$C$16</f>
        <v>1422.50692169643</v>
      </c>
      <c r="AH25" s="34" t="n">
        <f aca="false">MAX(0,AH24-AG24)+AG24*Assumptions!$C$16</f>
        <v>1457.73622851147</v>
      </c>
      <c r="AI25" s="34" t="n">
        <f aca="false">MAX(0,AI24-AH24)+AH24*Assumptions!$C$16</f>
        <v>1564.22267700012</v>
      </c>
      <c r="AJ25" s="34" t="n">
        <f aca="false">MAX(0,AJ24-AI24)+AI24*Assumptions!$C$16</f>
        <v>1621.59645659073</v>
      </c>
      <c r="AK25" s="34" t="n">
        <f aca="false">MAX(0,AK24-AJ24)+AJ24*Assumptions!$C$16</f>
        <v>1639.16063757652</v>
      </c>
      <c r="AL25" s="34" t="n">
        <f aca="false">MAX(0,AL24-AK24)+AK24*Assumptions!$C$16</f>
        <v>1716.39251110538</v>
      </c>
      <c r="AM25" s="34" t="n">
        <f aca="false">MAX(0,AM24-AL24)+AL24*Assumptions!$C$16</f>
        <v>1754.52515744894</v>
      </c>
      <c r="AN25" s="35" t="n">
        <f aca="false">MAX(0,AN24-AM24)+AM24*Assumptions!$C$16</f>
        <v>1759.3603271938</v>
      </c>
      <c r="AO25" s="35" t="n">
        <f aca="false">MAX(0,AO24-AN24)+AN24*Assumptions!$C$16</f>
        <v>1828.09940290517</v>
      </c>
      <c r="AP25" s="35" t="n">
        <f aca="false">MAX(0,AP24-AO24)+AO24*Assumptions!$C$16</f>
        <v>1860.49607426413</v>
      </c>
      <c r="AQ25" s="35" t="n">
        <f aca="false">MAX(0,AQ24-AP24)+AP24*Assumptions!$C$16</f>
        <v>1861.39043871182</v>
      </c>
      <c r="AR25" s="35" t="n">
        <f aca="false">MAX(0,AR24-AQ24)+AQ24*Assumptions!$C$16</f>
        <v>1927.3587557462</v>
      </c>
      <c r="AS25" s="35" t="n">
        <f aca="false">MAX(0,AS24-AR24)+AR24*Assumptions!$C$16</f>
        <v>1954.14833725981</v>
      </c>
      <c r="AT25" s="35" t="n">
        <f aca="false">MAX(0,AT24-AS24)+AS24*Assumptions!$C$16</f>
        <v>1951.10508805328</v>
      </c>
      <c r="AU25" s="35" t="n">
        <f aca="false">MAX(0,AU24-AT24)+AT24*Assumptions!$C$16</f>
        <v>2014.22534603652</v>
      </c>
      <c r="AV25" s="35" t="n">
        <f aca="false">MAX(0,AV24-AU24)+AU24*Assumptions!$C$16</f>
        <v>2038.8794081436</v>
      </c>
      <c r="AW25" s="35" t="n">
        <f aca="false">MAX(0,AW24-AV24)+AV24*Assumptions!$C$16</f>
        <v>2034.1680545149</v>
      </c>
      <c r="AX25" s="35" t="n">
        <f aca="false">MAX(0,AX24-AW24)+AW24*Assumptions!$C$16</f>
        <v>2095.92822806792</v>
      </c>
      <c r="AY25" s="35" t="n">
        <f aca="false">MAX(0,AY24-AX24)+AX24*Assumptions!$C$16</f>
        <v>2119.42655598789</v>
      </c>
      <c r="AZ25" s="35" t="n">
        <f aca="false">MAX(0,AZ24-AY24)+AY24*Assumptions!$C$16</f>
        <v>2113.69637101971</v>
      </c>
      <c r="BA25" s="35" t="n">
        <f aca="false">MAX(0,BA24-AZ24)+AZ24*Assumptions!$C$16</f>
        <v>2174.53071414599</v>
      </c>
      <c r="BB25" s="35" t="n">
        <f aca="false">MAX(0,BB24-BA24)+BA24*Assumptions!$C$16</f>
        <v>2197.16761608332</v>
      </c>
      <c r="BC25" s="35" t="n">
        <f aca="false">MAX(0,BC24-BB24)+BB24*Assumptions!$C$16</f>
        <v>2187.02176256425</v>
      </c>
      <c r="BD25" s="35" t="n">
        <f aca="false">MAX(0,BD24-BC24)+BC24*Assumptions!$C$16</f>
        <v>2244.64401559521</v>
      </c>
      <c r="BE25" s="35" t="n">
        <f aca="false">MAX(0,BE24-BD24)+BD24*Assumptions!$C$16</f>
        <v>2264.85628201641</v>
      </c>
      <c r="BF25" s="35" t="n">
        <f aca="false">MAX(0,BF24-BE24)+BE24*Assumptions!$C$16</f>
        <v>2252.80269011199</v>
      </c>
      <c r="BG25" s="35" t="n">
        <f aca="false">MAX(0,BG24-BF24)+BF24*Assumptions!$C$16</f>
        <v>2308.8581637721</v>
      </c>
      <c r="BH25" s="35" t="n">
        <f aca="false">MAX(0,BH24-BG24)+BG24*Assumptions!$C$16</f>
        <v>2327.73017542318</v>
      </c>
      <c r="BI25" s="35" t="n">
        <f aca="false">MAX(0,BI24-BH24)+BH24*Assumptions!$C$16</f>
        <v>2314.48839746182</v>
      </c>
      <c r="BJ25" s="35" t="n">
        <f aca="false">MAX(0,BJ24-BI24)+BI24*Assumptions!$C$16</f>
        <v>2369.45928503538</v>
      </c>
      <c r="BK25" s="35" t="n">
        <f aca="false">MAX(0,BK24-BJ24)+BJ24*Assumptions!$C$16</f>
        <v>2387.31873455791</v>
      </c>
    </row>
    <row r="26" customFormat="false" ht="15" hidden="false" customHeight="false" outlineLevel="0" collapsed="false">
      <c r="B26" s="5" t="s">
        <v>569</v>
      </c>
    </row>
    <row r="27" customFormat="false" ht="15" hidden="false" customHeight="false" outlineLevel="0" collapsed="false">
      <c r="A27" s="28" t="s">
        <v>570</v>
      </c>
      <c r="B27" s="6" t="s">
        <v>571</v>
      </c>
      <c r="C27" s="36" t="n">
        <v>0</v>
      </c>
      <c r="D27" s="26" t="n">
        <f aca="false">C27*(1-Assumptions!$C$41)+D16*((1-(1-Assumptions!$C$30)^(1/12))*Assumptions!$C$40)*MAX(0,D13*Assumptions!$C$25-C27)</f>
        <v>0</v>
      </c>
      <c r="E27" s="26" t="n">
        <f aca="false">D27*(1-Assumptions!$C$41)+E16*((1-(1-Assumptions!$C$30)^(1/12))*Assumptions!$C$40)*MAX(0,E13*Assumptions!$C$25-D27)</f>
        <v>0</v>
      </c>
      <c r="F27" s="26" t="n">
        <f aca="false">E27*(1-Assumptions!$C$41)+F16*((1-(1-Assumptions!$C$30)^(1/12))*Assumptions!$C$40)*MAX(0,F13*Assumptions!$C$25-E27)</f>
        <v>0</v>
      </c>
      <c r="G27" s="26" t="n">
        <f aca="false">F27*(1-Assumptions!$C$41)+G16*((1-(1-Assumptions!$C$30)^(1/12))*Assumptions!$C$40)*MAX(0,G13*Assumptions!$C$25-F27)</f>
        <v>0</v>
      </c>
      <c r="H27" s="26" t="n">
        <f aca="false">G27*(1-Assumptions!$C$41)+H16*((1-(1-Assumptions!$C$30)^(1/12))*Assumptions!$C$40)*MAX(0,H13*Assumptions!$C$25-G27)</f>
        <v>0</v>
      </c>
      <c r="I27" s="26" t="n">
        <f aca="false">H27*(1-Assumptions!$C$41)+I16*((1-(1-Assumptions!$C$30)^(1/12))*Assumptions!$C$40)*MAX(0,I13*Assumptions!$C$25-H27)</f>
        <v>0</v>
      </c>
      <c r="J27" s="26" t="n">
        <f aca="false">I27*(1-Assumptions!$C$41)+J16*((1-(1-Assumptions!$C$30)^(1/12))*Assumptions!$C$40)*MAX(0,J13*Assumptions!$C$25-I27)</f>
        <v>0</v>
      </c>
      <c r="K27" s="26" t="n">
        <f aca="false">J27*(1-Assumptions!$C$41)+K16*((1-(1-Assumptions!$C$30)^(1/12))*Assumptions!$C$40)*MAX(0,K13*Assumptions!$C$25-J27)</f>
        <v>0</v>
      </c>
      <c r="L27" s="26" t="n">
        <f aca="false">K27*(1-Assumptions!$C$41)+L16*((1-(1-Assumptions!$C$30)^(1/12))*Assumptions!$C$40)*MAX(0,L13*Assumptions!$C$25-K27)</f>
        <v>0</v>
      </c>
      <c r="M27" s="26" t="n">
        <f aca="false">L27*(1-Assumptions!$C$41)+M16*((1-(1-Assumptions!$C$30)^(1/12))*Assumptions!$C$40)*MAX(0,M13*Assumptions!$C$25-L27)</f>
        <v>0</v>
      </c>
      <c r="N27" s="26" t="n">
        <f aca="false">M27*(1-Assumptions!$C$41)+N16*((1-(1-Assumptions!$C$30)^(1/12))*Assumptions!$C$40)*MAX(0,N13*Assumptions!$C$25-M27)</f>
        <v>0</v>
      </c>
      <c r="O27" s="26" t="n">
        <f aca="false">N27*(1-Assumptions!$C$41)+O16*((1-(1-Assumptions!$C$30)^(1/12))*Assumptions!$C$40)*MAX(0,O13*Assumptions!$C$25-N27)</f>
        <v>0</v>
      </c>
      <c r="P27" s="26" t="n">
        <f aca="false">O27*(1-Assumptions!$C$41)+P16*((1-(1-Assumptions!$C$30)^(1/12))*Assumptions!$C$40)*MAX(0,P13*Assumptions!$C$25-O27)</f>
        <v>0</v>
      </c>
      <c r="Q27" s="26" t="n">
        <f aca="false">P27*(1-Assumptions!$C$41)+Q16*((1-(1-Assumptions!$C$30)^(1/12))*Assumptions!$C$40)*MAX(0,Q13*Assumptions!$C$25-P27)</f>
        <v>0</v>
      </c>
      <c r="R27" s="26" t="n">
        <f aca="false">Q27*(1-Assumptions!$C$41)+R16*((1-(1-Assumptions!$C$30)^(1/12))*Assumptions!$C$40)*MAX(0,R13*Assumptions!$C$25-Q27)</f>
        <v>0</v>
      </c>
      <c r="S27" s="26" t="n">
        <f aca="false">R27*(1-Assumptions!$C$41)+S16*((1-(1-Assumptions!$C$30)^(1/12))*Assumptions!$C$40)*MAX(0,S13*Assumptions!$C$25-R27)</f>
        <v>0</v>
      </c>
      <c r="T27" s="26" t="n">
        <f aca="false">S27*(1-Assumptions!$C$41)+T16*((1-(1-Assumptions!$C$30)^(1/12))*Assumptions!$C$40)*MAX(0,T13*Assumptions!$C$25-S27)</f>
        <v>0</v>
      </c>
      <c r="U27" s="26" t="n">
        <f aca="false">T27*(1-Assumptions!$C$41)+U16*((1-(1-Assumptions!$C$30)^(1/12))*Assumptions!$C$40)*MAX(0,U13*Assumptions!$C$25-T27)</f>
        <v>0</v>
      </c>
      <c r="V27" s="26" t="n">
        <f aca="false">U27*(1-Assumptions!$C$41)+V16*((1-(1-Assumptions!$C$30)^(1/12))*Assumptions!$C$40)*MAX(0,V13*Assumptions!$C$25-U27)</f>
        <v>0</v>
      </c>
      <c r="W27" s="26" t="n">
        <f aca="false">V27*(1-Assumptions!$C$41)+W16*((1-(1-Assumptions!$C$30)^(1/12))*Assumptions!$C$40)*MAX(0,W13*Assumptions!$C$25-V27)</f>
        <v>0</v>
      </c>
      <c r="X27" s="26" t="n">
        <f aca="false">W27*(1-Assumptions!$C$41)+X16*((1-(1-Assumptions!$C$30)^(1/12))*Assumptions!$C$40)*MAX(0,X13*Assumptions!$C$25-W27)</f>
        <v>0</v>
      </c>
      <c r="Y27" s="26" t="n">
        <f aca="false">X27*(1-Assumptions!$C$41)+Y16*((1-(1-Assumptions!$C$30)^(1/12))*Assumptions!$C$40)*MAX(0,Y13*Assumptions!$C$25-X27)</f>
        <v>1.01888969111832</v>
      </c>
      <c r="Z27" s="26" t="n">
        <f aca="false">Y27*(1-Assumptions!$C$41)+Z16*((1-(1-Assumptions!$C$30)^(1/12))*Assumptions!$C$40)*MAX(0,Z13*Assumptions!$C$25-Y27)</f>
        <v>2.08458300967361</v>
      </c>
      <c r="AA27" s="26" t="n">
        <f aca="false">Z27*(1-Assumptions!$C$41)+AA16*((1-(1-Assumptions!$C$30)^(1/12))*Assumptions!$C$40)*MAX(0,AA13*Assumptions!$C$25-Z27)</f>
        <v>3.19460949177399</v>
      </c>
      <c r="AB27" s="26" t="n">
        <f aca="false">AA27*(1-Assumptions!$C$41)+AB16*((1-(1-Assumptions!$C$30)^(1/12))*Assumptions!$C$40)*MAX(0,AB13*Assumptions!$C$25-AA27)</f>
        <v>4.34662136300964</v>
      </c>
      <c r="AC27" s="26" t="n">
        <f aca="false">AB27*(1-Assumptions!$C$41)+AC16*((1-(1-Assumptions!$C$30)^(1/12))*Assumptions!$C$40)*MAX(0,AC13*Assumptions!$C$25-AB27)</f>
        <v>5.53838755148654</v>
      </c>
      <c r="AD27" s="26" t="n">
        <f aca="false">AC27*(1-Assumptions!$C$41)+AD16*((1-(1-Assumptions!$C$30)^(1/12))*Assumptions!$C$40)*MAX(0,AD13*Assumptions!$C$25-AC27)</f>
        <v>6.76778799145877</v>
      </c>
      <c r="AE27" s="26" t="n">
        <f aca="false">AD27*(1-Assumptions!$C$41)+AE16*((1-(1-Assumptions!$C$30)^(1/12))*Assumptions!$C$40)*MAX(0,AE13*Assumptions!$C$25-AD27)</f>
        <v>8.0315701462845</v>
      </c>
      <c r="AF27" s="26" t="n">
        <f aca="false">AE27*(1-Assumptions!$C$41)+AF16*((1-(1-Assumptions!$C$30)^(1/12))*Assumptions!$C$40)*MAX(0,AF13*Assumptions!$C$25-AE27)</f>
        <v>9.35884991777124</v>
      </c>
      <c r="AG27" s="26" t="n">
        <f aca="false">AF27*(1-Assumptions!$C$41)+AG16*((1-(1-Assumptions!$C$30)^(1/12))*Assumptions!$C$40)*MAX(0,AG13*Assumptions!$C$25-AF27)</f>
        <v>10.7422060015793</v>
      </c>
      <c r="AH27" s="26" t="n">
        <f aca="false">AG27*(1-Assumptions!$C$41)+AH16*((1-(1-Assumptions!$C$30)^(1/12))*Assumptions!$C$40)*MAX(0,AH13*Assumptions!$C$25-AG27)</f>
        <v>12.1684513706566</v>
      </c>
      <c r="AI27" s="26" t="n">
        <f aca="false">AH27*(1-Assumptions!$C$41)+AI16*((1-(1-Assumptions!$C$30)^(1/12))*Assumptions!$C$40)*MAX(0,AI13*Assumptions!$C$25-AH27)</f>
        <v>13.6598602352123</v>
      </c>
      <c r="AJ27" s="26" t="n">
        <f aca="false">AI27*(1-Assumptions!$C$41)+AJ16*((1-(1-Assumptions!$C$30)^(1/12))*Assumptions!$C$40)*MAX(0,AJ13*Assumptions!$C$25-AI27)</f>
        <v>15.2038354008324</v>
      </c>
      <c r="AK27" s="26" t="n">
        <f aca="false">AJ27*(1-Assumptions!$C$41)+AK16*((1-(1-Assumptions!$C$30)^(1/12))*Assumptions!$C$40)*MAX(0,AK13*Assumptions!$C$25-AJ27)</f>
        <v>16.7860551848627</v>
      </c>
      <c r="AL27" s="26" t="n">
        <f aca="false">AK27*(1-Assumptions!$C$41)+AL16*((1-(1-Assumptions!$C$30)^(1/12))*Assumptions!$C$40)*MAX(0,AL13*Assumptions!$C$25-AK27)</f>
        <v>18.4227814264402</v>
      </c>
      <c r="AM27" s="26" t="n">
        <f aca="false">AL27*(1-Assumptions!$C$41)+AM16*((1-(1-Assumptions!$C$30)^(1/12))*Assumptions!$C$40)*MAX(0,AM13*Assumptions!$C$25-AL27)</f>
        <v>20.1019795451414</v>
      </c>
      <c r="AN27" s="37" t="n">
        <f aca="false">AM27*(1-Assumptions!$C$41)+AN16*((1-(1-Assumptions!$C$30)^(1/12))*Assumptions!$C$40)*MAX(0,AN13*Assumptions!$C$25-AM27)</f>
        <v>21.8098625301325</v>
      </c>
      <c r="AO27" s="37" t="n">
        <f aca="false">AN27*(1-Assumptions!$C$41)+AO16*((1-(1-Assumptions!$C$30)^(1/12))*Assumptions!$C$40)*MAX(0,AO13*Assumptions!$C$25-AN27)</f>
        <v>23.563200313734</v>
      </c>
      <c r="AP27" s="37" t="n">
        <f aca="false">AO27*(1-Assumptions!$C$41)+AP16*((1-(1-Assumptions!$C$30)^(1/12))*Assumptions!$C$40)*MAX(0,AP13*Assumptions!$C$25-AO27)</f>
        <v>25.3504411274186</v>
      </c>
      <c r="AQ27" s="37" t="n">
        <f aca="false">AP27*(1-Assumptions!$C$41)+AQ16*((1-(1-Assumptions!$C$30)^(1/12))*Assumptions!$C$40)*MAX(0,AQ13*Assumptions!$C$25-AP27)</f>
        <v>27.158256725334</v>
      </c>
      <c r="AR27" s="37" t="n">
        <f aca="false">AQ27*(1-Assumptions!$C$41)+AR16*((1-(1-Assumptions!$C$30)^(1/12))*Assumptions!$C$40)*MAX(0,AR13*Assumptions!$C$25-AQ27)</f>
        <v>29.0038529323147</v>
      </c>
      <c r="AS27" s="37" t="n">
        <f aca="false">AR27*(1-Assumptions!$C$41)+AS16*((1-(1-Assumptions!$C$30)^(1/12))*Assumptions!$C$40)*MAX(0,AS13*Assumptions!$C$25-AR27)</f>
        <v>30.874854060114</v>
      </c>
      <c r="AT27" s="37" t="n">
        <f aca="false">AS27*(1-Assumptions!$C$41)+AT16*((1-(1-Assumptions!$C$30)^(1/12))*Assumptions!$C$40)*MAX(0,AT13*Assumptions!$C$25-AS27)</f>
        <v>32.7584038303634</v>
      </c>
      <c r="AU27" s="37" t="n">
        <f aca="false">AT27*(1-Assumptions!$C$41)+AU16*((1-(1-Assumptions!$C$30)^(1/12))*Assumptions!$C$40)*MAX(0,AU13*Assumptions!$C$25-AT27)</f>
        <v>34.6721562741849</v>
      </c>
      <c r="AV27" s="37" t="n">
        <f aca="false">AU27*(1-Assumptions!$C$41)+AV16*((1-(1-Assumptions!$C$30)^(1/12))*Assumptions!$C$40)*MAX(0,AV13*Assumptions!$C$25-AU27)</f>
        <v>36.6041613126256</v>
      </c>
      <c r="AW27" s="37" t="n">
        <f aca="false">AV27*(1-Assumptions!$C$41)+AW16*((1-(1-Assumptions!$C$30)^(1/12))*Assumptions!$C$40)*MAX(0,AW13*Assumptions!$C$25-AV27)</f>
        <v>38.5419667872416</v>
      </c>
      <c r="AX27" s="37" t="n">
        <f aca="false">AW27*(1-Assumptions!$C$41)+AX16*((1-(1-Assumptions!$C$30)^(1/12))*Assumptions!$C$40)*MAX(0,AX13*Assumptions!$C$25-AW27)</f>
        <v>40.5036104134983</v>
      </c>
      <c r="AY27" s="37" t="n">
        <f aca="false">AX27*(1-Assumptions!$C$41)+AY16*((1-(1-Assumptions!$C$30)^(1/12))*Assumptions!$C$40)*MAX(0,AY13*Assumptions!$C$25-AX27)</f>
        <v>42.4775063637672</v>
      </c>
      <c r="AZ27" s="37" t="n">
        <f aca="false">AY27*(1-Assumptions!$C$41)+AZ16*((1-(1-Assumptions!$C$30)^(1/12))*Assumptions!$C$40)*MAX(0,AZ13*Assumptions!$C$25-AY27)</f>
        <v>44.4515482517294</v>
      </c>
      <c r="BA27" s="37" t="n">
        <f aca="false">AZ27*(1-Assumptions!$C$41)+BA16*((1-(1-Assumptions!$C$30)^(1/12))*Assumptions!$C$40)*MAX(0,BA13*Assumptions!$C$25-AZ27)</f>
        <v>46.4441019932161</v>
      </c>
      <c r="BB27" s="37" t="n">
        <f aca="false">BA27*(1-Assumptions!$C$41)+BB16*((1-(1-Assumptions!$C$30)^(1/12))*Assumptions!$C$40)*MAX(0,BB13*Assumptions!$C$25-BA27)</f>
        <v>48.443893252515</v>
      </c>
      <c r="BC27" s="37" t="n">
        <f aca="false">BB27*(1-Assumptions!$C$41)+BC16*((1-(1-Assumptions!$C$30)^(1/12))*Assumptions!$C$40)*MAX(0,BC13*Assumptions!$C$25-BB27)</f>
        <v>50.4378731909004</v>
      </c>
      <c r="BD27" s="37" t="n">
        <f aca="false">BC27*(1-Assumptions!$C$41)+BD16*((1-(1-Assumptions!$C$30)^(1/12))*Assumptions!$C$40)*MAX(0,BD13*Assumptions!$C$25-BC27)</f>
        <v>52.4447667451057</v>
      </c>
      <c r="BE27" s="37" t="n">
        <f aca="false">BD27*(1-Assumptions!$C$41)+BE16*((1-(1-Assumptions!$C$30)^(1/12))*Assumptions!$C$40)*MAX(0,BE13*Assumptions!$C$25-BD27)</f>
        <v>54.4536401570369</v>
      </c>
      <c r="BF27" s="37" t="n">
        <f aca="false">BE27*(1-Assumptions!$C$41)+BF16*((1-(1-Assumptions!$C$30)^(1/12))*Assumptions!$C$40)*MAX(0,BF13*Assumptions!$C$25-BE27)</f>
        <v>56.4517676312631</v>
      </c>
      <c r="BG27" s="37" t="n">
        <f aca="false">BF27*(1-Assumptions!$C$41)+BG16*((1-(1-Assumptions!$C$30)^(1/12))*Assumptions!$C$40)*MAX(0,BG13*Assumptions!$C$25-BF27)</f>
        <v>58.4581804781984</v>
      </c>
      <c r="BH27" s="37" t="n">
        <f aca="false">BG27*(1-Assumptions!$C$41)+BH16*((1-(1-Assumptions!$C$30)^(1/12))*Assumptions!$C$40)*MAX(0,BH13*Assumptions!$C$25-BG27)</f>
        <v>60.462235466416</v>
      </c>
      <c r="BI27" s="37" t="n">
        <f aca="false">BH27*(1-Assumptions!$C$41)+BI16*((1-(1-Assumptions!$C$30)^(1/12))*Assumptions!$C$40)*MAX(0,BI13*Assumptions!$C$25-BH27)</f>
        <v>62.4514822626772</v>
      </c>
      <c r="BJ27" s="37" t="n">
        <f aca="false">BI27*(1-Assumptions!$C$41)+BJ16*((1-(1-Assumptions!$C$30)^(1/12))*Assumptions!$C$40)*MAX(0,BJ13*Assumptions!$C$25-BI27)</f>
        <v>64.4452133195291</v>
      </c>
      <c r="BK27" s="37" t="n">
        <f aca="false">BJ27*(1-Assumptions!$C$41)+BK16*((1-(1-Assumptions!$C$30)^(1/12))*Assumptions!$C$40)*MAX(0,BK13*Assumptions!$C$25-BJ27)</f>
        <v>66.4330329357645</v>
      </c>
    </row>
    <row r="28" customFormat="false" ht="15" hidden="false" customHeight="false" outlineLevel="0" collapsed="false">
      <c r="A28" s="28" t="s">
        <v>572</v>
      </c>
      <c r="B28" s="6" t="s">
        <v>573</v>
      </c>
      <c r="C28" s="36" t="n">
        <v>0</v>
      </c>
      <c r="D28" s="26" t="n">
        <f aca="false">C28*(1-Assumptions!$C$41)+D16*((1-(1-Assumptions!$C$31)^(1/12))*Assumptions!$C$40)*MAX(0,D13*Assumptions!$C$26-C28)</f>
        <v>0</v>
      </c>
      <c r="E28" s="26" t="n">
        <f aca="false">D28*(1-Assumptions!$C$41)+E16*((1-(1-Assumptions!$C$31)^(1/12))*Assumptions!$C$40)*MAX(0,E13*Assumptions!$C$26-D28)</f>
        <v>0</v>
      </c>
      <c r="F28" s="26" t="n">
        <f aca="false">E28*(1-Assumptions!$C$41)+F16*((1-(1-Assumptions!$C$31)^(1/12))*Assumptions!$C$40)*MAX(0,F13*Assumptions!$C$26-E28)</f>
        <v>0</v>
      </c>
      <c r="G28" s="26" t="n">
        <f aca="false">F28*(1-Assumptions!$C$41)+G16*((1-(1-Assumptions!$C$31)^(1/12))*Assumptions!$C$40)*MAX(0,G13*Assumptions!$C$26-F28)</f>
        <v>0</v>
      </c>
      <c r="H28" s="26" t="n">
        <f aca="false">G28*(1-Assumptions!$C$41)+H16*((1-(1-Assumptions!$C$31)^(1/12))*Assumptions!$C$40)*MAX(0,H13*Assumptions!$C$26-G28)</f>
        <v>0</v>
      </c>
      <c r="I28" s="26" t="n">
        <f aca="false">H28*(1-Assumptions!$C$41)+I16*((1-(1-Assumptions!$C$31)^(1/12))*Assumptions!$C$40)*MAX(0,I13*Assumptions!$C$26-H28)</f>
        <v>0</v>
      </c>
      <c r="J28" s="26" t="n">
        <f aca="false">I28*(1-Assumptions!$C$41)+J16*((1-(1-Assumptions!$C$31)^(1/12))*Assumptions!$C$40)*MAX(0,J13*Assumptions!$C$26-I28)</f>
        <v>0</v>
      </c>
      <c r="K28" s="26" t="n">
        <f aca="false">J28*(1-Assumptions!$C$41)+K16*((1-(1-Assumptions!$C$31)^(1/12))*Assumptions!$C$40)*MAX(0,K13*Assumptions!$C$26-J28)</f>
        <v>0</v>
      </c>
      <c r="L28" s="26" t="n">
        <f aca="false">K28*(1-Assumptions!$C$41)+L16*((1-(1-Assumptions!$C$31)^(1/12))*Assumptions!$C$40)*MAX(0,L13*Assumptions!$C$26-K28)</f>
        <v>0</v>
      </c>
      <c r="M28" s="26" t="n">
        <f aca="false">L28*(1-Assumptions!$C$41)+M16*((1-(1-Assumptions!$C$31)^(1/12))*Assumptions!$C$40)*MAX(0,M13*Assumptions!$C$26-L28)</f>
        <v>0</v>
      </c>
      <c r="N28" s="26" t="n">
        <f aca="false">M28*(1-Assumptions!$C$41)+N16*((1-(1-Assumptions!$C$31)^(1/12))*Assumptions!$C$40)*MAX(0,N13*Assumptions!$C$26-M28)</f>
        <v>0</v>
      </c>
      <c r="O28" s="26" t="n">
        <f aca="false">N28*(1-Assumptions!$C$41)+O16*((1-(1-Assumptions!$C$31)^(1/12))*Assumptions!$C$40)*MAX(0,O13*Assumptions!$C$26-N28)</f>
        <v>0</v>
      </c>
      <c r="P28" s="26" t="n">
        <f aca="false">O28*(1-Assumptions!$C$41)+P16*((1-(1-Assumptions!$C$31)^(1/12))*Assumptions!$C$40)*MAX(0,P13*Assumptions!$C$26-O28)</f>
        <v>0</v>
      </c>
      <c r="Q28" s="26" t="n">
        <f aca="false">P28*(1-Assumptions!$C$41)+Q16*((1-(1-Assumptions!$C$31)^(1/12))*Assumptions!$C$40)*MAX(0,Q13*Assumptions!$C$26-P28)</f>
        <v>0</v>
      </c>
      <c r="R28" s="26" t="n">
        <f aca="false">Q28*(1-Assumptions!$C$41)+R16*((1-(1-Assumptions!$C$31)^(1/12))*Assumptions!$C$40)*MAX(0,R13*Assumptions!$C$26-Q28)</f>
        <v>0</v>
      </c>
      <c r="S28" s="26" t="n">
        <f aca="false">R28*(1-Assumptions!$C$41)+S16*((1-(1-Assumptions!$C$31)^(1/12))*Assumptions!$C$40)*MAX(0,S13*Assumptions!$C$26-R28)</f>
        <v>0</v>
      </c>
      <c r="T28" s="26" t="n">
        <f aca="false">S28*(1-Assumptions!$C$41)+T16*((1-(1-Assumptions!$C$31)^(1/12))*Assumptions!$C$40)*MAX(0,T13*Assumptions!$C$26-S28)</f>
        <v>0</v>
      </c>
      <c r="U28" s="26" t="n">
        <f aca="false">T28*(1-Assumptions!$C$41)+U16*((1-(1-Assumptions!$C$31)^(1/12))*Assumptions!$C$40)*MAX(0,U13*Assumptions!$C$26-T28)</f>
        <v>0</v>
      </c>
      <c r="V28" s="26" t="n">
        <f aca="false">U28*(1-Assumptions!$C$41)+V16*((1-(1-Assumptions!$C$31)^(1/12))*Assumptions!$C$40)*MAX(0,V13*Assumptions!$C$26-U28)</f>
        <v>0</v>
      </c>
      <c r="W28" s="26" t="n">
        <f aca="false">V28*(1-Assumptions!$C$41)+W16*((1-(1-Assumptions!$C$31)^(1/12))*Assumptions!$C$40)*MAX(0,W13*Assumptions!$C$26-V28)</f>
        <v>0</v>
      </c>
      <c r="X28" s="26" t="n">
        <f aca="false">W28*(1-Assumptions!$C$41)+X16*((1-(1-Assumptions!$C$31)^(1/12))*Assumptions!$C$40)*MAX(0,X13*Assumptions!$C$26-W28)</f>
        <v>0</v>
      </c>
      <c r="Y28" s="26" t="n">
        <f aca="false">X28*(1-Assumptions!$C$41)+Y16*((1-(1-Assumptions!$C$31)^(1/12))*Assumptions!$C$40)*MAX(0,Y13*Assumptions!$C$26-X28)</f>
        <v>0.418581015004549</v>
      </c>
      <c r="Z28" s="26" t="n">
        <f aca="false">Y28*(1-Assumptions!$C$41)+Z16*((1-(1-Assumptions!$C$31)^(1/12))*Assumptions!$C$40)*MAX(0,Z13*Assumptions!$C$26-Y28)</f>
        <v>0.859666260278674</v>
      </c>
      <c r="AA28" s="26" t="n">
        <f aca="false">Z28*(1-Assumptions!$C$41)+AA16*((1-(1-Assumptions!$C$31)^(1/12))*Assumptions!$C$40)*MAX(0,AA13*Assumptions!$C$26-Z28)</f>
        <v>1.32225831254502</v>
      </c>
      <c r="AB28" s="26" t="n">
        <f aca="false">AA28*(1-Assumptions!$C$41)+AB16*((1-(1-Assumptions!$C$31)^(1/12))*Assumptions!$C$40)*MAX(0,AB13*Assumptions!$C$26-AA28)</f>
        <v>1.80540149770383</v>
      </c>
      <c r="AC28" s="26" t="n">
        <f aca="false">AB28*(1-Assumptions!$C$41)+AC16*((1-(1-Assumptions!$C$31)^(1/12))*Assumptions!$C$40)*MAX(0,AC13*Assumptions!$C$26-AB28)</f>
        <v>2.30818017711014</v>
      </c>
      <c r="AD28" s="26" t="n">
        <f aca="false">AC28*(1-Assumptions!$C$41)+AD16*((1-(1-Assumptions!$C$31)^(1/12))*Assumptions!$C$40)*MAX(0,AD13*Assumptions!$C$26-AC28)</f>
        <v>2.82971710370462</v>
      </c>
      <c r="AE28" s="26" t="n">
        <f aca="false">AD28*(1-Assumptions!$C$41)+AE16*((1-(1-Assumptions!$C$31)^(1/12))*Assumptions!$C$40)*MAX(0,AE13*Assumptions!$C$26-AD28)</f>
        <v>3.36866322558835</v>
      </c>
      <c r="AF28" s="26" t="n">
        <f aca="false">AE28*(1-Assumptions!$C$41)+AF16*((1-(1-Assumptions!$C$31)^(1/12))*Assumptions!$C$40)*MAX(0,AF13*Assumptions!$C$26-AE28)</f>
        <v>3.93695717917416</v>
      </c>
      <c r="AG28" s="26" t="n">
        <f aca="false">AF28*(1-Assumptions!$C$41)+AG16*((1-(1-Assumptions!$C$31)^(1/12))*Assumptions!$C$40)*MAX(0,AG13*Assumptions!$C$26-AF28)</f>
        <v>4.53162190839745</v>
      </c>
      <c r="AH28" s="26" t="n">
        <f aca="false">AG28*(1-Assumptions!$C$41)+AH16*((1-(1-Assumptions!$C$31)^(1/12))*Assumptions!$C$40)*MAX(0,AH13*Assumptions!$C$26-AG28)</f>
        <v>5.14728490129695</v>
      </c>
      <c r="AI28" s="26" t="n">
        <f aca="false">AH28*(1-Assumptions!$C$41)+AI16*((1-(1-Assumptions!$C$31)^(1/12))*Assumptions!$C$40)*MAX(0,AI13*Assumptions!$C$26-AH28)</f>
        <v>5.79309762701735</v>
      </c>
      <c r="AJ28" s="26" t="n">
        <f aca="false">AI28*(1-Assumptions!$C$41)+AJ16*((1-(1-Assumptions!$C$31)^(1/12))*Assumptions!$C$40)*MAX(0,AJ13*Assumptions!$C$26-AI28)</f>
        <v>6.46395725227858</v>
      </c>
      <c r="AK28" s="26" t="n">
        <f aca="false">AJ28*(1-Assumptions!$C$41)+AK16*((1-(1-Assumptions!$C$31)^(1/12))*Assumptions!$C$40)*MAX(0,AK13*Assumptions!$C$26-AJ28)</f>
        <v>7.15400904352285</v>
      </c>
      <c r="AL28" s="26" t="n">
        <f aca="false">AK28*(1-Assumptions!$C$41)+AL16*((1-(1-Assumptions!$C$31)^(1/12))*Assumptions!$C$40)*MAX(0,AL13*Assumptions!$C$26-AK28)</f>
        <v>7.86991538589359</v>
      </c>
      <c r="AM28" s="26" t="n">
        <f aca="false">AL28*(1-Assumptions!$C$41)+AM16*((1-(1-Assumptions!$C$31)^(1/12))*Assumptions!$C$40)*MAX(0,AM13*Assumptions!$C$26-AL28)</f>
        <v>8.60676694348368</v>
      </c>
      <c r="AN28" s="37" t="n">
        <f aca="false">AM28*(1-Assumptions!$C$41)+AN16*((1-(1-Assumptions!$C$31)^(1/12))*Assumptions!$C$40)*MAX(0,AN13*Assumptions!$C$26-AM28)</f>
        <v>9.35889433790518</v>
      </c>
      <c r="AO28" s="37" t="n">
        <f aca="false">AN28*(1-Assumptions!$C$41)+AO16*((1-(1-Assumptions!$C$31)^(1/12))*Assumptions!$C$40)*MAX(0,AO13*Assumptions!$C$26-AN28)</f>
        <v>10.1331375021151</v>
      </c>
      <c r="AP28" s="37" t="n">
        <f aca="false">AO28*(1-Assumptions!$C$41)+AP16*((1-(1-Assumptions!$C$31)^(1/12))*Assumptions!$C$40)*MAX(0,AP13*Assumptions!$C$26-AO28)</f>
        <v>10.9247571618526</v>
      </c>
      <c r="AQ28" s="37" t="n">
        <f aca="false">AP28*(1-Assumptions!$C$41)+AQ16*((1-(1-Assumptions!$C$31)^(1/12))*Assumptions!$C$40)*MAX(0,AQ13*Assumptions!$C$26-AP28)</f>
        <v>11.7282468222947</v>
      </c>
      <c r="AR28" s="37" t="n">
        <f aca="false">AQ28*(1-Assumptions!$C$41)+AR16*((1-(1-Assumptions!$C$31)^(1/12))*Assumptions!$C$40)*MAX(0,AR13*Assumptions!$C$26-AQ28)</f>
        <v>12.5506024173984</v>
      </c>
      <c r="AS28" s="37" t="n">
        <f aca="false">AR28*(1-Assumptions!$C$41)+AS16*((1-(1-Assumptions!$C$31)^(1/12))*Assumptions!$C$40)*MAX(0,AS13*Assumptions!$C$26-AR28)</f>
        <v>13.3867254552264</v>
      </c>
      <c r="AT28" s="37" t="n">
        <f aca="false">AS28*(1-Assumptions!$C$41)+AT16*((1-(1-Assumptions!$C$31)^(1/12))*Assumptions!$C$40)*MAX(0,AT13*Assumptions!$C$26-AS28)</f>
        <v>14.2312807929674</v>
      </c>
      <c r="AU28" s="37" t="n">
        <f aca="false">AT28*(1-Assumptions!$C$41)+AU16*((1-(1-Assumptions!$C$31)^(1/12))*Assumptions!$C$40)*MAX(0,AU13*Assumptions!$C$26-AT28)</f>
        <v>15.0914283877726</v>
      </c>
      <c r="AV28" s="37" t="n">
        <f aca="false">AU28*(1-Assumptions!$C$41)+AV16*((1-(1-Assumptions!$C$31)^(1/12))*Assumptions!$C$40)*MAX(0,AV13*Assumptions!$C$26-AU28)</f>
        <v>15.9622267451911</v>
      </c>
      <c r="AW28" s="37" t="n">
        <f aca="false">AV28*(1-Assumptions!$C$41)+AW16*((1-(1-Assumptions!$C$31)^(1/12))*Assumptions!$C$40)*MAX(0,AW13*Assumptions!$C$26-AV28)</f>
        <v>16.8384909849137</v>
      </c>
      <c r="AX28" s="37" t="n">
        <f aca="false">AW28*(1-Assumptions!$C$41)+AX16*((1-(1-Assumptions!$C$31)^(1/12))*Assumptions!$C$40)*MAX(0,AX13*Assumptions!$C$26-AW28)</f>
        <v>17.7275248704453</v>
      </c>
      <c r="AY28" s="37" t="n">
        <f aca="false">AX28*(1-Assumptions!$C$41)+AY16*((1-(1-Assumptions!$C$31)^(1/12))*Assumptions!$C$40)*MAX(0,AY13*Assumptions!$C$26-AX28)</f>
        <v>18.6245245249773</v>
      </c>
      <c r="AZ28" s="37" t="n">
        <f aca="false">AY28*(1-Assumptions!$C$41)+AZ16*((1-(1-Assumptions!$C$31)^(1/12))*Assumptions!$C$40)*MAX(0,AZ13*Assumptions!$C$26-AY28)</f>
        <v>19.5244367536303</v>
      </c>
      <c r="BA28" s="37" t="n">
        <f aca="false">AZ28*(1-Assumptions!$C$41)+BA16*((1-(1-Assumptions!$C$31)^(1/12))*Assumptions!$C$40)*MAX(0,BA13*Assumptions!$C$26-AZ28)</f>
        <v>20.4346913191337</v>
      </c>
      <c r="BB28" s="37" t="n">
        <f aca="false">BA28*(1-Assumptions!$C$41)+BB16*((1-(1-Assumptions!$C$31)^(1/12))*Assumptions!$C$40)*MAX(0,BB13*Assumptions!$C$26-BA28)</f>
        <v>21.3506048936412</v>
      </c>
      <c r="BC28" s="37" t="n">
        <f aca="false">BB28*(1-Assumptions!$C$41)+BC16*((1-(1-Assumptions!$C$31)^(1/12))*Assumptions!$C$40)*MAX(0,BC13*Assumptions!$C$26-BB28)</f>
        <v>22.2667309876906</v>
      </c>
      <c r="BD28" s="37" t="n">
        <f aca="false">BC28*(1-Assumptions!$C$41)+BD16*((1-(1-Assumptions!$C$31)^(1/12))*Assumptions!$C$40)*MAX(0,BD13*Assumptions!$C$26-BC28)</f>
        <v>23.1906379593859</v>
      </c>
      <c r="BE28" s="37" t="n">
        <f aca="false">BD28*(1-Assumptions!$C$41)+BE16*((1-(1-Assumptions!$C$31)^(1/12))*Assumptions!$C$40)*MAX(0,BE13*Assumptions!$C$26-BD28)</f>
        <v>24.117775015054</v>
      </c>
      <c r="BF28" s="37" t="n">
        <f aca="false">BE28*(1-Assumptions!$C$41)+BF16*((1-(1-Assumptions!$C$31)^(1/12))*Assumptions!$C$40)*MAX(0,BF13*Assumptions!$C$26-BE28)</f>
        <v>25.042822390789</v>
      </c>
      <c r="BG28" s="37" t="n">
        <f aca="false">BF28*(1-Assumptions!$C$41)+BG16*((1-(1-Assumptions!$C$31)^(1/12))*Assumptions!$C$40)*MAX(0,BG13*Assumptions!$C$26-BF28)</f>
        <v>25.9734696038643</v>
      </c>
      <c r="BH28" s="37" t="n">
        <f aca="false">BG28*(1-Assumptions!$C$41)+BH16*((1-(1-Assumptions!$C$31)^(1/12))*Assumptions!$C$40)*MAX(0,BH13*Assumptions!$C$26-BG28)</f>
        <v>26.9052816856921</v>
      </c>
      <c r="BI28" s="37" t="n">
        <f aca="false">BH28*(1-Assumptions!$C$41)+BI16*((1-(1-Assumptions!$C$31)^(1/12))*Assumptions!$C$40)*MAX(0,BI13*Assumptions!$C$26-BH28)</f>
        <v>27.8330495861425</v>
      </c>
      <c r="BJ28" s="37" t="n">
        <f aca="false">BI28*(1-Assumptions!$C$41)+BJ16*((1-(1-Assumptions!$C$31)^(1/12))*Assumptions!$C$40)*MAX(0,BJ13*Assumptions!$C$26-BI28)</f>
        <v>28.7645686385951</v>
      </c>
      <c r="BK28" s="37" t="n">
        <f aca="false">BJ28*(1-Assumptions!$C$41)+BK16*((1-(1-Assumptions!$C$31)^(1/12))*Assumptions!$C$40)*MAX(0,BK13*Assumptions!$C$26-BJ28)</f>
        <v>29.6955049977715</v>
      </c>
    </row>
    <row r="29" customFormat="false" ht="15" hidden="false" customHeight="false" outlineLevel="0" collapsed="false">
      <c r="A29" s="28" t="s">
        <v>574</v>
      </c>
      <c r="B29" s="6" t="s">
        <v>575</v>
      </c>
      <c r="C29" s="36" t="n">
        <v>0</v>
      </c>
      <c r="D29" s="26" t="n">
        <f aca="false">C29*(1-Assumptions!$C$41)+D17*((1-(1-Assumptions!$C$32)^(1/12))*Assumptions!$C$40)*MAX(0,D13*Assumptions!$C$27-C29)</f>
        <v>0</v>
      </c>
      <c r="E29" s="26" t="n">
        <f aca="false">D29*(1-Assumptions!$C$41)+E17*((1-(1-Assumptions!$C$32)^(1/12))*Assumptions!$C$40)*MAX(0,E13*Assumptions!$C$27-D29)</f>
        <v>0</v>
      </c>
      <c r="F29" s="26" t="n">
        <f aca="false">E29*(1-Assumptions!$C$41)+F17*((1-(1-Assumptions!$C$32)^(1/12))*Assumptions!$C$40)*MAX(0,F13*Assumptions!$C$27-E29)</f>
        <v>0</v>
      </c>
      <c r="G29" s="26" t="n">
        <f aca="false">F29*(1-Assumptions!$C$41)+G17*((1-(1-Assumptions!$C$32)^(1/12))*Assumptions!$C$40)*MAX(0,G13*Assumptions!$C$27-F29)</f>
        <v>0</v>
      </c>
      <c r="H29" s="26" t="n">
        <f aca="false">G29*(1-Assumptions!$C$41)+H17*((1-(1-Assumptions!$C$32)^(1/12))*Assumptions!$C$40)*MAX(0,H13*Assumptions!$C$27-G29)</f>
        <v>0</v>
      </c>
      <c r="I29" s="26" t="n">
        <f aca="false">H29*(1-Assumptions!$C$41)+I17*((1-(1-Assumptions!$C$32)^(1/12))*Assumptions!$C$40)*MAX(0,I13*Assumptions!$C$27-H29)</f>
        <v>0</v>
      </c>
      <c r="J29" s="26" t="n">
        <f aca="false">I29*(1-Assumptions!$C$41)+J17*((1-(1-Assumptions!$C$32)^(1/12))*Assumptions!$C$40)*MAX(0,J13*Assumptions!$C$27-I29)</f>
        <v>0</v>
      </c>
      <c r="K29" s="26" t="n">
        <f aca="false">J29*(1-Assumptions!$C$41)+K17*((1-(1-Assumptions!$C$32)^(1/12))*Assumptions!$C$40)*MAX(0,K13*Assumptions!$C$27-J29)</f>
        <v>0</v>
      </c>
      <c r="L29" s="26" t="n">
        <f aca="false">K29*(1-Assumptions!$C$41)+L17*((1-(1-Assumptions!$C$32)^(1/12))*Assumptions!$C$40)*MAX(0,L13*Assumptions!$C$27-K29)</f>
        <v>0</v>
      </c>
      <c r="M29" s="26" t="n">
        <f aca="false">L29*(1-Assumptions!$C$41)+M17*((1-(1-Assumptions!$C$32)^(1/12))*Assumptions!$C$40)*MAX(0,M13*Assumptions!$C$27-L29)</f>
        <v>0</v>
      </c>
      <c r="N29" s="26" t="n">
        <f aca="false">M29*(1-Assumptions!$C$41)+N17*((1-(1-Assumptions!$C$32)^(1/12))*Assumptions!$C$40)*MAX(0,N13*Assumptions!$C$27-M29)</f>
        <v>0</v>
      </c>
      <c r="O29" s="26" t="n">
        <f aca="false">N29*(1-Assumptions!$C$41)+O17*((1-(1-Assumptions!$C$32)^(1/12))*Assumptions!$C$40)*MAX(0,O13*Assumptions!$C$27-N29)</f>
        <v>0</v>
      </c>
      <c r="P29" s="26" t="n">
        <f aca="false">O29*(1-Assumptions!$C$41)+P17*((1-(1-Assumptions!$C$32)^(1/12))*Assumptions!$C$40)*MAX(0,P13*Assumptions!$C$27-O29)</f>
        <v>0</v>
      </c>
      <c r="Q29" s="26" t="n">
        <f aca="false">P29*(1-Assumptions!$C$41)+Q17*((1-(1-Assumptions!$C$32)^(1/12))*Assumptions!$C$40)*MAX(0,Q13*Assumptions!$C$27-P29)</f>
        <v>0</v>
      </c>
      <c r="R29" s="26" t="n">
        <f aca="false">Q29*(1-Assumptions!$C$41)+R17*((1-(1-Assumptions!$C$32)^(1/12))*Assumptions!$C$40)*MAX(0,R13*Assumptions!$C$27-Q29)</f>
        <v>0</v>
      </c>
      <c r="S29" s="26" t="n">
        <f aca="false">R29*(1-Assumptions!$C$41)+S17*((1-(1-Assumptions!$C$32)^(1/12))*Assumptions!$C$40)*MAX(0,S13*Assumptions!$C$27-R29)</f>
        <v>0</v>
      </c>
      <c r="T29" s="26" t="n">
        <f aca="false">S29*(1-Assumptions!$C$41)+T17*((1-(1-Assumptions!$C$32)^(1/12))*Assumptions!$C$40)*MAX(0,T13*Assumptions!$C$27-S29)</f>
        <v>0</v>
      </c>
      <c r="U29" s="26" t="n">
        <f aca="false">T29*(1-Assumptions!$C$41)+U17*((1-(1-Assumptions!$C$32)^(1/12))*Assumptions!$C$40)*MAX(0,U13*Assumptions!$C$27-T29)</f>
        <v>0</v>
      </c>
      <c r="V29" s="26" t="n">
        <f aca="false">U29*(1-Assumptions!$C$41)+V17*((1-(1-Assumptions!$C$32)^(1/12))*Assumptions!$C$40)*MAX(0,V13*Assumptions!$C$27-U29)</f>
        <v>0</v>
      </c>
      <c r="W29" s="26" t="n">
        <f aca="false">V29*(1-Assumptions!$C$41)+W17*((1-(1-Assumptions!$C$32)^(1/12))*Assumptions!$C$40)*MAX(0,W13*Assumptions!$C$27-V29)</f>
        <v>0</v>
      </c>
      <c r="X29" s="26" t="n">
        <f aca="false">W29*(1-Assumptions!$C$41)+X17*((1-(1-Assumptions!$C$32)^(1/12))*Assumptions!$C$40)*MAX(0,X13*Assumptions!$C$27-W29)</f>
        <v>0</v>
      </c>
      <c r="Y29" s="26" t="n">
        <f aca="false">X29*(1-Assumptions!$C$41)+Y17*((1-(1-Assumptions!$C$32)^(1/12))*Assumptions!$C$40)*MAX(0,Y13*Assumptions!$C$27-X29)</f>
        <v>1.31703769666212</v>
      </c>
      <c r="Z29" s="26" t="n">
        <f aca="false">Y29*(1-Assumptions!$C$41)+Z17*((1-(1-Assumptions!$C$32)^(1/12))*Assumptions!$C$40)*MAX(0,Z13*Assumptions!$C$27-Y29)</f>
        <v>2.66395095921481</v>
      </c>
      <c r="AA29" s="26" t="n">
        <f aca="false">Z29*(1-Assumptions!$C$41)+AA17*((1-(1-Assumptions!$C$32)^(1/12))*Assumptions!$C$40)*MAX(0,AA13*Assumptions!$C$27-Z29)</f>
        <v>4.03833465753683</v>
      </c>
      <c r="AB29" s="26" t="n">
        <f aca="false">AA29*(1-Assumptions!$C$41)+AB17*((1-(1-Assumptions!$C$32)^(1/12))*Assumptions!$C$40)*MAX(0,AB13*Assumptions!$C$27-AA29)</f>
        <v>5.4379600071149</v>
      </c>
      <c r="AC29" s="26" t="n">
        <f aca="false">AB29*(1-Assumptions!$C$41)+AC17*((1-(1-Assumptions!$C$32)^(1/12))*Assumptions!$C$40)*MAX(0,AC13*Assumptions!$C$27-AB29)</f>
        <v>6.86076187003753</v>
      </c>
      <c r="AD29" s="26" t="n">
        <f aca="false">AC29*(1-Assumptions!$C$41)+AD17*((1-(1-Assumptions!$C$32)^(1/12))*Assumptions!$C$40)*MAX(0,AD13*Assumptions!$C$27-AC29)</f>
        <v>8.30482696708636</v>
      </c>
      <c r="AE29" s="26" t="n">
        <f aca="false">AD29*(1-Assumptions!$C$41)+AE17*((1-(1-Assumptions!$C$32)^(1/12))*Assumptions!$C$40)*MAX(0,AE13*Assumptions!$C$27-AD29)</f>
        <v>9.76678259750766</v>
      </c>
      <c r="AF29" s="26" t="n">
        <f aca="false">AE29*(1-Assumptions!$C$41)+AF17*((1-(1-Assumptions!$C$32)^(1/12))*Assumptions!$C$40)*MAX(0,AF13*Assumptions!$C$27-AE29)</f>
        <v>11.2851343208091</v>
      </c>
      <c r="AG29" s="26" t="n">
        <f aca="false">AF29*(1-Assumptions!$C$41)+AG17*((1-(1-Assumptions!$C$32)^(1/12))*Assumptions!$C$40)*MAX(0,AG13*Assumptions!$C$27-AF29)</f>
        <v>12.8502215074711</v>
      </c>
      <c r="AH29" s="26" t="n">
        <f aca="false">AG29*(1-Assumptions!$C$41)+AH17*((1-(1-Assumptions!$C$32)^(1/12))*Assumptions!$C$40)*MAX(0,AH13*Assumptions!$C$27-AG29)</f>
        <v>14.44515854384</v>
      </c>
      <c r="AI29" s="26" t="n">
        <f aca="false">AH29*(1-Assumptions!$C$41)+AI17*((1-(1-Assumptions!$C$32)^(1/12))*Assumptions!$C$40)*MAX(0,AI13*Assumptions!$C$27-AH29)</f>
        <v>16.0992826048095</v>
      </c>
      <c r="AJ29" s="26" t="n">
        <f aca="false">AI29*(1-Assumptions!$C$41)+AJ17*((1-(1-Assumptions!$C$32)^(1/12))*Assumptions!$C$40)*MAX(0,AJ13*Assumptions!$C$27-AI29)</f>
        <v>17.7961468305603</v>
      </c>
      <c r="AK29" s="26" t="n">
        <f aca="false">AJ29*(1-Assumptions!$C$41)+AK17*((1-(1-Assumptions!$C$32)^(1/12))*Assumptions!$C$40)*MAX(0,AK13*Assumptions!$C$27-AJ29)</f>
        <v>19.5174655905312</v>
      </c>
      <c r="AL29" s="26" t="n">
        <f aca="false">AK29*(1-Assumptions!$C$41)+AL17*((1-(1-Assumptions!$C$32)^(1/12))*Assumptions!$C$40)*MAX(0,AL13*Assumptions!$C$27-AK29)</f>
        <v>21.2849003329043</v>
      </c>
      <c r="AM29" s="26" t="n">
        <f aca="false">AL29*(1-Assumptions!$C$41)+AM17*((1-(1-Assumptions!$C$32)^(1/12))*Assumptions!$C$40)*MAX(0,AM13*Assumptions!$C$27-AL29)</f>
        <v>23.0830012595602</v>
      </c>
      <c r="AN29" s="37" t="n">
        <f aca="false">AM29*(1-Assumptions!$C$41)+AN17*((1-(1-Assumptions!$C$32)^(1/12))*Assumptions!$C$40)*MAX(0,AN13*Assumptions!$C$27-AM29)</f>
        <v>24.8944074339411</v>
      </c>
      <c r="AO29" s="37" t="n">
        <f aca="false">AN29*(1-Assumptions!$C$41)+AO17*((1-(1-Assumptions!$C$32)^(1/12))*Assumptions!$C$40)*MAX(0,AO13*Assumptions!$C$27-AN29)</f>
        <v>26.7416378310677</v>
      </c>
      <c r="AP29" s="37" t="n">
        <f aca="false">AO29*(1-Assumptions!$C$41)+AP17*((1-(1-Assumptions!$C$32)^(1/12))*Assumptions!$C$40)*MAX(0,AP13*Assumptions!$C$27-AO29)</f>
        <v>28.6100378400717</v>
      </c>
      <c r="AQ29" s="37" t="n">
        <f aca="false">AP29*(1-Assumptions!$C$41)+AQ17*((1-(1-Assumptions!$C$32)^(1/12))*Assumptions!$C$40)*MAX(0,AQ13*Assumptions!$C$27-AP29)</f>
        <v>30.4829838534175</v>
      </c>
      <c r="AR29" s="37" t="n">
        <f aca="false">AQ29*(1-Assumptions!$C$41)+AR17*((1-(1-Assumptions!$C$32)^(1/12))*Assumptions!$C$40)*MAX(0,AR13*Assumptions!$C$27-AQ29)</f>
        <v>32.3836784768769</v>
      </c>
      <c r="AS29" s="37" t="n">
        <f aca="false">AR29*(1-Assumptions!$C$41)+AS17*((1-(1-Assumptions!$C$32)^(1/12))*Assumptions!$C$40)*MAX(0,AS13*Assumptions!$C$27-AR29)</f>
        <v>34.2965005555579</v>
      </c>
      <c r="AT29" s="37" t="n">
        <f aca="false">AS29*(1-Assumptions!$C$41)+AT17*((1-(1-Assumptions!$C$32)^(1/12))*Assumptions!$C$40)*MAX(0,AT13*Assumptions!$C$27-AS29)</f>
        <v>36.2055527340109</v>
      </c>
      <c r="AU29" s="37" t="n">
        <f aca="false">AT29*(1-Assumptions!$C$41)+AU17*((1-(1-Assumptions!$C$32)^(1/12))*Assumptions!$C$40)*MAX(0,AU13*Assumptions!$C$27-AT29)</f>
        <v>38.1347106433644</v>
      </c>
      <c r="AV29" s="37" t="n">
        <f aca="false">AU29*(1-Assumptions!$C$41)+AV17*((1-(1-Assumptions!$C$32)^(1/12))*Assumptions!$C$40)*MAX(0,AV13*Assumptions!$C$27-AU29)</f>
        <v>40.0689767599889</v>
      </c>
      <c r="AW29" s="37" t="n">
        <f aca="false">AV29*(1-Assumptions!$C$41)+AW17*((1-(1-Assumptions!$C$32)^(1/12))*Assumptions!$C$40)*MAX(0,AW13*Assumptions!$C$27-AV29)</f>
        <v>41.9930315232679</v>
      </c>
      <c r="AX29" s="37" t="n">
        <f aca="false">AW29*(1-Assumptions!$C$41)+AX17*((1-(1-Assumptions!$C$32)^(1/12))*Assumptions!$C$40)*MAX(0,AX13*Assumptions!$C$27-AW29)</f>
        <v>43.9312858251425</v>
      </c>
      <c r="AY29" s="37" t="n">
        <f aca="false">AX29*(1-Assumptions!$C$41)+AY17*((1-(1-Assumptions!$C$32)^(1/12))*Assumptions!$C$40)*MAX(0,AY13*Assumptions!$C$27-AX29)</f>
        <v>45.869237934225</v>
      </c>
      <c r="AZ29" s="37" t="n">
        <f aca="false">AY29*(1-Assumptions!$C$41)+AZ17*((1-(1-Assumptions!$C$32)^(1/12))*Assumptions!$C$40)*MAX(0,AZ13*Assumptions!$C$27-AY29)</f>
        <v>47.7920274590515</v>
      </c>
      <c r="BA29" s="37" t="n">
        <f aca="false">AZ29*(1-Assumptions!$C$41)+BA17*((1-(1-Assumptions!$C$32)^(1/12))*Assumptions!$C$40)*MAX(0,BA13*Assumptions!$C$27-AZ29)</f>
        <v>49.7244904789073</v>
      </c>
      <c r="BB29" s="37" t="n">
        <f aca="false">BA29*(1-Assumptions!$C$41)+BB17*((1-(1-Assumptions!$C$32)^(1/12))*Assumptions!$C$40)*MAX(0,BB13*Assumptions!$C$27-BA29)</f>
        <v>51.6525189196627</v>
      </c>
      <c r="BC29" s="37" t="n">
        <f aca="false">BB29*(1-Assumptions!$C$41)+BC17*((1-(1-Assumptions!$C$32)^(1/12))*Assumptions!$C$40)*MAX(0,BC13*Assumptions!$C$27-BB29)</f>
        <v>53.5600164546774</v>
      </c>
      <c r="BD29" s="37" t="n">
        <f aca="false">BC29*(1-Assumptions!$C$41)+BD17*((1-(1-Assumptions!$C$32)^(1/12))*Assumptions!$C$40)*MAX(0,BD13*Assumptions!$C$27-BC29)</f>
        <v>55.4722951342858</v>
      </c>
      <c r="BE29" s="37" t="n">
        <f aca="false">BD29*(1-Assumptions!$C$41)+BE17*((1-(1-Assumptions!$C$32)^(1/12))*Assumptions!$C$40)*MAX(0,BE13*Assumptions!$C$27-BD29)</f>
        <v>57.3756873720472</v>
      </c>
      <c r="BF29" s="37" t="n">
        <f aca="false">BE29*(1-Assumptions!$C$41)+BF17*((1-(1-Assumptions!$C$32)^(1/12))*Assumptions!$C$40)*MAX(0,BF13*Assumptions!$C$27-BE29)</f>
        <v>59.2545044094546</v>
      </c>
      <c r="BG29" s="37" t="n">
        <f aca="false">BF29*(1-Assumptions!$C$41)+BG17*((1-(1-Assumptions!$C$32)^(1/12))*Assumptions!$C$40)*MAX(0,BG13*Assumptions!$C$27-BF29)</f>
        <v>61.1344353251565</v>
      </c>
      <c r="BH29" s="37" t="n">
        <f aca="false">BG29*(1-Assumptions!$C$41)+BH17*((1-(1-Assumptions!$C$32)^(1/12))*Assumptions!$C$40)*MAX(0,BH13*Assumptions!$C$27-BG29)</f>
        <v>63.0021612300701</v>
      </c>
      <c r="BI29" s="37" t="n">
        <f aca="false">BH29*(1-Assumptions!$C$41)+BI17*((1-(1-Assumptions!$C$32)^(1/12))*Assumptions!$C$40)*MAX(0,BI13*Assumptions!$C$27-BH29)</f>
        <v>64.842315782334</v>
      </c>
      <c r="BJ29" s="37" t="n">
        <f aca="false">BI29*(1-Assumptions!$C$41)+BJ17*((1-(1-Assumptions!$C$32)^(1/12))*Assumptions!$C$40)*MAX(0,BJ13*Assumptions!$C$27-BI29)</f>
        <v>66.6808860995276</v>
      </c>
      <c r="BK29" s="37" t="n">
        <f aca="false">BJ29*(1-Assumptions!$C$41)+BK17*((1-(1-Assumptions!$C$32)^(1/12))*Assumptions!$C$40)*MAX(0,BK13*Assumptions!$C$27-BJ29)</f>
        <v>68.5048287200934</v>
      </c>
    </row>
    <row r="30" customFormat="false" ht="15" hidden="false" customHeight="false" outlineLevel="0" collapsed="false">
      <c r="A30" s="28" t="s">
        <v>576</v>
      </c>
      <c r="B30" s="6" t="s">
        <v>577</v>
      </c>
      <c r="C30" s="36" t="n">
        <v>0</v>
      </c>
      <c r="D30" s="26" t="n">
        <f aca="false">C30*(1-Assumptions!$C$41)+D16*((1-(1-Assumptions!$C$33)^(1/12))*Assumptions!$C$40)*MAX(0,D13*Assumptions!$C$28-C30)</f>
        <v>0</v>
      </c>
      <c r="E30" s="26" t="n">
        <f aca="false">D30*(1-Assumptions!$C$41)+E16*((1-(1-Assumptions!$C$33)^(1/12))*Assumptions!$C$40)*MAX(0,E13*Assumptions!$C$28-D30)</f>
        <v>0</v>
      </c>
      <c r="F30" s="26" t="n">
        <f aca="false">E30*(1-Assumptions!$C$41)+F16*((1-(1-Assumptions!$C$33)^(1/12))*Assumptions!$C$40)*MAX(0,F13*Assumptions!$C$28-E30)</f>
        <v>0</v>
      </c>
      <c r="G30" s="26" t="n">
        <f aca="false">F30*(1-Assumptions!$C$41)+G16*((1-(1-Assumptions!$C$33)^(1/12))*Assumptions!$C$40)*MAX(0,G13*Assumptions!$C$28-F30)</f>
        <v>0</v>
      </c>
      <c r="H30" s="26" t="n">
        <f aca="false">G30*(1-Assumptions!$C$41)+H16*((1-(1-Assumptions!$C$33)^(1/12))*Assumptions!$C$40)*MAX(0,H13*Assumptions!$C$28-G30)</f>
        <v>0</v>
      </c>
      <c r="I30" s="26" t="n">
        <f aca="false">H30*(1-Assumptions!$C$41)+I16*((1-(1-Assumptions!$C$33)^(1/12))*Assumptions!$C$40)*MAX(0,I13*Assumptions!$C$28-H30)</f>
        <v>0</v>
      </c>
      <c r="J30" s="26" t="n">
        <f aca="false">I30*(1-Assumptions!$C$41)+J16*((1-(1-Assumptions!$C$33)^(1/12))*Assumptions!$C$40)*MAX(0,J13*Assumptions!$C$28-I30)</f>
        <v>0</v>
      </c>
      <c r="K30" s="26" t="n">
        <f aca="false">J30*(1-Assumptions!$C$41)+K16*((1-(1-Assumptions!$C$33)^(1/12))*Assumptions!$C$40)*MAX(0,K13*Assumptions!$C$28-J30)</f>
        <v>0</v>
      </c>
      <c r="L30" s="26" t="n">
        <f aca="false">K30*(1-Assumptions!$C$41)+L16*((1-(1-Assumptions!$C$33)^(1/12))*Assumptions!$C$40)*MAX(0,L13*Assumptions!$C$28-K30)</f>
        <v>0</v>
      </c>
      <c r="M30" s="26" t="n">
        <f aca="false">L30*(1-Assumptions!$C$41)+M16*((1-(1-Assumptions!$C$33)^(1/12))*Assumptions!$C$40)*MAX(0,M13*Assumptions!$C$28-L30)</f>
        <v>0</v>
      </c>
      <c r="N30" s="26" t="n">
        <f aca="false">M30*(1-Assumptions!$C$41)+N16*((1-(1-Assumptions!$C$33)^(1/12))*Assumptions!$C$40)*MAX(0,N13*Assumptions!$C$28-M30)</f>
        <v>0</v>
      </c>
      <c r="O30" s="26" t="n">
        <f aca="false">N30*(1-Assumptions!$C$41)+O16*((1-(1-Assumptions!$C$33)^(1/12))*Assumptions!$C$40)*MAX(0,O13*Assumptions!$C$28-N30)</f>
        <v>0</v>
      </c>
      <c r="P30" s="26" t="n">
        <f aca="false">O30*(1-Assumptions!$C$41)+P16*((1-(1-Assumptions!$C$33)^(1/12))*Assumptions!$C$40)*MAX(0,P13*Assumptions!$C$28-O30)</f>
        <v>0</v>
      </c>
      <c r="Q30" s="26" t="n">
        <f aca="false">P30*(1-Assumptions!$C$41)+Q16*((1-(1-Assumptions!$C$33)^(1/12))*Assumptions!$C$40)*MAX(0,Q13*Assumptions!$C$28-P30)</f>
        <v>0</v>
      </c>
      <c r="R30" s="26" t="n">
        <f aca="false">Q30*(1-Assumptions!$C$41)+R16*((1-(1-Assumptions!$C$33)^(1/12))*Assumptions!$C$40)*MAX(0,R13*Assumptions!$C$28-Q30)</f>
        <v>0</v>
      </c>
      <c r="S30" s="26" t="n">
        <f aca="false">R30*(1-Assumptions!$C$41)+S16*((1-(1-Assumptions!$C$33)^(1/12))*Assumptions!$C$40)*MAX(0,S13*Assumptions!$C$28-R30)</f>
        <v>0</v>
      </c>
      <c r="T30" s="26" t="n">
        <f aca="false">S30*(1-Assumptions!$C$41)+T16*((1-(1-Assumptions!$C$33)^(1/12))*Assumptions!$C$40)*MAX(0,T13*Assumptions!$C$28-S30)</f>
        <v>0</v>
      </c>
      <c r="U30" s="26" t="n">
        <f aca="false">T30*(1-Assumptions!$C$41)+U16*((1-(1-Assumptions!$C$33)^(1/12))*Assumptions!$C$40)*MAX(0,U13*Assumptions!$C$28-T30)</f>
        <v>0</v>
      </c>
      <c r="V30" s="26" t="n">
        <f aca="false">U30*(1-Assumptions!$C$41)+V16*((1-(1-Assumptions!$C$33)^(1/12))*Assumptions!$C$40)*MAX(0,V13*Assumptions!$C$28-U30)</f>
        <v>0</v>
      </c>
      <c r="W30" s="26" t="n">
        <f aca="false">V30*(1-Assumptions!$C$41)+W16*((1-(1-Assumptions!$C$33)^(1/12))*Assumptions!$C$40)*MAX(0,W13*Assumptions!$C$28-V30)</f>
        <v>0</v>
      </c>
      <c r="X30" s="26" t="n">
        <f aca="false">W30*(1-Assumptions!$C$41)+X16*((1-(1-Assumptions!$C$33)^(1/12))*Assumptions!$C$40)*MAX(0,X13*Assumptions!$C$28-W30)</f>
        <v>0</v>
      </c>
      <c r="Y30" s="26" t="n">
        <f aca="false">X30*(1-Assumptions!$C$41)+Y16*((1-(1-Assumptions!$C$33)^(1/12))*Assumptions!$C$40)*MAX(0,Y13*Assumptions!$C$28-X30)</f>
        <v>0.255066887900977</v>
      </c>
      <c r="Z30" s="26" t="n">
        <f aca="false">Y30*(1-Assumptions!$C$41)+Z16*((1-(1-Assumptions!$C$33)^(1/12))*Assumptions!$C$40)*MAX(0,Z13*Assumptions!$C$28-Y30)</f>
        <v>0.523118576909695</v>
      </c>
      <c r="AA30" s="26" t="n">
        <f aca="false">Z30*(1-Assumptions!$C$41)+AA16*((1-(1-Assumptions!$C$33)^(1/12))*Assumptions!$C$40)*MAX(0,AA13*Assumptions!$C$28-Z30)</f>
        <v>0.803539765685536</v>
      </c>
      <c r="AB30" s="26" t="n">
        <f aca="false">AA30*(1-Assumptions!$C$41)+AB16*((1-(1-Assumptions!$C$33)^(1/12))*Assumptions!$C$40)*MAX(0,AB13*Assumptions!$C$28-AA30)</f>
        <v>1.09574265522589</v>
      </c>
      <c r="AC30" s="26" t="n">
        <f aca="false">AB30*(1-Assumptions!$C$41)+AC16*((1-(1-Assumptions!$C$33)^(1/12))*Assumptions!$C$40)*MAX(0,AC13*Assumptions!$C$28-AB30)</f>
        <v>1.39916574234158</v>
      </c>
      <c r="AD30" s="26" t="n">
        <f aca="false">AC30*(1-Assumptions!$C$41)+AD16*((1-(1-Assumptions!$C$33)^(1/12))*Assumptions!$C$40)*MAX(0,AD13*Assumptions!$C$28-AC30)</f>
        <v>1.71327266573053</v>
      </c>
      <c r="AE30" s="26" t="n">
        <f aca="false">AD30*(1-Assumptions!$C$41)+AE16*((1-(1-Assumptions!$C$33)^(1/12))*Assumptions!$C$40)*MAX(0,AE13*Assumptions!$C$28-AD30)</f>
        <v>2.03724116950246</v>
      </c>
      <c r="AF30" s="26" t="n">
        <f aca="false">AE30*(1-Assumptions!$C$41)+AF16*((1-(1-Assumptions!$C$33)^(1/12))*Assumptions!$C$40)*MAX(0,AF13*Assumptions!$C$28-AE30)</f>
        <v>2.37834835106049</v>
      </c>
      <c r="AG30" s="26" t="n">
        <f aca="false">AF30*(1-Assumptions!$C$41)+AG16*((1-(1-Assumptions!$C$33)^(1/12))*Assumptions!$C$40)*MAX(0,AG13*Assumptions!$C$28-AF30)</f>
        <v>2.73476139966662</v>
      </c>
      <c r="AH30" s="26" t="n">
        <f aca="false">AG30*(1-Assumptions!$C$41)+AH16*((1-(1-Assumptions!$C$33)^(1/12))*Assumptions!$C$40)*MAX(0,AH13*Assumptions!$C$28-AG30)</f>
        <v>3.10319380100942</v>
      </c>
      <c r="AI30" s="26" t="n">
        <f aca="false">AH30*(1-Assumptions!$C$41)+AI16*((1-(1-Assumptions!$C$33)^(1/12))*Assumptions!$C$40)*MAX(0,AI13*Assumptions!$C$28-AH30)</f>
        <v>3.48921928794831</v>
      </c>
      <c r="AJ30" s="26" t="n">
        <f aca="false">AI30*(1-Assumptions!$C$41)+AJ16*((1-(1-Assumptions!$C$33)^(1/12))*Assumptions!$C$40)*MAX(0,AJ13*Assumptions!$C$28-AI30)</f>
        <v>3.88970977664362</v>
      </c>
      <c r="AK30" s="26" t="n">
        <f aca="false">AJ30*(1-Assumptions!$C$41)+AK16*((1-(1-Assumptions!$C$33)^(1/12))*Assumptions!$C$40)*MAX(0,AK13*Assumptions!$C$28-AJ30)</f>
        <v>4.30108869332087</v>
      </c>
      <c r="AL30" s="26" t="n">
        <f aca="false">AK30*(1-Assumptions!$C$41)+AL16*((1-(1-Assumptions!$C$33)^(1/12))*Assumptions!$C$40)*MAX(0,AL13*Assumptions!$C$28-AK30)</f>
        <v>4.72741748253867</v>
      </c>
      <c r="AM30" s="26" t="n">
        <f aca="false">AL30*(1-Assumptions!$C$41)+AM16*((1-(1-Assumptions!$C$33)^(1/12))*Assumptions!$C$40)*MAX(0,AM13*Assumptions!$C$28-AL30)</f>
        <v>5.16569456976118</v>
      </c>
      <c r="AN30" s="37" t="n">
        <f aca="false">AM30*(1-Assumptions!$C$41)+AN16*((1-(1-Assumptions!$C$33)^(1/12))*Assumptions!$C$40)*MAX(0,AN13*Assumptions!$C$28-AM30)</f>
        <v>5.61246421859396</v>
      </c>
      <c r="AO30" s="37" t="n">
        <f aca="false">AN30*(1-Assumptions!$C$41)+AO16*((1-(1-Assumptions!$C$33)^(1/12))*Assumptions!$C$40)*MAX(0,AO13*Assumptions!$C$28-AN30)</f>
        <v>6.07190328813064</v>
      </c>
      <c r="AP30" s="37" t="n">
        <f aca="false">AO30*(1-Assumptions!$C$41)+AP16*((1-(1-Assumptions!$C$33)^(1/12))*Assumptions!$C$40)*MAX(0,AP13*Assumptions!$C$28-AO30)</f>
        <v>6.54112043374205</v>
      </c>
      <c r="AQ30" s="37" t="n">
        <f aca="false">AP30*(1-Assumptions!$C$41)+AQ16*((1-(1-Assumptions!$C$33)^(1/12))*Assumptions!$C$40)*MAX(0,AQ13*Assumptions!$C$28-AP30)</f>
        <v>7.01676519213879</v>
      </c>
      <c r="AR30" s="37" t="n">
        <f aca="false">AQ30*(1-Assumptions!$C$41)+AR16*((1-(1-Assumptions!$C$33)^(1/12))*Assumptions!$C$40)*MAX(0,AR13*Assumptions!$C$28-AQ30)</f>
        <v>7.50311495660715</v>
      </c>
      <c r="AS30" s="37" t="n">
        <f aca="false">AR30*(1-Assumptions!$C$41)+AS16*((1-(1-Assumptions!$C$33)^(1/12))*Assumptions!$C$40)*MAX(0,AS13*Assumptions!$C$28-AR30)</f>
        <v>7.99706445332281</v>
      </c>
      <c r="AT30" s="37" t="n">
        <f aca="false">AS30*(1-Assumptions!$C$41)+AT16*((1-(1-Assumptions!$C$33)^(1/12))*Assumptions!$C$40)*MAX(0,AT13*Assumptions!$C$28-AS30)</f>
        <v>8.49537300760302</v>
      </c>
      <c r="AU30" s="37" t="n">
        <f aca="false">AT30*(1-Assumptions!$C$41)+AU16*((1-(1-Assumptions!$C$33)^(1/12))*Assumptions!$C$40)*MAX(0,AU13*Assumptions!$C$28-AT30)</f>
        <v>9.00242280378206</v>
      </c>
      <c r="AV30" s="37" t="n">
        <f aca="false">AU30*(1-Assumptions!$C$41)+AV16*((1-(1-Assumptions!$C$33)^(1/12))*Assumptions!$C$40)*MAX(0,AV13*Assumptions!$C$28-AU30)</f>
        <v>9.51520858208414</v>
      </c>
      <c r="AW30" s="37" t="n">
        <f aca="false">AV30*(1-Assumptions!$C$41)+AW16*((1-(1-Assumptions!$C$33)^(1/12))*Assumptions!$C$40)*MAX(0,AW13*Assumptions!$C$28-AV30)</f>
        <v>10.0305851157998</v>
      </c>
      <c r="AX30" s="37" t="n">
        <f aca="false">AW30*(1-Assumptions!$C$41)+AX16*((1-(1-Assumptions!$C$33)^(1/12))*Assumptions!$C$40)*MAX(0,AX13*Assumptions!$C$28-AW30)</f>
        <v>10.5530256728702</v>
      </c>
      <c r="AY30" s="37" t="n">
        <f aca="false">AX30*(1-Assumptions!$C$41)+AY16*((1-(1-Assumptions!$C$33)^(1/12))*Assumptions!$C$40)*MAX(0,AY13*Assumptions!$C$28-AX30)</f>
        <v>11.0796119056551</v>
      </c>
      <c r="AZ30" s="37" t="n">
        <f aca="false">AY30*(1-Assumptions!$C$41)+AZ16*((1-(1-Assumptions!$C$33)^(1/12))*Assumptions!$C$40)*MAX(0,AZ13*Assumptions!$C$28-AY30)</f>
        <v>11.607281512573</v>
      </c>
      <c r="BA30" s="37" t="n">
        <f aca="false">AZ30*(1-Assumptions!$C$41)+BA16*((1-(1-Assumptions!$C$33)^(1/12))*Assumptions!$C$40)*MAX(0,BA13*Assumptions!$C$28-AZ30)</f>
        <v>12.1405868760866</v>
      </c>
      <c r="BB30" s="37" t="n">
        <f aca="false">BA30*(1-Assumptions!$C$41)+BB16*((1-(1-Assumptions!$C$33)^(1/12))*Assumptions!$C$40)*MAX(0,BB13*Assumptions!$C$28-BA30)</f>
        <v>12.676685121159</v>
      </c>
      <c r="BC30" s="37" t="n">
        <f aca="false">BB30*(1-Assumptions!$C$41)+BC16*((1-(1-Assumptions!$C$33)^(1/12))*Assumptions!$C$40)*MAX(0,BC13*Assumptions!$C$28-BB30)</f>
        <v>13.212276005347</v>
      </c>
      <c r="BD30" s="37" t="n">
        <f aca="false">BC30*(1-Assumptions!$C$41)+BD16*((1-(1-Assumptions!$C$33)^(1/12))*Assumptions!$C$40)*MAX(0,BD13*Assumptions!$C$28-BC30)</f>
        <v>13.7519986929404</v>
      </c>
      <c r="BE30" s="37" t="n">
        <f aca="false">BD30*(1-Assumptions!$C$41)+BE16*((1-(1-Assumptions!$C$33)^(1/12))*Assumptions!$C$40)*MAX(0,BE13*Assumptions!$C$28-BD30)</f>
        <v>14.2930930549708</v>
      </c>
      <c r="BF30" s="37" t="n">
        <f aca="false">BE30*(1-Assumptions!$C$41)+BF16*((1-(1-Assumptions!$C$33)^(1/12))*Assumptions!$C$40)*MAX(0,BF13*Assumptions!$C$28-BE30)</f>
        <v>14.8323377386398</v>
      </c>
      <c r="BG30" s="37" t="n">
        <f aca="false">BF30*(1-Assumptions!$C$41)+BG16*((1-(1-Assumptions!$C$33)^(1/12))*Assumptions!$C$40)*MAX(0,BG13*Assumptions!$C$28-BF30)</f>
        <v>15.3744471129423</v>
      </c>
      <c r="BH30" s="37" t="n">
        <f aca="false">BG30*(1-Assumptions!$C$41)+BH16*((1-(1-Assumptions!$C$33)^(1/12))*Assumptions!$C$40)*MAX(0,BH13*Assumptions!$C$28-BG30)</f>
        <v>15.9167327326477</v>
      </c>
      <c r="BI30" s="37" t="n">
        <f aca="false">BH30*(1-Assumptions!$C$41)+BI16*((1-(1-Assumptions!$C$33)^(1/12))*Assumptions!$C$40)*MAX(0,BI13*Assumptions!$C$28-BH30)</f>
        <v>16.4560415645197</v>
      </c>
      <c r="BJ30" s="37" t="n">
        <f aca="false">BI30*(1-Assumptions!$C$41)+BJ16*((1-(1-Assumptions!$C$33)^(1/12))*Assumptions!$C$40)*MAX(0,BJ13*Assumptions!$C$28-BI30)</f>
        <v>16.9971530828592</v>
      </c>
      <c r="BK30" s="37" t="n">
        <f aca="false">BJ30*(1-Assumptions!$C$41)+BK16*((1-(1-Assumptions!$C$33)^(1/12))*Assumptions!$C$40)*MAX(0,BK13*Assumptions!$C$28-BJ30)</f>
        <v>17.5374408768365</v>
      </c>
    </row>
    <row r="31" customFormat="false" ht="15" hidden="false" customHeight="false" outlineLevel="0" collapsed="false">
      <c r="A31" s="28" t="s">
        <v>578</v>
      </c>
      <c r="B31" s="6" t="s">
        <v>579</v>
      </c>
      <c r="C31" s="36" t="n">
        <v>0</v>
      </c>
      <c r="D31" s="26" t="n">
        <f aca="false">C31*(1-Assumptions!$C$41)+D16*((1-(1-Assumptions!$C$34)^(1/12))*Assumptions!$C$40)*MAX(0,D13*Assumptions!$C$29-C31)</f>
        <v>0</v>
      </c>
      <c r="E31" s="26" t="n">
        <f aca="false">D31*(1-Assumptions!$C$41)+E16*((1-(1-Assumptions!$C$34)^(1/12))*Assumptions!$C$40)*MAX(0,E13*Assumptions!$C$29-D31)</f>
        <v>0</v>
      </c>
      <c r="F31" s="26" t="n">
        <f aca="false">E31*(1-Assumptions!$C$41)+F16*((1-(1-Assumptions!$C$34)^(1/12))*Assumptions!$C$40)*MAX(0,F13*Assumptions!$C$29-E31)</f>
        <v>0</v>
      </c>
      <c r="G31" s="26" t="n">
        <f aca="false">F31*(1-Assumptions!$C$41)+G16*((1-(1-Assumptions!$C$34)^(1/12))*Assumptions!$C$40)*MAX(0,G13*Assumptions!$C$29-F31)</f>
        <v>0</v>
      </c>
      <c r="H31" s="26" t="n">
        <f aca="false">G31*(1-Assumptions!$C$41)+H16*((1-(1-Assumptions!$C$34)^(1/12))*Assumptions!$C$40)*MAX(0,H13*Assumptions!$C$29-G31)</f>
        <v>0</v>
      </c>
      <c r="I31" s="26" t="n">
        <f aca="false">H31*(1-Assumptions!$C$41)+I16*((1-(1-Assumptions!$C$34)^(1/12))*Assumptions!$C$40)*MAX(0,I13*Assumptions!$C$29-H31)</f>
        <v>0</v>
      </c>
      <c r="J31" s="26" t="n">
        <f aca="false">I31*(1-Assumptions!$C$41)+J16*((1-(1-Assumptions!$C$34)^(1/12))*Assumptions!$C$40)*MAX(0,J13*Assumptions!$C$29-I31)</f>
        <v>0</v>
      </c>
      <c r="K31" s="26" t="n">
        <f aca="false">J31*(1-Assumptions!$C$41)+K16*((1-(1-Assumptions!$C$34)^(1/12))*Assumptions!$C$40)*MAX(0,K13*Assumptions!$C$29-J31)</f>
        <v>0</v>
      </c>
      <c r="L31" s="26" t="n">
        <f aca="false">K31*(1-Assumptions!$C$41)+L16*((1-(1-Assumptions!$C$34)^(1/12))*Assumptions!$C$40)*MAX(0,L13*Assumptions!$C$29-K31)</f>
        <v>0</v>
      </c>
      <c r="M31" s="26" t="n">
        <f aca="false">L31*(1-Assumptions!$C$41)+M16*((1-(1-Assumptions!$C$34)^(1/12))*Assumptions!$C$40)*MAX(0,M13*Assumptions!$C$29-L31)</f>
        <v>0</v>
      </c>
      <c r="N31" s="26" t="n">
        <f aca="false">M31*(1-Assumptions!$C$41)+N16*((1-(1-Assumptions!$C$34)^(1/12))*Assumptions!$C$40)*MAX(0,N13*Assumptions!$C$29-M31)</f>
        <v>0</v>
      </c>
      <c r="O31" s="26" t="n">
        <f aca="false">N31*(1-Assumptions!$C$41)+O16*((1-(1-Assumptions!$C$34)^(1/12))*Assumptions!$C$40)*MAX(0,O13*Assumptions!$C$29-N31)</f>
        <v>0</v>
      </c>
      <c r="P31" s="26" t="n">
        <f aca="false">O31*(1-Assumptions!$C$41)+P16*((1-(1-Assumptions!$C$34)^(1/12))*Assumptions!$C$40)*MAX(0,P13*Assumptions!$C$29-O31)</f>
        <v>0</v>
      </c>
      <c r="Q31" s="26" t="n">
        <f aca="false">P31*(1-Assumptions!$C$41)+Q16*((1-(1-Assumptions!$C$34)^(1/12))*Assumptions!$C$40)*MAX(0,Q13*Assumptions!$C$29-P31)</f>
        <v>0</v>
      </c>
      <c r="R31" s="26" t="n">
        <f aca="false">Q31*(1-Assumptions!$C$41)+R16*((1-(1-Assumptions!$C$34)^(1/12))*Assumptions!$C$40)*MAX(0,R13*Assumptions!$C$29-Q31)</f>
        <v>0</v>
      </c>
      <c r="S31" s="26" t="n">
        <f aca="false">R31*(1-Assumptions!$C$41)+S16*((1-(1-Assumptions!$C$34)^(1/12))*Assumptions!$C$40)*MAX(0,S13*Assumptions!$C$29-R31)</f>
        <v>0</v>
      </c>
      <c r="T31" s="26" t="n">
        <f aca="false">S31*(1-Assumptions!$C$41)+T16*((1-(1-Assumptions!$C$34)^(1/12))*Assumptions!$C$40)*MAX(0,T13*Assumptions!$C$29-S31)</f>
        <v>0</v>
      </c>
      <c r="U31" s="26" t="n">
        <f aca="false">T31*(1-Assumptions!$C$41)+U16*((1-(1-Assumptions!$C$34)^(1/12))*Assumptions!$C$40)*MAX(0,U13*Assumptions!$C$29-T31)</f>
        <v>0</v>
      </c>
      <c r="V31" s="26" t="n">
        <f aca="false">U31*(1-Assumptions!$C$41)+V16*((1-(1-Assumptions!$C$34)^(1/12))*Assumptions!$C$40)*MAX(0,V13*Assumptions!$C$29-U31)</f>
        <v>0</v>
      </c>
      <c r="W31" s="26" t="n">
        <f aca="false">V31*(1-Assumptions!$C$41)+W16*((1-(1-Assumptions!$C$34)^(1/12))*Assumptions!$C$40)*MAX(0,W13*Assumptions!$C$29-V31)</f>
        <v>0</v>
      </c>
      <c r="X31" s="26" t="n">
        <f aca="false">W31*(1-Assumptions!$C$41)+X16*((1-(1-Assumptions!$C$34)^(1/12))*Assumptions!$C$40)*MAX(0,X13*Assumptions!$C$29-W31)</f>
        <v>0</v>
      </c>
      <c r="Y31" s="26" t="n">
        <f aca="false">X31*(1-Assumptions!$C$41)+Y16*((1-(1-Assumptions!$C$34)^(1/12))*Assumptions!$C$40)*MAX(0,Y13*Assumptions!$C$29-X31)</f>
        <v>0.0539174284851644</v>
      </c>
      <c r="Z31" s="26" t="n">
        <f aca="false">Y31*(1-Assumptions!$C$41)+Z16*((1-(1-Assumptions!$C$34)^(1/12))*Assumptions!$C$40)*MAX(0,Z13*Assumptions!$C$29-Y31)</f>
        <v>0.111074974346441</v>
      </c>
      <c r="AA31" s="26" t="n">
        <f aca="false">Z31*(1-Assumptions!$C$41)+AA16*((1-(1-Assumptions!$C$34)^(1/12))*Assumptions!$C$40)*MAX(0,AA13*Assumptions!$C$29-Z31)</f>
        <v>0.171350814996721</v>
      </c>
      <c r="AB31" s="26" t="n">
        <f aca="false">AA31*(1-Assumptions!$C$41)+AB16*((1-(1-Assumptions!$C$34)^(1/12))*Assumptions!$C$40)*MAX(0,AB13*Assumptions!$C$29-AA31)</f>
        <v>0.234627464122663</v>
      </c>
      <c r="AC31" s="26" t="n">
        <f aca="false">AB31*(1-Assumptions!$C$41)+AC16*((1-(1-Assumptions!$C$34)^(1/12))*Assumptions!$C$40)*MAX(0,AC13*Assumptions!$C$29-AB31)</f>
        <v>0.300791620671129</v>
      </c>
      <c r="AD31" s="26" t="n">
        <f aca="false">AC31*(1-Assumptions!$C$41)+AD16*((1-(1-Assumptions!$C$34)^(1/12))*Assumptions!$C$40)*MAX(0,AD13*Assumptions!$C$29-AC31)</f>
        <v>0.369734023046598</v>
      </c>
      <c r="AE31" s="26" t="n">
        <f aca="false">AD31*(1-Assumptions!$C$41)+AE16*((1-(1-Assumptions!$C$34)^(1/12))*Assumptions!$C$40)*MAX(0,AE13*Assumptions!$C$29-AD31)</f>
        <v>0.441283793044024</v>
      </c>
      <c r="AF31" s="26" t="n">
        <f aca="false">AE31*(1-Assumptions!$C$41)+AF16*((1-(1-Assumptions!$C$34)^(1/12))*Assumptions!$C$40)*MAX(0,AF13*Assumptions!$C$29-AE31)</f>
        <v>0.516980440572425</v>
      </c>
      <c r="AG31" s="26" t="n">
        <f aca="false">AF31*(1-Assumptions!$C$41)+AG16*((1-(1-Assumptions!$C$34)^(1/12))*Assumptions!$C$40)*MAX(0,AG13*Assumptions!$C$29-AF31)</f>
        <v>0.596451862660301</v>
      </c>
      <c r="AH31" s="26" t="n">
        <f aca="false">AG31*(1-Assumptions!$C$41)+AH16*((1-(1-Assumptions!$C$34)^(1/12))*Assumptions!$C$40)*MAX(0,AH13*Assumptions!$C$29-AG31)</f>
        <v>0.679014580214331</v>
      </c>
      <c r="AI31" s="26" t="n">
        <f aca="false">AH31*(1-Assumptions!$C$41)+AI16*((1-(1-Assumptions!$C$34)^(1/12))*Assumptions!$C$40)*MAX(0,AI13*Assumptions!$C$29-AH31)</f>
        <v>0.765851274098656</v>
      </c>
      <c r="AJ31" s="26" t="n">
        <f aca="false">AI31*(1-Assumptions!$C$41)+AJ16*((1-(1-Assumptions!$C$34)^(1/12))*Assumptions!$C$40)*MAX(0,AJ13*Assumptions!$C$29-AI31)</f>
        <v>0.856315858160836</v>
      </c>
      <c r="AK31" s="26" t="n">
        <f aca="false">AJ31*(1-Assumptions!$C$41)+AK16*((1-(1-Assumptions!$C$34)^(1/12))*Assumptions!$C$40)*MAX(0,AK13*Assumptions!$C$29-AJ31)</f>
        <v>0.949660848558419</v>
      </c>
      <c r="AL31" s="26" t="n">
        <f aca="false">AK31*(1-Assumptions!$C$41)+AL16*((1-(1-Assumptions!$C$34)^(1/12))*Assumptions!$C$40)*MAX(0,AL13*Assumptions!$C$29-AK31)</f>
        <v>1.04674608893069</v>
      </c>
      <c r="AM31" s="26" t="n">
        <f aca="false">AL31*(1-Assumptions!$C$41)+AM16*((1-(1-Assumptions!$C$34)^(1/12))*Assumptions!$C$40)*MAX(0,AM13*Assumptions!$C$29-AL31)</f>
        <v>1.14694624545402</v>
      </c>
      <c r="AN31" s="37" t="n">
        <f aca="false">AM31*(1-Assumptions!$C$41)+AN16*((1-(1-Assumptions!$C$34)^(1/12))*Assumptions!$C$40)*MAX(0,AN13*Assumptions!$C$29-AM31)</f>
        <v>1.24953383856921</v>
      </c>
      <c r="AO31" s="37" t="n">
        <f aca="false">AN31*(1-Assumptions!$C$41)+AO16*((1-(1-Assumptions!$C$34)^(1/12))*Assumptions!$C$40)*MAX(0,AO13*Assumptions!$C$29-AN31)</f>
        <v>1.35538799433972</v>
      </c>
      <c r="AP31" s="37" t="n">
        <f aca="false">AO31*(1-Assumptions!$C$41)+AP16*((1-(1-Assumptions!$C$34)^(1/12))*Assumptions!$C$40)*MAX(0,AP13*Assumptions!$C$29-AO31)</f>
        <v>1.46390196478777</v>
      </c>
      <c r="AQ31" s="37" t="n">
        <f aca="false">AP31*(1-Assumptions!$C$41)+AQ16*((1-(1-Assumptions!$C$34)^(1/12))*Assumptions!$C$40)*MAX(0,AQ13*Assumptions!$C$29-AP31)</f>
        <v>1.57436618402812</v>
      </c>
      <c r="AR31" s="37" t="n">
        <f aca="false">AQ31*(1-Assumptions!$C$41)+AR16*((1-(1-Assumptions!$C$34)^(1/12))*Assumptions!$C$40)*MAX(0,AR13*Assumptions!$C$29-AQ31)</f>
        <v>1.68767704318827</v>
      </c>
      <c r="AS31" s="37" t="n">
        <f aca="false">AR31*(1-Assumptions!$C$41)+AS16*((1-(1-Assumptions!$C$34)^(1/12))*Assumptions!$C$40)*MAX(0,AS13*Assumptions!$C$29-AR31)</f>
        <v>1.80317891819486</v>
      </c>
      <c r="AT31" s="37" t="n">
        <f aca="false">AS31*(1-Assumptions!$C$41)+AT16*((1-(1-Assumptions!$C$34)^(1/12))*Assumptions!$C$40)*MAX(0,AT13*Assumptions!$C$29-AS31)</f>
        <v>1.92018150609174</v>
      </c>
      <c r="AU31" s="37" t="n">
        <f aca="false">AT31*(1-Assumptions!$C$41)+AU16*((1-(1-Assumptions!$C$34)^(1/12))*Assumptions!$C$40)*MAX(0,AU13*Assumptions!$C$29-AT31)</f>
        <v>2.03959975289425</v>
      </c>
      <c r="AV31" s="37" t="n">
        <f aca="false">AU31*(1-Assumptions!$C$41)+AV16*((1-(1-Assumptions!$C$34)^(1/12))*Assumptions!$C$40)*MAX(0,AV13*Assumptions!$C$29-AU31)</f>
        <v>2.1607959063568</v>
      </c>
      <c r="AW31" s="37" t="n">
        <f aca="false">AV31*(1-Assumptions!$C$41)+AW16*((1-(1-Assumptions!$C$34)^(1/12))*Assumptions!$C$40)*MAX(0,AW13*Assumptions!$C$29-AV31)</f>
        <v>2.28309687640523</v>
      </c>
      <c r="AX31" s="37" t="n">
        <f aca="false">AW31*(1-Assumptions!$C$41)+AX16*((1-(1-Assumptions!$C$34)^(1/12))*Assumptions!$C$40)*MAX(0,AX13*Assumptions!$C$29-AW31)</f>
        <v>2.40743418626851</v>
      </c>
      <c r="AY31" s="37" t="n">
        <f aca="false">AX31*(1-Assumptions!$C$41)+AY16*((1-(1-Assumptions!$C$34)^(1/12))*Assumptions!$C$40)*MAX(0,AY13*Assumptions!$C$29-AX31)</f>
        <v>2.53318604771568</v>
      </c>
      <c r="AZ31" s="37" t="n">
        <f aca="false">AY31*(1-Assumptions!$C$41)+AZ16*((1-(1-Assumptions!$C$34)^(1/12))*Assumptions!$C$40)*MAX(0,AZ13*Assumptions!$C$29-AY31)</f>
        <v>2.65969474317728</v>
      </c>
      <c r="BA31" s="37" t="n">
        <f aca="false">AZ31*(1-Assumptions!$C$41)+BA16*((1-(1-Assumptions!$C$34)^(1/12))*Assumptions!$C$40)*MAX(0,BA13*Assumptions!$C$29-AZ31)</f>
        <v>2.7879065978128</v>
      </c>
      <c r="BB31" s="37" t="n">
        <f aca="false">BA31*(1-Assumptions!$C$41)+BB16*((1-(1-Assumptions!$C$34)^(1/12))*Assumptions!$C$40)*MAX(0,BB13*Assumptions!$C$29-BA31)</f>
        <v>2.91721407495598</v>
      </c>
      <c r="BC31" s="37" t="n">
        <f aca="false">BB31*(1-Assumptions!$C$41)+BC16*((1-(1-Assumptions!$C$34)^(1/12))*Assumptions!$C$40)*MAX(0,BC13*Assumptions!$C$29-BB31)</f>
        <v>3.04690766244585</v>
      </c>
      <c r="BD31" s="37" t="n">
        <f aca="false">BC31*(1-Assumptions!$C$41)+BD16*((1-(1-Assumptions!$C$34)^(1/12))*Assumptions!$C$40)*MAX(0,BD13*Assumptions!$C$29-BC31)</f>
        <v>3.177950121747</v>
      </c>
      <c r="BE31" s="37" t="n">
        <f aca="false">BD31*(1-Assumptions!$C$41)+BE16*((1-(1-Assumptions!$C$34)^(1/12))*Assumptions!$C$40)*MAX(0,BE13*Assumptions!$C$29-BD31)</f>
        <v>3.30974973330292</v>
      </c>
      <c r="BF31" s="37" t="n">
        <f aca="false">BE31*(1-Assumptions!$C$41)+BF16*((1-(1-Assumptions!$C$34)^(1/12))*Assumptions!$C$40)*MAX(0,BF13*Assumptions!$C$29-BE31)</f>
        <v>3.44161220492399</v>
      </c>
      <c r="BG31" s="37" t="n">
        <f aca="false">BF31*(1-Assumptions!$C$41)+BG16*((1-(1-Assumptions!$C$34)^(1/12))*Assumptions!$C$40)*MAX(0,BG13*Assumptions!$C$29-BF31)</f>
        <v>3.57451494219625</v>
      </c>
      <c r="BH31" s="37" t="n">
        <f aca="false">BG31*(1-Assumptions!$C$41)+BH16*((1-(1-Assumptions!$C$34)^(1/12))*Assumptions!$C$40)*MAX(0,BH13*Assumptions!$C$29-BG31)</f>
        <v>3.70788031438145</v>
      </c>
      <c r="BI31" s="37" t="n">
        <f aca="false">BH31*(1-Assumptions!$C$41)+BI16*((1-(1-Assumptions!$C$34)^(1/12))*Assumptions!$C$40)*MAX(0,BI13*Assumptions!$C$29-BH31)</f>
        <v>3.84102758263544</v>
      </c>
      <c r="BJ31" s="37" t="n">
        <f aca="false">BI31*(1-Assumptions!$C$41)+BJ16*((1-(1-Assumptions!$C$34)^(1/12))*Assumptions!$C$40)*MAX(0,BJ13*Assumptions!$C$29-BI31)</f>
        <v>3.9749471895558</v>
      </c>
      <c r="BK31" s="37" t="n">
        <f aca="false">BJ31*(1-Assumptions!$C$41)+BK16*((1-(1-Assumptions!$C$34)^(1/12))*Assumptions!$C$40)*MAX(0,BK13*Assumptions!$C$29-BJ31)</f>
        <v>4.1090740435531</v>
      </c>
    </row>
    <row r="32" customFormat="false" ht="15" hidden="false" customHeight="false" outlineLevel="0" collapsed="false">
      <c r="A32" s="28" t="s">
        <v>580</v>
      </c>
      <c r="B32" s="6" t="s">
        <v>581</v>
      </c>
      <c r="C32" s="36" t="n">
        <v>0</v>
      </c>
      <c r="D32" s="26" t="n">
        <f aca="false">D27+D28+D29+D30+D31</f>
        <v>0</v>
      </c>
      <c r="E32" s="26" t="n">
        <f aca="false">E27+E28+E29+E30+E31</f>
        <v>0</v>
      </c>
      <c r="F32" s="26" t="n">
        <f aca="false">F27+F28+F29+F30+F31</f>
        <v>0</v>
      </c>
      <c r="G32" s="26" t="n">
        <f aca="false">G27+G28+G29+G30+G31</f>
        <v>0</v>
      </c>
      <c r="H32" s="26" t="n">
        <f aca="false">H27+H28+H29+H30+H31</f>
        <v>0</v>
      </c>
      <c r="I32" s="26" t="n">
        <f aca="false">I27+I28+I29+I30+I31</f>
        <v>0</v>
      </c>
      <c r="J32" s="26" t="n">
        <f aca="false">J27+J28+J29+J30+J31</f>
        <v>0</v>
      </c>
      <c r="K32" s="26" t="n">
        <f aca="false">K27+K28+K29+K30+K31</f>
        <v>0</v>
      </c>
      <c r="L32" s="26" t="n">
        <f aca="false">L27+L28+L29+L30+L31</f>
        <v>0</v>
      </c>
      <c r="M32" s="26" t="n">
        <f aca="false">M27+M28+M29+M30+M31</f>
        <v>0</v>
      </c>
      <c r="N32" s="26" t="n">
        <f aca="false">N27+N28+N29+N30+N31</f>
        <v>0</v>
      </c>
      <c r="O32" s="26" t="n">
        <f aca="false">O27+O28+O29+O30+O31</f>
        <v>0</v>
      </c>
      <c r="P32" s="26" t="n">
        <f aca="false">P27+P28+P29+P30+P31</f>
        <v>0</v>
      </c>
      <c r="Q32" s="26" t="n">
        <f aca="false">Q27+Q28+Q29+Q30+Q31</f>
        <v>0</v>
      </c>
      <c r="R32" s="26" t="n">
        <f aca="false">R27+R28+R29+R30+R31</f>
        <v>0</v>
      </c>
      <c r="S32" s="26" t="n">
        <f aca="false">S27+S28+S29+S30+S31</f>
        <v>0</v>
      </c>
      <c r="T32" s="26" t="n">
        <f aca="false">T27+T28+T29+T30+T31</f>
        <v>0</v>
      </c>
      <c r="U32" s="26" t="n">
        <f aca="false">U27+U28+U29+U30+U31</f>
        <v>0</v>
      </c>
      <c r="V32" s="26" t="n">
        <f aca="false">V27+V28+V29+V30+V31</f>
        <v>0</v>
      </c>
      <c r="W32" s="26" t="n">
        <f aca="false">W27+W28+W29+W30+W31</f>
        <v>0</v>
      </c>
      <c r="X32" s="26" t="n">
        <f aca="false">X27+X28+X29+X30+X31</f>
        <v>0</v>
      </c>
      <c r="Y32" s="26" t="n">
        <f aca="false">Y27+Y28+Y29+Y30+Y31</f>
        <v>3.06349271917113</v>
      </c>
      <c r="Z32" s="26" t="n">
        <f aca="false">Z27+Z28+Z29+Z30+Z31</f>
        <v>6.24239378042322</v>
      </c>
      <c r="AA32" s="26" t="n">
        <f aca="false">AA27+AA28+AA29+AA30+AA31</f>
        <v>9.5300930425381</v>
      </c>
      <c r="AB32" s="26" t="n">
        <f aca="false">AB27+AB28+AB29+AB30+AB31</f>
        <v>12.9203529871769</v>
      </c>
      <c r="AC32" s="26" t="n">
        <f aca="false">AC27+AC28+AC29+AC30+AC31</f>
        <v>16.4072869616469</v>
      </c>
      <c r="AD32" s="26" t="n">
        <f aca="false">AD27+AD28+AD29+AD30+AD31</f>
        <v>19.9853387510269</v>
      </c>
      <c r="AE32" s="26" t="n">
        <f aca="false">AE27+AE28+AE29+AE30+AE31</f>
        <v>23.645540931927</v>
      </c>
      <c r="AF32" s="26" t="n">
        <f aca="false">AF27+AF28+AF29+AF30+AF31</f>
        <v>27.4762702093874</v>
      </c>
      <c r="AG32" s="26" t="n">
        <f aca="false">AG27+AG28+AG29+AG30+AG31</f>
        <v>31.4552626797748</v>
      </c>
      <c r="AH32" s="26" t="n">
        <f aca="false">AH27+AH28+AH29+AH30+AH31</f>
        <v>35.5431031970174</v>
      </c>
      <c r="AI32" s="26" t="n">
        <f aca="false">AI27+AI28+AI29+AI30+AI31</f>
        <v>39.8073110290861</v>
      </c>
      <c r="AJ32" s="26" t="n">
        <f aca="false">AJ27+AJ28+AJ29+AJ30+AJ31</f>
        <v>44.2099651184757</v>
      </c>
      <c r="AK32" s="26" t="n">
        <f aca="false">AK27+AK28+AK29+AK30+AK31</f>
        <v>48.708279360796</v>
      </c>
      <c r="AL32" s="26" t="n">
        <f aca="false">AL27+AL28+AL29+AL30+AL31</f>
        <v>53.3517607167074</v>
      </c>
      <c r="AM32" s="26" t="n">
        <f aca="false">AM27+AM28+AM29+AM30+AM31</f>
        <v>58.1043885634005</v>
      </c>
      <c r="AN32" s="37" t="n">
        <f aca="false">AN27+AN28+AN29+AN30+AN31</f>
        <v>62.9251623591419</v>
      </c>
      <c r="AO32" s="37" t="n">
        <f aca="false">AO27+AO28+AO29+AO30+AO31</f>
        <v>67.8652669293871</v>
      </c>
      <c r="AP32" s="37" t="n">
        <f aca="false">AP27+AP28+AP29+AP30+AP31</f>
        <v>72.8902585278727</v>
      </c>
      <c r="AQ32" s="37" t="n">
        <f aca="false">AQ27+AQ28+AQ29+AQ30+AQ31</f>
        <v>77.9606187772131</v>
      </c>
      <c r="AR32" s="37" t="n">
        <f aca="false">AR27+AR28+AR29+AR30+AR31</f>
        <v>83.1289258263855</v>
      </c>
      <c r="AS32" s="37" t="n">
        <f aca="false">AS27+AS28+AS29+AS30+AS31</f>
        <v>88.358323442416</v>
      </c>
      <c r="AT32" s="37" t="n">
        <f aca="false">AT27+AT28+AT29+AT30+AT31</f>
        <v>93.6107918710365</v>
      </c>
      <c r="AU32" s="37" t="n">
        <f aca="false">AU27+AU28+AU29+AU30+AU31</f>
        <v>98.9403178619982</v>
      </c>
      <c r="AV32" s="37" t="n">
        <f aca="false">AV27+AV28+AV29+AV30+AV31</f>
        <v>104.311369306247</v>
      </c>
      <c r="AW32" s="37" t="n">
        <f aca="false">AW27+AW28+AW29+AW30+AW31</f>
        <v>109.687171287628</v>
      </c>
      <c r="AX32" s="37" t="n">
        <f aca="false">AX27+AX28+AX29+AX30+AX31</f>
        <v>115.122880968225</v>
      </c>
      <c r="AY32" s="37" t="n">
        <f aca="false">AY27+AY28+AY29+AY30+AY31</f>
        <v>120.58406677634</v>
      </c>
      <c r="AZ32" s="37" t="n">
        <f aca="false">AZ27+AZ28+AZ29+AZ30+AZ31</f>
        <v>126.034988720162</v>
      </c>
      <c r="BA32" s="37" t="n">
        <f aca="false">BA27+BA28+BA29+BA30+BA31</f>
        <v>131.531777265157</v>
      </c>
      <c r="BB32" s="37" t="n">
        <f aca="false">BB27+BB28+BB29+BB30+BB31</f>
        <v>137.040916261934</v>
      </c>
      <c r="BC32" s="37" t="n">
        <f aca="false">BC27+BC28+BC29+BC30+BC31</f>
        <v>142.523804301061</v>
      </c>
      <c r="BD32" s="37" t="n">
        <f aca="false">BD27+BD28+BD29+BD30+BD31</f>
        <v>148.037648653465</v>
      </c>
      <c r="BE32" s="37" t="n">
        <f aca="false">BE27+BE28+BE29+BE30+BE31</f>
        <v>153.549945332412</v>
      </c>
      <c r="BF32" s="37" t="n">
        <f aca="false">BF27+BF28+BF29+BF30+BF31</f>
        <v>159.02304437507</v>
      </c>
      <c r="BG32" s="37" t="n">
        <f aca="false">BG27+BG28+BG29+BG30+BG31</f>
        <v>164.515047462358</v>
      </c>
      <c r="BH32" s="37" t="n">
        <f aca="false">BH27+BH28+BH29+BH30+BH31</f>
        <v>169.994291429207</v>
      </c>
      <c r="BI32" s="37" t="n">
        <f aca="false">BI27+BI28+BI29+BI30+BI31</f>
        <v>175.423916778309</v>
      </c>
      <c r="BJ32" s="37" t="n">
        <f aca="false">BJ27+BJ28+BJ29+BJ30+BJ31</f>
        <v>180.862768330067</v>
      </c>
      <c r="BK32" s="37" t="n">
        <f aca="false">BK27+BK28+BK29+BK30+BK31</f>
        <v>186.279881574019</v>
      </c>
    </row>
    <row r="33" customFormat="false" ht="15" hidden="false" customHeight="false" outlineLevel="0" collapsed="false">
      <c r="A33" s="28" t="s">
        <v>582</v>
      </c>
      <c r="B33" s="6" t="s">
        <v>583</v>
      </c>
      <c r="C33" s="42"/>
      <c r="D33" s="26" t="n">
        <f aca="false">D27*(1-Assumptions!$C$35)+D28*(1-Assumptions!$C$36)+D29*(1-Assumptions!$C$37)+D30*(1-Assumptions!$C$38)+D31*(1-Assumptions!$C$39)</f>
        <v>0</v>
      </c>
      <c r="E33" s="26" t="n">
        <f aca="false">E27*(1-Assumptions!$C$35)+E28*(1-Assumptions!$C$36)+E29*(1-Assumptions!$C$37)+E30*(1-Assumptions!$C$38)+E31*(1-Assumptions!$C$39)</f>
        <v>0</v>
      </c>
      <c r="F33" s="26" t="n">
        <f aca="false">F27*(1-Assumptions!$C$35)+F28*(1-Assumptions!$C$36)+F29*(1-Assumptions!$C$37)+F30*(1-Assumptions!$C$38)+F31*(1-Assumptions!$C$39)</f>
        <v>0</v>
      </c>
      <c r="G33" s="26" t="n">
        <f aca="false">G27*(1-Assumptions!$C$35)+G28*(1-Assumptions!$C$36)+G29*(1-Assumptions!$C$37)+G30*(1-Assumptions!$C$38)+G31*(1-Assumptions!$C$39)</f>
        <v>0</v>
      </c>
      <c r="H33" s="26" t="n">
        <f aca="false">H27*(1-Assumptions!$C$35)+H28*(1-Assumptions!$C$36)+H29*(1-Assumptions!$C$37)+H30*(1-Assumptions!$C$38)+H31*(1-Assumptions!$C$39)</f>
        <v>0</v>
      </c>
      <c r="I33" s="26" t="n">
        <f aca="false">I27*(1-Assumptions!$C$35)+I28*(1-Assumptions!$C$36)+I29*(1-Assumptions!$C$37)+I30*(1-Assumptions!$C$38)+I31*(1-Assumptions!$C$39)</f>
        <v>0</v>
      </c>
      <c r="J33" s="26" t="n">
        <f aca="false">J27*(1-Assumptions!$C$35)+J28*(1-Assumptions!$C$36)+J29*(1-Assumptions!$C$37)+J30*(1-Assumptions!$C$38)+J31*(1-Assumptions!$C$39)</f>
        <v>0</v>
      </c>
      <c r="K33" s="26" t="n">
        <f aca="false">K27*(1-Assumptions!$C$35)+K28*(1-Assumptions!$C$36)+K29*(1-Assumptions!$C$37)+K30*(1-Assumptions!$C$38)+K31*(1-Assumptions!$C$39)</f>
        <v>0</v>
      </c>
      <c r="L33" s="26" t="n">
        <f aca="false">L27*(1-Assumptions!$C$35)+L28*(1-Assumptions!$C$36)+L29*(1-Assumptions!$C$37)+L30*(1-Assumptions!$C$38)+L31*(1-Assumptions!$C$39)</f>
        <v>0</v>
      </c>
      <c r="M33" s="26" t="n">
        <f aca="false">M27*(1-Assumptions!$C$35)+M28*(1-Assumptions!$C$36)+M29*(1-Assumptions!$C$37)+M30*(1-Assumptions!$C$38)+M31*(1-Assumptions!$C$39)</f>
        <v>0</v>
      </c>
      <c r="N33" s="26" t="n">
        <f aca="false">N27*(1-Assumptions!$C$35)+N28*(1-Assumptions!$C$36)+N29*(1-Assumptions!$C$37)+N30*(1-Assumptions!$C$38)+N31*(1-Assumptions!$C$39)</f>
        <v>0</v>
      </c>
      <c r="O33" s="26" t="n">
        <f aca="false">O27*(1-Assumptions!$C$35)+O28*(1-Assumptions!$C$36)+O29*(1-Assumptions!$C$37)+O30*(1-Assumptions!$C$38)+O31*(1-Assumptions!$C$39)</f>
        <v>0</v>
      </c>
      <c r="P33" s="26" t="n">
        <f aca="false">P27*(1-Assumptions!$C$35)+P28*(1-Assumptions!$C$36)+P29*(1-Assumptions!$C$37)+P30*(1-Assumptions!$C$38)+P31*(1-Assumptions!$C$39)</f>
        <v>0</v>
      </c>
      <c r="Q33" s="26" t="n">
        <f aca="false">Q27*(1-Assumptions!$C$35)+Q28*(1-Assumptions!$C$36)+Q29*(1-Assumptions!$C$37)+Q30*(1-Assumptions!$C$38)+Q31*(1-Assumptions!$C$39)</f>
        <v>0</v>
      </c>
      <c r="R33" s="26" t="n">
        <f aca="false">R27*(1-Assumptions!$C$35)+R28*(1-Assumptions!$C$36)+R29*(1-Assumptions!$C$37)+R30*(1-Assumptions!$C$38)+R31*(1-Assumptions!$C$39)</f>
        <v>0</v>
      </c>
      <c r="S33" s="26" t="n">
        <f aca="false">S27*(1-Assumptions!$C$35)+S28*(1-Assumptions!$C$36)+S29*(1-Assumptions!$C$37)+S30*(1-Assumptions!$C$38)+S31*(1-Assumptions!$C$39)</f>
        <v>0</v>
      </c>
      <c r="T33" s="26" t="n">
        <f aca="false">T27*(1-Assumptions!$C$35)+T28*(1-Assumptions!$C$36)+T29*(1-Assumptions!$C$37)+T30*(1-Assumptions!$C$38)+T31*(1-Assumptions!$C$39)</f>
        <v>0</v>
      </c>
      <c r="U33" s="26" t="n">
        <f aca="false">U27*(1-Assumptions!$C$35)+U28*(1-Assumptions!$C$36)+U29*(1-Assumptions!$C$37)+U30*(1-Assumptions!$C$38)+U31*(1-Assumptions!$C$39)</f>
        <v>0</v>
      </c>
      <c r="V33" s="26" t="n">
        <f aca="false">V27*(1-Assumptions!$C$35)+V28*(1-Assumptions!$C$36)+V29*(1-Assumptions!$C$37)+V30*(1-Assumptions!$C$38)+V31*(1-Assumptions!$C$39)</f>
        <v>0</v>
      </c>
      <c r="W33" s="26" t="n">
        <f aca="false">W27*(1-Assumptions!$C$35)+W28*(1-Assumptions!$C$36)+W29*(1-Assumptions!$C$37)+W30*(1-Assumptions!$C$38)+W31*(1-Assumptions!$C$39)</f>
        <v>0</v>
      </c>
      <c r="X33" s="26" t="n">
        <f aca="false">X27*(1-Assumptions!$C$35)+X28*(1-Assumptions!$C$36)+X29*(1-Assumptions!$C$37)+X30*(1-Assumptions!$C$38)+X31*(1-Assumptions!$C$39)</f>
        <v>0</v>
      </c>
      <c r="Y33" s="26" t="n">
        <f aca="false">Y27*(1-Assumptions!$C$35)+Y28*(1-Assumptions!$C$36)+Y29*(1-Assumptions!$C$37)+Y30*(1-Assumptions!$C$38)+Y31*(1-Assumptions!$C$39)</f>
        <v>1.79561707533189</v>
      </c>
      <c r="Z33" s="26" t="n">
        <f aca="false">Z27*(1-Assumptions!$C$35)+Z28*(1-Assumptions!$C$36)+Z29*(1-Assumptions!$C$37)+Z30*(1-Assumptions!$C$38)+Z31*(1-Assumptions!$C$39)</f>
        <v>3.67388742852011</v>
      </c>
      <c r="AA33" s="26" t="n">
        <f aca="false">AA27*(1-Assumptions!$C$35)+AA28*(1-Assumptions!$C$36)+AA29*(1-Assumptions!$C$37)+AA30*(1-Assumptions!$C$38)+AA31*(1-Assumptions!$C$39)</f>
        <v>5.63060326371018</v>
      </c>
      <c r="AB33" s="26" t="n">
        <f aca="false">AB27*(1-Assumptions!$C$35)+AB28*(1-Assumptions!$C$36)+AB29*(1-Assumptions!$C$37)+AB30*(1-Assumptions!$C$38)+AB31*(1-Assumptions!$C$39)</f>
        <v>7.66176304152582</v>
      </c>
      <c r="AC33" s="26" t="n">
        <f aca="false">AC27*(1-Assumptions!$C$35)+AC28*(1-Assumptions!$C$36)+AC29*(1-Assumptions!$C$37)+AC30*(1-Assumptions!$C$38)+AC31*(1-Assumptions!$C$39)</f>
        <v>9.76356126298271</v>
      </c>
      <c r="AD33" s="26" t="n">
        <f aca="false">AD27*(1-Assumptions!$C$35)+AD28*(1-Assumptions!$C$36)+AD29*(1-Assumptions!$C$37)+AD30*(1-Assumptions!$C$38)+AD31*(1-Assumptions!$C$39)</f>
        <v>11.9323787745261</v>
      </c>
      <c r="AE33" s="26" t="n">
        <f aca="false">AE27*(1-Assumptions!$C$35)+AE28*(1-Assumptions!$C$36)+AE29*(1-Assumptions!$C$37)+AE30*(1-Assumptions!$C$38)+AE31*(1-Assumptions!$C$39)</f>
        <v>14.1625917046011</v>
      </c>
      <c r="AF33" s="26" t="n">
        <f aca="false">AF27*(1-Assumptions!$C$35)+AF28*(1-Assumptions!$C$36)+AF29*(1-Assumptions!$C$37)+AF30*(1-Assumptions!$C$38)+AF31*(1-Assumptions!$C$39)</f>
        <v>16.5056111765343</v>
      </c>
      <c r="AG33" s="26" t="n">
        <f aca="false">AG27*(1-Assumptions!$C$35)+AG28*(1-Assumptions!$C$36)+AG29*(1-Assumptions!$C$37)+AG30*(1-Assumptions!$C$38)+AG31*(1-Assumptions!$C$39)</f>
        <v>18.9484545830255</v>
      </c>
      <c r="AH33" s="26" t="n">
        <f aca="false">AH27*(1-Assumptions!$C$35)+AH28*(1-Assumptions!$C$36)+AH29*(1-Assumptions!$C$37)+AH30*(1-Assumptions!$C$38)+AH31*(1-Assumptions!$C$39)</f>
        <v>21.4679734808528</v>
      </c>
      <c r="AI33" s="26" t="n">
        <f aca="false">AI27*(1-Assumptions!$C$35)+AI28*(1-Assumptions!$C$36)+AI29*(1-Assumptions!$C$37)+AI30*(1-Assumptions!$C$38)+AI31*(1-Assumptions!$C$39)</f>
        <v>24.1035071355021</v>
      </c>
      <c r="AJ33" s="26" t="n">
        <f aca="false">AJ27*(1-Assumptions!$C$35)+AJ28*(1-Assumptions!$C$36)+AJ29*(1-Assumptions!$C$37)+AJ30*(1-Assumptions!$C$38)+AJ31*(1-Assumptions!$C$39)</f>
        <v>26.8329377468508</v>
      </c>
      <c r="AK33" s="26" t="n">
        <f aca="false">AK27*(1-Assumptions!$C$35)+AK28*(1-Assumptions!$C$36)+AK29*(1-Assumptions!$C$37)+AK30*(1-Assumptions!$C$38)+AK31*(1-Assumptions!$C$39)</f>
        <v>29.631103789429</v>
      </c>
      <c r="AL33" s="26" t="n">
        <f aca="false">AL27*(1-Assumptions!$C$35)+AL28*(1-Assumptions!$C$36)+AL29*(1-Assumptions!$C$37)+AL30*(1-Assumptions!$C$38)+AL31*(1-Assumptions!$C$39)</f>
        <v>32.5267353483605</v>
      </c>
      <c r="AM33" s="26" t="n">
        <f aca="false">AM27*(1-Assumptions!$C$35)+AM28*(1-Assumptions!$C$36)+AM29*(1-Assumptions!$C$37)+AM30*(1-Assumptions!$C$38)+AM31*(1-Assumptions!$C$39)</f>
        <v>35.4986917974147</v>
      </c>
      <c r="AN33" s="37" t="n">
        <f aca="false">AN27*(1-Assumptions!$C$35)+AN28*(1-Assumptions!$C$36)+AN29*(1-Assumptions!$C$37)+AN30*(1-Assumptions!$C$38)+AN31*(1-Assumptions!$C$39)</f>
        <v>38.522738931312</v>
      </c>
      <c r="AO33" s="37" t="n">
        <f aca="false">AO27*(1-Assumptions!$C$35)+AO28*(1-Assumptions!$C$36)+AO29*(1-Assumptions!$C$37)+AO30*(1-Assumptions!$C$38)+AO31*(1-Assumptions!$C$39)</f>
        <v>41.628486895748</v>
      </c>
      <c r="AP33" s="37" t="n">
        <f aca="false">AP27*(1-Assumptions!$C$35)+AP28*(1-Assumptions!$C$36)+AP29*(1-Assumptions!$C$37)+AP30*(1-Assumptions!$C$38)+AP31*(1-Assumptions!$C$39)</f>
        <v>44.7956303192256</v>
      </c>
      <c r="AQ33" s="37" t="n">
        <f aca="false">AQ27*(1-Assumptions!$C$35)+AQ28*(1-Assumptions!$C$36)+AQ29*(1-Assumptions!$C$37)+AQ30*(1-Assumptions!$C$38)+AQ31*(1-Assumptions!$C$39)</f>
        <v>48.0007277667851</v>
      </c>
      <c r="AR33" s="37" t="n">
        <f aca="false">AR27*(1-Assumptions!$C$35)+AR28*(1-Assumptions!$C$36)+AR29*(1-Assumptions!$C$37)+AR30*(1-Assumptions!$C$38)+AR31*(1-Assumptions!$C$39)</f>
        <v>51.2741418665723</v>
      </c>
      <c r="AS33" s="37" t="n">
        <f aca="false">AS27*(1-Assumptions!$C$35)+AS28*(1-Assumptions!$C$36)+AS29*(1-Assumptions!$C$37)+AS30*(1-Assumptions!$C$38)+AS31*(1-Assumptions!$C$39)</f>
        <v>54.5940996584279</v>
      </c>
      <c r="AT33" s="37" t="n">
        <f aca="false">AT27*(1-Assumptions!$C$35)+AT28*(1-Assumptions!$C$36)+AT29*(1-Assumptions!$C$37)+AT30*(1-Assumptions!$C$38)+AT31*(1-Assumptions!$C$39)</f>
        <v>57.9379759136798</v>
      </c>
      <c r="AU33" s="37" t="n">
        <f aca="false">AU27*(1-Assumptions!$C$35)+AU28*(1-Assumptions!$C$36)+AU29*(1-Assumptions!$C$37)+AU30*(1-Assumptions!$C$38)+AU31*(1-Assumptions!$C$39)</f>
        <v>61.336907740906</v>
      </c>
      <c r="AV33" s="37" t="n">
        <f aca="false">AV27*(1-Assumptions!$C$35)+AV28*(1-Assumptions!$C$36)+AV29*(1-Assumptions!$C$37)+AV30*(1-Assumptions!$C$38)+AV31*(1-Assumptions!$C$39)</f>
        <v>64.7698570827399</v>
      </c>
      <c r="AW33" s="37" t="n">
        <f aca="false">AW27*(1-Assumptions!$C$35)+AW28*(1-Assumptions!$C$36)+AW29*(1-Assumptions!$C$37)+AW30*(1-Assumptions!$C$38)+AW31*(1-Assumptions!$C$39)</f>
        <v>68.2148960695028</v>
      </c>
      <c r="AX33" s="37" t="n">
        <f aca="false">AX27*(1-Assumptions!$C$35)+AX28*(1-Assumptions!$C$36)+AX29*(1-Assumptions!$C$37)+AX30*(1-Assumptions!$C$38)+AX31*(1-Assumptions!$C$39)</f>
        <v>71.7038235507954</v>
      </c>
      <c r="AY33" s="37" t="n">
        <f aca="false">AY27*(1-Assumptions!$C$35)+AY28*(1-Assumptions!$C$36)+AY29*(1-Assumptions!$C$37)+AY30*(1-Assumptions!$C$38)+AY31*(1-Assumptions!$C$39)</f>
        <v>75.2162294161153</v>
      </c>
      <c r="AZ33" s="37" t="n">
        <f aca="false">AZ27*(1-Assumptions!$C$35)+AZ28*(1-Assumptions!$C$36)+AZ29*(1-Assumptions!$C$37)+AZ30*(1-Assumptions!$C$38)+AZ31*(1-Assumptions!$C$39)</f>
        <v>78.7307816759278</v>
      </c>
      <c r="BA33" s="37" t="n">
        <f aca="false">BA27*(1-Assumptions!$C$35)+BA28*(1-Assumptions!$C$36)+BA29*(1-Assumptions!$C$37)+BA30*(1-Assumptions!$C$38)+BA31*(1-Assumptions!$C$39)</f>
        <v>82.2798446296419</v>
      </c>
      <c r="BB33" s="37" t="n">
        <f aca="false">BB27*(1-Assumptions!$C$35)+BB28*(1-Assumptions!$C$36)+BB29*(1-Assumptions!$C$37)+BB30*(1-Assumptions!$C$38)+BB31*(1-Assumptions!$C$39)</f>
        <v>85.8435447365651</v>
      </c>
      <c r="BC33" s="37" t="n">
        <f aca="false">BC27*(1-Assumptions!$C$35)+BC28*(1-Assumptions!$C$36)+BC29*(1-Assumptions!$C$37)+BC30*(1-Assumptions!$C$38)+BC31*(1-Assumptions!$C$39)</f>
        <v>89.3988773040518</v>
      </c>
      <c r="BD33" s="37" t="n">
        <f aca="false">BD27*(1-Assumptions!$C$35)+BD28*(1-Assumptions!$C$36)+BD29*(1-Assumptions!$C$37)+BD30*(1-Assumptions!$C$38)+BD31*(1-Assumptions!$C$39)</f>
        <v>92.9788279462152</v>
      </c>
      <c r="BE33" s="37" t="n">
        <f aca="false">BE27*(1-Assumptions!$C$35)+BE28*(1-Assumptions!$C$36)+BE29*(1-Assumptions!$C$37)+BE30*(1-Assumptions!$C$38)+BE31*(1-Assumptions!$C$39)</f>
        <v>96.5641123910759</v>
      </c>
      <c r="BF33" s="37" t="n">
        <f aca="false">BF27*(1-Assumptions!$C$35)+BF28*(1-Assumptions!$C$36)+BF29*(1-Assumptions!$C$37)+BF30*(1-Assumptions!$C$38)+BF31*(1-Assumptions!$C$39)</f>
        <v>100.13228480434</v>
      </c>
      <c r="BG33" s="37" t="n">
        <f aca="false">BG27*(1-Assumptions!$C$35)+BG28*(1-Assumptions!$C$36)+BG29*(1-Assumptions!$C$37)+BG30*(1-Assumptions!$C$38)+BG31*(1-Assumptions!$C$39)</f>
        <v>103.716860797989</v>
      </c>
      <c r="BH33" s="37" t="n">
        <f aca="false">BH27*(1-Assumptions!$C$35)+BH28*(1-Assumptions!$C$36)+BH29*(1-Assumptions!$C$37)+BH30*(1-Assumptions!$C$38)+BH31*(1-Assumptions!$C$39)</f>
        <v>107.299058706248</v>
      </c>
      <c r="BI33" s="37" t="n">
        <f aca="false">BI27*(1-Assumptions!$C$35)+BI28*(1-Assumptions!$C$36)+BI29*(1-Assumptions!$C$37)+BI30*(1-Assumptions!$C$38)+BI31*(1-Assumptions!$C$39)</f>
        <v>110.856909301528</v>
      </c>
      <c r="BJ33" s="37" t="n">
        <f aca="false">BJ27*(1-Assumptions!$C$35)+BJ28*(1-Assumptions!$C$36)+BJ29*(1-Assumptions!$C$37)+BJ30*(1-Assumptions!$C$38)+BJ31*(1-Assumptions!$C$39)</f>
        <v>114.424380122704</v>
      </c>
      <c r="BK33" s="37" t="n">
        <f aca="false">BK27*(1-Assumptions!$C$35)+BK28*(1-Assumptions!$C$36)+BK29*(1-Assumptions!$C$37)+BK30*(1-Assumptions!$C$38)+BK31*(1-Assumptions!$C$39)</f>
        <v>117.983118002212</v>
      </c>
    </row>
    <row r="34" customFormat="false" ht="15" hidden="false" customHeight="false" outlineLevel="0" collapsed="false">
      <c r="A34" s="28" t="s">
        <v>584</v>
      </c>
      <c r="B34" s="6" t="s">
        <v>585</v>
      </c>
      <c r="C34" s="42"/>
      <c r="D34" s="26" t="n">
        <f aca="false">D27*Assumptions!$C$35+D28*Assumptions!$C$36+D29*Assumptions!$C$37+D30*Assumptions!$C$38+D31*Assumptions!$C$39</f>
        <v>0</v>
      </c>
      <c r="E34" s="26" t="n">
        <f aca="false">E27*Assumptions!$C$35+E28*Assumptions!$C$36+E29*Assumptions!$C$37+E30*Assumptions!$C$38+E31*Assumptions!$C$39</f>
        <v>0</v>
      </c>
      <c r="F34" s="26" t="n">
        <f aca="false">F27*Assumptions!$C$35+F28*Assumptions!$C$36+F29*Assumptions!$C$37+F30*Assumptions!$C$38+F31*Assumptions!$C$39</f>
        <v>0</v>
      </c>
      <c r="G34" s="26" t="n">
        <f aca="false">G27*Assumptions!$C$35+G28*Assumptions!$C$36+G29*Assumptions!$C$37+G30*Assumptions!$C$38+G31*Assumptions!$C$39</f>
        <v>0</v>
      </c>
      <c r="H34" s="26" t="n">
        <f aca="false">H27*Assumptions!$C$35+H28*Assumptions!$C$36+H29*Assumptions!$C$37+H30*Assumptions!$C$38+H31*Assumptions!$C$39</f>
        <v>0</v>
      </c>
      <c r="I34" s="26" t="n">
        <f aca="false">I27*Assumptions!$C$35+I28*Assumptions!$C$36+I29*Assumptions!$C$37+I30*Assumptions!$C$38+I31*Assumptions!$C$39</f>
        <v>0</v>
      </c>
      <c r="J34" s="26" t="n">
        <f aca="false">J27*Assumptions!$C$35+J28*Assumptions!$C$36+J29*Assumptions!$C$37+J30*Assumptions!$C$38+J31*Assumptions!$C$39</f>
        <v>0</v>
      </c>
      <c r="K34" s="26" t="n">
        <f aca="false">K27*Assumptions!$C$35+K28*Assumptions!$C$36+K29*Assumptions!$C$37+K30*Assumptions!$C$38+K31*Assumptions!$C$39</f>
        <v>0</v>
      </c>
      <c r="L34" s="26" t="n">
        <f aca="false">L27*Assumptions!$C$35+L28*Assumptions!$C$36+L29*Assumptions!$C$37+L30*Assumptions!$C$38+L31*Assumptions!$C$39</f>
        <v>0</v>
      </c>
      <c r="M34" s="26" t="n">
        <f aca="false">M27*Assumptions!$C$35+M28*Assumptions!$C$36+M29*Assumptions!$C$37+M30*Assumptions!$C$38+M31*Assumptions!$C$39</f>
        <v>0</v>
      </c>
      <c r="N34" s="26" t="n">
        <f aca="false">N27*Assumptions!$C$35+N28*Assumptions!$C$36+N29*Assumptions!$C$37+N30*Assumptions!$C$38+N31*Assumptions!$C$39</f>
        <v>0</v>
      </c>
      <c r="O34" s="26" t="n">
        <f aca="false">O27*Assumptions!$C$35+O28*Assumptions!$C$36+O29*Assumptions!$C$37+O30*Assumptions!$C$38+O31*Assumptions!$C$39</f>
        <v>0</v>
      </c>
      <c r="P34" s="26" t="n">
        <f aca="false">P27*Assumptions!$C$35+P28*Assumptions!$C$36+P29*Assumptions!$C$37+P30*Assumptions!$C$38+P31*Assumptions!$C$39</f>
        <v>0</v>
      </c>
      <c r="Q34" s="26" t="n">
        <f aca="false">Q27*Assumptions!$C$35+Q28*Assumptions!$C$36+Q29*Assumptions!$C$37+Q30*Assumptions!$C$38+Q31*Assumptions!$C$39</f>
        <v>0</v>
      </c>
      <c r="R34" s="26" t="n">
        <f aca="false">R27*Assumptions!$C$35+R28*Assumptions!$C$36+R29*Assumptions!$C$37+R30*Assumptions!$C$38+R31*Assumptions!$C$39</f>
        <v>0</v>
      </c>
      <c r="S34" s="26" t="n">
        <f aca="false">S27*Assumptions!$C$35+S28*Assumptions!$C$36+S29*Assumptions!$C$37+S30*Assumptions!$C$38+S31*Assumptions!$C$39</f>
        <v>0</v>
      </c>
      <c r="T34" s="26" t="n">
        <f aca="false">T27*Assumptions!$C$35+T28*Assumptions!$C$36+T29*Assumptions!$C$37+T30*Assumptions!$C$38+T31*Assumptions!$C$39</f>
        <v>0</v>
      </c>
      <c r="U34" s="26" t="n">
        <f aca="false">U27*Assumptions!$C$35+U28*Assumptions!$C$36+U29*Assumptions!$C$37+U30*Assumptions!$C$38+U31*Assumptions!$C$39</f>
        <v>0</v>
      </c>
      <c r="V34" s="26" t="n">
        <f aca="false">V27*Assumptions!$C$35+V28*Assumptions!$C$36+V29*Assumptions!$C$37+V30*Assumptions!$C$38+V31*Assumptions!$C$39</f>
        <v>0</v>
      </c>
      <c r="W34" s="26" t="n">
        <f aca="false">W27*Assumptions!$C$35+W28*Assumptions!$C$36+W29*Assumptions!$C$37+W30*Assumptions!$C$38+W31*Assumptions!$C$39</f>
        <v>0</v>
      </c>
      <c r="X34" s="26" t="n">
        <f aca="false">X27*Assumptions!$C$35+X28*Assumptions!$C$36+X29*Assumptions!$C$37+X30*Assumptions!$C$38+X31*Assumptions!$C$39</f>
        <v>0</v>
      </c>
      <c r="Y34" s="26" t="n">
        <f aca="false">Y27*Assumptions!$C$35+Y28*Assumptions!$C$36+Y29*Assumptions!$C$37+Y30*Assumptions!$C$38+Y31*Assumptions!$C$39</f>
        <v>1.26787564383924</v>
      </c>
      <c r="Z34" s="26" t="n">
        <f aca="false">Z27*Assumptions!$C$35+Z28*Assumptions!$C$36+Z29*Assumptions!$C$37+Z30*Assumptions!$C$38+Z31*Assumptions!$C$39</f>
        <v>2.56850635190311</v>
      </c>
      <c r="AA34" s="26" t="n">
        <f aca="false">AA27*Assumptions!$C$35+AA28*Assumptions!$C$36+AA29*Assumptions!$C$37+AA30*Assumptions!$C$38+AA31*Assumptions!$C$39</f>
        <v>3.89948977882792</v>
      </c>
      <c r="AB34" s="26" t="n">
        <f aca="false">AB27*Assumptions!$C$35+AB28*Assumptions!$C$36+AB29*Assumptions!$C$37+AB30*Assumptions!$C$38+AB31*Assumptions!$C$39</f>
        <v>5.25858994565111</v>
      </c>
      <c r="AC34" s="26" t="n">
        <f aca="false">AC27*Assumptions!$C$35+AC28*Assumptions!$C$36+AC29*Assumptions!$C$37+AC30*Assumptions!$C$38+AC31*Assumptions!$C$39</f>
        <v>6.64372569866421</v>
      </c>
      <c r="AD34" s="26" t="n">
        <f aca="false">AD27*Assumptions!$C$35+AD28*Assumptions!$C$36+AD29*Assumptions!$C$37+AD30*Assumptions!$C$38+AD31*Assumptions!$C$39</f>
        <v>8.05295997650073</v>
      </c>
      <c r="AE34" s="26" t="n">
        <f aca="false">AE27*Assumptions!$C$35+AE28*Assumptions!$C$36+AE29*Assumptions!$C$37+AE30*Assumptions!$C$38+AE31*Assumptions!$C$39</f>
        <v>9.4829492273259</v>
      </c>
      <c r="AF34" s="26" t="n">
        <f aca="false">AF27*Assumptions!$C$35+AF28*Assumptions!$C$36+AF29*Assumptions!$C$37+AF30*Assumptions!$C$38+AF31*Assumptions!$C$39</f>
        <v>10.9706590328531</v>
      </c>
      <c r="AG34" s="26" t="n">
        <f aca="false">AG27*Assumptions!$C$35+AG28*Assumptions!$C$36+AG29*Assumptions!$C$37+AG30*Assumptions!$C$38+AG31*Assumptions!$C$39</f>
        <v>12.5068080967493</v>
      </c>
      <c r="AH34" s="26" t="n">
        <f aca="false">AH27*Assumptions!$C$35+AH28*Assumptions!$C$36+AH29*Assumptions!$C$37+AH30*Assumptions!$C$38+AH31*Assumptions!$C$39</f>
        <v>14.0751297161645</v>
      </c>
      <c r="AI34" s="26" t="n">
        <f aca="false">AI27*Assumptions!$C$35+AI28*Assumptions!$C$36+AI29*Assumptions!$C$37+AI30*Assumptions!$C$38+AI31*Assumptions!$C$39</f>
        <v>15.703803893584</v>
      </c>
      <c r="AJ34" s="26" t="n">
        <f aca="false">AJ27*Assumptions!$C$35+AJ28*Assumptions!$C$36+AJ29*Assumptions!$C$37+AJ30*Assumptions!$C$38+AJ31*Assumptions!$C$39</f>
        <v>17.3770273716249</v>
      </c>
      <c r="AK34" s="26" t="n">
        <f aca="false">AK27*Assumptions!$C$35+AK28*Assumptions!$C$36+AK29*Assumptions!$C$37+AK30*Assumptions!$C$38+AK31*Assumptions!$C$39</f>
        <v>19.077175571367</v>
      </c>
      <c r="AL34" s="26" t="n">
        <f aca="false">AL27*Assumptions!$C$35+AL28*Assumptions!$C$36+AL29*Assumptions!$C$37+AL30*Assumptions!$C$38+AL31*Assumptions!$C$39</f>
        <v>20.8250253683469</v>
      </c>
      <c r="AM34" s="26" t="n">
        <f aca="false">AM27*Assumptions!$C$35+AM28*Assumptions!$C$36+AM29*Assumptions!$C$37+AM30*Assumptions!$C$38+AM31*Assumptions!$C$39</f>
        <v>22.6056967659858</v>
      </c>
      <c r="AN34" s="37" t="n">
        <f aca="false">AN27*Assumptions!$C$35+AN28*Assumptions!$C$36+AN29*Assumptions!$C$37+AN30*Assumptions!$C$38+AN31*Assumptions!$C$39</f>
        <v>24.40242342783</v>
      </c>
      <c r="AO34" s="37" t="n">
        <f aca="false">AO27*Assumptions!$C$35+AO28*Assumptions!$C$36+AO29*Assumptions!$C$37+AO30*Assumptions!$C$38+AO31*Assumptions!$C$39</f>
        <v>26.2367800336392</v>
      </c>
      <c r="AP34" s="37" t="n">
        <f aca="false">AP27*Assumptions!$C$35+AP28*Assumptions!$C$36+AP29*Assumptions!$C$37+AP30*Assumptions!$C$38+AP31*Assumptions!$C$39</f>
        <v>28.0946282086471</v>
      </c>
      <c r="AQ34" s="37" t="n">
        <f aca="false">AQ27*Assumptions!$C$35+AQ28*Assumptions!$C$36+AQ29*Assumptions!$C$37+AQ30*Assumptions!$C$38+AQ31*Assumptions!$C$39</f>
        <v>29.9598910104279</v>
      </c>
      <c r="AR34" s="37" t="n">
        <f aca="false">AR27*Assumptions!$C$35+AR28*Assumptions!$C$36+AR29*Assumptions!$C$37+AR30*Assumptions!$C$38+AR31*Assumptions!$C$39</f>
        <v>31.8547839598132</v>
      </c>
      <c r="AS34" s="37" t="n">
        <f aca="false">AS27*Assumptions!$C$35+AS28*Assumptions!$C$36+AS29*Assumptions!$C$37+AS30*Assumptions!$C$38+AS31*Assumptions!$C$39</f>
        <v>33.7642237839881</v>
      </c>
      <c r="AT34" s="37" t="n">
        <f aca="false">AT27*Assumptions!$C$35+AT28*Assumptions!$C$36+AT29*Assumptions!$C$37+AT30*Assumptions!$C$38+AT31*Assumptions!$C$39</f>
        <v>35.6728159573567</v>
      </c>
      <c r="AU34" s="37" t="n">
        <f aca="false">AU27*Assumptions!$C$35+AU28*Assumptions!$C$36+AU29*Assumptions!$C$37+AU30*Assumptions!$C$38+AU31*Assumptions!$C$39</f>
        <v>37.6034101210922</v>
      </c>
      <c r="AV34" s="37" t="n">
        <f aca="false">AV27*Assumptions!$C$35+AV28*Assumptions!$C$36+AV29*Assumptions!$C$37+AV30*Assumptions!$C$38+AV31*Assumptions!$C$39</f>
        <v>39.5415122235066</v>
      </c>
      <c r="AW34" s="37" t="n">
        <f aca="false">AW27*Assumptions!$C$35+AW28*Assumptions!$C$36+AW29*Assumptions!$C$37+AW30*Assumptions!$C$38+AW31*Assumptions!$C$39</f>
        <v>41.4722752181254</v>
      </c>
      <c r="AX34" s="37" t="n">
        <f aca="false">AX27*Assumptions!$C$35+AX28*Assumptions!$C$36+AX29*Assumptions!$C$37+AX30*Assumptions!$C$38+AX31*Assumptions!$C$39</f>
        <v>43.4190574174294</v>
      </c>
      <c r="AY34" s="37" t="n">
        <f aca="false">AY27*Assumptions!$C$35+AY28*Assumptions!$C$36+AY29*Assumptions!$C$37+AY30*Assumptions!$C$38+AY31*Assumptions!$C$39</f>
        <v>45.367837360225</v>
      </c>
      <c r="AZ34" s="37" t="n">
        <f aca="false">AZ27*Assumptions!$C$35+AZ28*Assumptions!$C$36+AZ29*Assumptions!$C$37+AZ30*Assumptions!$C$38+AZ31*Assumptions!$C$39</f>
        <v>47.3042070442337</v>
      </c>
      <c r="BA34" s="37" t="n">
        <f aca="false">BA27*Assumptions!$C$35+BA28*Assumptions!$C$36+BA29*Assumptions!$C$37+BA30*Assumptions!$C$38+BA31*Assumptions!$C$39</f>
        <v>49.2519326355147</v>
      </c>
      <c r="BB34" s="37" t="n">
        <f aca="false">BB27*Assumptions!$C$35+BB28*Assumptions!$C$36+BB29*Assumptions!$C$37+BB30*Assumptions!$C$38+BB31*Assumptions!$C$39</f>
        <v>51.1973715253689</v>
      </c>
      <c r="BC34" s="37" t="n">
        <f aca="false">BC27*Assumptions!$C$35+BC28*Assumptions!$C$36+BC29*Assumptions!$C$37+BC30*Assumptions!$C$38+BC31*Assumptions!$C$39</f>
        <v>53.1249269970094</v>
      </c>
      <c r="BD34" s="37" t="n">
        <f aca="false">BD27*Assumptions!$C$35+BD28*Assumptions!$C$36+BD29*Assumptions!$C$37+BD30*Assumptions!$C$38+BD31*Assumptions!$C$39</f>
        <v>55.0588207072497</v>
      </c>
      <c r="BE34" s="37" t="n">
        <f aca="false">BE27*Assumptions!$C$35+BE28*Assumptions!$C$36+BE29*Assumptions!$C$37+BE30*Assumptions!$C$38+BE31*Assumptions!$C$39</f>
        <v>56.9858329413359</v>
      </c>
      <c r="BF34" s="37" t="n">
        <f aca="false">BF27*Assumptions!$C$35+BF28*Assumptions!$C$36+BF29*Assumptions!$C$37+BF30*Assumptions!$C$38+BF31*Assumptions!$C$39</f>
        <v>58.8907595707309</v>
      </c>
      <c r="BG34" s="37" t="n">
        <f aca="false">BG27*Assumptions!$C$35+BG28*Assumptions!$C$36+BG29*Assumptions!$C$37+BG30*Assumptions!$C$38+BG31*Assumptions!$C$39</f>
        <v>60.7981866643689</v>
      </c>
      <c r="BH34" s="37" t="n">
        <f aca="false">BH27*Assumptions!$C$35+BH28*Assumptions!$C$36+BH29*Assumptions!$C$37+BH30*Assumptions!$C$38+BH31*Assumptions!$C$39</f>
        <v>62.6952327229593</v>
      </c>
      <c r="BI34" s="37" t="n">
        <f aca="false">BI27*Assumptions!$C$35+BI28*Assumptions!$C$36+BI29*Assumptions!$C$37+BI30*Assumptions!$C$38+BI31*Assumptions!$C$39</f>
        <v>64.5670074767808</v>
      </c>
      <c r="BJ34" s="37" t="n">
        <f aca="false">BJ27*Assumptions!$C$35+BJ28*Assumptions!$C$36+BJ29*Assumptions!$C$37+BJ30*Assumptions!$C$38+BJ31*Assumptions!$C$39</f>
        <v>66.4383882073624</v>
      </c>
      <c r="BK34" s="37" t="n">
        <f aca="false">BK27*Assumptions!$C$35+BK28*Assumptions!$C$36+BK29*Assumptions!$C$37+BK30*Assumptions!$C$38+BK31*Assumptions!$C$39</f>
        <v>68.2967635718071</v>
      </c>
    </row>
    <row r="35" customFormat="false" ht="15" hidden="false" customHeight="false" outlineLevel="0" collapsed="false">
      <c r="A35" s="28" t="s">
        <v>586</v>
      </c>
      <c r="B35" s="6" t="s">
        <v>587</v>
      </c>
      <c r="C35" s="42"/>
      <c r="D35" s="26" t="n">
        <f aca="false">MAX(0,D32-C32*(1-Assumptions!$C$41))</f>
        <v>0</v>
      </c>
      <c r="E35" s="26" t="n">
        <f aca="false">MAX(0,E32-D32*(1-Assumptions!$C$41))</f>
        <v>0</v>
      </c>
      <c r="F35" s="26" t="n">
        <f aca="false">MAX(0,F32-E32*(1-Assumptions!$C$41))</f>
        <v>0</v>
      </c>
      <c r="G35" s="26" t="n">
        <f aca="false">MAX(0,G32-F32*(1-Assumptions!$C$41))</f>
        <v>0</v>
      </c>
      <c r="H35" s="26" t="n">
        <f aca="false">MAX(0,H32-G32*(1-Assumptions!$C$41))</f>
        <v>0</v>
      </c>
      <c r="I35" s="26" t="n">
        <f aca="false">MAX(0,I32-H32*(1-Assumptions!$C$41))</f>
        <v>0</v>
      </c>
      <c r="J35" s="26" t="n">
        <f aca="false">MAX(0,J32-I32*(1-Assumptions!$C$41))</f>
        <v>0</v>
      </c>
      <c r="K35" s="26" t="n">
        <f aca="false">MAX(0,K32-J32*(1-Assumptions!$C$41))</f>
        <v>0</v>
      </c>
      <c r="L35" s="26" t="n">
        <f aca="false">MAX(0,L32-K32*(1-Assumptions!$C$41))</f>
        <v>0</v>
      </c>
      <c r="M35" s="26" t="n">
        <f aca="false">MAX(0,M32-L32*(1-Assumptions!$C$41))</f>
        <v>0</v>
      </c>
      <c r="N35" s="26" t="n">
        <f aca="false">MAX(0,N32-M32*(1-Assumptions!$C$41))</f>
        <v>0</v>
      </c>
      <c r="O35" s="26" t="n">
        <f aca="false">MAX(0,O32-N32*(1-Assumptions!$C$41))</f>
        <v>0</v>
      </c>
      <c r="P35" s="26" t="n">
        <f aca="false">MAX(0,P32-O32*(1-Assumptions!$C$41))</f>
        <v>0</v>
      </c>
      <c r="Q35" s="26" t="n">
        <f aca="false">MAX(0,Q32-P32*(1-Assumptions!$C$41))</f>
        <v>0</v>
      </c>
      <c r="R35" s="26" t="n">
        <f aca="false">MAX(0,R32-Q32*(1-Assumptions!$C$41))</f>
        <v>0</v>
      </c>
      <c r="S35" s="26" t="n">
        <f aca="false">MAX(0,S32-R32*(1-Assumptions!$C$41))</f>
        <v>0</v>
      </c>
      <c r="T35" s="26" t="n">
        <f aca="false">MAX(0,T32-S32*(1-Assumptions!$C$41))</f>
        <v>0</v>
      </c>
      <c r="U35" s="26" t="n">
        <f aca="false">MAX(0,U32-T32*(1-Assumptions!$C$41))</f>
        <v>0</v>
      </c>
      <c r="V35" s="26" t="n">
        <f aca="false">MAX(0,V32-U32*(1-Assumptions!$C$41))</f>
        <v>0</v>
      </c>
      <c r="W35" s="26" t="n">
        <f aca="false">MAX(0,W32-V32*(1-Assumptions!$C$41))</f>
        <v>0</v>
      </c>
      <c r="X35" s="26" t="n">
        <f aca="false">MAX(0,X32-W32*(1-Assumptions!$C$41))</f>
        <v>0</v>
      </c>
      <c r="Y35" s="26" t="n">
        <f aca="false">MAX(0,Y32-X32*(1-Assumptions!$C$41))</f>
        <v>3.06349271917113</v>
      </c>
      <c r="Z35" s="26" t="n">
        <f aca="false">MAX(0,Z32-Y32*(1-Assumptions!$C$41))</f>
        <v>3.27080584282723</v>
      </c>
      <c r="AA35" s="26" t="n">
        <f aca="false">MAX(0,AA32-Z32*(1-Assumptions!$C$41))</f>
        <v>3.47497107552758</v>
      </c>
      <c r="AB35" s="26" t="n">
        <f aca="false">MAX(0,AB32-AA32*(1-Assumptions!$C$41))</f>
        <v>3.67616273591497</v>
      </c>
      <c r="AC35" s="26" t="n">
        <f aca="false">MAX(0,AC32-AB32*(1-Assumptions!$C$41))</f>
        <v>3.8745445640853</v>
      </c>
      <c r="AD35" s="26" t="n">
        <f aca="false">MAX(0,AD32-AC32*(1-Assumptions!$C$41))</f>
        <v>4.07027039822936</v>
      </c>
      <c r="AE35" s="26" t="n">
        <f aca="false">MAX(0,AE32-AD32*(1-Assumptions!$C$41))</f>
        <v>4.25976234343093</v>
      </c>
      <c r="AF35" s="26" t="n">
        <f aca="false">MAX(0,AF32-AE32*(1-Assumptions!$C$41))</f>
        <v>4.5400955054182</v>
      </c>
      <c r="AG35" s="26" t="n">
        <f aca="false">MAX(0,AG32-AF32*(1-Assumptions!$C$41))</f>
        <v>4.80328057666907</v>
      </c>
      <c r="AH35" s="26" t="n">
        <f aca="false">MAX(0,AH32-AG32*(1-Assumptions!$C$41))</f>
        <v>5.03149839763579</v>
      </c>
      <c r="AI35" s="26" t="n">
        <f aca="false">MAX(0,AI32-AH32*(1-Assumptions!$C$41))</f>
        <v>5.33050092797926</v>
      </c>
      <c r="AJ35" s="26" t="n">
        <f aca="false">MAX(0,AJ32-AI32*(1-Assumptions!$C$41))</f>
        <v>5.59687342026218</v>
      </c>
      <c r="AK35" s="26" t="n">
        <f aca="false">MAX(0,AK32-AJ32*(1-Assumptions!$C$41))</f>
        <v>5.82461319587459</v>
      </c>
      <c r="AL35" s="26" t="n">
        <f aca="false">MAX(0,AL32-AK32*(1-Assumptions!$C$41))</f>
        <v>6.10472973673531</v>
      </c>
      <c r="AM35" s="26" t="n">
        <f aca="false">MAX(0,AM32-AL32*(1-Assumptions!$C$41))</f>
        <v>6.35318066819429</v>
      </c>
      <c r="AN35" s="37" t="n">
        <f aca="false">MAX(0,AN32-AM32*(1-Assumptions!$C$41))</f>
        <v>6.56390545264344</v>
      </c>
      <c r="AO35" s="37" t="n">
        <f aca="false">MAX(0,AO32-AN32*(1-Assumptions!$C$41))</f>
        <v>6.82785944101946</v>
      </c>
      <c r="AP35" s="37" t="n">
        <f aca="false">MAX(0,AP32-AO32*(1-Assumptions!$C$41))</f>
        <v>7.06094960636722</v>
      </c>
      <c r="AQ35" s="37" t="n">
        <f aca="false">MAX(0,AQ32-AP32*(1-Assumptions!$C$41))</f>
        <v>7.25706800517654</v>
      </c>
      <c r="AR35" s="37" t="n">
        <f aca="false">MAX(0,AR32-AQ32*(1-Assumptions!$C$41))</f>
        <v>7.50712561248881</v>
      </c>
      <c r="AS35" s="37" t="n">
        <f aca="false">MAX(0,AS32-AR32*(1-Assumptions!$C$41))</f>
        <v>7.72326539082204</v>
      </c>
      <c r="AT35" s="37" t="n">
        <f aca="false">MAX(0,AT32-AS32*(1-Assumptions!$C$41))</f>
        <v>7.90321813189298</v>
      </c>
      <c r="AU35" s="37" t="n">
        <f aca="false">MAX(0,AU32-AT32*(1-Assumptions!$C$41))</f>
        <v>8.13784974709284</v>
      </c>
      <c r="AV35" s="37" t="n">
        <f aca="false">MAX(0,AV32-AU32*(1-Assumptions!$C$41))</f>
        <v>8.33926098010825</v>
      </c>
      <c r="AW35" s="37" t="n">
        <f aca="false">MAX(0,AW32-AV32*(1-Assumptions!$C$41))</f>
        <v>8.5051430605691</v>
      </c>
      <c r="AX35" s="37" t="n">
        <f aca="false">MAX(0,AX32-AW32*(1-Assumptions!$C$41))</f>
        <v>8.72632481922547</v>
      </c>
      <c r="AY35" s="37" t="n">
        <f aca="false">MAX(0,AY32-AX32*(1-Assumptions!$C$41))</f>
        <v>8.91487223716227</v>
      </c>
      <c r="AZ35" s="37" t="n">
        <f aca="false">MAX(0,AZ32-AY32*(1-Assumptions!$C$41))</f>
        <v>9.06844394711138</v>
      </c>
      <c r="BA35" s="37" t="n">
        <f aca="false">MAX(0,BA32-AZ32*(1-Assumptions!$C$41))</f>
        <v>9.27783820659988</v>
      </c>
      <c r="BB35" s="37" t="n">
        <f aca="false">MAX(0,BB32-BA32*(1-Assumptions!$C$41))</f>
        <v>9.45509231473208</v>
      </c>
      <c r="BC35" s="37" t="n">
        <f aca="false">MAX(0,BC32-BB32*(1-Assumptions!$C$41))</f>
        <v>9.59411552698529</v>
      </c>
      <c r="BD35" s="37" t="n">
        <f aca="false">MAX(0,BD32-BC32*(1-Assumptions!$C$41))</f>
        <v>9.78955848143551</v>
      </c>
      <c r="BE35" s="37" t="n">
        <f aca="false">MAX(0,BE32-BD32*(1-Assumptions!$C$41))</f>
        <v>9.95342613855092</v>
      </c>
      <c r="BF35" s="37" t="n">
        <f aca="false">MAX(0,BF32-BE32*(1-Assumptions!$C$41))</f>
        <v>10.079597402631</v>
      </c>
      <c r="BG35" s="37" t="n">
        <f aca="false">MAX(0,BG32-BF32*(1-Assumptions!$C$41))</f>
        <v>10.2626944185395</v>
      </c>
      <c r="BH35" s="37" t="n">
        <f aca="false">MAX(0,BH32-BG32*(1-Assumptions!$C$41))</f>
        <v>10.4146953907204</v>
      </c>
      <c r="BI35" s="37" t="n">
        <f aca="false">MAX(0,BI32-BH32*(1-Assumptions!$C$41))</f>
        <v>10.5294540919777</v>
      </c>
      <c r="BJ35" s="37" t="n">
        <f aca="false">MAX(0,BJ32-BI32*(1-Assumptions!$C$41))</f>
        <v>10.7015690551073</v>
      </c>
      <c r="BK35" s="37" t="n">
        <f aca="false">MAX(0,BK32-BJ32*(1-Assumptions!$C$41))</f>
        <v>10.8429962938542</v>
      </c>
    </row>
    <row r="36" customFormat="false" ht="15" hidden="false" customHeight="false" outlineLevel="0" collapsed="false">
      <c r="B36" s="5" t="s">
        <v>588</v>
      </c>
    </row>
    <row r="37" customFormat="false" ht="15" hidden="false" customHeight="false" outlineLevel="0" collapsed="false">
      <c r="A37" s="28" t="s">
        <v>589</v>
      </c>
      <c r="B37" s="6" t="s">
        <v>590</v>
      </c>
      <c r="C37" s="43"/>
      <c r="D37" s="17" t="n">
        <f aca="false">D33*Assumptions!$C$42</f>
        <v>0</v>
      </c>
      <c r="E37" s="17" t="n">
        <f aca="false">E33*Assumptions!$C$42</f>
        <v>0</v>
      </c>
      <c r="F37" s="17" t="n">
        <f aca="false">F33*Assumptions!$C$42</f>
        <v>0</v>
      </c>
      <c r="G37" s="17" t="n">
        <f aca="false">G33*Assumptions!$C$42</f>
        <v>0</v>
      </c>
      <c r="H37" s="17" t="n">
        <f aca="false">H33*Assumptions!$C$42</f>
        <v>0</v>
      </c>
      <c r="I37" s="17" t="n">
        <f aca="false">I33*Assumptions!$C$42</f>
        <v>0</v>
      </c>
      <c r="J37" s="17" t="n">
        <f aca="false">J33*Assumptions!$C$42</f>
        <v>0</v>
      </c>
      <c r="K37" s="17" t="n">
        <f aca="false">K33*Assumptions!$C$42</f>
        <v>0</v>
      </c>
      <c r="L37" s="17" t="n">
        <f aca="false">L33*Assumptions!$C$42</f>
        <v>0</v>
      </c>
      <c r="M37" s="17" t="n">
        <f aca="false">M33*Assumptions!$C$42</f>
        <v>0</v>
      </c>
      <c r="N37" s="17" t="n">
        <f aca="false">N33*Assumptions!$C$42</f>
        <v>0</v>
      </c>
      <c r="O37" s="17" t="n">
        <f aca="false">O33*Assumptions!$C$42</f>
        <v>0</v>
      </c>
      <c r="P37" s="17" t="n">
        <f aca="false">P33*Assumptions!$C$42</f>
        <v>0</v>
      </c>
      <c r="Q37" s="17" t="n">
        <f aca="false">Q33*Assumptions!$C$42</f>
        <v>0</v>
      </c>
      <c r="R37" s="17" t="n">
        <f aca="false">R33*Assumptions!$C$42</f>
        <v>0</v>
      </c>
      <c r="S37" s="17" t="n">
        <f aca="false">S33*Assumptions!$C$42</f>
        <v>0</v>
      </c>
      <c r="T37" s="17" t="n">
        <f aca="false">T33*Assumptions!$C$42</f>
        <v>0</v>
      </c>
      <c r="U37" s="17" t="n">
        <f aca="false">U33*Assumptions!$C$42</f>
        <v>0</v>
      </c>
      <c r="V37" s="17" t="n">
        <f aca="false">V33*Assumptions!$C$42</f>
        <v>0</v>
      </c>
      <c r="W37" s="17" t="n">
        <f aca="false">W33*Assumptions!$C$42</f>
        <v>0</v>
      </c>
      <c r="X37" s="17" t="n">
        <f aca="false">X33*Assumptions!$C$42</f>
        <v>0</v>
      </c>
      <c r="Y37" s="17" t="n">
        <f aca="false">Y33*Assumptions!$C$42</f>
        <v>70.0290659379438</v>
      </c>
      <c r="Z37" s="17" t="n">
        <f aca="false">Z33*Assumptions!$C$42</f>
        <v>143.281609712284</v>
      </c>
      <c r="AA37" s="17" t="n">
        <f aca="false">AA33*Assumptions!$C$42</f>
        <v>219.593527284697</v>
      </c>
      <c r="AB37" s="17" t="n">
        <f aca="false">AB33*Assumptions!$C$42</f>
        <v>298.808758619507</v>
      </c>
      <c r="AC37" s="17" t="n">
        <f aca="false">AC33*Assumptions!$C$42</f>
        <v>380.778889256326</v>
      </c>
      <c r="AD37" s="17" t="n">
        <f aca="false">AD33*Assumptions!$C$42</f>
        <v>465.36277220652</v>
      </c>
      <c r="AE37" s="17" t="n">
        <f aca="false">AE33*Assumptions!$C$42</f>
        <v>552.341076479443</v>
      </c>
      <c r="AF37" s="17" t="n">
        <f aca="false">AF33*Assumptions!$C$42</f>
        <v>643.718835884836</v>
      </c>
      <c r="AG37" s="17" t="n">
        <f aca="false">AG33*Assumptions!$C$42</f>
        <v>738.989728737996</v>
      </c>
      <c r="AH37" s="17" t="n">
        <f aca="false">AH33*Assumptions!$C$42</f>
        <v>837.250965753261</v>
      </c>
      <c r="AI37" s="17" t="n">
        <f aca="false">AI33*Assumptions!$C$42</f>
        <v>940.036778284581</v>
      </c>
      <c r="AJ37" s="17" t="n">
        <f aca="false">AJ33*Assumptions!$C$42</f>
        <v>1046.48457212718</v>
      </c>
      <c r="AK37" s="17" t="n">
        <f aca="false">AK33*Assumptions!$C$42</f>
        <v>1155.61304778773</v>
      </c>
      <c r="AL37" s="17" t="n">
        <f aca="false">AL33*Assumptions!$C$42</f>
        <v>1268.54267858606</v>
      </c>
      <c r="AM37" s="17" t="n">
        <f aca="false">AM33*Assumptions!$C$42</f>
        <v>1384.44898009917</v>
      </c>
      <c r="AN37" s="44" t="n">
        <f aca="false">AN33*Assumptions!$C$42</f>
        <v>1502.38681832117</v>
      </c>
      <c r="AO37" s="44" t="n">
        <f aca="false">AO33*Assumptions!$C$42</f>
        <v>1623.51098893417</v>
      </c>
      <c r="AP37" s="44" t="n">
        <f aca="false">AP33*Assumptions!$C$42</f>
        <v>1747.0295824498</v>
      </c>
      <c r="AQ37" s="44" t="n">
        <f aca="false">AQ33*Assumptions!$C$42</f>
        <v>1872.02838290462</v>
      </c>
      <c r="AR37" s="44" t="n">
        <f aca="false">AR33*Assumptions!$C$42</f>
        <v>1999.69153279632</v>
      </c>
      <c r="AS37" s="44" t="n">
        <f aca="false">AS33*Assumptions!$C$42</f>
        <v>2129.16988667869</v>
      </c>
      <c r="AT37" s="44" t="n">
        <f aca="false">AT33*Assumptions!$C$42</f>
        <v>2259.58106063351</v>
      </c>
      <c r="AU37" s="44" t="n">
        <f aca="false">AU33*Assumptions!$C$42</f>
        <v>2392.13940189533</v>
      </c>
      <c r="AV37" s="44" t="n">
        <f aca="false">AV33*Assumptions!$C$42</f>
        <v>2526.02442622686</v>
      </c>
      <c r="AW37" s="44" t="n">
        <f aca="false">AW33*Assumptions!$C$42</f>
        <v>2660.38094671061</v>
      </c>
      <c r="AX37" s="44" t="n">
        <f aca="false">AX33*Assumptions!$C$42</f>
        <v>2796.44911848102</v>
      </c>
      <c r="AY37" s="44" t="n">
        <f aca="false">AY33*Assumptions!$C$42</f>
        <v>2933.4329472285</v>
      </c>
      <c r="AZ37" s="44" t="n">
        <f aca="false">AZ33*Assumptions!$C$42</f>
        <v>3070.50048536119</v>
      </c>
      <c r="BA37" s="44" t="n">
        <f aca="false">BA33*Assumptions!$C$42</f>
        <v>3208.91394055603</v>
      </c>
      <c r="BB37" s="44" t="n">
        <f aca="false">BB33*Assumptions!$C$42</f>
        <v>3347.89824472604</v>
      </c>
      <c r="BC37" s="44" t="n">
        <f aca="false">BC33*Assumptions!$C$42</f>
        <v>3486.55621485802</v>
      </c>
      <c r="BD37" s="44" t="n">
        <f aca="false">BD33*Assumptions!$C$42</f>
        <v>3626.17428990239</v>
      </c>
      <c r="BE37" s="44" t="n">
        <f aca="false">BE33*Assumptions!$C$42</f>
        <v>3766.00038325196</v>
      </c>
      <c r="BF37" s="44" t="n">
        <f aca="false">BF33*Assumptions!$C$42</f>
        <v>3905.15910736924</v>
      </c>
      <c r="BG37" s="44" t="n">
        <f aca="false">BG33*Assumptions!$C$42</f>
        <v>4044.95757112157</v>
      </c>
      <c r="BH37" s="44" t="n">
        <f aca="false">BH33*Assumptions!$C$42</f>
        <v>4184.66328954368</v>
      </c>
      <c r="BI37" s="44" t="n">
        <f aca="false">BI33*Assumptions!$C$42</f>
        <v>4323.4194627596</v>
      </c>
      <c r="BJ37" s="44" t="n">
        <f aca="false">BJ33*Assumptions!$C$42</f>
        <v>4462.55082478547</v>
      </c>
      <c r="BK37" s="44" t="n">
        <f aca="false">BK33*Assumptions!$C$42</f>
        <v>4601.34160208627</v>
      </c>
    </row>
    <row r="38" customFormat="false" ht="15" hidden="false" customHeight="false" outlineLevel="0" collapsed="false">
      <c r="A38" s="28" t="s">
        <v>591</v>
      </c>
      <c r="B38" s="6" t="s">
        <v>592</v>
      </c>
      <c r="C38" s="43"/>
      <c r="D38" s="17" t="n">
        <f aca="false">D34*Assumptions!$C$43</f>
        <v>0</v>
      </c>
      <c r="E38" s="17" t="n">
        <f aca="false">E34*Assumptions!$C$43</f>
        <v>0</v>
      </c>
      <c r="F38" s="17" t="n">
        <f aca="false">F34*Assumptions!$C$43</f>
        <v>0</v>
      </c>
      <c r="G38" s="17" t="n">
        <f aca="false">G34*Assumptions!$C$43</f>
        <v>0</v>
      </c>
      <c r="H38" s="17" t="n">
        <f aca="false">H34*Assumptions!$C$43</f>
        <v>0</v>
      </c>
      <c r="I38" s="17" t="n">
        <f aca="false">I34*Assumptions!$C$43</f>
        <v>0</v>
      </c>
      <c r="J38" s="17" t="n">
        <f aca="false">J34*Assumptions!$C$43</f>
        <v>0</v>
      </c>
      <c r="K38" s="17" t="n">
        <f aca="false">K34*Assumptions!$C$43</f>
        <v>0</v>
      </c>
      <c r="L38" s="17" t="n">
        <f aca="false">L34*Assumptions!$C$43</f>
        <v>0</v>
      </c>
      <c r="M38" s="17" t="n">
        <f aca="false">M34*Assumptions!$C$43</f>
        <v>0</v>
      </c>
      <c r="N38" s="17" t="n">
        <f aca="false">N34*Assumptions!$C$43</f>
        <v>0</v>
      </c>
      <c r="O38" s="17" t="n">
        <f aca="false">O34*Assumptions!$C$43</f>
        <v>0</v>
      </c>
      <c r="P38" s="17" t="n">
        <f aca="false">P34*Assumptions!$C$43</f>
        <v>0</v>
      </c>
      <c r="Q38" s="17" t="n">
        <f aca="false">Q34*Assumptions!$C$43</f>
        <v>0</v>
      </c>
      <c r="R38" s="17" t="n">
        <f aca="false">R34*Assumptions!$C$43</f>
        <v>0</v>
      </c>
      <c r="S38" s="17" t="n">
        <f aca="false">S34*Assumptions!$C$43</f>
        <v>0</v>
      </c>
      <c r="T38" s="17" t="n">
        <f aca="false">T34*Assumptions!$C$43</f>
        <v>0</v>
      </c>
      <c r="U38" s="17" t="n">
        <f aca="false">U34*Assumptions!$C$43</f>
        <v>0</v>
      </c>
      <c r="V38" s="17" t="n">
        <f aca="false">V34*Assumptions!$C$43</f>
        <v>0</v>
      </c>
      <c r="W38" s="17" t="n">
        <f aca="false">W34*Assumptions!$C$43</f>
        <v>0</v>
      </c>
      <c r="X38" s="17" t="n">
        <f aca="false">X34*Assumptions!$C$43</f>
        <v>0</v>
      </c>
      <c r="Y38" s="17" t="n">
        <f aca="false">Y34*Assumptions!$C$43</f>
        <v>100.1621758633</v>
      </c>
      <c r="Z38" s="17" t="n">
        <f aca="false">Z34*Assumptions!$C$43</f>
        <v>202.912001800346</v>
      </c>
      <c r="AA38" s="17" t="n">
        <f aca="false">AA34*Assumptions!$C$43</f>
        <v>308.059692527406</v>
      </c>
      <c r="AB38" s="17" t="n">
        <f aca="false">AB34*Assumptions!$C$43</f>
        <v>415.428605706438</v>
      </c>
      <c r="AC38" s="17" t="n">
        <f aca="false">AC34*Assumptions!$C$43</f>
        <v>524.854330194472</v>
      </c>
      <c r="AD38" s="17" t="n">
        <f aca="false">AD34*Assumptions!$C$43</f>
        <v>636.183838143558</v>
      </c>
      <c r="AE38" s="17" t="n">
        <f aca="false">AE34*Assumptions!$C$43</f>
        <v>749.152988958746</v>
      </c>
      <c r="AF38" s="17" t="n">
        <f aca="false">AF34*Assumptions!$C$43</f>
        <v>866.682063595397</v>
      </c>
      <c r="AG38" s="17" t="n">
        <f aca="false">AG34*Assumptions!$C$43</f>
        <v>988.037839643193</v>
      </c>
      <c r="AH38" s="17" t="n">
        <f aca="false">AH34*Assumptions!$C$43</f>
        <v>1111.935247577</v>
      </c>
      <c r="AI38" s="17" t="n">
        <f aca="false">AI34*Assumptions!$C$43</f>
        <v>1240.60050759314</v>
      </c>
      <c r="AJ38" s="17" t="n">
        <f aca="false">AJ34*Assumptions!$C$43</f>
        <v>1372.78516235837</v>
      </c>
      <c r="AK38" s="17" t="n">
        <f aca="false">AK34*Assumptions!$C$43</f>
        <v>1507.096870138</v>
      </c>
      <c r="AL38" s="17" t="n">
        <f aca="false">AL34*Assumptions!$C$43</f>
        <v>1645.17700409941</v>
      </c>
      <c r="AM38" s="17" t="n">
        <f aca="false">AM34*Assumptions!$C$43</f>
        <v>1785.85004451288</v>
      </c>
      <c r="AN38" s="44" t="n">
        <f aca="false">AN34*Assumptions!$C$43</f>
        <v>1927.79145079857</v>
      </c>
      <c r="AO38" s="44" t="n">
        <f aca="false">AO34*Assumptions!$C$43</f>
        <v>2072.70562265749</v>
      </c>
      <c r="AP38" s="44" t="n">
        <f aca="false">AP34*Assumptions!$C$43</f>
        <v>2219.47562848312</v>
      </c>
      <c r="AQ38" s="44" t="n">
        <f aca="false">AQ34*Assumptions!$C$43</f>
        <v>2366.83138982381</v>
      </c>
      <c r="AR38" s="44" t="n">
        <f aca="false">AR34*Assumptions!$C$43</f>
        <v>2516.52793282524</v>
      </c>
      <c r="AS38" s="44" t="n">
        <f aca="false">AS34*Assumptions!$C$43</f>
        <v>2667.37367893506</v>
      </c>
      <c r="AT38" s="44" t="n">
        <f aca="false">AT34*Assumptions!$C$43</f>
        <v>2818.15246063118</v>
      </c>
      <c r="AU38" s="44" t="n">
        <f aca="false">AU34*Assumptions!$C$43</f>
        <v>2970.66939956629</v>
      </c>
      <c r="AV38" s="44" t="n">
        <f aca="false">AV34*Assumptions!$C$43</f>
        <v>3123.77946565702</v>
      </c>
      <c r="AW38" s="44" t="n">
        <f aca="false">AW34*Assumptions!$C$43</f>
        <v>3276.30974223191</v>
      </c>
      <c r="AX38" s="44" t="n">
        <f aca="false">AX34*Assumptions!$C$43</f>
        <v>3430.10553597692</v>
      </c>
      <c r="AY38" s="44" t="n">
        <f aca="false">AY34*Assumptions!$C$43</f>
        <v>3584.05915145778</v>
      </c>
      <c r="AZ38" s="44" t="n">
        <f aca="false">AZ34*Assumptions!$C$43</f>
        <v>3737.03235649446</v>
      </c>
      <c r="BA38" s="44" t="n">
        <f aca="false">BA34*Assumptions!$C$43</f>
        <v>3890.90267820566</v>
      </c>
      <c r="BB38" s="44" t="n">
        <f aca="false">BB34*Assumptions!$C$43</f>
        <v>4044.59235050414</v>
      </c>
      <c r="BC38" s="44" t="n">
        <f aca="false">BC34*Assumptions!$C$43</f>
        <v>4196.86923276375</v>
      </c>
      <c r="BD38" s="44" t="n">
        <f aca="false">BD34*Assumptions!$C$43</f>
        <v>4349.64683587272</v>
      </c>
      <c r="BE38" s="44" t="n">
        <f aca="false">BE34*Assumptions!$C$43</f>
        <v>4501.88080236554</v>
      </c>
      <c r="BF38" s="44" t="n">
        <f aca="false">BF34*Assumptions!$C$43</f>
        <v>4652.37000608774</v>
      </c>
      <c r="BG38" s="44" t="n">
        <f aca="false">BG34*Assumptions!$C$43</f>
        <v>4803.05674648514</v>
      </c>
      <c r="BH38" s="44" t="n">
        <f aca="false">BH34*Assumptions!$C$43</f>
        <v>4952.92338511378</v>
      </c>
      <c r="BI38" s="44" t="n">
        <f aca="false">BI34*Assumptions!$C$43</f>
        <v>5100.79359066568</v>
      </c>
      <c r="BJ38" s="44" t="n">
        <f aca="false">BJ34*Assumptions!$C$43</f>
        <v>5248.63266838163</v>
      </c>
      <c r="BK38" s="44" t="n">
        <f aca="false">BK34*Assumptions!$C$43</f>
        <v>5395.44432217276</v>
      </c>
    </row>
    <row r="39" customFormat="false" ht="15" hidden="false" customHeight="false" outlineLevel="0" collapsed="false">
      <c r="A39" s="28" t="s">
        <v>593</v>
      </c>
      <c r="B39" s="6" t="s">
        <v>594</v>
      </c>
      <c r="C39" s="43"/>
      <c r="D39" s="17" t="n">
        <f aca="false">(D33*Assumptions!$C$46+D34*Assumptions!$C$47)*Assumptions!$C$45</f>
        <v>0</v>
      </c>
      <c r="E39" s="17" t="n">
        <f aca="false">(E33*Assumptions!$C$46+E34*Assumptions!$C$47)*Assumptions!$C$45</f>
        <v>0</v>
      </c>
      <c r="F39" s="17" t="n">
        <f aca="false">(F33*Assumptions!$C$46+F34*Assumptions!$C$47)*Assumptions!$C$45</f>
        <v>0</v>
      </c>
      <c r="G39" s="17" t="n">
        <f aca="false">(G33*Assumptions!$C$46+G34*Assumptions!$C$47)*Assumptions!$C$45</f>
        <v>0</v>
      </c>
      <c r="H39" s="17" t="n">
        <f aca="false">(H33*Assumptions!$C$46+H34*Assumptions!$C$47)*Assumptions!$C$45</f>
        <v>0</v>
      </c>
      <c r="I39" s="17" t="n">
        <f aca="false">(I33*Assumptions!$C$46+I34*Assumptions!$C$47)*Assumptions!$C$45</f>
        <v>0</v>
      </c>
      <c r="J39" s="17" t="n">
        <f aca="false">(J33*Assumptions!$C$46+J34*Assumptions!$C$47)*Assumptions!$C$45</f>
        <v>0</v>
      </c>
      <c r="K39" s="17" t="n">
        <f aca="false">(K33*Assumptions!$C$46+K34*Assumptions!$C$47)*Assumptions!$C$45</f>
        <v>0</v>
      </c>
      <c r="L39" s="17" t="n">
        <f aca="false">(L33*Assumptions!$C$46+L34*Assumptions!$C$47)*Assumptions!$C$45</f>
        <v>0</v>
      </c>
      <c r="M39" s="17" t="n">
        <f aca="false">(M33*Assumptions!$C$46+M34*Assumptions!$C$47)*Assumptions!$C$45</f>
        <v>0</v>
      </c>
      <c r="N39" s="17" t="n">
        <f aca="false">(N33*Assumptions!$C$46+N34*Assumptions!$C$47)*Assumptions!$C$45</f>
        <v>0</v>
      </c>
      <c r="O39" s="17" t="n">
        <f aca="false">(O33*Assumptions!$C$46+O34*Assumptions!$C$47)*Assumptions!$C$45</f>
        <v>0</v>
      </c>
      <c r="P39" s="17" t="n">
        <f aca="false">(P33*Assumptions!$C$46+P34*Assumptions!$C$47)*Assumptions!$C$45</f>
        <v>0</v>
      </c>
      <c r="Q39" s="17" t="n">
        <f aca="false">(Q33*Assumptions!$C$46+Q34*Assumptions!$C$47)*Assumptions!$C$45</f>
        <v>0</v>
      </c>
      <c r="R39" s="17" t="n">
        <f aca="false">(R33*Assumptions!$C$46+R34*Assumptions!$C$47)*Assumptions!$C$45</f>
        <v>0</v>
      </c>
      <c r="S39" s="17" t="n">
        <f aca="false">(S33*Assumptions!$C$46+S34*Assumptions!$C$47)*Assumptions!$C$45</f>
        <v>0</v>
      </c>
      <c r="T39" s="17" t="n">
        <f aca="false">(T33*Assumptions!$C$46+T34*Assumptions!$C$47)*Assumptions!$C$45</f>
        <v>0</v>
      </c>
      <c r="U39" s="17" t="n">
        <f aca="false">(U33*Assumptions!$C$46+U34*Assumptions!$C$47)*Assumptions!$C$45</f>
        <v>0</v>
      </c>
      <c r="V39" s="17" t="n">
        <f aca="false">(V33*Assumptions!$C$46+V34*Assumptions!$C$47)*Assumptions!$C$45</f>
        <v>0</v>
      </c>
      <c r="W39" s="17" t="n">
        <f aca="false">(W33*Assumptions!$C$46+W34*Assumptions!$C$47)*Assumptions!$C$45</f>
        <v>0</v>
      </c>
      <c r="X39" s="17" t="n">
        <f aca="false">(X33*Assumptions!$C$46+X34*Assumptions!$C$47)*Assumptions!$C$45</f>
        <v>0</v>
      </c>
      <c r="Y39" s="17" t="n">
        <f aca="false">(Y33*Assumptions!$C$46+Y34*Assumptions!$C$47)*Assumptions!$C$45</f>
        <v>7257.77793081909</v>
      </c>
      <c r="Z39" s="17" t="n">
        <f aca="false">(Z33*Assumptions!$C$46+Z34*Assumptions!$C$47)*Assumptions!$C$45</f>
        <v>14757.4540096314</v>
      </c>
      <c r="AA39" s="17" t="n">
        <f aca="false">(AA33*Assumptions!$C$46+AA34*Assumptions!$C$47)*Assumptions!$C$45</f>
        <v>22484.0680993458</v>
      </c>
      <c r="AB39" s="17" t="n">
        <f aca="false">(AB33*Assumptions!$C$46+AB34*Assumptions!$C$47)*Assumptions!$C$45</f>
        <v>30423.5683666327</v>
      </c>
      <c r="AC39" s="17" t="n">
        <f aca="false">(AC33*Assumptions!$C$46+AC34*Assumptions!$C$47)*Assumptions!$C$45</f>
        <v>38562.7544096652</v>
      </c>
      <c r="AD39" s="17" t="n">
        <f aca="false">(AD33*Assumptions!$C$46+AD34*Assumptions!$C$47)*Assumptions!$C$45</f>
        <v>46889.2240771918</v>
      </c>
      <c r="AE39" s="17" t="n">
        <f aca="false">(AE33*Assumptions!$C$46+AE34*Assumptions!$C$47)*Assumptions!$C$45</f>
        <v>55382.5047752749</v>
      </c>
      <c r="AF39" s="17" t="n">
        <f aca="false">(AF33*Assumptions!$C$46+AF34*Assumptions!$C$47)*Assumptions!$C$45</f>
        <v>64252.7892830726</v>
      </c>
      <c r="AG39" s="17" t="n">
        <f aca="false">(AG33*Assumptions!$C$46+AG34*Assumptions!$C$47)*Assumptions!$C$45</f>
        <v>73447.1910228357</v>
      </c>
      <c r="AH39" s="17" t="n">
        <f aca="false">(AH33*Assumptions!$C$46+AH34*Assumptions!$C$47)*Assumptions!$C$45</f>
        <v>82872.4271994716</v>
      </c>
      <c r="AI39" s="17" t="n">
        <f aca="false">(AI33*Assumptions!$C$46+AI34*Assumptions!$C$47)*Assumptions!$C$45</f>
        <v>92688.9547201556</v>
      </c>
      <c r="AJ39" s="17" t="n">
        <f aca="false">(AJ33*Assumptions!$C$46+AJ34*Assumptions!$C$47)*Assumptions!$C$45</f>
        <v>102806.705158126</v>
      </c>
      <c r="AK39" s="17" t="n">
        <f aca="false">(AK33*Assumptions!$C$46+AK34*Assumptions!$C$47)*Assumptions!$C$45</f>
        <v>113124.487741065</v>
      </c>
      <c r="AL39" s="17" t="n">
        <f aca="false">(AL33*Assumptions!$C$46+AL34*Assumptions!$C$47)*Assumptions!$C$45</f>
        <v>123760.19434859</v>
      </c>
      <c r="AM39" s="17" t="n">
        <f aca="false">(AM33*Assumptions!$C$46+AM34*Assumptions!$C$47)*Assumptions!$C$45</f>
        <v>134628.546053671</v>
      </c>
      <c r="AN39" s="44" t="n">
        <f aca="false">(AN33*Assumptions!$C$46+AN34*Assumptions!$C$47)*Assumptions!$C$45</f>
        <v>145632.832737156</v>
      </c>
      <c r="AO39" s="44" t="n">
        <f aca="false">(AO33*Assumptions!$C$46+AO34*Assumptions!$C$47)*Assumptions!$C$45</f>
        <v>156895.138464723</v>
      </c>
      <c r="AP39" s="44" t="n">
        <f aca="false">(AP33*Assumptions!$C$46+AP34*Assumptions!$C$47)*Assumptions!$C$45</f>
        <v>168334.107029968</v>
      </c>
      <c r="AQ39" s="44" t="n">
        <f aca="false">(AQ33*Assumptions!$C$46+AQ34*Assumptions!$C$47)*Assumptions!$C$45</f>
        <v>179856.699287718</v>
      </c>
      <c r="AR39" s="44" t="n">
        <f aca="false">(AR33*Assumptions!$C$46+AR34*Assumptions!$C$47)*Assumptions!$C$45</f>
        <v>191588.435055186</v>
      </c>
      <c r="AS39" s="44" t="n">
        <f aca="false">(AS33*Assumptions!$C$46+AS34*Assumptions!$C$47)*Assumptions!$C$45</f>
        <v>203442.355109999</v>
      </c>
      <c r="AT39" s="44" t="n">
        <f aca="false">(AT33*Assumptions!$C$46+AT34*Assumptions!$C$47)*Assumptions!$C$45</f>
        <v>215329.101317004</v>
      </c>
      <c r="AU39" s="44" t="n">
        <f aca="false">(AU33*Assumptions!$C$46+AU34*Assumptions!$C$47)*Assumptions!$C$45</f>
        <v>227377.638047291</v>
      </c>
      <c r="AV39" s="44" t="n">
        <f aca="false">(AV33*Assumptions!$C$46+AV34*Assumptions!$C$47)*Assumptions!$C$45</f>
        <v>239504.229628734</v>
      </c>
      <c r="AW39" s="44" t="n">
        <f aca="false">(AW33*Assumptions!$C$46+AW34*Assumptions!$C$47)*Assumptions!$C$45</f>
        <v>251622.534889506</v>
      </c>
      <c r="AX39" s="44" t="n">
        <f aca="false">(AX33*Assumptions!$C$46+AX34*Assumptions!$C$47)*Assumptions!$C$45</f>
        <v>263864.342028939</v>
      </c>
      <c r="AY39" s="44" t="n">
        <f aca="false">(AY33*Assumptions!$C$46+AY34*Assumptions!$C$47)*Assumptions!$C$45</f>
        <v>276148.558620983</v>
      </c>
      <c r="AZ39" s="44" t="n">
        <f aca="false">(AZ33*Assumptions!$C$46+AZ34*Assumptions!$C$47)*Assumptions!$C$45</f>
        <v>288391.317873133</v>
      </c>
      <c r="BA39" s="44" t="n">
        <f aca="false">(BA33*Assumptions!$C$46+BA34*Assumptions!$C$47)*Assumptions!$C$45</f>
        <v>300726.724432316</v>
      </c>
      <c r="BB39" s="44" t="n">
        <f aca="false">(BB33*Assumptions!$C$46+BB34*Assumptions!$C$47)*Assumptions!$C$45</f>
        <v>313075.854596176</v>
      </c>
      <c r="BC39" s="44" t="n">
        <f aca="false">(BC33*Assumptions!$C$46+BC34*Assumptions!$C$47)*Assumptions!$C$45</f>
        <v>325348.053145312</v>
      </c>
      <c r="BD39" s="44" t="n">
        <f aca="false">(BD33*Assumptions!$C$46+BD34*Assumptions!$C$47)*Assumptions!$C$45</f>
        <v>337679.996465422</v>
      </c>
      <c r="BE39" s="44" t="n">
        <f aca="false">(BE33*Assumptions!$C$46+BE34*Assumptions!$C$47)*Assumptions!$C$45</f>
        <v>349995.167175423</v>
      </c>
      <c r="BF39" s="44" t="n">
        <f aca="false">(BF33*Assumptions!$C$46+BF34*Assumptions!$C$47)*Assumptions!$C$45</f>
        <v>362205.161661141</v>
      </c>
      <c r="BG39" s="44" t="n">
        <f aca="false">(BG33*Assumptions!$C$46+BG34*Assumptions!$C$47)*Assumptions!$C$45</f>
        <v>374448.763188711</v>
      </c>
      <c r="BH39" s="44" t="n">
        <f aca="false">(BH33*Assumptions!$C$46+BH34*Assumptions!$C$47)*Assumptions!$C$45</f>
        <v>386651.425862026</v>
      </c>
      <c r="BI39" s="44" t="n">
        <f aca="false">(BI33*Assumptions!$C$46+BI34*Assumptions!$C$47)*Assumptions!$C$45</f>
        <v>398726.590868703</v>
      </c>
      <c r="BJ39" s="44" t="n">
        <f aca="false">(BJ33*Assumptions!$C$46+BJ34*Assumptions!$C$47)*Assumptions!$C$45</f>
        <v>410814.767730561</v>
      </c>
      <c r="BK39" s="44" t="n">
        <f aca="false">(BK33*Assumptions!$C$46+BK34*Assumptions!$C$47)*Assumptions!$C$45</f>
        <v>422843.025861824</v>
      </c>
    </row>
    <row r="40" customFormat="false" ht="15" hidden="false" customHeight="false" outlineLevel="0" collapsed="false">
      <c r="A40" s="28" t="s">
        <v>595</v>
      </c>
      <c r="B40" s="6" t="s">
        <v>596</v>
      </c>
      <c r="C40" s="43"/>
      <c r="D40" s="17" t="n">
        <f aca="false">D39*Assumptions!$C$44</f>
        <v>0</v>
      </c>
      <c r="E40" s="17" t="n">
        <f aca="false">E39*Assumptions!$C$44</f>
        <v>0</v>
      </c>
      <c r="F40" s="17" t="n">
        <f aca="false">F39*Assumptions!$C$44</f>
        <v>0</v>
      </c>
      <c r="G40" s="17" t="n">
        <f aca="false">G39*Assumptions!$C$44</f>
        <v>0</v>
      </c>
      <c r="H40" s="17" t="n">
        <f aca="false">H39*Assumptions!$C$44</f>
        <v>0</v>
      </c>
      <c r="I40" s="17" t="n">
        <f aca="false">I39*Assumptions!$C$44</f>
        <v>0</v>
      </c>
      <c r="J40" s="17" t="n">
        <f aca="false">J39*Assumptions!$C$44</f>
        <v>0</v>
      </c>
      <c r="K40" s="17" t="n">
        <f aca="false">K39*Assumptions!$C$44</f>
        <v>0</v>
      </c>
      <c r="L40" s="17" t="n">
        <f aca="false">L39*Assumptions!$C$44</f>
        <v>0</v>
      </c>
      <c r="M40" s="17" t="n">
        <f aca="false">M39*Assumptions!$C$44</f>
        <v>0</v>
      </c>
      <c r="N40" s="17" t="n">
        <f aca="false">N39*Assumptions!$C$44</f>
        <v>0</v>
      </c>
      <c r="O40" s="17" t="n">
        <f aca="false">O39*Assumptions!$C$44</f>
        <v>0</v>
      </c>
      <c r="P40" s="17" t="n">
        <f aca="false">P39*Assumptions!$C$44</f>
        <v>0</v>
      </c>
      <c r="Q40" s="17" t="n">
        <f aca="false">Q39*Assumptions!$C$44</f>
        <v>0</v>
      </c>
      <c r="R40" s="17" t="n">
        <f aca="false">R39*Assumptions!$C$44</f>
        <v>0</v>
      </c>
      <c r="S40" s="17" t="n">
        <f aca="false">S39*Assumptions!$C$44</f>
        <v>0</v>
      </c>
      <c r="T40" s="17" t="n">
        <f aca="false">T39*Assumptions!$C$44</f>
        <v>0</v>
      </c>
      <c r="U40" s="17" t="n">
        <f aca="false">U39*Assumptions!$C$44</f>
        <v>0</v>
      </c>
      <c r="V40" s="17" t="n">
        <f aca="false">V39*Assumptions!$C$44</f>
        <v>0</v>
      </c>
      <c r="W40" s="17" t="n">
        <f aca="false">W39*Assumptions!$C$44</f>
        <v>0</v>
      </c>
      <c r="X40" s="17" t="n">
        <f aca="false">X39*Assumptions!$C$44</f>
        <v>0</v>
      </c>
      <c r="Y40" s="17" t="n">
        <f aca="false">Y39*Assumptions!$C$44</f>
        <v>54.4333344811432</v>
      </c>
      <c r="Z40" s="17" t="n">
        <f aca="false">Z39*Assumptions!$C$44</f>
        <v>110.680905072235</v>
      </c>
      <c r="AA40" s="17" t="n">
        <f aca="false">AA39*Assumptions!$C$44</f>
        <v>168.630510745093</v>
      </c>
      <c r="AB40" s="17" t="n">
        <f aca="false">AB39*Assumptions!$C$44</f>
        <v>228.176762749745</v>
      </c>
      <c r="AC40" s="17" t="n">
        <f aca="false">AC39*Assumptions!$C$44</f>
        <v>289.220658072489</v>
      </c>
      <c r="AD40" s="17" t="n">
        <f aca="false">AD39*Assumptions!$C$44</f>
        <v>351.669180578939</v>
      </c>
      <c r="AE40" s="17" t="n">
        <f aca="false">AE39*Assumptions!$C$44</f>
        <v>415.368785814562</v>
      </c>
      <c r="AF40" s="17" t="n">
        <f aca="false">AF39*Assumptions!$C$44</f>
        <v>481.895919623045</v>
      </c>
      <c r="AG40" s="17" t="n">
        <f aca="false">AG39*Assumptions!$C$44</f>
        <v>550.853932671268</v>
      </c>
      <c r="AH40" s="17" t="n">
        <f aca="false">AH39*Assumptions!$C$44</f>
        <v>621.543203996037</v>
      </c>
      <c r="AI40" s="17" t="n">
        <f aca="false">AI39*Assumptions!$C$44</f>
        <v>695.167160401167</v>
      </c>
      <c r="AJ40" s="17" t="n">
        <f aca="false">AJ39*Assumptions!$C$44</f>
        <v>771.050288685944</v>
      </c>
      <c r="AK40" s="17" t="n">
        <f aca="false">AK39*Assumptions!$C$44</f>
        <v>848.433658057986</v>
      </c>
      <c r="AL40" s="17" t="n">
        <f aca="false">AL39*Assumptions!$C$44</f>
        <v>928.201457614423</v>
      </c>
      <c r="AM40" s="17" t="n">
        <f aca="false">AM39*Assumptions!$C$44</f>
        <v>1009.71409540253</v>
      </c>
      <c r="AN40" s="44" t="n">
        <f aca="false">AN39*Assumptions!$C$44</f>
        <v>1092.24624552867</v>
      </c>
      <c r="AO40" s="44" t="n">
        <f aca="false">AO39*Assumptions!$C$44</f>
        <v>1176.71353848542</v>
      </c>
      <c r="AP40" s="44" t="n">
        <f aca="false">AP39*Assumptions!$C$44</f>
        <v>1262.50580272476</v>
      </c>
      <c r="AQ40" s="44" t="n">
        <f aca="false">AQ39*Assumptions!$C$44</f>
        <v>1348.92524465789</v>
      </c>
      <c r="AR40" s="44" t="n">
        <f aca="false">AR39*Assumptions!$C$44</f>
        <v>1436.91326291389</v>
      </c>
      <c r="AS40" s="44" t="n">
        <f aca="false">AS39*Assumptions!$C$44</f>
        <v>1525.81766332499</v>
      </c>
      <c r="AT40" s="44" t="n">
        <f aca="false">AT39*Assumptions!$C$44</f>
        <v>1614.96825987753</v>
      </c>
      <c r="AU40" s="44" t="n">
        <f aca="false">AU39*Assumptions!$C$44</f>
        <v>1705.33228535468</v>
      </c>
      <c r="AV40" s="44" t="n">
        <f aca="false">AV39*Assumptions!$C$44</f>
        <v>1796.2817222155</v>
      </c>
      <c r="AW40" s="44" t="n">
        <f aca="false">AW39*Assumptions!$C$44</f>
        <v>1887.16901167129</v>
      </c>
      <c r="AX40" s="44" t="n">
        <f aca="false">AX39*Assumptions!$C$44</f>
        <v>1978.98256521704</v>
      </c>
      <c r="AY40" s="44" t="n">
        <f aca="false">AY39*Assumptions!$C$44</f>
        <v>2071.11418965737</v>
      </c>
      <c r="AZ40" s="44" t="n">
        <f aca="false">AZ39*Assumptions!$C$44</f>
        <v>2162.9348840485</v>
      </c>
      <c r="BA40" s="44" t="n">
        <f aca="false">BA39*Assumptions!$C$44</f>
        <v>2255.45043324237</v>
      </c>
      <c r="BB40" s="44" t="n">
        <f aca="false">BB39*Assumptions!$C$44</f>
        <v>2348.06890947132</v>
      </c>
      <c r="BC40" s="44" t="n">
        <f aca="false">BC39*Assumptions!$C$44</f>
        <v>2440.11039858984</v>
      </c>
      <c r="BD40" s="44" t="n">
        <f aca="false">BD39*Assumptions!$C$44</f>
        <v>2532.59997349066</v>
      </c>
      <c r="BE40" s="44" t="n">
        <f aca="false">BE39*Assumptions!$C$44</f>
        <v>2624.96375381567</v>
      </c>
      <c r="BF40" s="44" t="n">
        <f aca="false">BF39*Assumptions!$C$44</f>
        <v>2716.53871245855</v>
      </c>
      <c r="BG40" s="44" t="n">
        <f aca="false">BG39*Assumptions!$C$44</f>
        <v>2808.36572391533</v>
      </c>
      <c r="BH40" s="44" t="n">
        <f aca="false">BH39*Assumptions!$C$44</f>
        <v>2899.88569396519</v>
      </c>
      <c r="BI40" s="44" t="n">
        <f aca="false">BI39*Assumptions!$C$44</f>
        <v>2990.44943151527</v>
      </c>
      <c r="BJ40" s="44" t="n">
        <f aca="false">BJ39*Assumptions!$C$44</f>
        <v>3081.11075797921</v>
      </c>
      <c r="BK40" s="44" t="n">
        <f aca="false">BK39*Assumptions!$C$44</f>
        <v>3171.32269396368</v>
      </c>
    </row>
    <row r="41" customFormat="false" ht="15" hidden="false" customHeight="false" outlineLevel="0" collapsed="false">
      <c r="A41" s="28" t="s">
        <v>597</v>
      </c>
      <c r="B41" s="6" t="s">
        <v>598</v>
      </c>
      <c r="C41" s="43"/>
      <c r="D41" s="17" t="n">
        <f aca="false">D24*Assumptions!$C$17*Assumptions!$C$68*Assumptions!$C$69*Assumptions!$C$70*Assumptions!$C$71/1000*D21</f>
        <v>0</v>
      </c>
      <c r="E41" s="17" t="n">
        <f aca="false">E24*Assumptions!$C$17*Assumptions!$C$68*Assumptions!$C$69*Assumptions!$C$70*Assumptions!$C$71/1000*E21</f>
        <v>0</v>
      </c>
      <c r="F41" s="17" t="n">
        <f aca="false">F24*Assumptions!$C$17*Assumptions!$C$68*Assumptions!$C$69*Assumptions!$C$70*Assumptions!$C$71/1000*F21</f>
        <v>0</v>
      </c>
      <c r="G41" s="17" t="n">
        <f aca="false">G24*Assumptions!$C$17*Assumptions!$C$68*Assumptions!$C$69*Assumptions!$C$70*Assumptions!$C$71/1000*G21</f>
        <v>0</v>
      </c>
      <c r="H41" s="17" t="n">
        <f aca="false">H24*Assumptions!$C$17*Assumptions!$C$68*Assumptions!$C$69*Assumptions!$C$70*Assumptions!$C$71/1000*H21</f>
        <v>0</v>
      </c>
      <c r="I41" s="17" t="n">
        <f aca="false">I24*Assumptions!$C$17*Assumptions!$C$68*Assumptions!$C$69*Assumptions!$C$70*Assumptions!$C$71/1000*I21</f>
        <v>0</v>
      </c>
      <c r="J41" s="17" t="n">
        <f aca="false">J24*Assumptions!$C$17*Assumptions!$C$68*Assumptions!$C$69*Assumptions!$C$70*Assumptions!$C$71/1000*J21</f>
        <v>0</v>
      </c>
      <c r="K41" s="17" t="n">
        <f aca="false">K24*Assumptions!$C$17*Assumptions!$C$68*Assumptions!$C$69*Assumptions!$C$70*Assumptions!$C$71/1000*K21</f>
        <v>0</v>
      </c>
      <c r="L41" s="17" t="n">
        <f aca="false">L24*Assumptions!$C$17*Assumptions!$C$68*Assumptions!$C$69*Assumptions!$C$70*Assumptions!$C$71/1000*L21</f>
        <v>0</v>
      </c>
      <c r="M41" s="17" t="n">
        <f aca="false">M24*Assumptions!$C$17*Assumptions!$C$68*Assumptions!$C$69*Assumptions!$C$70*Assumptions!$C$71/1000*M21</f>
        <v>0</v>
      </c>
      <c r="N41" s="17" t="n">
        <f aca="false">N24*Assumptions!$C$17*Assumptions!$C$68*Assumptions!$C$69*Assumptions!$C$70*Assumptions!$C$71/1000*N21</f>
        <v>0</v>
      </c>
      <c r="O41" s="17" t="n">
        <f aca="false">O24*Assumptions!$C$17*Assumptions!$C$68*Assumptions!$C$69*Assumptions!$C$70*Assumptions!$C$71/1000*O21</f>
        <v>0</v>
      </c>
      <c r="P41" s="17" t="n">
        <f aca="false">P24*Assumptions!$C$17*Assumptions!$C$68*Assumptions!$C$69*Assumptions!$C$70*Assumptions!$C$71/1000*P21</f>
        <v>0</v>
      </c>
      <c r="Q41" s="17" t="n">
        <f aca="false">Q24*Assumptions!$C$17*Assumptions!$C$68*Assumptions!$C$69*Assumptions!$C$70*Assumptions!$C$71/1000*Q21</f>
        <v>0</v>
      </c>
      <c r="R41" s="17" t="n">
        <f aca="false">R24*Assumptions!$C$17*Assumptions!$C$68*Assumptions!$C$69*Assumptions!$C$70*Assumptions!$C$71/1000*R21</f>
        <v>0</v>
      </c>
      <c r="S41" s="17" t="n">
        <f aca="false">S24*Assumptions!$C$17*Assumptions!$C$68*Assumptions!$C$69*Assumptions!$C$70*Assumptions!$C$71/1000*S21</f>
        <v>0</v>
      </c>
      <c r="T41" s="17" t="n">
        <f aca="false">T24*Assumptions!$C$17*Assumptions!$C$68*Assumptions!$C$69*Assumptions!$C$70*Assumptions!$C$71/1000*T21</f>
        <v>0</v>
      </c>
      <c r="U41" s="17" t="n">
        <f aca="false">U24*Assumptions!$C$17*Assumptions!$C$68*Assumptions!$C$69*Assumptions!$C$70*Assumptions!$C$71/1000*U21</f>
        <v>0</v>
      </c>
      <c r="V41" s="17" t="n">
        <f aca="false">V24*Assumptions!$C$17*Assumptions!$C$68*Assumptions!$C$69*Assumptions!$C$70*Assumptions!$C$71/1000*V21</f>
        <v>0</v>
      </c>
      <c r="W41" s="17" t="n">
        <f aca="false">W24*Assumptions!$C$17*Assumptions!$C$68*Assumptions!$C$69*Assumptions!$C$70*Assumptions!$C$71/1000*W21</f>
        <v>0</v>
      </c>
      <c r="X41" s="17" t="n">
        <f aca="false">X24*Assumptions!$C$17*Assumptions!$C$68*Assumptions!$C$69*Assumptions!$C$70*Assumptions!$C$71/1000*X21</f>
        <v>0</v>
      </c>
      <c r="Y41" s="17" t="n">
        <f aca="false">Y24*Assumptions!$C$17*Assumptions!$C$68*Assumptions!$C$69*Assumptions!$C$70*Assumptions!$C$71/1000*Y21</f>
        <v>0</v>
      </c>
      <c r="Z41" s="17" t="n">
        <f aca="false">Z24*Assumptions!$C$17*Assumptions!$C$68*Assumptions!$C$69*Assumptions!$C$70*Assumptions!$C$71/1000*Z21</f>
        <v>0</v>
      </c>
      <c r="AA41" s="17" t="n">
        <f aca="false">AA24*Assumptions!$C$17*Assumptions!$C$68*Assumptions!$C$69*Assumptions!$C$70*Assumptions!$C$71/1000*AA21</f>
        <v>0</v>
      </c>
      <c r="AB41" s="17" t="n">
        <f aca="false">AB24*Assumptions!$C$17*Assumptions!$C$68*Assumptions!$C$69*Assumptions!$C$70*Assumptions!$C$71/1000*AB21</f>
        <v>0</v>
      </c>
      <c r="AC41" s="17" t="n">
        <f aca="false">AC24*Assumptions!$C$17*Assumptions!$C$68*Assumptions!$C$69*Assumptions!$C$70*Assumptions!$C$71/1000*AC21</f>
        <v>0</v>
      </c>
      <c r="AD41" s="17" t="n">
        <f aca="false">AD24*Assumptions!$C$17*Assumptions!$C$68*Assumptions!$C$69*Assumptions!$C$70*Assumptions!$C$71/1000*AD21</f>
        <v>0</v>
      </c>
      <c r="AE41" s="17" t="n">
        <f aca="false">AE24*Assumptions!$C$17*Assumptions!$C$68*Assumptions!$C$69*Assumptions!$C$70*Assumptions!$C$71/1000*AE21</f>
        <v>0</v>
      </c>
      <c r="AF41" s="17" t="n">
        <f aca="false">AF24*Assumptions!$C$17*Assumptions!$C$68*Assumptions!$C$69*Assumptions!$C$70*Assumptions!$C$71/1000*AF21</f>
        <v>0</v>
      </c>
      <c r="AG41" s="17" t="n">
        <f aca="false">AG24*Assumptions!$C$17*Assumptions!$C$68*Assumptions!$C$69*Assumptions!$C$70*Assumptions!$C$71/1000*AG21</f>
        <v>0</v>
      </c>
      <c r="AH41" s="17" t="n">
        <f aca="false">AH24*Assumptions!$C$17*Assumptions!$C$68*Assumptions!$C$69*Assumptions!$C$70*Assumptions!$C$71/1000*AH21</f>
        <v>0</v>
      </c>
      <c r="AI41" s="17" t="n">
        <f aca="false">AI24*Assumptions!$C$17*Assumptions!$C$68*Assumptions!$C$69*Assumptions!$C$70*Assumptions!$C$71/1000*AI21</f>
        <v>0</v>
      </c>
      <c r="AJ41" s="17" t="n">
        <f aca="false">AJ24*Assumptions!$C$17*Assumptions!$C$68*Assumptions!$C$69*Assumptions!$C$70*Assumptions!$C$71/1000*AJ21</f>
        <v>0</v>
      </c>
      <c r="AK41" s="17" t="n">
        <f aca="false">AK24*Assumptions!$C$17*Assumptions!$C$68*Assumptions!$C$69*Assumptions!$C$70*Assumptions!$C$71/1000*AK21</f>
        <v>0</v>
      </c>
      <c r="AL41" s="17" t="n">
        <f aca="false">AL24*Assumptions!$C$17*Assumptions!$C$68*Assumptions!$C$69*Assumptions!$C$70*Assumptions!$C$71/1000*AL21</f>
        <v>0</v>
      </c>
      <c r="AM41" s="17" t="n">
        <f aca="false">AM24*Assumptions!$C$17*Assumptions!$C$68*Assumptions!$C$69*Assumptions!$C$70*Assumptions!$C$71/1000*AM21</f>
        <v>0</v>
      </c>
      <c r="AN41" s="44" t="n">
        <f aca="false">AN24*Assumptions!$C$17*Assumptions!$C$68*Assumptions!$C$69*Assumptions!$C$70*Assumptions!$C$71/1000*AN21</f>
        <v>34.3649912089382</v>
      </c>
      <c r="AO41" s="44" t="n">
        <f aca="false">AO24*Assumptions!$C$17*Assumptions!$C$68*Assumptions!$C$69*Assumptions!$C$70*Assumptions!$C$71/1000*AO21</f>
        <v>72.1231971149228</v>
      </c>
      <c r="AP41" s="44" t="n">
        <f aca="false">AP24*Assumptions!$C$17*Assumptions!$C$68*Assumptions!$C$69*Assumptions!$C$70*Assumptions!$C$71/1000*AP21</f>
        <v>113.23430405978</v>
      </c>
      <c r="AQ41" s="44" t="n">
        <f aca="false">AQ24*Assumptions!$C$17*Assumptions!$C$68*Assumptions!$C$69*Assumptions!$C$70*Assumptions!$C$71/1000*AQ21</f>
        <v>157.448452944662</v>
      </c>
      <c r="AR41" s="44" t="n">
        <f aca="false">AR24*Assumptions!$C$17*Assumptions!$C$68*Assumptions!$C$69*Assumptions!$C$70*Assumptions!$C$71/1000*AR21</f>
        <v>205.127957081862</v>
      </c>
      <c r="AS41" s="44" t="n">
        <f aca="false">AS24*Assumptions!$C$17*Assumptions!$C$68*Assumptions!$C$69*Assumptions!$C$70*Assumptions!$C$71/1000*AS21</f>
        <v>256.005221797884</v>
      </c>
      <c r="AT41" s="44" t="n">
        <f aca="false">AT24*Assumptions!$C$17*Assumptions!$C$68*Assumptions!$C$69*Assumptions!$C$70*Assumptions!$C$71/1000*AT21</f>
        <v>265.432152213546</v>
      </c>
      <c r="AU41" s="44" t="n">
        <f aca="false">AU24*Assumptions!$C$17*Assumptions!$C$68*Assumptions!$C$69*Assumptions!$C$70*Assumptions!$C$71/1000*AU21</f>
        <v>275.118257613052</v>
      </c>
      <c r="AV41" s="44" t="n">
        <f aca="false">AV24*Assumptions!$C$17*Assumptions!$C$68*Assumptions!$C$69*Assumptions!$C$70*Assumptions!$C$71/1000*AV21</f>
        <v>284.665431742618</v>
      </c>
      <c r="AW41" s="44" t="n">
        <f aca="false">AW24*Assumptions!$C$17*Assumptions!$C$68*Assumptions!$C$69*Assumptions!$C$70*Assumptions!$C$71/1000*AW21</f>
        <v>293.783228462423</v>
      </c>
      <c r="AX41" s="44" t="n">
        <f aca="false">AX24*Assumptions!$C$17*Assumptions!$C$68*Assumptions!$C$69*Assumptions!$C$70*Assumptions!$C$71/1000*AX21</f>
        <v>303.158855862851</v>
      </c>
      <c r="AY41" s="44" t="n">
        <f aca="false">AY24*Assumptions!$C$17*Assumptions!$C$68*Assumptions!$C$69*Assumptions!$C$70*Assumptions!$C$71/1000*AY21</f>
        <v>312.396321312695</v>
      </c>
      <c r="AZ41" s="44" t="n">
        <f aca="false">AZ24*Assumptions!$C$17*Assumptions!$C$68*Assumptions!$C$69*Assumptions!$C$70*Assumptions!$C$71/1000*AZ21</f>
        <v>321.206527880066</v>
      </c>
      <c r="BA41" s="44" t="n">
        <f aca="false">BA24*Assumptions!$C$17*Assumptions!$C$68*Assumptions!$C$69*Assumptions!$C$70*Assumptions!$C$71/1000*BA21</f>
        <v>330.277536363455</v>
      </c>
      <c r="BB41" s="44" t="n">
        <f aca="false">BB24*Assumptions!$C$17*Assumptions!$C$68*Assumptions!$C$69*Assumptions!$C$70*Assumptions!$C$71/1000*BB21</f>
        <v>339.213884479036</v>
      </c>
      <c r="BC41" s="44" t="n">
        <f aca="false">BC24*Assumptions!$C$17*Assumptions!$C$68*Assumptions!$C$69*Assumptions!$C$70*Assumptions!$C$71/1000*BC21</f>
        <v>347.690508466522</v>
      </c>
      <c r="BD41" s="44" t="n">
        <f aca="false">BD24*Assumptions!$C$17*Assumptions!$C$68*Assumptions!$C$69*Assumptions!$C$70*Assumptions!$C$71/1000*BD21</f>
        <v>356.408899805061</v>
      </c>
      <c r="BE41" s="44" t="n">
        <f aca="false">BE24*Assumptions!$C$17*Assumptions!$C$68*Assumptions!$C$69*Assumptions!$C$70*Assumptions!$C$71/1000*BE21</f>
        <v>364.982295135584</v>
      </c>
      <c r="BF41" s="44" t="n">
        <f aca="false">BF24*Assumptions!$C$17*Assumptions!$C$68*Assumptions!$C$69*Assumptions!$C$70*Assumptions!$C$71/1000*BF21</f>
        <v>373.09125444649</v>
      </c>
      <c r="BG41" s="44" t="n">
        <f aca="false">BG24*Assumptions!$C$17*Assumptions!$C$68*Assumptions!$C$69*Assumptions!$C$70*Assumptions!$C$71/1000*BG21</f>
        <v>381.440894559453</v>
      </c>
      <c r="BH41" s="44" t="n">
        <f aca="false">BH24*Assumptions!$C$17*Assumptions!$C$68*Assumptions!$C$69*Assumptions!$C$70*Assumptions!$C$71/1000*BH21</f>
        <v>389.64677894534</v>
      </c>
      <c r="BI41" s="44" t="n">
        <f aca="false">BI24*Assumptions!$C$17*Assumptions!$C$68*Assumptions!$C$69*Assumptions!$C$70*Assumptions!$C$71/1000*BI21</f>
        <v>397.390950833942</v>
      </c>
      <c r="BJ41" s="44" t="n">
        <f aca="false">BJ24*Assumptions!$C$17*Assumptions!$C$68*Assumptions!$C$69*Assumptions!$C$70*Assumptions!$C$71/1000*BJ21</f>
        <v>405.379462393741</v>
      </c>
      <c r="BK41" s="44" t="n">
        <f aca="false">BK24*Assumptions!$C$17*Assumptions!$C$68*Assumptions!$C$69*Assumptions!$C$70*Assumptions!$C$71/1000*BK21</f>
        <v>413.228456742335</v>
      </c>
    </row>
    <row r="42" customFormat="false" ht="15" hidden="false" customHeight="false" outlineLevel="0" collapsed="false">
      <c r="A42" s="28" t="s">
        <v>599</v>
      </c>
      <c r="B42" s="6" t="s">
        <v>600</v>
      </c>
      <c r="C42" s="43"/>
      <c r="D42" s="17" t="n">
        <f aca="false">D13*Assumptions!$C$72*Assumptions!$C$73*D21</f>
        <v>0</v>
      </c>
      <c r="E42" s="17" t="n">
        <f aca="false">E13*Assumptions!$C$72*Assumptions!$C$73*E21</f>
        <v>0</v>
      </c>
      <c r="F42" s="17" t="n">
        <f aca="false">F13*Assumptions!$C$72*Assumptions!$C$73*F21</f>
        <v>0</v>
      </c>
      <c r="G42" s="17" t="n">
        <f aca="false">G13*Assumptions!$C$72*Assumptions!$C$73*G21</f>
        <v>0</v>
      </c>
      <c r="H42" s="17" t="n">
        <f aca="false">H13*Assumptions!$C$72*Assumptions!$C$73*H21</f>
        <v>0</v>
      </c>
      <c r="I42" s="17" t="n">
        <f aca="false">I13*Assumptions!$C$72*Assumptions!$C$73*I21</f>
        <v>0</v>
      </c>
      <c r="J42" s="17" t="n">
        <f aca="false">J13*Assumptions!$C$72*Assumptions!$C$73*J21</f>
        <v>0</v>
      </c>
      <c r="K42" s="17" t="n">
        <f aca="false">K13*Assumptions!$C$72*Assumptions!$C$73*K21</f>
        <v>0</v>
      </c>
      <c r="L42" s="17" t="n">
        <f aca="false">L13*Assumptions!$C$72*Assumptions!$C$73*L21</f>
        <v>0</v>
      </c>
      <c r="M42" s="17" t="n">
        <f aca="false">M13*Assumptions!$C$72*Assumptions!$C$73*M21</f>
        <v>0</v>
      </c>
      <c r="N42" s="17" t="n">
        <f aca="false">N13*Assumptions!$C$72*Assumptions!$C$73*N21</f>
        <v>0</v>
      </c>
      <c r="O42" s="17" t="n">
        <f aca="false">O13*Assumptions!$C$72*Assumptions!$C$73*O21</f>
        <v>0</v>
      </c>
      <c r="P42" s="17" t="n">
        <f aca="false">P13*Assumptions!$C$72*Assumptions!$C$73*P21</f>
        <v>0</v>
      </c>
      <c r="Q42" s="17" t="n">
        <f aca="false">Q13*Assumptions!$C$72*Assumptions!$C$73*Q21</f>
        <v>0</v>
      </c>
      <c r="R42" s="17" t="n">
        <f aca="false">R13*Assumptions!$C$72*Assumptions!$C$73*R21</f>
        <v>0</v>
      </c>
      <c r="S42" s="17" t="n">
        <f aca="false">S13*Assumptions!$C$72*Assumptions!$C$73*S21</f>
        <v>0</v>
      </c>
      <c r="T42" s="17" t="n">
        <f aca="false">T13*Assumptions!$C$72*Assumptions!$C$73*T21</f>
        <v>0</v>
      </c>
      <c r="U42" s="17" t="n">
        <f aca="false">U13*Assumptions!$C$72*Assumptions!$C$73*U21</f>
        <v>0</v>
      </c>
      <c r="V42" s="17" t="n">
        <f aca="false">V13*Assumptions!$C$72*Assumptions!$C$73*V21</f>
        <v>0</v>
      </c>
      <c r="W42" s="17" t="n">
        <f aca="false">W13*Assumptions!$C$72*Assumptions!$C$73*W21</f>
        <v>0</v>
      </c>
      <c r="X42" s="17" t="n">
        <f aca="false">X13*Assumptions!$C$72*Assumptions!$C$73*X21</f>
        <v>0</v>
      </c>
      <c r="Y42" s="17" t="n">
        <f aca="false">Y13*Assumptions!$C$72*Assumptions!$C$73*Y21</f>
        <v>0</v>
      </c>
      <c r="Z42" s="17" t="n">
        <f aca="false">Z13*Assumptions!$C$72*Assumptions!$C$73*Z21</f>
        <v>0</v>
      </c>
      <c r="AA42" s="17" t="n">
        <f aca="false">AA13*Assumptions!$C$72*Assumptions!$C$73*AA21</f>
        <v>0</v>
      </c>
      <c r="AB42" s="17" t="n">
        <f aca="false">AB13*Assumptions!$C$72*Assumptions!$C$73*AB21</f>
        <v>0</v>
      </c>
      <c r="AC42" s="17" t="n">
        <f aca="false">AC13*Assumptions!$C$72*Assumptions!$C$73*AC21</f>
        <v>0</v>
      </c>
      <c r="AD42" s="17" t="n">
        <f aca="false">AD13*Assumptions!$C$72*Assumptions!$C$73*AD21</f>
        <v>0</v>
      </c>
      <c r="AE42" s="17" t="n">
        <f aca="false">AE13*Assumptions!$C$72*Assumptions!$C$73*AE21</f>
        <v>0</v>
      </c>
      <c r="AF42" s="17" t="n">
        <f aca="false">AF13*Assumptions!$C$72*Assumptions!$C$73*AF21</f>
        <v>0</v>
      </c>
      <c r="AG42" s="17" t="n">
        <f aca="false">AG13*Assumptions!$C$72*Assumptions!$C$73*AG21</f>
        <v>0</v>
      </c>
      <c r="AH42" s="17" t="n">
        <f aca="false">AH13*Assumptions!$C$72*Assumptions!$C$73*AH21</f>
        <v>0</v>
      </c>
      <c r="AI42" s="17" t="n">
        <f aca="false">AI13*Assumptions!$C$72*Assumptions!$C$73*AI21</f>
        <v>0</v>
      </c>
      <c r="AJ42" s="17" t="n">
        <f aca="false">AJ13*Assumptions!$C$72*Assumptions!$C$73*AJ21</f>
        <v>0</v>
      </c>
      <c r="AK42" s="17" t="n">
        <f aca="false">AK13*Assumptions!$C$72*Assumptions!$C$73*AK21</f>
        <v>0</v>
      </c>
      <c r="AL42" s="17" t="n">
        <f aca="false">AL13*Assumptions!$C$72*Assumptions!$C$73*AL21</f>
        <v>0</v>
      </c>
      <c r="AM42" s="17" t="n">
        <f aca="false">AM13*Assumptions!$C$72*Assumptions!$C$73*AM21</f>
        <v>0</v>
      </c>
      <c r="AN42" s="44" t="n">
        <f aca="false">AN13*Assumptions!$C$72*Assumptions!$C$73*AN21</f>
        <v>155.932152183364</v>
      </c>
      <c r="AO42" s="44" t="n">
        <f aca="false">AO13*Assumptions!$C$72*Assumptions!$C$73*AO21</f>
        <v>326.770339801227</v>
      </c>
      <c r="AP42" s="44" t="n">
        <f aca="false">AP13*Assumptions!$C$72*Assumptions!$C$73*AP21</f>
        <v>510.883177056313</v>
      </c>
      <c r="AQ42" s="44" t="n">
        <f aca="false">AQ13*Assumptions!$C$72*Assumptions!$C$73*AQ21</f>
        <v>706.095905867291</v>
      </c>
      <c r="AR42" s="44" t="n">
        <f aca="false">AR13*Assumptions!$C$72*Assumptions!$C$73*AR21</f>
        <v>919.060584099102</v>
      </c>
      <c r="AS42" s="44" t="n">
        <f aca="false">AS13*Assumptions!$C$72*Assumptions!$C$73*AS21</f>
        <v>1142.92161040514</v>
      </c>
      <c r="AT42" s="44" t="n">
        <f aca="false">AT13*Assumptions!$C$72*Assumptions!$C$73*AT21</f>
        <v>1178.91378624906</v>
      </c>
      <c r="AU42" s="44" t="n">
        <f aca="false">AU13*Assumptions!$C$72*Assumptions!$C$73*AU21</f>
        <v>1221.27807945533</v>
      </c>
      <c r="AV42" s="44" t="n">
        <f aca="false">AV13*Assumptions!$C$72*Assumptions!$C$73*AV21</f>
        <v>1259.9829082635</v>
      </c>
      <c r="AW42" s="44" t="n">
        <f aca="false">AW13*Assumptions!$C$72*Assumptions!$C$73*AW21</f>
        <v>1294.65116463954</v>
      </c>
      <c r="AX42" s="44" t="n">
        <f aca="false">AX13*Assumptions!$C$72*Assumptions!$C$73*AX21</f>
        <v>1335.71139716995</v>
      </c>
      <c r="AY42" s="44" t="n">
        <f aca="false">AY13*Assumptions!$C$72*Assumptions!$C$73*AY21</f>
        <v>1373.1317262124</v>
      </c>
      <c r="AZ42" s="44" t="n">
        <f aca="false">AZ13*Assumptions!$C$72*Assumptions!$C$73*AZ21</f>
        <v>1406.53475031922</v>
      </c>
      <c r="BA42" s="44" t="n">
        <f aca="false">BA13*Assumptions!$C$72*Assumptions!$C$73*BA21</f>
        <v>1446.34872906443</v>
      </c>
      <c r="BB42" s="44" t="n">
        <f aca="false">BB13*Assumptions!$C$72*Assumptions!$C$73*BB21</f>
        <v>1482.54149812846</v>
      </c>
      <c r="BC42" s="44" t="n">
        <f aca="false">BC13*Assumptions!$C$72*Assumptions!$C$73*BC21</f>
        <v>1514.30337565653</v>
      </c>
      <c r="BD42" s="44" t="n">
        <f aca="false">BD13*Assumptions!$C$72*Assumptions!$C$73*BD21</f>
        <v>1552.50082502169</v>
      </c>
      <c r="BE42" s="44" t="n">
        <f aca="false">BE13*Assumptions!$C$72*Assumptions!$C$73*BE21</f>
        <v>1587.10131264636</v>
      </c>
      <c r="BF42" s="44" t="n">
        <f aca="false">BF13*Assumptions!$C$72*Assumptions!$C$73*BF21</f>
        <v>1617.29479295667</v>
      </c>
      <c r="BG42" s="44" t="n">
        <f aca="false">BG13*Assumptions!$C$72*Assumptions!$C$73*BG21</f>
        <v>1653.94737106232</v>
      </c>
      <c r="BH42" s="44" t="n">
        <f aca="false">BH13*Assumptions!$C$72*Assumptions!$C$73*BH21</f>
        <v>1687.02616049638</v>
      </c>
      <c r="BI42" s="44" t="n">
        <f aca="false">BI13*Assumptions!$C$72*Assumptions!$C$73*BI21</f>
        <v>1715.72076808894</v>
      </c>
      <c r="BJ42" s="44" t="n">
        <f aca="false">BJ13*Assumptions!$C$72*Assumptions!$C$73*BJ21</f>
        <v>1750.8969565676</v>
      </c>
      <c r="BK42" s="44" t="n">
        <f aca="false">BK13*Assumptions!$C$72*Assumptions!$C$73*BK21</f>
        <v>1782.52150221909</v>
      </c>
    </row>
    <row r="43" customFormat="false" ht="15" hidden="false" customHeight="false" outlineLevel="0" collapsed="false">
      <c r="A43" s="28" t="s">
        <v>601</v>
      </c>
      <c r="B43" s="6" t="s">
        <v>602</v>
      </c>
      <c r="C43" s="43"/>
      <c r="D43" s="17" t="n">
        <f aca="false">D13*Assumptions!$C$74*Assumptions!$C$75*Assumptions!$C$76*D21</f>
        <v>0</v>
      </c>
      <c r="E43" s="17" t="n">
        <f aca="false">E13*Assumptions!$C$74*Assumptions!$C$75*Assumptions!$C$76*E21</f>
        <v>0</v>
      </c>
      <c r="F43" s="17" t="n">
        <f aca="false">F13*Assumptions!$C$74*Assumptions!$C$75*Assumptions!$C$76*F21</f>
        <v>0</v>
      </c>
      <c r="G43" s="17" t="n">
        <f aca="false">G13*Assumptions!$C$74*Assumptions!$C$75*Assumptions!$C$76*G21</f>
        <v>0</v>
      </c>
      <c r="H43" s="17" t="n">
        <f aca="false">H13*Assumptions!$C$74*Assumptions!$C$75*Assumptions!$C$76*H21</f>
        <v>0</v>
      </c>
      <c r="I43" s="17" t="n">
        <f aca="false">I13*Assumptions!$C$74*Assumptions!$C$75*Assumptions!$C$76*I21</f>
        <v>0</v>
      </c>
      <c r="J43" s="17" t="n">
        <f aca="false">J13*Assumptions!$C$74*Assumptions!$C$75*Assumptions!$C$76*J21</f>
        <v>0</v>
      </c>
      <c r="K43" s="17" t="n">
        <f aca="false">K13*Assumptions!$C$74*Assumptions!$C$75*Assumptions!$C$76*K21</f>
        <v>0</v>
      </c>
      <c r="L43" s="17" t="n">
        <f aca="false">L13*Assumptions!$C$74*Assumptions!$C$75*Assumptions!$C$76*L21</f>
        <v>0</v>
      </c>
      <c r="M43" s="17" t="n">
        <f aca="false">M13*Assumptions!$C$74*Assumptions!$C$75*Assumptions!$C$76*M21</f>
        <v>0</v>
      </c>
      <c r="N43" s="17" t="n">
        <f aca="false">N13*Assumptions!$C$74*Assumptions!$C$75*Assumptions!$C$76*N21</f>
        <v>0</v>
      </c>
      <c r="O43" s="17" t="n">
        <f aca="false">O13*Assumptions!$C$74*Assumptions!$C$75*Assumptions!$C$76*O21</f>
        <v>0</v>
      </c>
      <c r="P43" s="17" t="n">
        <f aca="false">P13*Assumptions!$C$74*Assumptions!$C$75*Assumptions!$C$76*P21</f>
        <v>0</v>
      </c>
      <c r="Q43" s="17" t="n">
        <f aca="false">Q13*Assumptions!$C$74*Assumptions!$C$75*Assumptions!$C$76*Q21</f>
        <v>0</v>
      </c>
      <c r="R43" s="17" t="n">
        <f aca="false">R13*Assumptions!$C$74*Assumptions!$C$75*Assumptions!$C$76*R21</f>
        <v>0</v>
      </c>
      <c r="S43" s="17" t="n">
        <f aca="false">S13*Assumptions!$C$74*Assumptions!$C$75*Assumptions!$C$76*S21</f>
        <v>0</v>
      </c>
      <c r="T43" s="17" t="n">
        <f aca="false">T13*Assumptions!$C$74*Assumptions!$C$75*Assumptions!$C$76*T21</f>
        <v>0</v>
      </c>
      <c r="U43" s="17" t="n">
        <f aca="false">U13*Assumptions!$C$74*Assumptions!$C$75*Assumptions!$C$76*U21</f>
        <v>0</v>
      </c>
      <c r="V43" s="17" t="n">
        <f aca="false">V13*Assumptions!$C$74*Assumptions!$C$75*Assumptions!$C$76*V21</f>
        <v>0</v>
      </c>
      <c r="W43" s="17" t="n">
        <f aca="false">W13*Assumptions!$C$74*Assumptions!$C$75*Assumptions!$C$76*W21</f>
        <v>0</v>
      </c>
      <c r="X43" s="17" t="n">
        <f aca="false">X13*Assumptions!$C$74*Assumptions!$C$75*Assumptions!$C$76*X21</f>
        <v>0</v>
      </c>
      <c r="Y43" s="17" t="n">
        <f aca="false">Y13*Assumptions!$C$74*Assumptions!$C$75*Assumptions!$C$76*Y21</f>
        <v>0</v>
      </c>
      <c r="Z43" s="17" t="n">
        <f aca="false">Z13*Assumptions!$C$74*Assumptions!$C$75*Assumptions!$C$76*Z21</f>
        <v>0</v>
      </c>
      <c r="AA43" s="17" t="n">
        <f aca="false">AA13*Assumptions!$C$74*Assumptions!$C$75*Assumptions!$C$76*AA21</f>
        <v>0</v>
      </c>
      <c r="AB43" s="17" t="n">
        <f aca="false">AB13*Assumptions!$C$74*Assumptions!$C$75*Assumptions!$C$76*AB21</f>
        <v>0</v>
      </c>
      <c r="AC43" s="17" t="n">
        <f aca="false">AC13*Assumptions!$C$74*Assumptions!$C$75*Assumptions!$C$76*AC21</f>
        <v>0</v>
      </c>
      <c r="AD43" s="17" t="n">
        <f aca="false">AD13*Assumptions!$C$74*Assumptions!$C$75*Assumptions!$C$76*AD21</f>
        <v>0</v>
      </c>
      <c r="AE43" s="17" t="n">
        <f aca="false">AE13*Assumptions!$C$74*Assumptions!$C$75*Assumptions!$C$76*AE21</f>
        <v>0</v>
      </c>
      <c r="AF43" s="17" t="n">
        <f aca="false">AF13*Assumptions!$C$74*Assumptions!$C$75*Assumptions!$C$76*AF21</f>
        <v>0</v>
      </c>
      <c r="AG43" s="17" t="n">
        <f aca="false">AG13*Assumptions!$C$74*Assumptions!$C$75*Assumptions!$C$76*AG21</f>
        <v>0</v>
      </c>
      <c r="AH43" s="17" t="n">
        <f aca="false">AH13*Assumptions!$C$74*Assumptions!$C$75*Assumptions!$C$76*AH21</f>
        <v>0</v>
      </c>
      <c r="AI43" s="17" t="n">
        <f aca="false">AI13*Assumptions!$C$74*Assumptions!$C$75*Assumptions!$C$76*AI21</f>
        <v>0</v>
      </c>
      <c r="AJ43" s="17" t="n">
        <f aca="false">AJ13*Assumptions!$C$74*Assumptions!$C$75*Assumptions!$C$76*AJ21</f>
        <v>0</v>
      </c>
      <c r="AK43" s="17" t="n">
        <f aca="false">AK13*Assumptions!$C$74*Assumptions!$C$75*Assumptions!$C$76*AK21</f>
        <v>0</v>
      </c>
      <c r="AL43" s="17" t="n">
        <f aca="false">AL13*Assumptions!$C$74*Assumptions!$C$75*Assumptions!$C$76*AL21</f>
        <v>0</v>
      </c>
      <c r="AM43" s="17" t="n">
        <f aca="false">AM13*Assumptions!$C$74*Assumptions!$C$75*Assumptions!$C$76*AM21</f>
        <v>0</v>
      </c>
      <c r="AN43" s="44" t="n">
        <f aca="false">AN13*Assumptions!$C$74*Assumptions!$C$75*Assumptions!$C$76*AN21</f>
        <v>138.606357496324</v>
      </c>
      <c r="AO43" s="44" t="n">
        <f aca="false">AO13*Assumptions!$C$74*Assumptions!$C$75*Assumptions!$C$76*AO21</f>
        <v>290.462524267757</v>
      </c>
      <c r="AP43" s="44" t="n">
        <f aca="false">AP13*Assumptions!$C$74*Assumptions!$C$75*Assumptions!$C$76*AP21</f>
        <v>454.118379605612</v>
      </c>
      <c r="AQ43" s="44" t="n">
        <f aca="false">AQ13*Assumptions!$C$74*Assumptions!$C$75*Assumptions!$C$76*AQ21</f>
        <v>627.64080521537</v>
      </c>
      <c r="AR43" s="44" t="n">
        <f aca="false">AR13*Assumptions!$C$74*Assumptions!$C$75*Assumptions!$C$76*AR21</f>
        <v>816.942741421424</v>
      </c>
      <c r="AS43" s="44" t="n">
        <f aca="false">AS13*Assumptions!$C$74*Assumptions!$C$75*Assumptions!$C$76*AS21</f>
        <v>1015.93032036012</v>
      </c>
      <c r="AT43" s="44" t="n">
        <f aca="false">AT13*Assumptions!$C$74*Assumptions!$C$75*Assumptions!$C$76*AT21</f>
        <v>1047.92336555472</v>
      </c>
      <c r="AU43" s="44" t="n">
        <f aca="false">AU13*Assumptions!$C$74*Assumptions!$C$75*Assumptions!$C$76*AU21</f>
        <v>1085.5805150714</v>
      </c>
      <c r="AV43" s="44" t="n">
        <f aca="false">AV13*Assumptions!$C$74*Assumptions!$C$75*Assumptions!$C$76*AV21</f>
        <v>1119.98480734533</v>
      </c>
      <c r="AW43" s="44" t="n">
        <f aca="false">AW13*Assumptions!$C$74*Assumptions!$C$75*Assumptions!$C$76*AW21</f>
        <v>1150.80103523515</v>
      </c>
      <c r="AX43" s="44" t="n">
        <f aca="false">AX13*Assumptions!$C$74*Assumptions!$C$75*Assumptions!$C$76*AX21</f>
        <v>1187.29901970662</v>
      </c>
      <c r="AY43" s="44" t="n">
        <f aca="false">AY13*Assumptions!$C$74*Assumptions!$C$75*Assumptions!$C$76*AY21</f>
        <v>1220.56153441102</v>
      </c>
      <c r="AZ43" s="44" t="n">
        <f aca="false">AZ13*Assumptions!$C$74*Assumptions!$C$75*Assumptions!$C$76*AZ21</f>
        <v>1250.25311139486</v>
      </c>
      <c r="BA43" s="44" t="n">
        <f aca="false">BA13*Assumptions!$C$74*Assumptions!$C$75*Assumptions!$C$76*BA21</f>
        <v>1285.64331472394</v>
      </c>
      <c r="BB43" s="44" t="n">
        <f aca="false">BB13*Assumptions!$C$74*Assumptions!$C$75*Assumptions!$C$76*BB21</f>
        <v>1317.81466500308</v>
      </c>
      <c r="BC43" s="44" t="n">
        <f aca="false">BC13*Assumptions!$C$74*Assumptions!$C$75*Assumptions!$C$76*BC21</f>
        <v>1346.04744502803</v>
      </c>
      <c r="BD43" s="44" t="n">
        <f aca="false">BD13*Assumptions!$C$74*Assumptions!$C$75*Assumptions!$C$76*BD21</f>
        <v>1380.00073335261</v>
      </c>
      <c r="BE43" s="44" t="n">
        <f aca="false">BE13*Assumptions!$C$74*Assumptions!$C$75*Assumptions!$C$76*BE21</f>
        <v>1410.75672235232</v>
      </c>
      <c r="BF43" s="44" t="n">
        <f aca="false">BF13*Assumptions!$C$74*Assumptions!$C$75*Assumptions!$C$76*BF21</f>
        <v>1437.59537151704</v>
      </c>
      <c r="BG43" s="44" t="n">
        <f aca="false">BG13*Assumptions!$C$74*Assumptions!$C$75*Assumptions!$C$76*BG21</f>
        <v>1470.17544094428</v>
      </c>
      <c r="BH43" s="44" t="n">
        <f aca="false">BH13*Assumptions!$C$74*Assumptions!$C$75*Assumptions!$C$76*BH21</f>
        <v>1499.57880933012</v>
      </c>
      <c r="BI43" s="44" t="n">
        <f aca="false">BI13*Assumptions!$C$74*Assumptions!$C$75*Assumptions!$C$76*BI21</f>
        <v>1525.08512719016</v>
      </c>
      <c r="BJ43" s="44" t="n">
        <f aca="false">BJ13*Assumptions!$C$74*Assumptions!$C$75*Assumptions!$C$76*BJ21</f>
        <v>1556.35285028231</v>
      </c>
      <c r="BK43" s="44" t="n">
        <f aca="false">BK13*Assumptions!$C$74*Assumptions!$C$75*Assumptions!$C$76*BK21</f>
        <v>1584.46355752808</v>
      </c>
    </row>
    <row r="44" customFormat="false" ht="15" hidden="false" customHeight="false" outlineLevel="0" collapsed="false">
      <c r="A44" s="28" t="s">
        <v>603</v>
      </c>
      <c r="B44" s="6" t="s">
        <v>604</v>
      </c>
      <c r="C44" s="42"/>
      <c r="D44" s="26" t="n">
        <f aca="false">D10*Assumptions!$C$80/12*D18</f>
        <v>0</v>
      </c>
      <c r="E44" s="26" t="n">
        <f aca="false">E10*Assumptions!$C$80/12*E18</f>
        <v>0</v>
      </c>
      <c r="F44" s="26" t="n">
        <f aca="false">F10*Assumptions!$C$80/12*F18</f>
        <v>0</v>
      </c>
      <c r="G44" s="26" t="n">
        <f aca="false">G10*Assumptions!$C$80/12*G18</f>
        <v>0</v>
      </c>
      <c r="H44" s="26" t="n">
        <f aca="false">H10*Assumptions!$C$80/12*H18</f>
        <v>0</v>
      </c>
      <c r="I44" s="26" t="n">
        <f aca="false">I10*Assumptions!$C$80/12*I18</f>
        <v>0</v>
      </c>
      <c r="J44" s="26" t="n">
        <f aca="false">J10*Assumptions!$C$80/12*J18</f>
        <v>0</v>
      </c>
      <c r="K44" s="26" t="n">
        <f aca="false">K10*Assumptions!$C$80/12*K18</f>
        <v>0</v>
      </c>
      <c r="L44" s="26" t="n">
        <f aca="false">L10*Assumptions!$C$80/12*L18</f>
        <v>0</v>
      </c>
      <c r="M44" s="26" t="n">
        <f aca="false">M10*Assumptions!$C$80/12*M18</f>
        <v>0</v>
      </c>
      <c r="N44" s="26" t="n">
        <f aca="false">N10*Assumptions!$C$80/12*N18</f>
        <v>0</v>
      </c>
      <c r="O44" s="26" t="n">
        <f aca="false">O10*Assumptions!$C$80/12*O18</f>
        <v>0</v>
      </c>
      <c r="P44" s="26" t="n">
        <f aca="false">P10*Assumptions!$C$80/12*P18</f>
        <v>0</v>
      </c>
      <c r="Q44" s="26" t="n">
        <f aca="false">Q10*Assumptions!$C$80/12*Q18</f>
        <v>0</v>
      </c>
      <c r="R44" s="26" t="n">
        <f aca="false">R10*Assumptions!$C$80/12*R18</f>
        <v>0</v>
      </c>
      <c r="S44" s="26" t="n">
        <f aca="false">S10*Assumptions!$C$80/12*S18</f>
        <v>0</v>
      </c>
      <c r="T44" s="26" t="n">
        <f aca="false">T10*Assumptions!$C$80/12*T18</f>
        <v>0</v>
      </c>
      <c r="U44" s="26" t="n">
        <f aca="false">U10*Assumptions!$C$80/12*U18</f>
        <v>0.333333333333333</v>
      </c>
      <c r="V44" s="26" t="n">
        <f aca="false">V10*Assumptions!$C$80/12*V18</f>
        <v>0.333333333333333</v>
      </c>
      <c r="W44" s="26" t="n">
        <f aca="false">W10*Assumptions!$C$80/12*W18</f>
        <v>0.416666666666667</v>
      </c>
      <c r="X44" s="26" t="n">
        <f aca="false">X10*Assumptions!$C$80/12*X18</f>
        <v>0.5</v>
      </c>
      <c r="Y44" s="26" t="n">
        <f aca="false">Y10*Assumptions!$C$80/12*Y18</f>
        <v>0.5</v>
      </c>
      <c r="Z44" s="26" t="n">
        <f aca="false">Z10*Assumptions!$C$80/12*Z18</f>
        <v>0.583333333333333</v>
      </c>
      <c r="AA44" s="26" t="n">
        <f aca="false">AA10*Assumptions!$C$80/12*AA18</f>
        <v>0.666666666666667</v>
      </c>
      <c r="AB44" s="26" t="n">
        <f aca="false">AB10*Assumptions!$C$80/12*AB18</f>
        <v>0.75</v>
      </c>
      <c r="AC44" s="26" t="n">
        <f aca="false">AC10*Assumptions!$C$80/12*AC18</f>
        <v>0.833333333333333</v>
      </c>
      <c r="AD44" s="26" t="n">
        <f aca="false">AD10*Assumptions!$C$80/12*AD18</f>
        <v>0.916666666666667</v>
      </c>
      <c r="AE44" s="26" t="n">
        <f aca="false">AE10*Assumptions!$C$80/12*AE18</f>
        <v>1</v>
      </c>
      <c r="AF44" s="26" t="n">
        <f aca="false">AF10*Assumptions!$C$80/12*AF18</f>
        <v>1.08333333333333</v>
      </c>
      <c r="AG44" s="26" t="n">
        <f aca="false">AG10*Assumptions!$C$80/12*AG18</f>
        <v>1.16666666666667</v>
      </c>
      <c r="AH44" s="26" t="n">
        <f aca="false">AH10*Assumptions!$C$80/12*AH18</f>
        <v>1.25</v>
      </c>
      <c r="AI44" s="26" t="n">
        <f aca="false">AI10*Assumptions!$C$80/12*AI18</f>
        <v>1.33333333333333</v>
      </c>
      <c r="AJ44" s="26" t="n">
        <f aca="false">AJ10*Assumptions!$C$80/12*AJ18</f>
        <v>1.41666666666667</v>
      </c>
      <c r="AK44" s="26" t="n">
        <f aca="false">AK10*Assumptions!$C$80/12*AK18</f>
        <v>1.5</v>
      </c>
      <c r="AL44" s="26" t="n">
        <f aca="false">AL10*Assumptions!$C$80/12*AL18</f>
        <v>1.66666666666667</v>
      </c>
      <c r="AM44" s="26" t="n">
        <f aca="false">AM10*Assumptions!$C$80/12*AM18</f>
        <v>1.75</v>
      </c>
      <c r="AN44" s="37" t="n">
        <f aca="false">AN10*Assumptions!$C$80/12*AN18</f>
        <v>1.83333333333333</v>
      </c>
      <c r="AO44" s="37" t="n">
        <f aca="false">AO10*Assumptions!$C$80/12*AO18</f>
        <v>2</v>
      </c>
      <c r="AP44" s="37" t="n">
        <f aca="false">AP10*Assumptions!$C$80/12*AP18</f>
        <v>2.08333333333333</v>
      </c>
      <c r="AQ44" s="37" t="n">
        <f aca="false">AQ10*Assumptions!$C$80/12*AQ18</f>
        <v>2.16666666666667</v>
      </c>
      <c r="AR44" s="37" t="n">
        <f aca="false">AR10*Assumptions!$C$80/12*AR18</f>
        <v>2.33333333333333</v>
      </c>
      <c r="AS44" s="37" t="n">
        <f aca="false">AS10*Assumptions!$C$80/12*AS18</f>
        <v>2.41666666666667</v>
      </c>
      <c r="AT44" s="37" t="n">
        <f aca="false">AT10*Assumptions!$C$80/12*AT18</f>
        <v>2.5</v>
      </c>
      <c r="AU44" s="37" t="n">
        <f aca="false">AU10*Assumptions!$C$80/12*AU18</f>
        <v>2.66666666666667</v>
      </c>
      <c r="AV44" s="37" t="n">
        <f aca="false">AV10*Assumptions!$C$80/12*AV18</f>
        <v>2.75</v>
      </c>
      <c r="AW44" s="37" t="n">
        <f aca="false">AW10*Assumptions!$C$80/12*AW18</f>
        <v>2.83333333333333</v>
      </c>
      <c r="AX44" s="37" t="n">
        <f aca="false">AX10*Assumptions!$C$80/12*AX18</f>
        <v>3</v>
      </c>
      <c r="AY44" s="37" t="n">
        <f aca="false">AY10*Assumptions!$C$80/12*AY18</f>
        <v>3.08333333333333</v>
      </c>
      <c r="AZ44" s="37" t="n">
        <f aca="false">AZ10*Assumptions!$C$80/12*AZ18</f>
        <v>3.16666666666667</v>
      </c>
      <c r="BA44" s="37" t="n">
        <f aca="false">BA10*Assumptions!$C$80/12*BA18</f>
        <v>3.33333333333333</v>
      </c>
      <c r="BB44" s="37" t="n">
        <f aca="false">BB10*Assumptions!$C$80/12*BB18</f>
        <v>3.41666666666667</v>
      </c>
      <c r="BC44" s="37" t="n">
        <f aca="false">BC10*Assumptions!$C$80/12*BC18</f>
        <v>3.5</v>
      </c>
      <c r="BD44" s="37" t="n">
        <f aca="false">BD10*Assumptions!$C$80/12*BD18</f>
        <v>3.66666666666667</v>
      </c>
      <c r="BE44" s="37" t="n">
        <f aca="false">BE10*Assumptions!$C$80/12*BE18</f>
        <v>3.75</v>
      </c>
      <c r="BF44" s="37" t="n">
        <f aca="false">BF10*Assumptions!$C$80/12*BF18</f>
        <v>3.83333333333333</v>
      </c>
      <c r="BG44" s="37" t="n">
        <f aca="false">BG10*Assumptions!$C$80/12*BG18</f>
        <v>4</v>
      </c>
      <c r="BH44" s="37" t="n">
        <f aca="false">BH10*Assumptions!$C$80/12*BH18</f>
        <v>4.08333333333333</v>
      </c>
      <c r="BI44" s="37" t="n">
        <f aca="false">BI10*Assumptions!$C$80/12*BI18</f>
        <v>4.16666666666667</v>
      </c>
      <c r="BJ44" s="37" t="n">
        <f aca="false">BJ10*Assumptions!$C$80/12*BJ18</f>
        <v>4.33333333333333</v>
      </c>
      <c r="BK44" s="37" t="n">
        <f aca="false">BK10*Assumptions!$C$80/12*BK18</f>
        <v>4.41666666666667</v>
      </c>
    </row>
    <row r="45" customFormat="false" ht="15" hidden="false" customHeight="false" outlineLevel="0" collapsed="false">
      <c r="A45" s="28" t="s">
        <v>605</v>
      </c>
      <c r="B45" s="6" t="s">
        <v>606</v>
      </c>
      <c r="C45" s="43"/>
      <c r="D45" s="17" t="n">
        <f aca="false">D44*Assumptions!$C$81</f>
        <v>0</v>
      </c>
      <c r="E45" s="17" t="n">
        <f aca="false">E44*Assumptions!$C$81</f>
        <v>0</v>
      </c>
      <c r="F45" s="17" t="n">
        <f aca="false">F44*Assumptions!$C$81</f>
        <v>0</v>
      </c>
      <c r="G45" s="17" t="n">
        <f aca="false">G44*Assumptions!$C$81</f>
        <v>0</v>
      </c>
      <c r="H45" s="17" t="n">
        <f aca="false">H44*Assumptions!$C$81</f>
        <v>0</v>
      </c>
      <c r="I45" s="17" t="n">
        <f aca="false">I44*Assumptions!$C$81</f>
        <v>0</v>
      </c>
      <c r="J45" s="17" t="n">
        <f aca="false">J44*Assumptions!$C$81</f>
        <v>0</v>
      </c>
      <c r="K45" s="17" t="n">
        <f aca="false">K44*Assumptions!$C$81</f>
        <v>0</v>
      </c>
      <c r="L45" s="17" t="n">
        <f aca="false">L44*Assumptions!$C$81</f>
        <v>0</v>
      </c>
      <c r="M45" s="17" t="n">
        <f aca="false">M44*Assumptions!$C$81</f>
        <v>0</v>
      </c>
      <c r="N45" s="17" t="n">
        <f aca="false">N44*Assumptions!$C$81</f>
        <v>0</v>
      </c>
      <c r="O45" s="17" t="n">
        <f aca="false">O44*Assumptions!$C$81</f>
        <v>0</v>
      </c>
      <c r="P45" s="17" t="n">
        <f aca="false">P44*Assumptions!$C$81</f>
        <v>0</v>
      </c>
      <c r="Q45" s="17" t="n">
        <f aca="false">Q44*Assumptions!$C$81</f>
        <v>0</v>
      </c>
      <c r="R45" s="17" t="n">
        <f aca="false">R44*Assumptions!$C$81</f>
        <v>0</v>
      </c>
      <c r="S45" s="17" t="n">
        <f aca="false">S44*Assumptions!$C$81</f>
        <v>0</v>
      </c>
      <c r="T45" s="17" t="n">
        <f aca="false">T44*Assumptions!$C$81</f>
        <v>0</v>
      </c>
      <c r="U45" s="17" t="n">
        <f aca="false">U44*Assumptions!$C$81</f>
        <v>750</v>
      </c>
      <c r="V45" s="17" t="n">
        <f aca="false">V44*Assumptions!$C$81</f>
        <v>750</v>
      </c>
      <c r="W45" s="17" t="n">
        <f aca="false">W44*Assumptions!$C$81</f>
        <v>937.5</v>
      </c>
      <c r="X45" s="17" t="n">
        <f aca="false">X44*Assumptions!$C$81</f>
        <v>1125</v>
      </c>
      <c r="Y45" s="17" t="n">
        <f aca="false">Y44*Assumptions!$C$81</f>
        <v>1125</v>
      </c>
      <c r="Z45" s="17" t="n">
        <f aca="false">Z44*Assumptions!$C$81</f>
        <v>1312.5</v>
      </c>
      <c r="AA45" s="17" t="n">
        <f aca="false">AA44*Assumptions!$C$81</f>
        <v>1500</v>
      </c>
      <c r="AB45" s="17" t="n">
        <f aca="false">AB44*Assumptions!$C$81</f>
        <v>1687.5</v>
      </c>
      <c r="AC45" s="17" t="n">
        <f aca="false">AC44*Assumptions!$C$81</f>
        <v>1875</v>
      </c>
      <c r="AD45" s="17" t="n">
        <f aca="false">AD44*Assumptions!$C$81</f>
        <v>2062.5</v>
      </c>
      <c r="AE45" s="17" t="n">
        <f aca="false">AE44*Assumptions!$C$81</f>
        <v>2250</v>
      </c>
      <c r="AF45" s="17" t="n">
        <f aca="false">AF44*Assumptions!$C$81</f>
        <v>2437.5</v>
      </c>
      <c r="AG45" s="17" t="n">
        <f aca="false">AG44*Assumptions!$C$81</f>
        <v>2625</v>
      </c>
      <c r="AH45" s="17" t="n">
        <f aca="false">AH44*Assumptions!$C$81</f>
        <v>2812.5</v>
      </c>
      <c r="AI45" s="17" t="n">
        <f aca="false">AI44*Assumptions!$C$81</f>
        <v>3000</v>
      </c>
      <c r="AJ45" s="17" t="n">
        <f aca="false">AJ44*Assumptions!$C$81</f>
        <v>3187.5</v>
      </c>
      <c r="AK45" s="17" t="n">
        <f aca="false">AK44*Assumptions!$C$81</f>
        <v>3375</v>
      </c>
      <c r="AL45" s="17" t="n">
        <f aca="false">AL44*Assumptions!$C$81</f>
        <v>3750</v>
      </c>
      <c r="AM45" s="17" t="n">
        <f aca="false">AM44*Assumptions!$C$81</f>
        <v>3937.5</v>
      </c>
      <c r="AN45" s="44" t="n">
        <f aca="false">AN44*Assumptions!$C$81</f>
        <v>4125</v>
      </c>
      <c r="AO45" s="44" t="n">
        <f aca="false">AO44*Assumptions!$C$81</f>
        <v>4500</v>
      </c>
      <c r="AP45" s="44" t="n">
        <f aca="false">AP44*Assumptions!$C$81</f>
        <v>4687.5</v>
      </c>
      <c r="AQ45" s="44" t="n">
        <f aca="false">AQ44*Assumptions!$C$81</f>
        <v>4875</v>
      </c>
      <c r="AR45" s="44" t="n">
        <f aca="false">AR44*Assumptions!$C$81</f>
        <v>5250</v>
      </c>
      <c r="AS45" s="44" t="n">
        <f aca="false">AS44*Assumptions!$C$81</f>
        <v>5437.5</v>
      </c>
      <c r="AT45" s="44" t="n">
        <f aca="false">AT44*Assumptions!$C$81</f>
        <v>5625</v>
      </c>
      <c r="AU45" s="44" t="n">
        <f aca="false">AU44*Assumptions!$C$81</f>
        <v>6000</v>
      </c>
      <c r="AV45" s="44" t="n">
        <f aca="false">AV44*Assumptions!$C$81</f>
        <v>6187.5</v>
      </c>
      <c r="AW45" s="44" t="n">
        <f aca="false">AW44*Assumptions!$C$81</f>
        <v>6375</v>
      </c>
      <c r="AX45" s="44" t="n">
        <f aca="false">AX44*Assumptions!$C$81</f>
        <v>6750</v>
      </c>
      <c r="AY45" s="44" t="n">
        <f aca="false">AY44*Assumptions!$C$81</f>
        <v>6937.5</v>
      </c>
      <c r="AZ45" s="44" t="n">
        <f aca="false">AZ44*Assumptions!$C$81</f>
        <v>7125</v>
      </c>
      <c r="BA45" s="44" t="n">
        <f aca="false">BA44*Assumptions!$C$81</f>
        <v>7500</v>
      </c>
      <c r="BB45" s="44" t="n">
        <f aca="false">BB44*Assumptions!$C$81</f>
        <v>7687.5</v>
      </c>
      <c r="BC45" s="44" t="n">
        <f aca="false">BC44*Assumptions!$C$81</f>
        <v>7875</v>
      </c>
      <c r="BD45" s="44" t="n">
        <f aca="false">BD44*Assumptions!$C$81</f>
        <v>8250</v>
      </c>
      <c r="BE45" s="44" t="n">
        <f aca="false">BE44*Assumptions!$C$81</f>
        <v>8437.5</v>
      </c>
      <c r="BF45" s="44" t="n">
        <f aca="false">BF44*Assumptions!$C$81</f>
        <v>8625</v>
      </c>
      <c r="BG45" s="44" t="n">
        <f aca="false">BG44*Assumptions!$C$81</f>
        <v>9000</v>
      </c>
      <c r="BH45" s="44" t="n">
        <f aca="false">BH44*Assumptions!$C$81</f>
        <v>9187.5</v>
      </c>
      <c r="BI45" s="44" t="n">
        <f aca="false">BI44*Assumptions!$C$81</f>
        <v>9375</v>
      </c>
      <c r="BJ45" s="44" t="n">
        <f aca="false">BJ44*Assumptions!$C$81</f>
        <v>9750</v>
      </c>
      <c r="BK45" s="44" t="n">
        <f aca="false">BK44*Assumptions!$C$81</f>
        <v>9937.5</v>
      </c>
    </row>
    <row r="46" customFormat="false" ht="15" hidden="false" customHeight="false" outlineLevel="0" collapsed="false">
      <c r="A46" s="28" t="s">
        <v>607</v>
      </c>
      <c r="B46" s="5" t="s">
        <v>608</v>
      </c>
      <c r="C46" s="43"/>
      <c r="D46" s="45" t="n">
        <f aca="false">D37+D38+D40+D41+D42+D43+D45</f>
        <v>0</v>
      </c>
      <c r="E46" s="45" t="n">
        <f aca="false">E37+E38+E40+E41+E42+E43+E45</f>
        <v>0</v>
      </c>
      <c r="F46" s="45" t="n">
        <f aca="false">F37+F38+F40+F41+F42+F43+F45</f>
        <v>0</v>
      </c>
      <c r="G46" s="45" t="n">
        <f aca="false">G37+G38+G40+G41+G42+G43+G45</f>
        <v>0</v>
      </c>
      <c r="H46" s="45" t="n">
        <f aca="false">H37+H38+H40+H41+H42+H43+H45</f>
        <v>0</v>
      </c>
      <c r="I46" s="45" t="n">
        <f aca="false">I37+I38+I40+I41+I42+I43+I45</f>
        <v>0</v>
      </c>
      <c r="J46" s="45" t="n">
        <f aca="false">J37+J38+J40+J41+J42+J43+J45</f>
        <v>0</v>
      </c>
      <c r="K46" s="45" t="n">
        <f aca="false">K37+K38+K40+K41+K42+K43+K45</f>
        <v>0</v>
      </c>
      <c r="L46" s="45" t="n">
        <f aca="false">L37+L38+L40+L41+L42+L43+L45</f>
        <v>0</v>
      </c>
      <c r="M46" s="45" t="n">
        <f aca="false">M37+M38+M40+M41+M42+M43+M45</f>
        <v>0</v>
      </c>
      <c r="N46" s="45" t="n">
        <f aca="false">N37+N38+N40+N41+N42+N43+N45</f>
        <v>0</v>
      </c>
      <c r="O46" s="45" t="n">
        <f aca="false">O37+O38+O40+O41+O42+O43+O45</f>
        <v>0</v>
      </c>
      <c r="P46" s="45" t="n">
        <f aca="false">P37+P38+P40+P41+P42+P43+P45</f>
        <v>0</v>
      </c>
      <c r="Q46" s="45" t="n">
        <f aca="false">Q37+Q38+Q40+Q41+Q42+Q43+Q45</f>
        <v>0</v>
      </c>
      <c r="R46" s="45" t="n">
        <f aca="false">R37+R38+R40+R41+R42+R43+R45</f>
        <v>0</v>
      </c>
      <c r="S46" s="45" t="n">
        <f aca="false">S37+S38+S40+S41+S42+S43+S45</f>
        <v>0</v>
      </c>
      <c r="T46" s="45" t="n">
        <f aca="false">T37+T38+T40+T41+T42+T43+T45</f>
        <v>0</v>
      </c>
      <c r="U46" s="45" t="n">
        <f aca="false">U37+U38+U40+U41+U42+U43+U45</f>
        <v>750</v>
      </c>
      <c r="V46" s="45" t="n">
        <f aca="false">V37+V38+V40+V41+V42+V43+V45</f>
        <v>750</v>
      </c>
      <c r="W46" s="45" t="n">
        <f aca="false">W37+W38+W40+W41+W42+W43+W45</f>
        <v>937.5</v>
      </c>
      <c r="X46" s="45" t="n">
        <f aca="false">X37+X38+X40+X41+X42+X43+X45</f>
        <v>1125</v>
      </c>
      <c r="Y46" s="45" t="n">
        <f aca="false">Y37+Y38+Y40+Y41+Y42+Y43+Y45</f>
        <v>1349.62457628239</v>
      </c>
      <c r="Z46" s="45" t="n">
        <f aca="false">Z37+Z38+Z40+Z41+Z42+Z43+Z45</f>
        <v>1769.37451658487</v>
      </c>
      <c r="AA46" s="45" t="n">
        <f aca="false">AA37+AA38+AA40+AA41+AA42+AA43+AA45</f>
        <v>2196.2837305572</v>
      </c>
      <c r="AB46" s="45" t="n">
        <f aca="false">AB37+AB38+AB40+AB41+AB42+AB43+AB45</f>
        <v>2629.91412707569</v>
      </c>
      <c r="AC46" s="45" t="n">
        <f aca="false">AC37+AC38+AC40+AC41+AC42+AC43+AC45</f>
        <v>3069.85387752329</v>
      </c>
      <c r="AD46" s="45" t="n">
        <f aca="false">AD37+AD38+AD40+AD41+AD42+AD43+AD45</f>
        <v>3515.71579092902</v>
      </c>
      <c r="AE46" s="45" t="n">
        <f aca="false">AE37+AE38+AE40+AE41+AE42+AE43+AE45</f>
        <v>3966.86285125275</v>
      </c>
      <c r="AF46" s="45" t="n">
        <f aca="false">AF37+AF38+AF40+AF41+AF42+AF43+AF45</f>
        <v>4429.79681910328</v>
      </c>
      <c r="AG46" s="45" t="n">
        <f aca="false">AG37+AG38+AG40+AG41+AG42+AG43+AG45</f>
        <v>4902.88150105246</v>
      </c>
      <c r="AH46" s="45" t="n">
        <f aca="false">AH37+AH38+AH40+AH41+AH42+AH43+AH45</f>
        <v>5383.2294173263</v>
      </c>
      <c r="AI46" s="45" t="n">
        <f aca="false">AI37+AI38+AI40+AI41+AI42+AI43+AI45</f>
        <v>5875.80444627889</v>
      </c>
      <c r="AJ46" s="45" t="n">
        <f aca="false">AJ37+AJ38+AJ40+AJ41+AJ42+AJ43+AJ45</f>
        <v>6377.82002317149</v>
      </c>
      <c r="AK46" s="45" t="n">
        <f aca="false">AK37+AK38+AK40+AK41+AK42+AK43+AK45</f>
        <v>6886.14357598371</v>
      </c>
      <c r="AL46" s="45" t="n">
        <f aca="false">AL37+AL38+AL40+AL41+AL42+AL43+AL45</f>
        <v>7591.92114029989</v>
      </c>
      <c r="AM46" s="45" t="n">
        <f aca="false">AM37+AM38+AM40+AM41+AM42+AM43+AM45</f>
        <v>8117.51312001458</v>
      </c>
      <c r="AN46" s="46" t="n">
        <f aca="false">AN37+AN38+AN40+AN41+AN42+AN43+AN45</f>
        <v>8976.32801553703</v>
      </c>
      <c r="AO46" s="46" t="n">
        <f aca="false">AO37+AO38+AO40+AO41+AO42+AO43+AO45</f>
        <v>10062.286211261</v>
      </c>
      <c r="AP46" s="46" t="n">
        <f aca="false">AP37+AP38+AP40+AP41+AP42+AP43+AP45</f>
        <v>10994.7468743794</v>
      </c>
      <c r="AQ46" s="46" t="n">
        <f aca="false">AQ37+AQ38+AQ40+AQ41+AQ42+AQ43+AQ45</f>
        <v>11953.9701814136</v>
      </c>
      <c r="AR46" s="46" t="n">
        <f aca="false">AR37+AR38+AR40+AR41+AR42+AR43+AR45</f>
        <v>13144.2640111378</v>
      </c>
      <c r="AS46" s="46" t="n">
        <f aca="false">AS37+AS38+AS40+AS41+AS42+AS43+AS45</f>
        <v>14174.7183815019</v>
      </c>
      <c r="AT46" s="46" t="n">
        <f aca="false">AT37+AT38+AT40+AT41+AT42+AT43+AT45</f>
        <v>14809.9710851595</v>
      </c>
      <c r="AU46" s="46" t="n">
        <f aca="false">AU37+AU38+AU40+AU41+AU42+AU43+AU45</f>
        <v>15650.1179389561</v>
      </c>
      <c r="AV46" s="46" t="n">
        <f aca="false">AV37+AV38+AV40+AV41+AV42+AV43+AV45</f>
        <v>16298.2187614508</v>
      </c>
      <c r="AW46" s="46" t="n">
        <f aca="false">AW37+AW38+AW40+AW41+AW42+AW43+AW45</f>
        <v>16938.0951289509</v>
      </c>
      <c r="AX46" s="46" t="n">
        <f aca="false">AX37+AX38+AX40+AX41+AX42+AX43+AX45</f>
        <v>17781.7064924144</v>
      </c>
      <c r="AY46" s="46" t="n">
        <f aca="false">AY37+AY38+AY40+AY41+AY42+AY43+AY45</f>
        <v>18432.1958702798</v>
      </c>
      <c r="AZ46" s="46" t="n">
        <f aca="false">AZ37+AZ38+AZ40+AZ41+AZ42+AZ43+AZ45</f>
        <v>19073.4621154983</v>
      </c>
      <c r="BA46" s="46" t="n">
        <f aca="false">BA37+BA38+BA40+BA41+BA42+BA43+BA45</f>
        <v>19917.5366321559</v>
      </c>
      <c r="BB46" s="46" t="n">
        <f aca="false">BB37+BB38+BB40+BB41+BB42+BB43+BB45</f>
        <v>20567.6295523121</v>
      </c>
      <c r="BC46" s="46" t="n">
        <f aca="false">BC37+BC38+BC40+BC41+BC42+BC43+BC45</f>
        <v>21206.5771753627</v>
      </c>
      <c r="BD46" s="46" t="n">
        <f aca="false">BD37+BD38+BD40+BD41+BD42+BD43+BD45</f>
        <v>22047.3315574451</v>
      </c>
      <c r="BE46" s="46" t="n">
        <f aca="false">BE37+BE38+BE40+BE41+BE42+BE43+BE45</f>
        <v>22693.1852695674</v>
      </c>
      <c r="BF46" s="46" t="n">
        <f aca="false">BF37+BF38+BF40+BF41+BF42+BF43+BF45</f>
        <v>23327.0492448357</v>
      </c>
      <c r="BG46" s="46" t="n">
        <f aca="false">BG37+BG38+BG40+BG41+BG42+BG43+BG45</f>
        <v>24161.9437480881</v>
      </c>
      <c r="BH46" s="46" t="n">
        <f aca="false">BH37+BH38+BH40+BH41+BH42+BH43+BH45</f>
        <v>24801.2241173945</v>
      </c>
      <c r="BI46" s="46" t="n">
        <f aca="false">BI37+BI38+BI40+BI41+BI42+BI43+BI45</f>
        <v>25427.8593310536</v>
      </c>
      <c r="BJ46" s="46" t="n">
        <f aca="false">BJ37+BJ38+BJ40+BJ41+BJ42+BJ43+BJ45</f>
        <v>26254.92352039</v>
      </c>
      <c r="BK46" s="46" t="n">
        <f aca="false">BK37+BK38+BK40+BK41+BK42+BK43+BK45</f>
        <v>26885.8221347122</v>
      </c>
    </row>
    <row r="47" customFormat="false" ht="15" hidden="false" customHeight="false" outlineLevel="0" collapsed="false">
      <c r="A47" s="28" t="s">
        <v>609</v>
      </c>
      <c r="B47" s="6" t="s">
        <v>610</v>
      </c>
      <c r="C47" s="43"/>
      <c r="D47" s="17" t="n">
        <f aca="false">D37+D38</f>
        <v>0</v>
      </c>
      <c r="E47" s="17" t="n">
        <f aca="false">E37+E38</f>
        <v>0</v>
      </c>
      <c r="F47" s="17" t="n">
        <f aca="false">F37+F38</f>
        <v>0</v>
      </c>
      <c r="G47" s="17" t="n">
        <f aca="false">G37+G38</f>
        <v>0</v>
      </c>
      <c r="H47" s="17" t="n">
        <f aca="false">H37+H38</f>
        <v>0</v>
      </c>
      <c r="I47" s="17" t="n">
        <f aca="false">I37+I38</f>
        <v>0</v>
      </c>
      <c r="J47" s="17" t="n">
        <f aca="false">J37+J38</f>
        <v>0</v>
      </c>
      <c r="K47" s="17" t="n">
        <f aca="false">K37+K38</f>
        <v>0</v>
      </c>
      <c r="L47" s="17" t="n">
        <f aca="false">L37+L38</f>
        <v>0</v>
      </c>
      <c r="M47" s="17" t="n">
        <f aca="false">M37+M38</f>
        <v>0</v>
      </c>
      <c r="N47" s="17" t="n">
        <f aca="false">N37+N38</f>
        <v>0</v>
      </c>
      <c r="O47" s="17" t="n">
        <f aca="false">O37+O38</f>
        <v>0</v>
      </c>
      <c r="P47" s="17" t="n">
        <f aca="false">P37+P38</f>
        <v>0</v>
      </c>
      <c r="Q47" s="17" t="n">
        <f aca="false">Q37+Q38</f>
        <v>0</v>
      </c>
      <c r="R47" s="17" t="n">
        <f aca="false">R37+R38</f>
        <v>0</v>
      </c>
      <c r="S47" s="17" t="n">
        <f aca="false">S37+S38</f>
        <v>0</v>
      </c>
      <c r="T47" s="17" t="n">
        <f aca="false">T37+T38</f>
        <v>0</v>
      </c>
      <c r="U47" s="17" t="n">
        <f aca="false">U37+U38</f>
        <v>0</v>
      </c>
      <c r="V47" s="17" t="n">
        <f aca="false">V37+V38</f>
        <v>0</v>
      </c>
      <c r="W47" s="17" t="n">
        <f aca="false">W37+W38</f>
        <v>0</v>
      </c>
      <c r="X47" s="17" t="n">
        <f aca="false">X37+X38</f>
        <v>0</v>
      </c>
      <c r="Y47" s="17" t="n">
        <f aca="false">Y37+Y38</f>
        <v>170.191241801244</v>
      </c>
      <c r="Z47" s="17" t="n">
        <f aca="false">Z37+Z38</f>
        <v>346.19361151263</v>
      </c>
      <c r="AA47" s="17" t="n">
        <f aca="false">AA37+AA38</f>
        <v>527.653219812103</v>
      </c>
      <c r="AB47" s="17" t="n">
        <f aca="false">AB37+AB38</f>
        <v>714.237364325945</v>
      </c>
      <c r="AC47" s="17" t="n">
        <f aca="false">AC37+AC38</f>
        <v>905.633219450798</v>
      </c>
      <c r="AD47" s="17" t="n">
        <f aca="false">AD37+AD38</f>
        <v>1101.54661035008</v>
      </c>
      <c r="AE47" s="17" t="n">
        <f aca="false">AE37+AE38</f>
        <v>1301.49406543819</v>
      </c>
      <c r="AF47" s="17" t="n">
        <f aca="false">AF37+AF38</f>
        <v>1510.40089948023</v>
      </c>
      <c r="AG47" s="17" t="n">
        <f aca="false">AG37+AG38</f>
        <v>1727.02756838119</v>
      </c>
      <c r="AH47" s="17" t="n">
        <f aca="false">AH37+AH38</f>
        <v>1949.18621333026</v>
      </c>
      <c r="AI47" s="17" t="n">
        <f aca="false">AI37+AI38</f>
        <v>2180.63728587772</v>
      </c>
      <c r="AJ47" s="17" t="n">
        <f aca="false">AJ37+AJ38</f>
        <v>2419.26973448555</v>
      </c>
      <c r="AK47" s="17" t="n">
        <f aca="false">AK37+AK38</f>
        <v>2662.70991792573</v>
      </c>
      <c r="AL47" s="17" t="n">
        <f aca="false">AL37+AL38</f>
        <v>2913.71968268547</v>
      </c>
      <c r="AM47" s="17" t="n">
        <f aca="false">AM37+AM38</f>
        <v>3170.29902461205</v>
      </c>
      <c r="AN47" s="44" t="n">
        <f aca="false">AN37+AN38</f>
        <v>3430.17826911974</v>
      </c>
      <c r="AO47" s="44" t="n">
        <f aca="false">AO37+AO38</f>
        <v>3696.21661159167</v>
      </c>
      <c r="AP47" s="44" t="n">
        <f aca="false">AP37+AP38</f>
        <v>3966.50521093292</v>
      </c>
      <c r="AQ47" s="44" t="n">
        <f aca="false">AQ37+AQ38</f>
        <v>4238.85977272843</v>
      </c>
      <c r="AR47" s="44" t="n">
        <f aca="false">AR37+AR38</f>
        <v>4516.21946562156</v>
      </c>
      <c r="AS47" s="44" t="n">
        <f aca="false">AS37+AS38</f>
        <v>4796.54356561375</v>
      </c>
      <c r="AT47" s="44" t="n">
        <f aca="false">AT37+AT38</f>
        <v>5077.73352126469</v>
      </c>
      <c r="AU47" s="44" t="n">
        <f aca="false">AU37+AU38</f>
        <v>5362.80880146162</v>
      </c>
      <c r="AV47" s="44" t="n">
        <f aca="false">AV37+AV38</f>
        <v>5649.80389188388</v>
      </c>
      <c r="AW47" s="44" t="n">
        <f aca="false">AW37+AW38</f>
        <v>5936.69068894252</v>
      </c>
      <c r="AX47" s="44" t="n">
        <f aca="false">AX37+AX38</f>
        <v>6226.55465445795</v>
      </c>
      <c r="AY47" s="44" t="n">
        <f aca="false">AY37+AY38</f>
        <v>6517.49209868627</v>
      </c>
      <c r="AZ47" s="44" t="n">
        <f aca="false">AZ37+AZ38</f>
        <v>6807.53284185564</v>
      </c>
      <c r="BA47" s="44" t="n">
        <f aca="false">BA37+BA38</f>
        <v>7099.81661876169</v>
      </c>
      <c r="BB47" s="44" t="n">
        <f aca="false">BB37+BB38</f>
        <v>7392.49059523018</v>
      </c>
      <c r="BC47" s="44" t="n">
        <f aca="false">BC37+BC38</f>
        <v>7683.42544762176</v>
      </c>
      <c r="BD47" s="44" t="n">
        <f aca="false">BD37+BD38</f>
        <v>7975.82112577512</v>
      </c>
      <c r="BE47" s="44" t="n">
        <f aca="false">BE37+BE38</f>
        <v>8267.88118561749</v>
      </c>
      <c r="BF47" s="44" t="n">
        <f aca="false">BF37+BF38</f>
        <v>8557.52911345699</v>
      </c>
      <c r="BG47" s="44" t="n">
        <f aca="false">BG37+BG38</f>
        <v>8848.01431760671</v>
      </c>
      <c r="BH47" s="44" t="n">
        <f aca="false">BH37+BH38</f>
        <v>9137.58667465746</v>
      </c>
      <c r="BI47" s="44" t="n">
        <f aca="false">BI37+BI38</f>
        <v>9424.21305342528</v>
      </c>
      <c r="BJ47" s="44" t="n">
        <f aca="false">BJ37+BJ38</f>
        <v>9711.1834931671</v>
      </c>
      <c r="BK47" s="44" t="n">
        <f aca="false">BK37+BK38</f>
        <v>9996.78592425903</v>
      </c>
    </row>
    <row r="48" customFormat="false" ht="15" hidden="false" customHeight="false" outlineLevel="0" collapsed="false">
      <c r="B48" s="5" t="s">
        <v>611</v>
      </c>
    </row>
    <row r="49" customFormat="false" ht="15" hidden="false" customHeight="false" outlineLevel="0" collapsed="false">
      <c r="A49" s="28" t="s">
        <v>612</v>
      </c>
      <c r="B49" s="6" t="s">
        <v>613</v>
      </c>
      <c r="C49" s="43"/>
      <c r="D49" s="17" t="n">
        <f aca="false">D12*(Assumptions!$C$60+Assumptions!$C$63/60*Assumptions!$C$62)</f>
        <v>0</v>
      </c>
      <c r="E49" s="17" t="n">
        <f aca="false">E12*(Assumptions!$C$60+Assumptions!$C$63/60*Assumptions!$C$62)</f>
        <v>0</v>
      </c>
      <c r="F49" s="17" t="n">
        <f aca="false">F12*(Assumptions!$C$60+Assumptions!$C$63/60*Assumptions!$C$62)</f>
        <v>0</v>
      </c>
      <c r="G49" s="17" t="n">
        <f aca="false">G12*(Assumptions!$C$60+Assumptions!$C$63/60*Assumptions!$C$62)</f>
        <v>0</v>
      </c>
      <c r="H49" s="17" t="n">
        <f aca="false">H12*(Assumptions!$C$60+Assumptions!$C$63/60*Assumptions!$C$62)</f>
        <v>24.6666666666667</v>
      </c>
      <c r="I49" s="17" t="n">
        <f aca="false">I12*(Assumptions!$C$60+Assumptions!$C$63/60*Assumptions!$C$62)</f>
        <v>46.0033333333333</v>
      </c>
      <c r="J49" s="17" t="n">
        <f aca="false">J12*(Assumptions!$C$60+Assumptions!$C$63/60*Assumptions!$C$62)</f>
        <v>60.1132833333333</v>
      </c>
      <c r="K49" s="17" t="n">
        <f aca="false">K12*(Assumptions!$C$60+Assumptions!$C$63/60*Assumptions!$C$62)</f>
        <v>93.7449174166667</v>
      </c>
      <c r="L49" s="17" t="n">
        <f aca="false">L12*(Assumptions!$C$60+Assumptions!$C$63/60*Assumptions!$C$62)</f>
        <v>119.965410322083</v>
      </c>
      <c r="M49" s="17" t="n">
        <f aca="false">M12*(Assumptions!$C$60+Assumptions!$C$63/60*Assumptions!$C$62)</f>
        <v>137.899262500585</v>
      </c>
      <c r="N49" s="17" t="n">
        <f aca="false">N12*(Assumptions!$C$60+Assumptions!$C$63/60*Assumptions!$C$62)</f>
        <v>171.350773563077</v>
      </c>
      <c r="O49" s="17" t="n">
        <f aca="false">O12*(Assumptions!$C$60+Assumptions!$C$63/60*Assumptions!$C$62)</f>
        <v>222.06051195963</v>
      </c>
      <c r="P49" s="17" t="n">
        <f aca="false">P12*(Assumptions!$C$60+Assumptions!$C$63/60*Assumptions!$C$62)</f>
        <v>261.156270946903</v>
      </c>
      <c r="Q49" s="17" t="n">
        <f aca="false">Q12*(Assumptions!$C$60+Assumptions!$C$63/60*Assumptions!$C$62)</f>
        <v>308.545593549366</v>
      </c>
      <c r="R49" s="17" t="n">
        <f aca="false">R12*(Assumptions!$C$60+Assumptions!$C$63/60*Assumptions!$C$62)</f>
        <v>368.050742979459</v>
      </c>
      <c r="S49" s="17" t="n">
        <f aca="false">S12*(Assumptions!$C$60+Assumptions!$C$63/60*Assumptions!$C$62)</f>
        <v>411.8633151681</v>
      </c>
      <c r="T49" s="17" t="n">
        <f aca="false">T12*(Assumptions!$C$60+Assumptions!$C$63/60*Assumptions!$C$62)</f>
        <v>462.912032107245</v>
      </c>
      <c r="U49" s="17" t="n">
        <f aca="false">U12*(Assumptions!$C$60+Assumptions!$C$63/60*Assumptions!$C$62)</f>
        <v>522.075018292303</v>
      </c>
      <c r="V49" s="17" t="n">
        <f aca="false">V12*(Assumptions!$C$60+Assumptions!$C$63/60*Assumptions!$C$62)</f>
        <v>590.217226351252</v>
      </c>
      <c r="W49" s="17" t="n">
        <f aca="false">W12*(Assumptions!$C$60+Assumptions!$C$63/60*Assumptions!$C$62)</f>
        <v>662.27063462265</v>
      </c>
      <c r="X49" s="17" t="n">
        <f aca="false">X12*(Assumptions!$C$60+Assumptions!$C$63/60*Assumptions!$C$62)</f>
        <v>735.21657510331</v>
      </c>
      <c r="Y49" s="17" t="n">
        <f aca="false">Y12*(Assumptions!$C$60+Assumptions!$C$63/60*Assumptions!$C$62)</f>
        <v>812.001659810094</v>
      </c>
      <c r="Z49" s="17" t="n">
        <f aca="false">Z12*(Assumptions!$C$60+Assumptions!$C$63/60*Assumptions!$C$62)</f>
        <v>888.621634912942</v>
      </c>
      <c r="AA49" s="17" t="n">
        <f aca="false">AA12*(Assumptions!$C$60+Assumptions!$C$63/60*Assumptions!$C$62)</f>
        <v>965.078977055915</v>
      </c>
      <c r="AB49" s="17" t="n">
        <f aca="false">AB12*(Assumptions!$C$60+Assumptions!$C$63/60*Assumptions!$C$62)</f>
        <v>1041.37612573341</v>
      </c>
      <c r="AC49" s="17" t="n">
        <f aca="false">AC12*(Assumptions!$C$60+Assumptions!$C$63/60*Assumptions!$C$62)</f>
        <v>1117.51548384741</v>
      </c>
      <c r="AD49" s="17" t="n">
        <f aca="false">AD12*(Assumptions!$C$60+Assumptions!$C$63/60*Assumptions!$C$62)</f>
        <v>1193.49941825636</v>
      </c>
      <c r="AE49" s="17" t="n">
        <f aca="false">AE12*(Assumptions!$C$60+Assumptions!$C$63/60*Assumptions!$C$62)</f>
        <v>1268.34359364919</v>
      </c>
      <c r="AF49" s="17" t="n">
        <f aca="false">AF12*(Assumptions!$C$60+Assumptions!$C$63/60*Assumptions!$C$62)</f>
        <v>1367.71843974445</v>
      </c>
      <c r="AG49" s="17" t="n">
        <f aca="false">AG12*(Assumptions!$C$60+Assumptions!$C$63/60*Assumptions!$C$62)</f>
        <v>1463.62932981495</v>
      </c>
      <c r="AH49" s="17" t="n">
        <f aca="false">AH12*(Assumptions!$C$60+Assumptions!$C$63/60*Assumptions!$C$62)</f>
        <v>1551.19488986772</v>
      </c>
      <c r="AI49" s="17" t="n">
        <f aca="false">AI12*(Assumptions!$C$60+Assumptions!$C$63/60*Assumptions!$C$62)</f>
        <v>1658.16696651971</v>
      </c>
      <c r="AJ49" s="17" t="n">
        <f aca="false">AJ12*(Assumptions!$C$60+Assumptions!$C$63/60*Assumptions!$C$62)</f>
        <v>1757.61446202191</v>
      </c>
      <c r="AK49" s="17" t="n">
        <f aca="false">AK12*(Assumptions!$C$60+Assumptions!$C$63/60*Assumptions!$C$62)</f>
        <v>1847.67691175825</v>
      </c>
      <c r="AL49" s="17" t="n">
        <f aca="false">AL12*(Assumptions!$C$60+Assumptions!$C$63/60*Assumptions!$C$62)</f>
        <v>1952.17509141521</v>
      </c>
      <c r="AM49" s="17" t="n">
        <f aca="false">AM12*(Assumptions!$C$60+Assumptions!$C$63/60*Assumptions!$C$62)</f>
        <v>2049.18579837731</v>
      </c>
      <c r="AN49" s="44" t="n">
        <f aca="false">AN12*(Assumptions!$C$60+Assumptions!$C$63/60*Assumptions!$C$62)</f>
        <v>2136.84801140165</v>
      </c>
      <c r="AO49" s="44" t="n">
        <f aca="false">AO12*(Assumptions!$C$60+Assumptions!$C$63/60*Assumptions!$C$62)</f>
        <v>2238.9819578973</v>
      </c>
      <c r="AP49" s="44" t="n">
        <f aca="false">AP12*(Assumptions!$C$60+Assumptions!$C$63/60*Assumptions!$C$62)</f>
        <v>2333.6638951955</v>
      </c>
      <c r="AQ49" s="44" t="n">
        <f aca="false">AQ12*(Assumptions!$C$60+Assumptions!$C$63/60*Assumptions!$C$62)</f>
        <v>2419.0322701009</v>
      </c>
      <c r="AR49" s="44" t="n">
        <f aca="false">AR12*(Assumptions!$C$60+Assumptions!$C$63/60*Assumptions!$C$62)</f>
        <v>2518.90678604939</v>
      </c>
      <c r="AS49" s="44" t="n">
        <f aca="false">AS12*(Assumptions!$C$60+Assumptions!$C$63/60*Assumptions!$C$62)</f>
        <v>2610.37651759198</v>
      </c>
      <c r="AT49" s="44" t="n">
        <f aca="false">AT12*(Assumptions!$C$60+Assumptions!$C$63/60*Assumptions!$C$62)</f>
        <v>2692.5808698281</v>
      </c>
      <c r="AU49" s="44" t="n">
        <f aca="false">AU12*(Assumptions!$C$60+Assumptions!$C$63/60*Assumptions!$C$62)</f>
        <v>2789.33882344735</v>
      </c>
      <c r="AV49" s="44" t="n">
        <f aca="false">AV12*(Assumptions!$C$60+Assumptions!$C$63/60*Assumptions!$C$62)</f>
        <v>2877.73874109564</v>
      </c>
      <c r="AW49" s="44" t="n">
        <f aca="false">AW12*(Assumptions!$C$60+Assumptions!$C$63/60*Assumptions!$C$62)</f>
        <v>2956.91932664587</v>
      </c>
      <c r="AX49" s="44" t="n">
        <f aca="false">AX12*(Assumptions!$C$60+Assumptions!$C$63/60*Assumptions!$C$62)</f>
        <v>3050.69887007952</v>
      </c>
      <c r="AY49" s="44" t="n">
        <f aca="false">AY12*(Assumptions!$C$60+Assumptions!$C$63/60*Assumptions!$C$62)</f>
        <v>3136.16505369499</v>
      </c>
      <c r="AZ49" s="44" t="n">
        <f aca="false">AZ12*(Assumptions!$C$60+Assumptions!$C$63/60*Assumptions!$C$62)</f>
        <v>3212.4559112229</v>
      </c>
      <c r="BA49" s="44" t="n">
        <f aca="false">BA12*(Assumptions!$C$60+Assumptions!$C$63/60*Assumptions!$C$62)</f>
        <v>3303.38907255456</v>
      </c>
      <c r="BB49" s="44" t="n">
        <f aca="false">BB12*(Assumptions!$C$60+Assumptions!$C$63/60*Assumptions!$C$62)</f>
        <v>3386.05156979957</v>
      </c>
      <c r="BC49" s="44" t="n">
        <f aca="false">BC12*(Assumptions!$C$60+Assumptions!$C$63/60*Assumptions!$C$62)</f>
        <v>3458.59412958591</v>
      </c>
      <c r="BD49" s="44" t="n">
        <f aca="false">BD12*(Assumptions!$C$60+Assumptions!$C$63/60*Assumptions!$C$62)</f>
        <v>3545.83521764212</v>
      </c>
      <c r="BE49" s="44" t="n">
        <f aca="false">BE12*(Assumptions!$C$60+Assumptions!$C$63/60*Assumptions!$C$62)</f>
        <v>3624.86102271082</v>
      </c>
      <c r="BF49" s="44" t="n">
        <f aca="false">BF12*(Assumptions!$C$60+Assumptions!$C$63/60*Assumptions!$C$62)</f>
        <v>3693.82144070349</v>
      </c>
      <c r="BG49" s="44" t="n">
        <f aca="false">BG12*(Assumptions!$C$60+Assumptions!$C$63/60*Assumptions!$C$62)</f>
        <v>3777.53411909294</v>
      </c>
      <c r="BH49" s="44" t="n">
        <f aca="false">BH12*(Assumptions!$C$60+Assumptions!$C$63/60*Assumptions!$C$62)</f>
        <v>3853.08444063988</v>
      </c>
      <c r="BI49" s="44" t="n">
        <f aca="false">BI12*(Assumptions!$C$60+Assumptions!$C$63/60*Assumptions!$C$62)</f>
        <v>3918.62150736362</v>
      </c>
      <c r="BJ49" s="44" t="n">
        <f aca="false">BJ12*(Assumptions!$C$60+Assumptions!$C$63/60*Assumptions!$C$62)</f>
        <v>3998.96218475316</v>
      </c>
      <c r="BK49" s="44" t="n">
        <f aca="false">BK12*(Assumptions!$C$60+Assumptions!$C$63/60*Assumptions!$C$62)</f>
        <v>4071.1910853152</v>
      </c>
    </row>
    <row r="50" customFormat="false" ht="15" hidden="false" customHeight="false" outlineLevel="0" collapsed="false">
      <c r="A50" s="28" t="s">
        <v>614</v>
      </c>
      <c r="B50" s="6" t="s">
        <v>615</v>
      </c>
      <c r="C50" s="43"/>
      <c r="D50" s="17" t="n">
        <f aca="false">D32*Assumptions!$C$64/60*Assumptions!$C$62</f>
        <v>0</v>
      </c>
      <c r="E50" s="17" t="n">
        <f aca="false">E32*Assumptions!$C$64/60*Assumptions!$C$62</f>
        <v>0</v>
      </c>
      <c r="F50" s="17" t="n">
        <f aca="false">F32*Assumptions!$C$64/60*Assumptions!$C$62</f>
        <v>0</v>
      </c>
      <c r="G50" s="17" t="n">
        <f aca="false">G32*Assumptions!$C$64/60*Assumptions!$C$62</f>
        <v>0</v>
      </c>
      <c r="H50" s="17" t="n">
        <f aca="false">H32*Assumptions!$C$64/60*Assumptions!$C$62</f>
        <v>0</v>
      </c>
      <c r="I50" s="17" t="n">
        <f aca="false">I32*Assumptions!$C$64/60*Assumptions!$C$62</f>
        <v>0</v>
      </c>
      <c r="J50" s="17" t="n">
        <f aca="false">J32*Assumptions!$C$64/60*Assumptions!$C$62</f>
        <v>0</v>
      </c>
      <c r="K50" s="17" t="n">
        <f aca="false">K32*Assumptions!$C$64/60*Assumptions!$C$62</f>
        <v>0</v>
      </c>
      <c r="L50" s="17" t="n">
        <f aca="false">L32*Assumptions!$C$64/60*Assumptions!$C$62</f>
        <v>0</v>
      </c>
      <c r="M50" s="17" t="n">
        <f aca="false">M32*Assumptions!$C$64/60*Assumptions!$C$62</f>
        <v>0</v>
      </c>
      <c r="N50" s="17" t="n">
        <f aca="false">N32*Assumptions!$C$64/60*Assumptions!$C$62</f>
        <v>0</v>
      </c>
      <c r="O50" s="17" t="n">
        <f aca="false">O32*Assumptions!$C$64/60*Assumptions!$C$62</f>
        <v>0</v>
      </c>
      <c r="P50" s="17" t="n">
        <f aca="false">P32*Assumptions!$C$64/60*Assumptions!$C$62</f>
        <v>0</v>
      </c>
      <c r="Q50" s="17" t="n">
        <f aca="false">Q32*Assumptions!$C$64/60*Assumptions!$C$62</f>
        <v>0</v>
      </c>
      <c r="R50" s="17" t="n">
        <f aca="false">R32*Assumptions!$C$64/60*Assumptions!$C$62</f>
        <v>0</v>
      </c>
      <c r="S50" s="17" t="n">
        <f aca="false">S32*Assumptions!$C$64/60*Assumptions!$C$62</f>
        <v>0</v>
      </c>
      <c r="T50" s="17" t="n">
        <f aca="false">T32*Assumptions!$C$64/60*Assumptions!$C$62</f>
        <v>0</v>
      </c>
      <c r="U50" s="17" t="n">
        <f aca="false">U32*Assumptions!$C$64/60*Assumptions!$C$62</f>
        <v>0</v>
      </c>
      <c r="V50" s="17" t="n">
        <f aca="false">V32*Assumptions!$C$64/60*Assumptions!$C$62</f>
        <v>0</v>
      </c>
      <c r="W50" s="17" t="n">
        <f aca="false">W32*Assumptions!$C$64/60*Assumptions!$C$62</f>
        <v>0</v>
      </c>
      <c r="X50" s="17" t="n">
        <f aca="false">X32*Assumptions!$C$64/60*Assumptions!$C$62</f>
        <v>0</v>
      </c>
      <c r="Y50" s="17" t="n">
        <f aca="false">Y32*Assumptions!$C$64/60*Assumptions!$C$62</f>
        <v>19.1468294948196</v>
      </c>
      <c r="Z50" s="17" t="n">
        <f aca="false">Z32*Assumptions!$C$64/60*Assumptions!$C$62</f>
        <v>39.0149611276452</v>
      </c>
      <c r="AA50" s="17" t="n">
        <f aca="false">AA32*Assumptions!$C$64/60*Assumptions!$C$62</f>
        <v>59.5630815158631</v>
      </c>
      <c r="AB50" s="17" t="n">
        <f aca="false">AB32*Assumptions!$C$64/60*Assumptions!$C$62</f>
        <v>80.7522061698558</v>
      </c>
      <c r="AC50" s="17" t="n">
        <f aca="false">AC32*Assumptions!$C$64/60*Assumptions!$C$62</f>
        <v>102.545543510293</v>
      </c>
      <c r="AD50" s="17" t="n">
        <f aca="false">AD32*Assumptions!$C$64/60*Assumptions!$C$62</f>
        <v>124.908367193918</v>
      </c>
      <c r="AE50" s="17" t="n">
        <f aca="false">AE32*Assumptions!$C$64/60*Assumptions!$C$62</f>
        <v>147.784630824544</v>
      </c>
      <c r="AF50" s="17" t="n">
        <f aca="false">AF32*Assumptions!$C$64/60*Assumptions!$C$62</f>
        <v>171.726688808671</v>
      </c>
      <c r="AG50" s="17" t="n">
        <f aca="false">AG32*Assumptions!$C$64/60*Assumptions!$C$62</f>
        <v>196.595391748593</v>
      </c>
      <c r="AH50" s="17" t="n">
        <f aca="false">AH32*Assumptions!$C$64/60*Assumptions!$C$62</f>
        <v>222.144394981359</v>
      </c>
      <c r="AI50" s="17" t="n">
        <f aca="false">AI32*Assumptions!$C$64/60*Assumptions!$C$62</f>
        <v>248.795693931788</v>
      </c>
      <c r="AJ50" s="17" t="n">
        <f aca="false">AJ32*Assumptions!$C$64/60*Assumptions!$C$62</f>
        <v>276.312281990473</v>
      </c>
      <c r="AK50" s="17" t="n">
        <f aca="false">AK32*Assumptions!$C$64/60*Assumptions!$C$62</f>
        <v>304.426746004975</v>
      </c>
      <c r="AL50" s="17" t="n">
        <f aca="false">AL32*Assumptions!$C$64/60*Assumptions!$C$62</f>
        <v>333.448504479422</v>
      </c>
      <c r="AM50" s="17" t="n">
        <f aca="false">AM32*Assumptions!$C$64/60*Assumptions!$C$62</f>
        <v>363.152428521253</v>
      </c>
      <c r="AN50" s="44" t="n">
        <f aca="false">AN32*Assumptions!$C$64/60*Assumptions!$C$62</f>
        <v>393.282264744637</v>
      </c>
      <c r="AO50" s="44" t="n">
        <f aca="false">AO32*Assumptions!$C$64/60*Assumptions!$C$62</f>
        <v>424.15791830867</v>
      </c>
      <c r="AP50" s="44" t="n">
        <f aca="false">AP32*Assumptions!$C$64/60*Assumptions!$C$62</f>
        <v>455.564115799205</v>
      </c>
      <c r="AQ50" s="44" t="n">
        <f aca="false">AQ32*Assumptions!$C$64/60*Assumptions!$C$62</f>
        <v>487.253867357582</v>
      </c>
      <c r="AR50" s="44" t="n">
        <f aca="false">AR32*Assumptions!$C$64/60*Assumptions!$C$62</f>
        <v>519.555786414909</v>
      </c>
      <c r="AS50" s="44" t="n">
        <f aca="false">AS32*Assumptions!$C$64/60*Assumptions!$C$62</f>
        <v>552.2395215151</v>
      </c>
      <c r="AT50" s="44" t="n">
        <f aca="false">AT32*Assumptions!$C$64/60*Assumptions!$C$62</f>
        <v>585.067449193978</v>
      </c>
      <c r="AU50" s="44" t="n">
        <f aca="false">AU32*Assumptions!$C$64/60*Assumptions!$C$62</f>
        <v>618.376986637489</v>
      </c>
      <c r="AV50" s="44" t="n">
        <f aca="false">AV32*Assumptions!$C$64/60*Assumptions!$C$62</f>
        <v>651.946058164041</v>
      </c>
      <c r="AW50" s="44" t="n">
        <f aca="false">AW32*Assumptions!$C$64/60*Assumptions!$C$62</f>
        <v>685.544820547676</v>
      </c>
      <c r="AX50" s="44" t="n">
        <f aca="false">AX32*Assumptions!$C$64/60*Assumptions!$C$62</f>
        <v>719.518006051405</v>
      </c>
      <c r="AY50" s="44" t="n">
        <f aca="false">AY32*Assumptions!$C$64/60*Assumptions!$C$62</f>
        <v>753.650417352127</v>
      </c>
      <c r="AZ50" s="44" t="n">
        <f aca="false">AZ32*Assumptions!$C$64/60*Assumptions!$C$62</f>
        <v>787.718679501009</v>
      </c>
      <c r="BA50" s="44" t="n">
        <f aca="false">BA32*Assumptions!$C$64/60*Assumptions!$C$62</f>
        <v>822.073607907228</v>
      </c>
      <c r="BB50" s="44" t="n">
        <f aca="false">BB32*Assumptions!$C$64/60*Assumptions!$C$62</f>
        <v>856.505726637087</v>
      </c>
      <c r="BC50" s="44" t="n">
        <f aca="false">BC32*Assumptions!$C$64/60*Assumptions!$C$62</f>
        <v>890.773776881632</v>
      </c>
      <c r="BD50" s="44" t="n">
        <f aca="false">BD32*Assumptions!$C$64/60*Assumptions!$C$62</f>
        <v>925.235304084155</v>
      </c>
      <c r="BE50" s="44" t="n">
        <f aca="false">BE32*Assumptions!$C$64/60*Assumptions!$C$62</f>
        <v>959.687158327574</v>
      </c>
      <c r="BF50" s="44" t="n">
        <f aca="false">BF32*Assumptions!$C$64/60*Assumptions!$C$62</f>
        <v>993.89402734419</v>
      </c>
      <c r="BG50" s="44" t="n">
        <f aca="false">BG32*Assumptions!$C$64/60*Assumptions!$C$62</f>
        <v>1028.21904663974</v>
      </c>
      <c r="BH50" s="44" t="n">
        <f aca="false">BH32*Assumptions!$C$64/60*Assumptions!$C$62</f>
        <v>1062.46432143255</v>
      </c>
      <c r="BI50" s="44" t="n">
        <f aca="false">BI32*Assumptions!$C$64/60*Assumptions!$C$62</f>
        <v>1096.39947986443</v>
      </c>
      <c r="BJ50" s="44" t="n">
        <f aca="false">BJ32*Assumptions!$C$64/60*Assumptions!$C$62</f>
        <v>1130.39230206292</v>
      </c>
      <c r="BK50" s="44" t="n">
        <f aca="false">BK32*Assumptions!$C$64/60*Assumptions!$C$62</f>
        <v>1164.24925983762</v>
      </c>
    </row>
    <row r="51" customFormat="false" ht="15" hidden="false" customHeight="false" outlineLevel="0" collapsed="false">
      <c r="A51" s="28" t="s">
        <v>616</v>
      </c>
      <c r="B51" s="6" t="s">
        <v>617</v>
      </c>
      <c r="C51" s="43"/>
      <c r="D51" s="17" t="n">
        <f aca="false">D24*Assumptions!$C$61</f>
        <v>0</v>
      </c>
      <c r="E51" s="17" t="n">
        <f aca="false">E24*Assumptions!$C$61</f>
        <v>0</v>
      </c>
      <c r="F51" s="17" t="n">
        <f aca="false">F24*Assumptions!$C$61</f>
        <v>0</v>
      </c>
      <c r="G51" s="17" t="n">
        <f aca="false">G24*Assumptions!$C$61</f>
        <v>0</v>
      </c>
      <c r="H51" s="17" t="n">
        <f aca="false">H24*Assumptions!$C$61</f>
        <v>0.9</v>
      </c>
      <c r="I51" s="17" t="n">
        <f aca="false">I24*Assumptions!$C$61</f>
        <v>2.2635</v>
      </c>
      <c r="J51" s="17" t="n">
        <f aca="false">J24*Assumptions!$C$61</f>
        <v>3.6645975</v>
      </c>
      <c r="K51" s="17" t="n">
        <f aca="false">K24*Assumptions!$C$61</f>
        <v>5.8024110375</v>
      </c>
      <c r="L51" s="17" t="n">
        <f aca="false">L24*Assumptions!$C$61</f>
        <v>8.1486834969375</v>
      </c>
      <c r="M51" s="17" t="n">
        <f aca="false">M24*Assumptions!$C$61</f>
        <v>10.3281038507334</v>
      </c>
      <c r="N51" s="17" t="n">
        <f aca="false">N24*Assumptions!$C$61</f>
        <v>12.9652551870349</v>
      </c>
      <c r="O51" s="17" t="n">
        <f aca="false">O24*Assumptions!$C$61</f>
        <v>16.52962374037</v>
      </c>
      <c r="P51" s="17" t="n">
        <f aca="false">P24*Assumptions!$C$61</f>
        <v>20.2729301820059</v>
      </c>
      <c r="Q51" s="17" t="n">
        <f aca="false">Q24*Assumptions!$C$61</f>
        <v>24.4351492478077</v>
      </c>
      <c r="R51" s="17" t="n">
        <f aca="false">R24*Assumptions!$C$61</f>
        <v>29.3117254711363</v>
      </c>
      <c r="S51" s="17" t="n">
        <f aca="false">S24*Assumptions!$C$61</f>
        <v>34.080066839399</v>
      </c>
      <c r="T51" s="17" t="n">
        <f aca="false">T24*Assumptions!$C$61</f>
        <v>39.0420770495224</v>
      </c>
      <c r="U51" s="17" t="n">
        <f aca="false">U24*Assumptions!$C$61</f>
        <v>44.4260331820438</v>
      </c>
      <c r="V51" s="17" t="n">
        <f aca="false">V24*Assumptions!$C$61</f>
        <v>50.411874421685</v>
      </c>
      <c r="W51" s="17" t="n">
        <f aca="false">W24*Assumptions!$C$61</f>
        <v>56.9316469346514</v>
      </c>
      <c r="X51" s="17" t="n">
        <f aca="false">X24*Assumptions!$C$61</f>
        <v>63.8310401396712</v>
      </c>
      <c r="Y51" s="17" t="n">
        <f aca="false">Y24*Assumptions!$C$61</f>
        <v>71.1172636784519</v>
      </c>
      <c r="Z51" s="17" t="n">
        <f aca="false">Z24*Assumptions!$C$61</f>
        <v>78.6489026648443</v>
      </c>
      <c r="AA51" s="17" t="n">
        <f aca="false">AA24*Assumptions!$C$61</f>
        <v>86.3341277868917</v>
      </c>
      <c r="AB51" s="17" t="n">
        <f aca="false">AB24*Assumptions!$C$61</f>
        <v>94.1133390004013</v>
      </c>
      <c r="AC51" s="17" t="n">
        <f aca="false">AC24*Assumptions!$C$61</f>
        <v>101.947883950099</v>
      </c>
      <c r="AD51" s="17" t="n">
        <f aca="false">AD24*Assumptions!$C$61</f>
        <v>109.812724963404</v>
      </c>
      <c r="AE51" s="17" t="n">
        <f aca="false">AE24*Assumptions!$C$61</f>
        <v>117.655672616116</v>
      </c>
      <c r="AF51" s="17" t="n">
        <f aca="false">AF24*Assumptions!$C$61</f>
        <v>126.379427569529</v>
      </c>
      <c r="AG51" s="17" t="n">
        <f aca="false">AG24*Assumptions!$C$61</f>
        <v>135.549319683712</v>
      </c>
      <c r="AH51" s="17" t="n">
        <f aca="false">AH24*Assumptions!$C$61</f>
        <v>144.704709181479</v>
      </c>
      <c r="AI51" s="17" t="n">
        <f aca="false">AI24*Assumptions!$C$61</f>
        <v>154.558747584221</v>
      </c>
      <c r="AJ51" s="17" t="n">
        <f aca="false">AJ24*Assumptions!$C$61</f>
        <v>164.592362246759</v>
      </c>
      <c r="AK51" s="17" t="n">
        <f aca="false">AK24*Assumptions!$C$61</f>
        <v>174.400274132654</v>
      </c>
      <c r="AL51" s="17" t="n">
        <f aca="false">AL24*Assumptions!$C$61</f>
        <v>184.588188278402</v>
      </c>
      <c r="AM51" s="17" t="n">
        <f aca="false">AM24*Assumptions!$C$61</f>
        <v>194.749912321755</v>
      </c>
      <c r="AN51" s="44" t="n">
        <f aca="false">AN24*Assumptions!$C$61</f>
        <v>204.553519100823</v>
      </c>
      <c r="AO51" s="44" t="n">
        <f aca="false">AO24*Assumptions!$C$61</f>
        <v>214.652372365842</v>
      </c>
      <c r="AP51" s="44" t="n">
        <f aca="false">AP24*Assumptions!$C$61</f>
        <v>224.671238213849</v>
      </c>
      <c r="AQ51" s="44" t="n">
        <f aca="false">AQ24*Assumptions!$C$61</f>
        <v>234.298293072413</v>
      </c>
      <c r="AR51" s="44" t="n">
        <f aca="false">AR24*Assumptions!$C$61</f>
        <v>244.199948906979</v>
      </c>
      <c r="AS51" s="44" t="n">
        <f aca="false">AS24*Assumptions!$C$61</f>
        <v>253.973434323298</v>
      </c>
      <c r="AT51" s="44" t="n">
        <f aca="false">AT24*Assumptions!$C$61</f>
        <v>263.325547830899</v>
      </c>
      <c r="AU51" s="44" t="n">
        <f aca="false">AU24*Assumptions!$C$61</f>
        <v>272.934779378028</v>
      </c>
      <c r="AV51" s="44" t="n">
        <f aca="false">AV24*Assumptions!$C$61</f>
        <v>282.406182284343</v>
      </c>
      <c r="AW51" s="44" t="n">
        <f aca="false">AW24*Assumptions!$C$61</f>
        <v>291.451615538118</v>
      </c>
      <c r="AX51" s="44" t="n">
        <f aca="false">AX24*Assumptions!$C$61</f>
        <v>300.752833197273</v>
      </c>
      <c r="AY51" s="44" t="n">
        <f aca="false">AY24*Assumptions!$C$61</f>
        <v>309.916985429261</v>
      </c>
      <c r="AZ51" s="44" t="n">
        <f aca="false">AZ24*Assumptions!$C$61</f>
        <v>318.657269722287</v>
      </c>
      <c r="BA51" s="44" t="n">
        <f aca="false">BA24*Assumptions!$C$61</f>
        <v>327.656286074856</v>
      </c>
      <c r="BB51" s="44" t="n">
        <f aca="false">BB24*Assumptions!$C$61</f>
        <v>336.521710792695</v>
      </c>
      <c r="BC51" s="44" t="n">
        <f aca="false">BC24*Assumptions!$C$61</f>
        <v>344.931059986629</v>
      </c>
      <c r="BD51" s="44" t="n">
        <f aca="false">BD24*Assumptions!$C$61</f>
        <v>353.580257743116</v>
      </c>
      <c r="BE51" s="44" t="n">
        <f aca="false">BE24*Assumptions!$C$61</f>
        <v>362.085610253556</v>
      </c>
      <c r="BF51" s="44" t="n">
        <f aca="false">BF24*Assumptions!$C$61</f>
        <v>370.130212744533</v>
      </c>
      <c r="BG51" s="44" t="n">
        <f aca="false">BG24*Assumptions!$C$61</f>
        <v>378.413585872473</v>
      </c>
      <c r="BH51" s="44" t="n">
        <f aca="false">BH24*Assumptions!$C$61</f>
        <v>386.554344191806</v>
      </c>
      <c r="BI51" s="44" t="n">
        <f aca="false">BI24*Assumptions!$C$61</f>
        <v>394.237054398752</v>
      </c>
      <c r="BJ51" s="44" t="n">
        <f aca="false">BJ24*Assumptions!$C$61</f>
        <v>402.162165073155</v>
      </c>
      <c r="BK51" s="44" t="n">
        <f aca="false">BK24*Assumptions!$C$61</f>
        <v>409.948865815808</v>
      </c>
    </row>
    <row r="52" customFormat="false" ht="15" hidden="false" customHeight="false" outlineLevel="0" collapsed="false">
      <c r="A52" s="28" t="s">
        <v>618</v>
      </c>
      <c r="B52" s="6" t="s">
        <v>619</v>
      </c>
      <c r="C52" s="43"/>
      <c r="D52" s="17" t="n">
        <f aca="false">(D33*Assumptions!$C$56+D34*Assumptions!$C$57+D25*Assumptions!$C$58+D24*Assumptions!$C$59)*Assumptions!$C$55</f>
        <v>0</v>
      </c>
      <c r="E52" s="17" t="n">
        <f aca="false">(E33*Assumptions!$C$56+E34*Assumptions!$C$57+E25*Assumptions!$C$58+E24*Assumptions!$C$59)*Assumptions!$C$55</f>
        <v>0</v>
      </c>
      <c r="F52" s="17" t="n">
        <f aca="false">(F33*Assumptions!$C$56+F34*Assumptions!$C$57+F25*Assumptions!$C$58+F24*Assumptions!$C$59)*Assumptions!$C$55</f>
        <v>0</v>
      </c>
      <c r="G52" s="17" t="n">
        <f aca="false">(G33*Assumptions!$C$56+G34*Assumptions!$C$57+G25*Assumptions!$C$58+G24*Assumptions!$C$59)*Assumptions!$C$55</f>
        <v>0</v>
      </c>
      <c r="H52" s="17" t="n">
        <f aca="false">(H33*Assumptions!$C$56+H34*Assumptions!$C$57+H25*Assumptions!$C$58+H24*Assumptions!$C$59)*Assumptions!$C$55</f>
        <v>3.564</v>
      </c>
      <c r="I52" s="17" t="n">
        <f aca="false">(I33*Assumptions!$C$56+I34*Assumptions!$C$57+I25*Assumptions!$C$58+I24*Assumptions!$C$59)*Assumptions!$C$55</f>
        <v>6.11226</v>
      </c>
      <c r="J52" s="17" t="n">
        <f aca="false">(J33*Assumptions!$C$56+J34*Assumptions!$C$57+J25*Assumptions!$C$58+J24*Assumptions!$C$59)*Assumptions!$C$55</f>
        <v>7.3410381</v>
      </c>
      <c r="K52" s="17" t="n">
        <f aca="false">(K33*Assumptions!$C$56+K34*Assumptions!$C$57+K25*Assumptions!$C$58+K24*Assumptions!$C$59)*Assumptions!$C$55</f>
        <v>11.3681028285</v>
      </c>
      <c r="L52" s="17" t="n">
        <f aca="false">(L33*Assumptions!$C$56+L34*Assumptions!$C$57+L25*Assumptions!$C$58+L24*Assumptions!$C$59)*Assumptions!$C$55</f>
        <v>13.8867484810725</v>
      </c>
      <c r="M52" s="17" t="n">
        <f aca="false">(M33*Assumptions!$C$56+M34*Assumptions!$C$57+M25*Assumptions!$C$58+M24*Assumptions!$C$59)*Assumptions!$C$55</f>
        <v>15.0842619306064</v>
      </c>
      <c r="N52" s="17" t="n">
        <f aca="false">(N33*Assumptions!$C$56+N34*Assumptions!$C$57+N25*Assumptions!$C$58+N24*Assumptions!$C$59)*Assumptions!$C$55</f>
        <v>18.6229775415348</v>
      </c>
      <c r="O52" s="17" t="n">
        <f aca="false">(O33*Assumptions!$C$56+O34*Assumptions!$C$57+O25*Assumptions!$C$58+O24*Assumptions!$C$59)*Assumptions!$C$55</f>
        <v>24.3833815793387</v>
      </c>
      <c r="P52" s="17" t="n">
        <f aca="false">(P33*Assumptions!$C$56+P34*Assumptions!$C$57+P25*Assumptions!$C$58+P24*Assumptions!$C$59)*Assumptions!$C$55</f>
        <v>27.9149555112511</v>
      </c>
      <c r="Q52" s="17" t="n">
        <f aca="false">(Q33*Assumptions!$C$56+Q34*Assumptions!$C$57+Q25*Assumptions!$C$58+Q24*Assumptions!$C$59)*Assumptions!$C$55</f>
        <v>32.5385482047239</v>
      </c>
      <c r="R52" s="17" t="n">
        <f aca="false">(R33*Assumptions!$C$56+R34*Assumptions!$C$57+R25*Assumptions!$C$58+R24*Assumptions!$C$59)*Assumptions!$C$55</f>
        <v>38.6638800486451</v>
      </c>
      <c r="S52" s="17" t="n">
        <f aca="false">(S33*Assumptions!$C$56+S34*Assumptions!$C$57+S25*Assumptions!$C$58+S24*Assumptions!$C$59)*Assumptions!$C$55</f>
        <v>42.0975183914602</v>
      </c>
      <c r="T52" s="17" t="n">
        <f aca="false">(T33*Assumptions!$C$56+T34*Assumptions!$C$57+T25*Assumptions!$C$58+T24*Assumptions!$C$59)*Assumptions!$C$55</f>
        <v>46.6409733688925</v>
      </c>
      <c r="U52" s="17" t="n">
        <f aca="false">(U33*Assumptions!$C$56+U34*Assumptions!$C$57+U25*Assumptions!$C$58+U24*Assumptions!$C$59)*Assumptions!$C$55</f>
        <v>52.2417913080067</v>
      </c>
      <c r="V52" s="17" t="n">
        <f aca="false">(V33*Assumptions!$C$56+V34*Assumptions!$C$57+V25*Assumptions!$C$58+V24*Assumptions!$C$59)*Assumptions!$C$55</f>
        <v>58.8893495891577</v>
      </c>
      <c r="W52" s="17" t="n">
        <f aca="false">(W33*Assumptions!$C$56+W34*Assumptions!$C$57+W25*Assumptions!$C$58+W24*Assumptions!$C$59)*Assumptions!$C$55</f>
        <v>65.7445036933215</v>
      </c>
      <c r="X52" s="17" t="n">
        <f aca="false">(X33*Assumptions!$C$56+X34*Assumptions!$C$57+X25*Assumptions!$C$58+X24*Assumptions!$C$59)*Assumptions!$C$55</f>
        <v>72.4114614641224</v>
      </c>
      <c r="Y52" s="17" t="n">
        <f aca="false">(Y33*Assumptions!$C$56+Y34*Assumptions!$C$57+Y25*Assumptions!$C$58+Y24*Assumptions!$C$59)*Assumptions!$C$55</f>
        <v>116.362639449398</v>
      </c>
      <c r="Z52" s="17" t="n">
        <f aca="false">(Z33*Assumptions!$C$56+Z34*Assumptions!$C$57+Z25*Assumptions!$C$58+Z24*Assumptions!$C$59)*Assumptions!$C$55</f>
        <v>161.254246015362</v>
      </c>
      <c r="AA52" s="17" t="n">
        <f aca="false">(AA33*Assumptions!$C$56+AA34*Assumptions!$C$57+AA25*Assumptions!$C$58+AA24*Assumptions!$C$59)*Assumptions!$C$55</f>
        <v>207.095301555144</v>
      </c>
      <c r="AB52" s="17" t="n">
        <f aca="false">(AB33*Assumptions!$C$56+AB34*Assumptions!$C$57+AB25*Assumptions!$C$58+AB24*Assumptions!$C$59)*Assumptions!$C$55</f>
        <v>253.870022610679</v>
      </c>
      <c r="AC52" s="17" t="n">
        <f aca="false">(AC33*Assumptions!$C$56+AC34*Assumptions!$C$57+AC25*Assumptions!$C$58+AC24*Assumptions!$C$59)*Assumptions!$C$55</f>
        <v>301.547835658357</v>
      </c>
      <c r="AD52" s="17" t="n">
        <f aca="false">(AD33*Assumptions!$C$56+AD34*Assumptions!$C$57+AD25*Assumptions!$C$58+AD24*Assumptions!$C$59)*Assumptions!$C$55</f>
        <v>350.089801947756</v>
      </c>
      <c r="AE52" s="17" t="n">
        <f aca="false">(AE33*Assumptions!$C$56+AE34*Assumptions!$C$57+AE25*Assumptions!$C$58+AE24*Assumptions!$C$59)*Assumptions!$C$55</f>
        <v>399.265250827172</v>
      </c>
      <c r="AF52" s="17" t="n">
        <f aca="false">(AF33*Assumptions!$C$56+AF34*Assumptions!$C$57+AF25*Assumptions!$C$58+AF24*Assumptions!$C$59)*Assumptions!$C$55</f>
        <v>453.8854449431</v>
      </c>
      <c r="AG52" s="17" t="n">
        <f aca="false">(AG33*Assumptions!$C$56+AG34*Assumptions!$C$57+AG25*Assumptions!$C$58+AG24*Assumptions!$C$59)*Assumptions!$C$55</f>
        <v>509.099879970837</v>
      </c>
      <c r="AH52" s="17" t="n">
        <f aca="false">(AH33*Assumptions!$C$56+AH34*Assumptions!$C$57+AH25*Assumptions!$C$58+AH24*Assumptions!$C$59)*Assumptions!$C$55</f>
        <v>563.986596954341</v>
      </c>
      <c r="AI52" s="17" t="n">
        <f aca="false">(AI33*Assumptions!$C$56+AI34*Assumptions!$C$57+AI25*Assumptions!$C$58+AI24*Assumptions!$C$59)*Assumptions!$C$55</f>
        <v>623.646585933867</v>
      </c>
      <c r="AJ52" s="17" t="n">
        <f aca="false">(AJ33*Assumptions!$C$56+AJ34*Assumptions!$C$57+AJ25*Assumptions!$C$58+AJ24*Assumptions!$C$59)*Assumptions!$C$55</f>
        <v>683.306173237743</v>
      </c>
      <c r="AK52" s="17" t="n">
        <f aca="false">(AK33*Assumptions!$C$56+AK34*Assumptions!$C$57+AK25*Assumptions!$C$58+AK24*Assumptions!$C$59)*Assumptions!$C$55</f>
        <v>742.489843290875</v>
      </c>
      <c r="AL52" s="17" t="n">
        <f aca="false">(AL33*Assumptions!$C$56+AL34*Assumptions!$C$57+AL25*Assumptions!$C$58+AL24*Assumptions!$C$59)*Assumptions!$C$55</f>
        <v>805.481112722671</v>
      </c>
      <c r="AM52" s="17" t="n">
        <f aca="false">(AM33*Assumptions!$C$56+AM34*Assumptions!$C$57+AM25*Assumptions!$C$58+AM24*Assumptions!$C$59)*Assumptions!$C$55</f>
        <v>868.318434157629</v>
      </c>
      <c r="AN52" s="44" t="n">
        <f aca="false">(AN33*Assumptions!$C$56+AN34*Assumptions!$C$57+AN25*Assumptions!$C$58+AN24*Assumptions!$C$59)*Assumptions!$C$55</f>
        <v>930.482274221631</v>
      </c>
      <c r="AO52" s="44" t="n">
        <f aca="false">(AO33*Assumptions!$C$56+AO34*Assumptions!$C$57+AO25*Assumptions!$C$58+AO24*Assumptions!$C$59)*Assumptions!$C$55</f>
        <v>996.234104235318</v>
      </c>
      <c r="AP52" s="44" t="n">
        <f aca="false">(AP33*Assumptions!$C$56+AP34*Assumptions!$C$57+AP25*Assumptions!$C$58+AP24*Assumptions!$C$59)*Assumptions!$C$55</f>
        <v>1061.60418630996</v>
      </c>
      <c r="AQ52" s="44" t="n">
        <f aca="false">(AQ33*Assumptions!$C$56+AQ34*Assumptions!$C$57+AQ25*Assumptions!$C$58+AQ24*Assumptions!$C$59)*Assumptions!$C$55</f>
        <v>1126.07340317254</v>
      </c>
      <c r="AR52" s="44" t="n">
        <f aca="false">(AR33*Assumptions!$C$56+AR34*Assumptions!$C$57+AR25*Assumptions!$C$58+AR24*Assumptions!$C$59)*Assumptions!$C$55</f>
        <v>1193.90886394191</v>
      </c>
      <c r="AS52" s="44" t="n">
        <f aca="false">(AS33*Assumptions!$C$56+AS34*Assumptions!$C$57+AS25*Assumptions!$C$58+AS24*Assumptions!$C$59)*Assumptions!$C$55</f>
        <v>1260.96205045154</v>
      </c>
      <c r="AT52" s="44" t="n">
        <f aca="false">(AT33*Assumptions!$C$56+AT34*Assumptions!$C$57+AT25*Assumptions!$C$58+AT24*Assumptions!$C$59)*Assumptions!$C$55</f>
        <v>1326.8937264601</v>
      </c>
      <c r="AU52" s="44" t="n">
        <f aca="false">(AU33*Assumptions!$C$56+AU34*Assumptions!$C$57+AU25*Assumptions!$C$58+AU24*Assumptions!$C$59)*Assumptions!$C$55</f>
        <v>1395.97750229631</v>
      </c>
      <c r="AV52" s="44" t="n">
        <f aca="false">(AV33*Assumptions!$C$56+AV34*Assumptions!$C$57+AV25*Assumptions!$C$58+AV24*Assumptions!$C$59)*Assumptions!$C$55</f>
        <v>1464.07409954792</v>
      </c>
      <c r="AW52" s="44" t="n">
        <f aca="false">(AW33*Assumptions!$C$56+AW34*Assumptions!$C$57+AW25*Assumptions!$C$58+AW24*Assumptions!$C$59)*Assumptions!$C$55</f>
        <v>1530.85497543175</v>
      </c>
      <c r="AX52" s="44" t="n">
        <f aca="false">(AX33*Assumptions!$C$56+AX34*Assumptions!$C$57+AX25*Assumptions!$C$58+AX24*Assumptions!$C$59)*Assumptions!$C$55</f>
        <v>1600.60507373679</v>
      </c>
      <c r="AY52" s="44" t="n">
        <f aca="false">(AY33*Assumptions!$C$56+AY34*Assumptions!$C$57+AY25*Assumptions!$C$58+AY24*Assumptions!$C$59)*Assumptions!$C$55</f>
        <v>1669.19658060973</v>
      </c>
      <c r="AZ52" s="44" t="n">
        <f aca="false">(AZ33*Assumptions!$C$56+AZ34*Assumptions!$C$57+AZ25*Assumptions!$C$58+AZ24*Assumptions!$C$59)*Assumptions!$C$55</f>
        <v>1736.31223679731</v>
      </c>
      <c r="BA52" s="44" t="n">
        <f aca="false">(BA33*Assumptions!$C$56+BA34*Assumptions!$C$57+BA25*Assumptions!$C$58+BA24*Assumptions!$C$59)*Assumptions!$C$55</f>
        <v>1806.24790311505</v>
      </c>
      <c r="BB52" s="44" t="n">
        <f aca="false">(BB33*Assumptions!$C$56+BB34*Assumptions!$C$57+BB25*Assumptions!$C$58+BB24*Assumptions!$C$59)*Assumptions!$C$55</f>
        <v>1874.88621191756</v>
      </c>
      <c r="BC52" s="44" t="n">
        <f aca="false">(BC33*Assumptions!$C$56+BC34*Assumptions!$C$57+BC25*Assumptions!$C$58+BC24*Assumptions!$C$59)*Assumptions!$C$55</f>
        <v>1941.73236250332</v>
      </c>
      <c r="BD52" s="44" t="n">
        <f aca="false">(BD33*Assumptions!$C$56+BD34*Assumptions!$C$57+BD25*Assumptions!$C$58+BD24*Assumptions!$C$59)*Assumptions!$C$55</f>
        <v>2011.26113707366</v>
      </c>
      <c r="BE52" s="44" t="n">
        <f aca="false">(BE33*Assumptions!$C$56+BE34*Assumptions!$C$57+BE25*Assumptions!$C$58+BE24*Assumptions!$C$59)*Assumptions!$C$55</f>
        <v>2079.35939409344</v>
      </c>
      <c r="BF52" s="44" t="n">
        <f aca="false">(BF33*Assumptions!$C$56+BF34*Assumptions!$C$57+BF25*Assumptions!$C$58+BF24*Assumptions!$C$59)*Assumptions!$C$55</f>
        <v>2145.5385483942</v>
      </c>
      <c r="BG52" s="44" t="n">
        <f aca="false">(BG33*Assumptions!$C$56+BG34*Assumptions!$C$57+BG25*Assumptions!$C$58+BG24*Assumptions!$C$59)*Assumptions!$C$55</f>
        <v>2214.28066330154</v>
      </c>
      <c r="BH52" s="44" t="n">
        <f aca="false">(BH33*Assumptions!$C$56+BH34*Assumptions!$C$57+BH25*Assumptions!$C$58+BH24*Assumptions!$C$59)*Assumptions!$C$55</f>
        <v>2281.48035833139</v>
      </c>
      <c r="BI52" s="44" t="n">
        <f aca="false">(BI33*Assumptions!$C$56+BI34*Assumptions!$C$57+BI25*Assumptions!$C$58+BI24*Assumptions!$C$59)*Assumptions!$C$55</f>
        <v>2346.65692244976</v>
      </c>
      <c r="BJ52" s="44" t="n">
        <f aca="false">(BJ33*Assumptions!$C$56+BJ34*Assumptions!$C$57+BJ25*Assumptions!$C$58+BJ24*Assumptions!$C$59)*Assumptions!$C$55</f>
        <v>2414.30018067008</v>
      </c>
      <c r="BK52" s="44" t="n">
        <f aca="false">(BK33*Assumptions!$C$56+BK34*Assumptions!$C$57+BK25*Assumptions!$C$58+BK24*Assumptions!$C$59)*Assumptions!$C$55</f>
        <v>2480.31226721522</v>
      </c>
    </row>
    <row r="53" customFormat="false" ht="15" hidden="false" customHeight="false" outlineLevel="0" collapsed="false">
      <c r="A53" s="28" t="s">
        <v>620</v>
      </c>
      <c r="B53" s="6" t="s">
        <v>621</v>
      </c>
      <c r="C53" s="43"/>
      <c r="D53" s="17" t="n">
        <f aca="false">D39*Assumptions!$C$51+D32*Assumptions!$C$45*Assumptions!$C$52</f>
        <v>0</v>
      </c>
      <c r="E53" s="17" t="n">
        <f aca="false">E39*Assumptions!$C$51+E32*Assumptions!$C$45*Assumptions!$C$52</f>
        <v>0</v>
      </c>
      <c r="F53" s="17" t="n">
        <f aca="false">F39*Assumptions!$C$51+F32*Assumptions!$C$45*Assumptions!$C$52</f>
        <v>0</v>
      </c>
      <c r="G53" s="17" t="n">
        <f aca="false">G39*Assumptions!$C$51+G32*Assumptions!$C$45*Assumptions!$C$52</f>
        <v>0</v>
      </c>
      <c r="H53" s="17" t="n">
        <f aca="false">H39*Assumptions!$C$51+H32*Assumptions!$C$45*Assumptions!$C$52</f>
        <v>0</v>
      </c>
      <c r="I53" s="17" t="n">
        <f aca="false">I39*Assumptions!$C$51+I32*Assumptions!$C$45*Assumptions!$C$52</f>
        <v>0</v>
      </c>
      <c r="J53" s="17" t="n">
        <f aca="false">J39*Assumptions!$C$51+J32*Assumptions!$C$45*Assumptions!$C$52</f>
        <v>0</v>
      </c>
      <c r="K53" s="17" t="n">
        <f aca="false">K39*Assumptions!$C$51+K32*Assumptions!$C$45*Assumptions!$C$52</f>
        <v>0</v>
      </c>
      <c r="L53" s="17" t="n">
        <f aca="false">L39*Assumptions!$C$51+L32*Assumptions!$C$45*Assumptions!$C$52</f>
        <v>0</v>
      </c>
      <c r="M53" s="17" t="n">
        <f aca="false">M39*Assumptions!$C$51+M32*Assumptions!$C$45*Assumptions!$C$52</f>
        <v>0</v>
      </c>
      <c r="N53" s="17" t="n">
        <f aca="false">N39*Assumptions!$C$51+N32*Assumptions!$C$45*Assumptions!$C$52</f>
        <v>0</v>
      </c>
      <c r="O53" s="17" t="n">
        <f aca="false">O39*Assumptions!$C$51+O32*Assumptions!$C$45*Assumptions!$C$52</f>
        <v>0</v>
      </c>
      <c r="P53" s="17" t="n">
        <f aca="false">P39*Assumptions!$C$51+P32*Assumptions!$C$45*Assumptions!$C$52</f>
        <v>0</v>
      </c>
      <c r="Q53" s="17" t="n">
        <f aca="false">Q39*Assumptions!$C$51+Q32*Assumptions!$C$45*Assumptions!$C$52</f>
        <v>0</v>
      </c>
      <c r="R53" s="17" t="n">
        <f aca="false">R39*Assumptions!$C$51+R32*Assumptions!$C$45*Assumptions!$C$52</f>
        <v>0</v>
      </c>
      <c r="S53" s="17" t="n">
        <f aca="false">S39*Assumptions!$C$51+S32*Assumptions!$C$45*Assumptions!$C$52</f>
        <v>0</v>
      </c>
      <c r="T53" s="17" t="n">
        <f aca="false">T39*Assumptions!$C$51+T32*Assumptions!$C$45*Assumptions!$C$52</f>
        <v>0</v>
      </c>
      <c r="U53" s="17" t="n">
        <f aca="false">U39*Assumptions!$C$51+U32*Assumptions!$C$45*Assumptions!$C$52</f>
        <v>0</v>
      </c>
      <c r="V53" s="17" t="n">
        <f aca="false">V39*Assumptions!$C$51+V32*Assumptions!$C$45*Assumptions!$C$52</f>
        <v>0</v>
      </c>
      <c r="W53" s="17" t="n">
        <f aca="false">W39*Assumptions!$C$51+W32*Assumptions!$C$45*Assumptions!$C$52</f>
        <v>0</v>
      </c>
      <c r="X53" s="17" t="n">
        <f aca="false">X39*Assumptions!$C$51+X32*Assumptions!$C$45*Assumptions!$C$52</f>
        <v>0</v>
      </c>
      <c r="Y53" s="17" t="n">
        <f aca="false">Y39*Assumptions!$C$51+Y32*Assumptions!$C$45*Assumptions!$C$52</f>
        <v>21.8206360900531</v>
      </c>
      <c r="Z53" s="17" t="n">
        <f aca="false">Z39*Assumptions!$C$51+Z32*Assumptions!$C$45*Assumptions!$C$52</f>
        <v>44.3845075605863</v>
      </c>
      <c r="AA53" s="17" t="n">
        <f aca="false">AA39*Assumptions!$C$51+AA32*Assumptions!$C$45*Assumptions!$C$52</f>
        <v>67.6462818994102</v>
      </c>
      <c r="AB53" s="17" t="n">
        <f aca="false">AB39*Assumptions!$C$51+AB32*Assumptions!$C$45*Assumptions!$C$52</f>
        <v>91.5633445011941</v>
      </c>
      <c r="AC53" s="17" t="n">
        <f aca="false">AC39*Assumptions!$C$51+AC32*Assumptions!$C$45*Assumptions!$C$52</f>
        <v>116.095630378139</v>
      </c>
      <c r="AD53" s="17" t="n">
        <f aca="false">AD39*Assumptions!$C$51+AD32*Assumptions!$C$45*Assumptions!$C$52</f>
        <v>141.205466694212</v>
      </c>
      <c r="AE53" s="17" t="n">
        <f aca="false">AE39*Assumptions!$C$51+AE32*Assumptions!$C$45*Assumptions!$C$52</f>
        <v>166.8309110565</v>
      </c>
      <c r="AF53" s="17" t="n">
        <f aca="false">AF39*Assumptions!$C$51+AF32*Assumptions!$C$45*Assumptions!$C$52</f>
        <v>193.603497458946</v>
      </c>
      <c r="AG53" s="17" t="n">
        <f aca="false">AG39*Assumptions!$C$51+AG32*Assumptions!$C$45*Assumptions!$C$52</f>
        <v>221.364292772819</v>
      </c>
      <c r="AH53" s="17" t="n">
        <f aca="false">AH39*Assumptions!$C$51+AH32*Assumptions!$C$45*Assumptions!$C$52</f>
        <v>249.8327918351</v>
      </c>
      <c r="AI53" s="17" t="n">
        <f aca="false">AI39*Assumptions!$C$51+AI32*Assumptions!$C$45*Assumptions!$C$52</f>
        <v>279.491160035292</v>
      </c>
      <c r="AJ53" s="17" t="n">
        <f aca="false">AJ39*Assumptions!$C$51+AJ32*Assumptions!$C$45*Assumptions!$C$52</f>
        <v>310.068721037486</v>
      </c>
      <c r="AK53" s="17" t="n">
        <f aca="false">AK39*Assumptions!$C$51+AK32*Assumptions!$C$45*Assumptions!$C$52</f>
        <v>341.261154585617</v>
      </c>
      <c r="AL53" s="17" t="n">
        <f aca="false">AL39*Assumptions!$C$51+AL32*Assumptions!$C$45*Assumptions!$C$52</f>
        <v>373.422598731523</v>
      </c>
      <c r="AM53" s="17" t="n">
        <f aca="false">AM39*Assumptions!$C$51+AM32*Assumptions!$C$45*Assumptions!$C$52</f>
        <v>406.296631410258</v>
      </c>
      <c r="AN53" s="44" t="n">
        <f aca="false">AN39*Assumptions!$C$51+AN32*Assumptions!$C$45*Assumptions!$C$52</f>
        <v>439.59227667386</v>
      </c>
      <c r="AO53" s="44" t="n">
        <f aca="false">AO39*Assumptions!$C$51+AO32*Assumptions!$C$45*Assumptions!$C$52</f>
        <v>473.676166477072</v>
      </c>
      <c r="AP53" s="44" t="n">
        <f aca="false">AP39*Assumptions!$C$51+AP32*Assumptions!$C$45*Assumptions!$C$52</f>
        <v>508.303577808368</v>
      </c>
      <c r="AQ53" s="44" t="n">
        <f aca="false">AQ39*Assumptions!$C$51+AQ32*Assumptions!$C$45*Assumptions!$C$52</f>
        <v>543.194490751951</v>
      </c>
      <c r="AR53" s="44" t="n">
        <f aca="false">AR39*Assumptions!$C$51+AR32*Assumptions!$C$45*Assumptions!$C$52</f>
        <v>578.725798629627</v>
      </c>
      <c r="AS53" s="44" t="n">
        <f aca="false">AS39*Assumptions!$C$51+AS32*Assumptions!$C$45*Assumptions!$C$52</f>
        <v>614.635875905897</v>
      </c>
      <c r="AT53" s="44" t="n">
        <f aca="false">AT39*Assumptions!$C$51+AT32*Assumptions!$C$45*Assumptions!$C$52</f>
        <v>650.655703537753</v>
      </c>
      <c r="AU53" s="44" t="n">
        <f aca="false">AU39*Assumptions!$C$51+AU32*Assumptions!$C$45*Assumptions!$C$52</f>
        <v>687.172476552625</v>
      </c>
      <c r="AV53" s="44" t="n">
        <f aca="false">AV39*Assumptions!$C$51+AV32*Assumptions!$C$45*Assumptions!$C$52</f>
        <v>723.93421723933</v>
      </c>
      <c r="AW53" s="44" t="n">
        <f aca="false">AW39*Assumptions!$C$51+AW32*Assumptions!$C$45*Assumptions!$C$52</f>
        <v>760.680942768918</v>
      </c>
      <c r="AX53" s="44" t="n">
        <f aca="false">AX39*Assumptions!$C$51+AX32*Assumptions!$C$45*Assumptions!$C$52</f>
        <v>797.808312234217</v>
      </c>
      <c r="AY53" s="44" t="n">
        <f aca="false">AY39*Assumptions!$C$51+AY32*Assumptions!$C$45*Assumptions!$C$52</f>
        <v>835.072276684066</v>
      </c>
      <c r="AZ53" s="44" t="n">
        <f aca="false">AZ39*Assumptions!$C$51+AZ32*Assumptions!$C$45*Assumptions!$C$52</f>
        <v>872.220281147026</v>
      </c>
      <c r="BA53" s="44" t="n">
        <f aca="false">BA39*Assumptions!$C$51+BA32*Assumptions!$C$45*Assumptions!$C$52</f>
        <v>909.654943798977</v>
      </c>
      <c r="BB53" s="44" t="n">
        <f aca="false">BB39*Assumptions!$C$51+BB32*Assumptions!$C$45*Assumptions!$C$52</f>
        <v>947.138736004759</v>
      </c>
      <c r="BC53" s="44" t="n">
        <f aca="false">BC39*Assumptions!$C$51+BC32*Assumptions!$C$45*Assumptions!$C$52</f>
        <v>984.398698024552</v>
      </c>
      <c r="BD53" s="44" t="n">
        <f aca="false">BD39*Assumptions!$C$51+BD32*Assumptions!$C$45*Assumptions!$C$52</f>
        <v>1021.84516954771</v>
      </c>
      <c r="BE53" s="44" t="n">
        <f aca="false">BE39*Assumptions!$C$51+BE32*Assumptions!$C$45*Assumptions!$C$52</f>
        <v>1059.24785233745</v>
      </c>
      <c r="BF53" s="44" t="n">
        <f aca="false">BF39*Assumptions!$C$51+BF32*Assumptions!$C$45*Assumptions!$C$52</f>
        <v>1096.34055740294</v>
      </c>
      <c r="BG53" s="44" t="n">
        <f aca="false">BG39*Assumptions!$C$51+BG32*Assumptions!$C$45*Assumptions!$C$52</f>
        <v>1133.53996492661</v>
      </c>
      <c r="BH53" s="44" t="n">
        <f aca="false">BH39*Assumptions!$C$51+BH32*Assumptions!$C$45*Assumptions!$C$52</f>
        <v>1170.62171437011</v>
      </c>
      <c r="BI53" s="44" t="n">
        <f aca="false">BI39*Assumptions!$C$51+BI32*Assumptions!$C$45*Assumptions!$C$52</f>
        <v>1207.32517730573</v>
      </c>
      <c r="BJ53" s="44" t="n">
        <f aca="false">BJ39*Assumptions!$C$51+BJ32*Assumptions!$C$45*Assumptions!$C$52</f>
        <v>1244.07224132248</v>
      </c>
      <c r="BK53" s="44" t="n">
        <f aca="false">BK39*Assumptions!$C$51+BK32*Assumptions!$C$45*Assumptions!$C$52</f>
        <v>1280.64342254338</v>
      </c>
    </row>
    <row r="54" customFormat="false" ht="15" hidden="false" customHeight="false" outlineLevel="0" collapsed="false">
      <c r="A54" s="28" t="s">
        <v>622</v>
      </c>
      <c r="B54" s="6" t="s">
        <v>516</v>
      </c>
      <c r="C54" s="43"/>
      <c r="D54" s="17" t="n">
        <f aca="false">(D37+D38)*Assumptions!$C$53+D32*Assumptions!$C$54</f>
        <v>0</v>
      </c>
      <c r="E54" s="17" t="n">
        <f aca="false">(E37+E38)*Assumptions!$C$53+E32*Assumptions!$C$54</f>
        <v>0</v>
      </c>
      <c r="F54" s="17" t="n">
        <f aca="false">(F37+F38)*Assumptions!$C$53+F32*Assumptions!$C$54</f>
        <v>0</v>
      </c>
      <c r="G54" s="17" t="n">
        <f aca="false">(G37+G38)*Assumptions!$C$53+G32*Assumptions!$C$54</f>
        <v>0</v>
      </c>
      <c r="H54" s="17" t="n">
        <f aca="false">(H37+H38)*Assumptions!$C$53+H32*Assumptions!$C$54</f>
        <v>0</v>
      </c>
      <c r="I54" s="17" t="n">
        <f aca="false">(I37+I38)*Assumptions!$C$53+I32*Assumptions!$C$54</f>
        <v>0</v>
      </c>
      <c r="J54" s="17" t="n">
        <f aca="false">(J37+J38)*Assumptions!$C$53+J32*Assumptions!$C$54</f>
        <v>0</v>
      </c>
      <c r="K54" s="17" t="n">
        <f aca="false">(K37+K38)*Assumptions!$C$53+K32*Assumptions!$C$54</f>
        <v>0</v>
      </c>
      <c r="L54" s="17" t="n">
        <f aca="false">(L37+L38)*Assumptions!$C$53+L32*Assumptions!$C$54</f>
        <v>0</v>
      </c>
      <c r="M54" s="17" t="n">
        <f aca="false">(M37+M38)*Assumptions!$C$53+M32*Assumptions!$C$54</f>
        <v>0</v>
      </c>
      <c r="N54" s="17" t="n">
        <f aca="false">(N37+N38)*Assumptions!$C$53+N32*Assumptions!$C$54</f>
        <v>0</v>
      </c>
      <c r="O54" s="17" t="n">
        <f aca="false">(O37+O38)*Assumptions!$C$53+O32*Assumptions!$C$54</f>
        <v>0</v>
      </c>
      <c r="P54" s="17" t="n">
        <f aca="false">(P37+P38)*Assumptions!$C$53+P32*Assumptions!$C$54</f>
        <v>0</v>
      </c>
      <c r="Q54" s="17" t="n">
        <f aca="false">(Q37+Q38)*Assumptions!$C$53+Q32*Assumptions!$C$54</f>
        <v>0</v>
      </c>
      <c r="R54" s="17" t="n">
        <f aca="false">(R37+R38)*Assumptions!$C$53+R32*Assumptions!$C$54</f>
        <v>0</v>
      </c>
      <c r="S54" s="17" t="n">
        <f aca="false">(S37+S38)*Assumptions!$C$53+S32*Assumptions!$C$54</f>
        <v>0</v>
      </c>
      <c r="T54" s="17" t="n">
        <f aca="false">(T37+T38)*Assumptions!$C$53+T32*Assumptions!$C$54</f>
        <v>0</v>
      </c>
      <c r="U54" s="17" t="n">
        <f aca="false">(U37+U38)*Assumptions!$C$53+U32*Assumptions!$C$54</f>
        <v>0</v>
      </c>
      <c r="V54" s="17" t="n">
        <f aca="false">(V37+V38)*Assumptions!$C$53+V32*Assumptions!$C$54</f>
        <v>0</v>
      </c>
      <c r="W54" s="17" t="n">
        <f aca="false">(W37+W38)*Assumptions!$C$53+W32*Assumptions!$C$54</f>
        <v>0</v>
      </c>
      <c r="X54" s="17" t="n">
        <f aca="false">(X37+X38)*Assumptions!$C$53+X32*Assumptions!$C$54</f>
        <v>0</v>
      </c>
      <c r="Y54" s="17" t="n">
        <f aca="false">(Y37+Y38)*Assumptions!$C$53+Y32*Assumptions!$C$54</f>
        <v>6.70555003699362</v>
      </c>
      <c r="Z54" s="17" t="n">
        <f aca="false">(Z37+Z38)*Assumptions!$C$53+Z32*Assumptions!$C$54</f>
        <v>13.6433009255564</v>
      </c>
      <c r="AA54" s="17" t="n">
        <f aca="false">(AA37+AA38)*Assumptions!$C$53+AA32*Assumptions!$C$54</f>
        <v>20.7992373863729</v>
      </c>
      <c r="AB54" s="17" t="n">
        <f aca="false">(AB37+AB38)*Assumptions!$C$53+AB32*Assumptions!$C$54</f>
        <v>28.1601762832352</v>
      </c>
      <c r="AC54" s="17" t="n">
        <f aca="false">(AC37+AC38)*Assumptions!$C$53+AC32*Assumptions!$C$54</f>
        <v>35.7137155498212</v>
      </c>
      <c r="AD54" s="17" t="n">
        <f aca="false">(AD37+AD38)*Assumptions!$C$53+AD32*Assumptions!$C$54</f>
        <v>43.4481863772107</v>
      </c>
      <c r="AE54" s="17" t="n">
        <f aca="false">(AE37+AE38)*Assumptions!$C$53+AE32*Assumptions!$C$54</f>
        <v>51.3444605044765</v>
      </c>
      <c r="AF54" s="17" t="n">
        <f aca="false">(AF37+AF38)*Assumptions!$C$53+AF32*Assumptions!$C$54</f>
        <v>59.5965116451441</v>
      </c>
      <c r="AG54" s="17" t="n">
        <f aca="false">(AG37+AG38)*Assumptions!$C$53+AG32*Assumptions!$C$54</f>
        <v>68.1555161288929</v>
      </c>
      <c r="AH54" s="17" t="n">
        <f aca="false">(AH37+AH38)*Assumptions!$C$53+AH32*Assumptions!$C$54</f>
        <v>76.935262212334</v>
      </c>
      <c r="AI54" s="17" t="n">
        <f aca="false">(AI37+AI38)*Assumptions!$C$53+AI32*Assumptions!$C$54</f>
        <v>86.0838610285683</v>
      </c>
      <c r="AJ54" s="17" t="n">
        <f aca="false">(AJ37+AJ38)*Assumptions!$C$53+AJ32*Assumptions!$C$54</f>
        <v>95.5181605080514</v>
      </c>
      <c r="AK54" s="17" t="n">
        <f aca="false">(AK37+AK38)*Assumptions!$C$53+AK32*Assumptions!$C$54</f>
        <v>105.144621017714</v>
      </c>
      <c r="AL54" s="17" t="n">
        <f aca="false">(AL37+AL38)*Assumptions!$C$53+AL32*Assumptions!$C$54</f>
        <v>115.071997426318</v>
      </c>
      <c r="AM54" s="17" t="n">
        <f aca="false">(AM37+AM38)*Assumptions!$C$53+AM32*Assumptions!$C$54</f>
        <v>125.22148340583</v>
      </c>
      <c r="AN54" s="44" t="n">
        <f aca="false">(AN37+AN38)*Assumptions!$C$53+AN32*Assumptions!$C$54</f>
        <v>135.503609857814</v>
      </c>
      <c r="AO54" s="44" t="n">
        <f aca="false">(AO37+AO38)*Assumptions!$C$53+AO32*Assumptions!$C$54</f>
        <v>146.030944872933</v>
      </c>
      <c r="AP54" s="44" t="n">
        <f aca="false">(AP37+AP38)*Assumptions!$C$53+AP32*Assumptions!$C$54</f>
        <v>156.728254730081</v>
      </c>
      <c r="AQ54" s="44" t="n">
        <f aca="false">(AQ37+AQ38)*Assumptions!$C$53+AQ32*Assumptions!$C$54</f>
        <v>167.50941790593</v>
      </c>
      <c r="AR54" s="44" t="n">
        <f aca="false">(AR37+AR38)*Assumptions!$C$53+AR32*Assumptions!$C$54</f>
        <v>178.490139579049</v>
      </c>
      <c r="AS54" s="44" t="n">
        <f aca="false">(AS37+AS38)*Assumptions!$C$53+AS32*Assumptions!$C$54</f>
        <v>189.589978263592</v>
      </c>
      <c r="AT54" s="44" t="n">
        <f aca="false">(AT37+AT38)*Assumptions!$C$53+AT32*Assumptions!$C$54</f>
        <v>200.72617728431</v>
      </c>
      <c r="AU54" s="44" t="n">
        <f aca="false">(AU37+AU38)*Assumptions!$C$53+AU32*Assumptions!$C$54</f>
        <v>212.017594608295</v>
      </c>
      <c r="AV54" s="44" t="n">
        <f aca="false">(AV37+AV38)*Assumptions!$C$53+AV32*Assumptions!$C$54</f>
        <v>223.386743115926</v>
      </c>
      <c r="AW54" s="44" t="n">
        <f aca="false">(AW37+AW38)*Assumptions!$C$53+AW32*Assumptions!$C$54</f>
        <v>234.753634810334</v>
      </c>
      <c r="AX54" s="44" t="n">
        <f aca="false">(AX37+AX38)*Assumptions!$C$53+AX32*Assumptions!$C$54</f>
        <v>246.239722542038</v>
      </c>
      <c r="AY54" s="44" t="n">
        <f aca="false">(AY37+AY38)*Assumptions!$C$53+AY32*Assumptions!$C$54</f>
        <v>257.769951388235</v>
      </c>
      <c r="AZ54" s="44" t="n">
        <f aca="false">(AZ37+AZ38)*Assumptions!$C$53+AZ32*Assumptions!$C$54</f>
        <v>269.26661323914</v>
      </c>
      <c r="BA54" s="44" t="n">
        <f aca="false">(BA37+BA38)*Assumptions!$C$53+BA32*Assumptions!$C$54</f>
        <v>280.853298217445</v>
      </c>
      <c r="BB54" s="44" t="n">
        <f aca="false">(BB37+BB38)*Assumptions!$C$53+BB32*Assumptions!$C$54</f>
        <v>292.456955116406</v>
      </c>
      <c r="BC54" s="44" t="n">
        <f aca="false">(BC37+BC38)*Assumptions!$C$53+BC32*Assumptions!$C$54</f>
        <v>303.993606509458</v>
      </c>
      <c r="BD54" s="44" t="n">
        <f aca="false">(BD37+BD38)*Assumptions!$C$53+BD32*Assumptions!$C$54</f>
        <v>315.589212872393</v>
      </c>
      <c r="BE54" s="44" t="n">
        <f aca="false">(BE37+BE38)*Assumptions!$C$53+BE32*Assumptions!$C$54</f>
        <v>327.172943910718</v>
      </c>
      <c r="BF54" s="44" t="n">
        <f aca="false">(BF37+BF38)*Assumptions!$C$53+BF32*Assumptions!$C$54</f>
        <v>338.662903170059</v>
      </c>
      <c r="BG54" s="44" t="n">
        <f aca="false">(BG37+BG38)*Assumptions!$C$53+BG32*Assumptions!$C$54</f>
        <v>350.187001037335</v>
      </c>
      <c r="BH54" s="44" t="n">
        <f aca="false">(BH37+BH38)*Assumptions!$C$53+BH32*Assumptions!$C$54</f>
        <v>361.676234367116</v>
      </c>
      <c r="BI54" s="44" t="n">
        <f aca="false">(BI37+BI38)*Assumptions!$C$53+BI32*Assumptions!$C$54</f>
        <v>373.050418849952</v>
      </c>
      <c r="BJ54" s="44" t="n">
        <f aca="false">(BJ37+BJ38)*Assumptions!$C$53+BJ32*Assumptions!$C$54</f>
        <v>384.439069266702</v>
      </c>
      <c r="BK54" s="44" t="n">
        <f aca="false">(BK37+BK38)*Assumptions!$C$53+BK32*Assumptions!$C$54</f>
        <v>395.774685897013</v>
      </c>
    </row>
    <row r="55" customFormat="false" ht="15" hidden="false" customHeight="false" outlineLevel="0" collapsed="false">
      <c r="A55" s="28" t="s">
        <v>623</v>
      </c>
      <c r="B55" s="6" t="s">
        <v>624</v>
      </c>
      <c r="C55" s="43"/>
      <c r="D55" s="17" t="n">
        <f aca="false">D25*Assumptions!$C$65*Assumptions!$C$66*Assumptions!$C$67</f>
        <v>0</v>
      </c>
      <c r="E55" s="17" t="n">
        <f aca="false">E25*Assumptions!$C$65*Assumptions!$C$66*Assumptions!$C$67</f>
        <v>0</v>
      </c>
      <c r="F55" s="17" t="n">
        <f aca="false">F25*Assumptions!$C$65*Assumptions!$C$66*Assumptions!$C$67</f>
        <v>0</v>
      </c>
      <c r="G55" s="17" t="n">
        <f aca="false">G25*Assumptions!$C$65*Assumptions!$C$66*Assumptions!$C$67</f>
        <v>0</v>
      </c>
      <c r="H55" s="17" t="n">
        <f aca="false">H25*Assumptions!$C$65*Assumptions!$C$66*Assumptions!$C$67</f>
        <v>24.3</v>
      </c>
      <c r="I55" s="17" t="n">
        <f aca="false">I25*Assumptions!$C$65*Assumptions!$C$66*Assumptions!$C$67</f>
        <v>37.7865</v>
      </c>
      <c r="J55" s="17" t="n">
        <f aca="false">J25*Assumptions!$C$65*Assumptions!$C$66*Assumptions!$C$67</f>
        <v>40.2742125</v>
      </c>
      <c r="K55" s="17" t="n">
        <f aca="false">K25*Assumptions!$C$65*Assumptions!$C$66*Assumptions!$C$67</f>
        <v>61.6787308125</v>
      </c>
      <c r="L55" s="17" t="n">
        <f aca="false">L25*Assumptions!$C$65*Assumptions!$C$66*Assumptions!$C$67</f>
        <v>69.6159603253125</v>
      </c>
      <c r="M55" s="17" t="n">
        <f aca="false">M25*Assumptions!$C$65*Assumptions!$C$66*Assumptions!$C$67</f>
        <v>67.6449277291828</v>
      </c>
      <c r="N55" s="17" t="n">
        <f aca="false">N25*Assumptions!$C$65*Assumptions!$C$66*Assumptions!$C$67</f>
        <v>82.3574382389325</v>
      </c>
      <c r="O55" s="17" t="n">
        <f aca="false">O25*Assumptions!$C$65*Assumptions!$C$66*Assumptions!$C$67</f>
        <v>110.240426542045</v>
      </c>
      <c r="P55" s="17" t="n">
        <f aca="false">P25*Assumptions!$C$65*Assumptions!$C$66*Assumptions!$C$67</f>
        <v>118.921267563768</v>
      </c>
      <c r="Q55" s="17" t="n">
        <f aca="false">Q25*Assumptions!$C$65*Assumptions!$C$66*Assumptions!$C$67</f>
        <v>134.274679373216</v>
      </c>
      <c r="R55" s="17" t="n">
        <f aca="false">R25*Assumptions!$C$65*Assumptions!$C$66*Assumptions!$C$67</f>
        <v>158.057519217505</v>
      </c>
      <c r="S55" s="17" t="n">
        <f aca="false">S25*Assumptions!$C$65*Assumptions!$C$66*Assumptions!$C$67</f>
        <v>160.40188045192</v>
      </c>
      <c r="T55" s="17" t="n">
        <f aca="false">T25*Assumptions!$C$65*Assumptions!$C$66*Assumptions!$C$67</f>
        <v>170.780747859881</v>
      </c>
      <c r="U55" s="17" t="n">
        <f aca="false">U25*Assumptions!$C$65*Assumptions!$C$66*Assumptions!$C$67</f>
        <v>187.532258791564</v>
      </c>
      <c r="V55" s="17" t="n">
        <f aca="false">V25*Assumptions!$C$65*Assumptions!$C$66*Assumptions!$C$67</f>
        <v>209.597829306918</v>
      </c>
      <c r="W55" s="17" t="n">
        <f aca="false">W25*Assumptions!$C$65*Assumptions!$C$66*Assumptions!$C$67</f>
        <v>230.478682225513</v>
      </c>
      <c r="X55" s="17" t="n">
        <f aca="false">X25*Assumptions!$C$65*Assumptions!$C$66*Assumptions!$C$67</f>
        <v>247.769795224958</v>
      </c>
      <c r="Y55" s="17" t="n">
        <f aca="false">Y25*Assumptions!$C$65*Assumptions!$C$66*Assumptions!$C$67</f>
        <v>265.665558897923</v>
      </c>
      <c r="Z55" s="17" t="n">
        <f aca="false">Z25*Assumptions!$C$65*Assumptions!$C$66*Assumptions!$C$67</f>
        <v>280.160897405324</v>
      </c>
      <c r="AA55" s="17" t="n">
        <f aca="false">AA25*Assumptions!$C$65*Assumptions!$C$66*Assumptions!$C$67</f>
        <v>292.44189317331</v>
      </c>
      <c r="AB55" s="17" t="n">
        <f aca="false">AB25*Assumptions!$C$65*Assumptions!$C$66*Assumptions!$C$67</f>
        <v>303.279560774603</v>
      </c>
      <c r="AC55" s="17" t="n">
        <f aca="false">AC25*Assumptions!$C$65*Assumptions!$C$66*Assumptions!$C$67</f>
        <v>313.175119762264</v>
      </c>
      <c r="AD55" s="17" t="n">
        <f aca="false">AD25*Assumptions!$C$65*Assumptions!$C$66*Assumptions!$C$67</f>
        <v>322.454422025363</v>
      </c>
      <c r="AE55" s="17" t="n">
        <f aca="false">AE25*Assumptions!$C$65*Assumptions!$C$66*Assumptions!$C$67</f>
        <v>330.357329583678</v>
      </c>
      <c r="AF55" s="17" t="n">
        <f aca="false">AF25*Assumptions!$C$65*Assumptions!$C$66*Assumptions!$C$67</f>
        <v>362.609510167574</v>
      </c>
      <c r="AG55" s="17" t="n">
        <f aca="false">AG25*Assumptions!$C$65*Assumptions!$C$66*Assumptions!$C$67</f>
        <v>384.076868858036</v>
      </c>
      <c r="AH55" s="17" t="n">
        <f aca="false">AH25*Assumptions!$C$65*Assumptions!$C$66*Assumptions!$C$67</f>
        <v>393.588781698097</v>
      </c>
      <c r="AI55" s="17" t="n">
        <f aca="false">AI25*Assumptions!$C$65*Assumptions!$C$66*Assumptions!$C$67</f>
        <v>422.340122790034</v>
      </c>
      <c r="AJ55" s="17" t="n">
        <f aca="false">AJ25*Assumptions!$C$65*Assumptions!$C$66*Assumptions!$C$67</f>
        <v>437.831043279497</v>
      </c>
      <c r="AK55" s="17" t="n">
        <f aca="false">AK25*Assumptions!$C$65*Assumptions!$C$66*Assumptions!$C$67</f>
        <v>442.573372145659</v>
      </c>
      <c r="AL55" s="17" t="n">
        <f aca="false">AL25*Assumptions!$C$65*Assumptions!$C$66*Assumptions!$C$67</f>
        <v>463.425977998453</v>
      </c>
      <c r="AM55" s="17" t="n">
        <f aca="false">AM25*Assumptions!$C$65*Assumptions!$C$66*Assumptions!$C$67</f>
        <v>473.721792511213</v>
      </c>
      <c r="AN55" s="44" t="n">
        <f aca="false">AN25*Assumptions!$C$65*Assumptions!$C$66*Assumptions!$C$67</f>
        <v>475.027288342325</v>
      </c>
      <c r="AO55" s="44" t="n">
        <f aca="false">AO25*Assumptions!$C$65*Assumptions!$C$66*Assumptions!$C$67</f>
        <v>493.586838784396</v>
      </c>
      <c r="AP55" s="44" t="n">
        <f aca="false">AP25*Assumptions!$C$65*Assumptions!$C$66*Assumptions!$C$67</f>
        <v>502.333940051316</v>
      </c>
      <c r="AQ55" s="44" t="n">
        <f aca="false">AQ25*Assumptions!$C$65*Assumptions!$C$66*Assumptions!$C$67</f>
        <v>502.57541845219</v>
      </c>
      <c r="AR55" s="44" t="n">
        <f aca="false">AR25*Assumptions!$C$65*Assumptions!$C$66*Assumptions!$C$67</f>
        <v>520.386864051475</v>
      </c>
      <c r="AS55" s="44" t="n">
        <f aca="false">AS25*Assumptions!$C$65*Assumptions!$C$66*Assumptions!$C$67</f>
        <v>527.620051060149</v>
      </c>
      <c r="AT55" s="44" t="n">
        <f aca="false">AT25*Assumptions!$C$65*Assumptions!$C$66*Assumptions!$C$67</f>
        <v>526.798373774386</v>
      </c>
      <c r="AU55" s="44" t="n">
        <f aca="false">AU25*Assumptions!$C$65*Assumptions!$C$66*Assumptions!$C$67</f>
        <v>543.840843429861</v>
      </c>
      <c r="AV55" s="44" t="n">
        <f aca="false">AV25*Assumptions!$C$65*Assumptions!$C$66*Assumptions!$C$67</f>
        <v>550.497440198771</v>
      </c>
      <c r="AW55" s="44" t="n">
        <f aca="false">AW25*Assumptions!$C$65*Assumptions!$C$66*Assumptions!$C$67</f>
        <v>549.225374719022</v>
      </c>
      <c r="AX55" s="44" t="n">
        <f aca="false">AX25*Assumptions!$C$65*Assumptions!$C$66*Assumptions!$C$67</f>
        <v>565.900621578339</v>
      </c>
      <c r="AY55" s="44" t="n">
        <f aca="false">AY25*Assumptions!$C$65*Assumptions!$C$66*Assumptions!$C$67</f>
        <v>572.24517011673</v>
      </c>
      <c r="AZ55" s="44" t="n">
        <f aca="false">AZ25*Assumptions!$C$65*Assumptions!$C$66*Assumptions!$C$67</f>
        <v>570.698020175323</v>
      </c>
      <c r="BA55" s="44" t="n">
        <f aca="false">BA25*Assumptions!$C$65*Assumptions!$C$66*Assumptions!$C$67</f>
        <v>587.123292819417</v>
      </c>
      <c r="BB55" s="44" t="n">
        <f aca="false">BB25*Assumptions!$C$65*Assumptions!$C$66*Assumptions!$C$67</f>
        <v>593.235256342496</v>
      </c>
      <c r="BC55" s="44" t="n">
        <f aca="false">BC25*Assumptions!$C$65*Assumptions!$C$66*Assumptions!$C$67</f>
        <v>590.495875892347</v>
      </c>
      <c r="BD55" s="44" t="n">
        <f aca="false">BD25*Assumptions!$C$65*Assumptions!$C$66*Assumptions!$C$67</f>
        <v>606.053884210706</v>
      </c>
      <c r="BE55" s="44" t="n">
        <f aca="false">BE25*Assumptions!$C$65*Assumptions!$C$66*Assumptions!$C$67</f>
        <v>611.51119614443</v>
      </c>
      <c r="BF55" s="44" t="n">
        <f aca="false">BF25*Assumptions!$C$65*Assumptions!$C$66*Assumptions!$C$67</f>
        <v>608.256726330236</v>
      </c>
      <c r="BG55" s="44" t="n">
        <f aca="false">BG25*Assumptions!$C$65*Assumptions!$C$66*Assumptions!$C$67</f>
        <v>623.391704218466</v>
      </c>
      <c r="BH55" s="44" t="n">
        <f aca="false">BH25*Assumptions!$C$65*Assumptions!$C$66*Assumptions!$C$67</f>
        <v>628.487147364259</v>
      </c>
      <c r="BI55" s="44" t="n">
        <f aca="false">BI25*Assumptions!$C$65*Assumptions!$C$66*Assumptions!$C$67</f>
        <v>624.91186731469</v>
      </c>
      <c r="BJ55" s="44" t="n">
        <f aca="false">BJ25*Assumptions!$C$65*Assumptions!$C$66*Assumptions!$C$67</f>
        <v>639.754006959552</v>
      </c>
      <c r="BK55" s="44" t="n">
        <f aca="false">BK25*Assumptions!$C$65*Assumptions!$C$66*Assumptions!$C$67</f>
        <v>644.576058330636</v>
      </c>
    </row>
    <row r="56" customFormat="false" ht="15" hidden="false" customHeight="false" outlineLevel="0" collapsed="false">
      <c r="A56" s="28" t="s">
        <v>625</v>
      </c>
      <c r="B56" s="6" t="s">
        <v>626</v>
      </c>
      <c r="C56" s="43"/>
      <c r="D56" s="17" t="n">
        <f aca="false">(D41+D42+D43)*Assumptions!$C$78</f>
        <v>0</v>
      </c>
      <c r="E56" s="17" t="n">
        <f aca="false">(E41+E42+E43)*Assumptions!$C$78</f>
        <v>0</v>
      </c>
      <c r="F56" s="17" t="n">
        <f aca="false">(F41+F42+F43)*Assumptions!$C$78</f>
        <v>0</v>
      </c>
      <c r="G56" s="17" t="n">
        <f aca="false">(G41+G42+G43)*Assumptions!$C$78</f>
        <v>0</v>
      </c>
      <c r="H56" s="17" t="n">
        <f aca="false">(H41+H42+H43)*Assumptions!$C$78</f>
        <v>0</v>
      </c>
      <c r="I56" s="17" t="n">
        <f aca="false">(I41+I42+I43)*Assumptions!$C$78</f>
        <v>0</v>
      </c>
      <c r="J56" s="17" t="n">
        <f aca="false">(J41+J42+J43)*Assumptions!$C$78</f>
        <v>0</v>
      </c>
      <c r="K56" s="17" t="n">
        <f aca="false">(K41+K42+K43)*Assumptions!$C$78</f>
        <v>0</v>
      </c>
      <c r="L56" s="17" t="n">
        <f aca="false">(L41+L42+L43)*Assumptions!$C$78</f>
        <v>0</v>
      </c>
      <c r="M56" s="17" t="n">
        <f aca="false">(M41+M42+M43)*Assumptions!$C$78</f>
        <v>0</v>
      </c>
      <c r="N56" s="17" t="n">
        <f aca="false">(N41+N42+N43)*Assumptions!$C$78</f>
        <v>0</v>
      </c>
      <c r="O56" s="17" t="n">
        <f aca="false">(O41+O42+O43)*Assumptions!$C$78</f>
        <v>0</v>
      </c>
      <c r="P56" s="17" t="n">
        <f aca="false">(P41+P42+P43)*Assumptions!$C$78</f>
        <v>0</v>
      </c>
      <c r="Q56" s="17" t="n">
        <f aca="false">(Q41+Q42+Q43)*Assumptions!$C$78</f>
        <v>0</v>
      </c>
      <c r="R56" s="17" t="n">
        <f aca="false">(R41+R42+R43)*Assumptions!$C$78</f>
        <v>0</v>
      </c>
      <c r="S56" s="17" t="n">
        <f aca="false">(S41+S42+S43)*Assumptions!$C$78</f>
        <v>0</v>
      </c>
      <c r="T56" s="17" t="n">
        <f aca="false">(T41+T42+T43)*Assumptions!$C$78</f>
        <v>0</v>
      </c>
      <c r="U56" s="17" t="n">
        <f aca="false">(U41+U42+U43)*Assumptions!$C$78</f>
        <v>0</v>
      </c>
      <c r="V56" s="17" t="n">
        <f aca="false">(V41+V42+V43)*Assumptions!$C$78</f>
        <v>0</v>
      </c>
      <c r="W56" s="17" t="n">
        <f aca="false">(W41+W42+W43)*Assumptions!$C$78</f>
        <v>0</v>
      </c>
      <c r="X56" s="17" t="n">
        <f aca="false">(X41+X42+X43)*Assumptions!$C$78</f>
        <v>0</v>
      </c>
      <c r="Y56" s="17" t="n">
        <f aca="false">(Y41+Y42+Y43)*Assumptions!$C$78</f>
        <v>0</v>
      </c>
      <c r="Z56" s="17" t="n">
        <f aca="false">(Z41+Z42+Z43)*Assumptions!$C$78</f>
        <v>0</v>
      </c>
      <c r="AA56" s="17" t="n">
        <f aca="false">(AA41+AA42+AA43)*Assumptions!$C$78</f>
        <v>0</v>
      </c>
      <c r="AB56" s="17" t="n">
        <f aca="false">(AB41+AB42+AB43)*Assumptions!$C$78</f>
        <v>0</v>
      </c>
      <c r="AC56" s="17" t="n">
        <f aca="false">(AC41+AC42+AC43)*Assumptions!$C$78</f>
        <v>0</v>
      </c>
      <c r="AD56" s="17" t="n">
        <f aca="false">(AD41+AD42+AD43)*Assumptions!$C$78</f>
        <v>0</v>
      </c>
      <c r="AE56" s="17" t="n">
        <f aca="false">(AE41+AE42+AE43)*Assumptions!$C$78</f>
        <v>0</v>
      </c>
      <c r="AF56" s="17" t="n">
        <f aca="false">(AF41+AF42+AF43)*Assumptions!$C$78</f>
        <v>0</v>
      </c>
      <c r="AG56" s="17" t="n">
        <f aca="false">(AG41+AG42+AG43)*Assumptions!$C$78</f>
        <v>0</v>
      </c>
      <c r="AH56" s="17" t="n">
        <f aca="false">(AH41+AH42+AH43)*Assumptions!$C$78</f>
        <v>0</v>
      </c>
      <c r="AI56" s="17" t="n">
        <f aca="false">(AI41+AI42+AI43)*Assumptions!$C$78</f>
        <v>0</v>
      </c>
      <c r="AJ56" s="17" t="n">
        <f aca="false">(AJ41+AJ42+AJ43)*Assumptions!$C$78</f>
        <v>0</v>
      </c>
      <c r="AK56" s="17" t="n">
        <f aca="false">(AK41+AK42+AK43)*Assumptions!$C$78</f>
        <v>0</v>
      </c>
      <c r="AL56" s="17" t="n">
        <f aca="false">(AL41+AL42+AL43)*Assumptions!$C$78</f>
        <v>0</v>
      </c>
      <c r="AM56" s="17" t="n">
        <f aca="false">(AM41+AM42+AM43)*Assumptions!$C$78</f>
        <v>0</v>
      </c>
      <c r="AN56" s="44" t="n">
        <f aca="false">(AN41+AN42+AN43)*Assumptions!$C$78</f>
        <v>32.8903500888626</v>
      </c>
      <c r="AO56" s="44" t="n">
        <f aca="false">(AO41+AO42+AO43)*Assumptions!$C$78</f>
        <v>68.9356061183907</v>
      </c>
      <c r="AP56" s="44" t="n">
        <f aca="false">(AP41+AP42+AP43)*Assumptions!$C$78</f>
        <v>107.82358607217</v>
      </c>
      <c r="AQ56" s="44" t="n">
        <f aca="false">(AQ41+AQ42+AQ43)*Assumptions!$C$78</f>
        <v>149.118516402732</v>
      </c>
      <c r="AR56" s="44" t="n">
        <f aca="false">(AR41+AR42+AR43)*Assumptions!$C$78</f>
        <v>194.113128260239</v>
      </c>
      <c r="AS56" s="44" t="n">
        <f aca="false">(AS41+AS42+AS43)*Assumptions!$C$78</f>
        <v>241.485715256315</v>
      </c>
      <c r="AT56" s="44" t="n">
        <f aca="false">(AT41+AT42+AT43)*Assumptions!$C$78</f>
        <v>249.226930401733</v>
      </c>
      <c r="AU56" s="44" t="n">
        <f aca="false">(AU41+AU42+AU43)*Assumptions!$C$78</f>
        <v>258.197685213978</v>
      </c>
      <c r="AV56" s="44" t="n">
        <f aca="false">(AV41+AV42+AV43)*Assumptions!$C$78</f>
        <v>266.463314735144</v>
      </c>
      <c r="AW56" s="44" t="n">
        <f aca="false">(AW41+AW42+AW43)*Assumptions!$C$78</f>
        <v>273.923542833712</v>
      </c>
      <c r="AX56" s="44" t="n">
        <f aca="false">(AX41+AX42+AX43)*Assumptions!$C$78</f>
        <v>282.616927273942</v>
      </c>
      <c r="AY56" s="44" t="n">
        <f aca="false">(AY41+AY42+AY43)*Assumptions!$C$78</f>
        <v>290.608958193612</v>
      </c>
      <c r="AZ56" s="44" t="n">
        <f aca="false">(AZ41+AZ42+AZ43)*Assumptions!$C$78</f>
        <v>297.799438959414</v>
      </c>
      <c r="BA56" s="44" t="n">
        <f aca="false">(BA41+BA42+BA43)*Assumptions!$C$78</f>
        <v>306.226958015182</v>
      </c>
      <c r="BB56" s="44" t="n">
        <f aca="false">(BB41+BB42+BB43)*Assumptions!$C$78</f>
        <v>313.957004761057</v>
      </c>
      <c r="BC56" s="44" t="n">
        <f aca="false">(BC41+BC42+BC43)*Assumptions!$C$78</f>
        <v>320.804132915109</v>
      </c>
      <c r="BD56" s="44" t="n">
        <f aca="false">(BD41+BD42+BD43)*Assumptions!$C$78</f>
        <v>328.891045817936</v>
      </c>
      <c r="BE56" s="44" t="n">
        <f aca="false">(BE41+BE42+BE43)*Assumptions!$C$78</f>
        <v>336.284033013427</v>
      </c>
      <c r="BF56" s="44" t="n">
        <f aca="false">(BF41+BF42+BF43)*Assumptions!$C$78</f>
        <v>342.798141892019</v>
      </c>
      <c r="BG56" s="44" t="n">
        <f aca="false">(BG41+BG42+BG43)*Assumptions!$C$78</f>
        <v>350.556370656605</v>
      </c>
      <c r="BH56" s="44" t="n">
        <f aca="false">(BH41+BH42+BH43)*Assumptions!$C$78</f>
        <v>357.625174877184</v>
      </c>
      <c r="BI56" s="44" t="n">
        <f aca="false">(BI41+BI42+BI43)*Assumptions!$C$78</f>
        <v>363.819684611304</v>
      </c>
      <c r="BJ56" s="44" t="n">
        <f aca="false">(BJ41+BJ42+BJ43)*Assumptions!$C$78</f>
        <v>371.262926924366</v>
      </c>
      <c r="BK56" s="44" t="n">
        <f aca="false">(BK41+BK42+BK43)*Assumptions!$C$78</f>
        <v>378.02135164895</v>
      </c>
    </row>
    <row r="57" customFormat="false" ht="15" hidden="false" customHeight="false" outlineLevel="0" collapsed="false">
      <c r="A57" s="28" t="s">
        <v>627</v>
      </c>
      <c r="B57" s="6" t="s">
        <v>628</v>
      </c>
      <c r="C57" s="43"/>
      <c r="D57" s="17" t="n">
        <f aca="false">D45*Assumptions!$C$82</f>
        <v>0</v>
      </c>
      <c r="E57" s="17" t="n">
        <f aca="false">E45*Assumptions!$C$82</f>
        <v>0</v>
      </c>
      <c r="F57" s="17" t="n">
        <f aca="false">F45*Assumptions!$C$82</f>
        <v>0</v>
      </c>
      <c r="G57" s="17" t="n">
        <f aca="false">G45*Assumptions!$C$82</f>
        <v>0</v>
      </c>
      <c r="H57" s="17" t="n">
        <f aca="false">H45*Assumptions!$C$82</f>
        <v>0</v>
      </c>
      <c r="I57" s="17" t="n">
        <f aca="false">I45*Assumptions!$C$82</f>
        <v>0</v>
      </c>
      <c r="J57" s="17" t="n">
        <f aca="false">J45*Assumptions!$C$82</f>
        <v>0</v>
      </c>
      <c r="K57" s="17" t="n">
        <f aca="false">K45*Assumptions!$C$82</f>
        <v>0</v>
      </c>
      <c r="L57" s="17" t="n">
        <f aca="false">L45*Assumptions!$C$82</f>
        <v>0</v>
      </c>
      <c r="M57" s="17" t="n">
        <f aca="false">M45*Assumptions!$C$82</f>
        <v>0</v>
      </c>
      <c r="N57" s="17" t="n">
        <f aca="false">N45*Assumptions!$C$82</f>
        <v>0</v>
      </c>
      <c r="O57" s="17" t="n">
        <f aca="false">O45*Assumptions!$C$82</f>
        <v>0</v>
      </c>
      <c r="P57" s="17" t="n">
        <f aca="false">P45*Assumptions!$C$82</f>
        <v>0</v>
      </c>
      <c r="Q57" s="17" t="n">
        <f aca="false">Q45*Assumptions!$C$82</f>
        <v>0</v>
      </c>
      <c r="R57" s="17" t="n">
        <f aca="false">R45*Assumptions!$C$82</f>
        <v>0</v>
      </c>
      <c r="S57" s="17" t="n">
        <f aca="false">S45*Assumptions!$C$82</f>
        <v>0</v>
      </c>
      <c r="T57" s="17" t="n">
        <f aca="false">T45*Assumptions!$C$82</f>
        <v>0</v>
      </c>
      <c r="U57" s="17" t="n">
        <f aca="false">U45*Assumptions!$C$82</f>
        <v>225</v>
      </c>
      <c r="V57" s="17" t="n">
        <f aca="false">V45*Assumptions!$C$82</f>
        <v>225</v>
      </c>
      <c r="W57" s="17" t="n">
        <f aca="false">W45*Assumptions!$C$82</f>
        <v>281.25</v>
      </c>
      <c r="X57" s="17" t="n">
        <f aca="false">X45*Assumptions!$C$82</f>
        <v>337.5</v>
      </c>
      <c r="Y57" s="17" t="n">
        <f aca="false">Y45*Assumptions!$C$82</f>
        <v>337.5</v>
      </c>
      <c r="Z57" s="17" t="n">
        <f aca="false">Z45*Assumptions!$C$82</f>
        <v>393.75</v>
      </c>
      <c r="AA57" s="17" t="n">
        <f aca="false">AA45*Assumptions!$C$82</f>
        <v>450</v>
      </c>
      <c r="AB57" s="17" t="n">
        <f aca="false">AB45*Assumptions!$C$82</f>
        <v>506.25</v>
      </c>
      <c r="AC57" s="17" t="n">
        <f aca="false">AC45*Assumptions!$C$82</f>
        <v>562.5</v>
      </c>
      <c r="AD57" s="17" t="n">
        <f aca="false">AD45*Assumptions!$C$82</f>
        <v>618.75</v>
      </c>
      <c r="AE57" s="17" t="n">
        <f aca="false">AE45*Assumptions!$C$82</f>
        <v>675</v>
      </c>
      <c r="AF57" s="17" t="n">
        <f aca="false">AF45*Assumptions!$C$82</f>
        <v>731.25</v>
      </c>
      <c r="AG57" s="17" t="n">
        <f aca="false">AG45*Assumptions!$C$82</f>
        <v>787.5</v>
      </c>
      <c r="AH57" s="17" t="n">
        <f aca="false">AH45*Assumptions!$C$82</f>
        <v>843.75</v>
      </c>
      <c r="AI57" s="17" t="n">
        <f aca="false">AI45*Assumptions!$C$82</f>
        <v>900</v>
      </c>
      <c r="AJ57" s="17" t="n">
        <f aca="false">AJ45*Assumptions!$C$82</f>
        <v>956.25</v>
      </c>
      <c r="AK57" s="17" t="n">
        <f aca="false">AK45*Assumptions!$C$82</f>
        <v>1012.5</v>
      </c>
      <c r="AL57" s="17" t="n">
        <f aca="false">AL45*Assumptions!$C$82</f>
        <v>1125</v>
      </c>
      <c r="AM57" s="17" t="n">
        <f aca="false">AM45*Assumptions!$C$82</f>
        <v>1181.25</v>
      </c>
      <c r="AN57" s="44" t="n">
        <f aca="false">AN45*Assumptions!$C$82</f>
        <v>1237.5</v>
      </c>
      <c r="AO57" s="44" t="n">
        <f aca="false">AO45*Assumptions!$C$82</f>
        <v>1350</v>
      </c>
      <c r="AP57" s="44" t="n">
        <f aca="false">AP45*Assumptions!$C$82</f>
        <v>1406.25</v>
      </c>
      <c r="AQ57" s="44" t="n">
        <f aca="false">AQ45*Assumptions!$C$82</f>
        <v>1462.5</v>
      </c>
      <c r="AR57" s="44" t="n">
        <f aca="false">AR45*Assumptions!$C$82</f>
        <v>1575</v>
      </c>
      <c r="AS57" s="44" t="n">
        <f aca="false">AS45*Assumptions!$C$82</f>
        <v>1631.25</v>
      </c>
      <c r="AT57" s="44" t="n">
        <f aca="false">AT45*Assumptions!$C$82</f>
        <v>1687.5</v>
      </c>
      <c r="AU57" s="44" t="n">
        <f aca="false">AU45*Assumptions!$C$82</f>
        <v>1800</v>
      </c>
      <c r="AV57" s="44" t="n">
        <f aca="false">AV45*Assumptions!$C$82</f>
        <v>1856.25</v>
      </c>
      <c r="AW57" s="44" t="n">
        <f aca="false">AW45*Assumptions!$C$82</f>
        <v>1912.5</v>
      </c>
      <c r="AX57" s="44" t="n">
        <f aca="false">AX45*Assumptions!$C$82</f>
        <v>2025</v>
      </c>
      <c r="AY57" s="44" t="n">
        <f aca="false">AY45*Assumptions!$C$82</f>
        <v>2081.25</v>
      </c>
      <c r="AZ57" s="44" t="n">
        <f aca="false">AZ45*Assumptions!$C$82</f>
        <v>2137.5</v>
      </c>
      <c r="BA57" s="44" t="n">
        <f aca="false">BA45*Assumptions!$C$82</f>
        <v>2250</v>
      </c>
      <c r="BB57" s="44" t="n">
        <f aca="false">BB45*Assumptions!$C$82</f>
        <v>2306.25</v>
      </c>
      <c r="BC57" s="44" t="n">
        <f aca="false">BC45*Assumptions!$C$82</f>
        <v>2362.5</v>
      </c>
      <c r="BD57" s="44" t="n">
        <f aca="false">BD45*Assumptions!$C$82</f>
        <v>2475</v>
      </c>
      <c r="BE57" s="44" t="n">
        <f aca="false">BE45*Assumptions!$C$82</f>
        <v>2531.25</v>
      </c>
      <c r="BF57" s="44" t="n">
        <f aca="false">BF45*Assumptions!$C$82</f>
        <v>2587.5</v>
      </c>
      <c r="BG57" s="44" t="n">
        <f aca="false">BG45*Assumptions!$C$82</f>
        <v>2700</v>
      </c>
      <c r="BH57" s="44" t="n">
        <f aca="false">BH45*Assumptions!$C$82</f>
        <v>2756.25</v>
      </c>
      <c r="BI57" s="44" t="n">
        <f aca="false">BI45*Assumptions!$C$82</f>
        <v>2812.5</v>
      </c>
      <c r="BJ57" s="44" t="n">
        <f aca="false">BJ45*Assumptions!$C$82</f>
        <v>2925</v>
      </c>
      <c r="BK57" s="44" t="n">
        <f aca="false">BK45*Assumptions!$C$82</f>
        <v>2981.25</v>
      </c>
    </row>
    <row r="58" customFormat="false" ht="15" hidden="false" customHeight="false" outlineLevel="0" collapsed="false">
      <c r="A58" s="28" t="s">
        <v>629</v>
      </c>
      <c r="B58" s="5" t="s">
        <v>630</v>
      </c>
      <c r="C58" s="43"/>
      <c r="D58" s="45" t="n">
        <f aca="false">D49+D50+D51+D52+D53+D54+D55+D56+D57</f>
        <v>0</v>
      </c>
      <c r="E58" s="45" t="n">
        <f aca="false">E49+E50+E51+E52+E53+E54+E55+E56+E57</f>
        <v>0</v>
      </c>
      <c r="F58" s="45" t="n">
        <f aca="false">F49+F50+F51+F52+F53+F54+F55+F56+F57</f>
        <v>0</v>
      </c>
      <c r="G58" s="45" t="n">
        <f aca="false">G49+G50+G51+G52+G53+G54+G55+G56+G57</f>
        <v>0</v>
      </c>
      <c r="H58" s="45" t="n">
        <f aca="false">H49+H50+H51+H52+H53+H54+H55+H56+H57</f>
        <v>53.4306666666667</v>
      </c>
      <c r="I58" s="45" t="n">
        <f aca="false">I49+I50+I51+I52+I53+I54+I55+I56+I57</f>
        <v>92.1655933333333</v>
      </c>
      <c r="J58" s="45" t="n">
        <f aca="false">J49+J50+J51+J52+J53+J54+J55+J56+J57</f>
        <v>111.393131433333</v>
      </c>
      <c r="K58" s="45" t="n">
        <f aca="false">K49+K50+K51+K52+K53+K54+K55+K56+K57</f>
        <v>172.594162095167</v>
      </c>
      <c r="L58" s="45" t="n">
        <f aca="false">L49+L50+L51+L52+L53+L54+L55+L56+L57</f>
        <v>211.616802625406</v>
      </c>
      <c r="M58" s="45" t="n">
        <f aca="false">M49+M50+M51+M52+M53+M54+M55+M56+M57</f>
        <v>230.956556011108</v>
      </c>
      <c r="N58" s="45" t="n">
        <f aca="false">N49+N50+N51+N52+N53+N54+N55+N56+N57</f>
        <v>285.296444530579</v>
      </c>
      <c r="O58" s="45" t="n">
        <f aca="false">O49+O50+O51+O52+O53+O54+O55+O56+O57</f>
        <v>373.213943821385</v>
      </c>
      <c r="P58" s="45" t="n">
        <f aca="false">P49+P50+P51+P52+P53+P54+P55+P56+P57</f>
        <v>428.265424203927</v>
      </c>
      <c r="Q58" s="45" t="n">
        <f aca="false">Q49+Q50+Q51+Q52+Q53+Q54+Q55+Q56+Q57</f>
        <v>499.793970375113</v>
      </c>
      <c r="R58" s="45" t="n">
        <f aca="false">R49+R50+R51+R52+R53+R54+R55+R56+R57</f>
        <v>594.083867716745</v>
      </c>
      <c r="S58" s="45" t="n">
        <f aca="false">S49+S50+S51+S52+S53+S54+S55+S56+S57</f>
        <v>648.442780850879</v>
      </c>
      <c r="T58" s="45" t="n">
        <f aca="false">T49+T50+T51+T52+T53+T54+T55+T56+T57</f>
        <v>719.375830385541</v>
      </c>
      <c r="U58" s="45" t="n">
        <f aca="false">U49+U50+U51+U52+U53+U54+U55+U56+U57</f>
        <v>1031.27510157392</v>
      </c>
      <c r="V58" s="45" t="n">
        <f aca="false">V49+V50+V51+V52+V53+V54+V55+V56+V57</f>
        <v>1134.11627966901</v>
      </c>
      <c r="W58" s="45" t="n">
        <f aca="false">W49+W50+W51+W52+W53+W54+W55+W56+W57</f>
        <v>1296.67546747614</v>
      </c>
      <c r="X58" s="45" t="n">
        <f aca="false">X49+X50+X51+X52+X53+X54+X55+X56+X57</f>
        <v>1456.72887193206</v>
      </c>
      <c r="Y58" s="45" t="n">
        <f aca="false">Y49+Y50+Y51+Y52+Y53+Y54+Y55+Y56+Y57</f>
        <v>1650.32013745773</v>
      </c>
      <c r="Z58" s="45" t="n">
        <f aca="false">Z49+Z50+Z51+Z52+Z53+Z54+Z55+Z56+Z57</f>
        <v>1899.47845061226</v>
      </c>
      <c r="AA58" s="45" t="n">
        <f aca="false">AA49+AA50+AA51+AA52+AA53+AA54+AA55+AA56+AA57</f>
        <v>2148.95890037291</v>
      </c>
      <c r="AB58" s="45" t="n">
        <f aca="false">AB49+AB50+AB51+AB52+AB53+AB54+AB55+AB56+AB57</f>
        <v>2399.36477507338</v>
      </c>
      <c r="AC58" s="45" t="n">
        <f aca="false">AC49+AC50+AC51+AC52+AC53+AC54+AC55+AC56+AC57</f>
        <v>2651.04121265638</v>
      </c>
      <c r="AD58" s="45" t="n">
        <f aca="false">AD49+AD50+AD51+AD52+AD53+AD54+AD55+AD56+AD57</f>
        <v>2904.16838745823</v>
      </c>
      <c r="AE58" s="45" t="n">
        <f aca="false">AE49+AE50+AE51+AE52+AE53+AE54+AE55+AE56+AE57</f>
        <v>3156.58184906167</v>
      </c>
      <c r="AF58" s="45" t="n">
        <f aca="false">AF49+AF50+AF51+AF52+AF53+AF54+AF55+AF56+AF57</f>
        <v>3466.76952033741</v>
      </c>
      <c r="AG58" s="45" t="n">
        <f aca="false">AG49+AG50+AG51+AG52+AG53+AG54+AG55+AG56+AG57</f>
        <v>3765.97059897784</v>
      </c>
      <c r="AH58" s="45" t="n">
        <f aca="false">AH49+AH50+AH51+AH52+AH53+AH54+AH55+AH56+AH57</f>
        <v>4046.13742673043</v>
      </c>
      <c r="AI58" s="45" t="n">
        <f aca="false">AI49+AI50+AI51+AI52+AI53+AI54+AI55+AI56+AI57</f>
        <v>4373.08313782348</v>
      </c>
      <c r="AJ58" s="45" t="n">
        <f aca="false">AJ49+AJ50+AJ51+AJ52+AJ53+AJ54+AJ55+AJ56+AJ57</f>
        <v>4681.49320432192</v>
      </c>
      <c r="AK58" s="45" t="n">
        <f aca="false">AK49+AK50+AK51+AK52+AK53+AK54+AK55+AK56+AK57</f>
        <v>4970.47292293574</v>
      </c>
      <c r="AL58" s="45" t="n">
        <f aca="false">AL49+AL50+AL51+AL52+AL53+AL54+AL55+AL56+AL57</f>
        <v>5352.613471052</v>
      </c>
      <c r="AM58" s="45" t="n">
        <f aca="false">AM49+AM50+AM51+AM52+AM53+AM54+AM55+AM56+AM57</f>
        <v>5661.89648070525</v>
      </c>
      <c r="AN58" s="46" t="n">
        <f aca="false">AN49+AN50+AN51+AN52+AN53+AN54+AN55+AN56+AN57</f>
        <v>5985.67959443161</v>
      </c>
      <c r="AO58" s="46" t="n">
        <f aca="false">AO49+AO50+AO51+AO52+AO53+AO54+AO55+AO56+AO57</f>
        <v>6406.25590905992</v>
      </c>
      <c r="AP58" s="46" t="n">
        <f aca="false">AP49+AP50+AP51+AP52+AP53+AP54+AP55+AP56+AP57</f>
        <v>6756.94279418045</v>
      </c>
      <c r="AQ58" s="46" t="n">
        <f aca="false">AQ49+AQ50+AQ51+AQ52+AQ53+AQ54+AQ55+AQ56+AQ57</f>
        <v>7091.55567721624</v>
      </c>
      <c r="AR58" s="46" t="n">
        <f aca="false">AR49+AR50+AR51+AR52+AR53+AR54+AR55+AR56+AR57</f>
        <v>7523.28731583358</v>
      </c>
      <c r="AS58" s="46" t="n">
        <f aca="false">AS49+AS50+AS51+AS52+AS53+AS54+AS55+AS56+AS57</f>
        <v>7882.13314436787</v>
      </c>
      <c r="AT58" s="46" t="n">
        <f aca="false">AT49+AT50+AT51+AT52+AT53+AT54+AT55+AT56+AT57</f>
        <v>8182.77477831126</v>
      </c>
      <c r="AU58" s="46" t="n">
        <f aca="false">AU49+AU50+AU51+AU52+AU53+AU54+AU55+AU56+AU57</f>
        <v>8577.85669156393</v>
      </c>
      <c r="AV58" s="46" t="n">
        <f aca="false">AV49+AV50+AV51+AV52+AV53+AV54+AV55+AV56+AV57</f>
        <v>8896.69679638111</v>
      </c>
      <c r="AW58" s="46" t="n">
        <f aca="false">AW49+AW50+AW51+AW52+AW53+AW54+AW55+AW56+AW57</f>
        <v>9195.8542332954</v>
      </c>
      <c r="AX58" s="46" t="n">
        <f aca="false">AX49+AX50+AX51+AX52+AX53+AX54+AX55+AX56+AX57</f>
        <v>9589.14036669352</v>
      </c>
      <c r="AY58" s="46" t="n">
        <f aca="false">AY49+AY50+AY51+AY52+AY53+AY54+AY55+AY56+AY57</f>
        <v>9905.87539346875</v>
      </c>
      <c r="AZ58" s="46" t="n">
        <f aca="false">AZ49+AZ50+AZ51+AZ52+AZ53+AZ54+AZ55+AZ56+AZ57</f>
        <v>10202.6284507644</v>
      </c>
      <c r="BA58" s="46" t="n">
        <f aca="false">BA49+BA50+BA51+BA52+BA53+BA54+BA55+BA56+BA57</f>
        <v>10593.2253625027</v>
      </c>
      <c r="BB58" s="46" t="n">
        <f aca="false">BB49+BB50+BB51+BB52+BB53+BB54+BB55+BB56+BB57</f>
        <v>10907.0031713716</v>
      </c>
      <c r="BC58" s="46" t="n">
        <f aca="false">BC49+BC50+BC51+BC52+BC53+BC54+BC55+BC56+BC57</f>
        <v>11198.223642299</v>
      </c>
      <c r="BD58" s="46" t="n">
        <f aca="false">BD49+BD50+BD51+BD52+BD53+BD54+BD55+BD56+BD57</f>
        <v>11583.2912289918</v>
      </c>
      <c r="BE58" s="46" t="n">
        <f aca="false">BE49+BE50+BE51+BE52+BE53+BE54+BE55+BE56+BE57</f>
        <v>11891.4592107914</v>
      </c>
      <c r="BF58" s="46" t="n">
        <f aca="false">BF49+BF50+BF51+BF52+BF53+BF54+BF55+BF56+BF57</f>
        <v>12176.9425579817</v>
      </c>
      <c r="BG58" s="46" t="n">
        <f aca="false">BG49+BG50+BG51+BG52+BG53+BG54+BG55+BG56+BG57</f>
        <v>12556.1224557457</v>
      </c>
      <c r="BH58" s="46" t="n">
        <f aca="false">BH49+BH50+BH51+BH52+BH53+BH54+BH55+BH56+BH57</f>
        <v>12858.2437355743</v>
      </c>
      <c r="BI58" s="46" t="n">
        <f aca="false">BI49+BI50+BI51+BI52+BI53+BI54+BI55+BI56+BI57</f>
        <v>13137.5221121582</v>
      </c>
      <c r="BJ58" s="46" t="n">
        <f aca="false">BJ49+BJ50+BJ51+BJ52+BJ53+BJ54+BJ55+BJ56+BJ57</f>
        <v>13510.3450770324</v>
      </c>
      <c r="BK58" s="46" t="n">
        <f aca="false">BK49+BK50+BK51+BK52+BK53+BK54+BK55+BK56+BK57</f>
        <v>13805.9669966038</v>
      </c>
    </row>
    <row r="59" customFormat="false" ht="15" hidden="false" customHeight="false" outlineLevel="0" collapsed="false">
      <c r="A59" s="28" t="s">
        <v>631</v>
      </c>
      <c r="B59" s="5" t="s">
        <v>632</v>
      </c>
      <c r="C59" s="43"/>
      <c r="D59" s="45" t="n">
        <f aca="false">D46-D58</f>
        <v>0</v>
      </c>
      <c r="E59" s="45" t="n">
        <f aca="false">E46-E58</f>
        <v>0</v>
      </c>
      <c r="F59" s="45" t="n">
        <f aca="false">F46-F58</f>
        <v>0</v>
      </c>
      <c r="G59" s="45" t="n">
        <f aca="false">G46-G58</f>
        <v>0</v>
      </c>
      <c r="H59" s="45" t="n">
        <f aca="false">H46-H58</f>
        <v>-53.4306666666667</v>
      </c>
      <c r="I59" s="45" t="n">
        <f aca="false">I46-I58</f>
        <v>-92.1655933333333</v>
      </c>
      <c r="J59" s="45" t="n">
        <f aca="false">J46-J58</f>
        <v>-111.393131433333</v>
      </c>
      <c r="K59" s="45" t="n">
        <f aca="false">K46-K58</f>
        <v>-172.594162095167</v>
      </c>
      <c r="L59" s="45" t="n">
        <f aca="false">L46-L58</f>
        <v>-211.616802625406</v>
      </c>
      <c r="M59" s="45" t="n">
        <f aca="false">M46-M58</f>
        <v>-230.956556011108</v>
      </c>
      <c r="N59" s="45" t="n">
        <f aca="false">N46-N58</f>
        <v>-285.296444530579</v>
      </c>
      <c r="O59" s="45" t="n">
        <f aca="false">O46-O58</f>
        <v>-373.213943821385</v>
      </c>
      <c r="P59" s="45" t="n">
        <f aca="false">P46-P58</f>
        <v>-428.265424203927</v>
      </c>
      <c r="Q59" s="45" t="n">
        <f aca="false">Q46-Q58</f>
        <v>-499.793970375113</v>
      </c>
      <c r="R59" s="45" t="n">
        <f aca="false">R46-R58</f>
        <v>-594.083867716745</v>
      </c>
      <c r="S59" s="45" t="n">
        <f aca="false">S46-S58</f>
        <v>-648.442780850879</v>
      </c>
      <c r="T59" s="45" t="n">
        <f aca="false">T46-T58</f>
        <v>-719.375830385541</v>
      </c>
      <c r="U59" s="45" t="n">
        <f aca="false">U46-U58</f>
        <v>-281.275101573918</v>
      </c>
      <c r="V59" s="45" t="n">
        <f aca="false">V46-V58</f>
        <v>-384.116279669013</v>
      </c>
      <c r="W59" s="45" t="n">
        <f aca="false">W46-W58</f>
        <v>-359.175467476136</v>
      </c>
      <c r="X59" s="45" t="n">
        <f aca="false">X46-X58</f>
        <v>-331.728871932062</v>
      </c>
      <c r="Y59" s="45" t="n">
        <f aca="false">Y46-Y58</f>
        <v>-300.695561175346</v>
      </c>
      <c r="Z59" s="45" t="n">
        <f aca="false">Z46-Z58</f>
        <v>-130.103934027395</v>
      </c>
      <c r="AA59" s="45" t="n">
        <f aca="false">AA46-AA58</f>
        <v>47.3248301842891</v>
      </c>
      <c r="AB59" s="45" t="n">
        <f aca="false">AB46-AB58</f>
        <v>230.549352002313</v>
      </c>
      <c r="AC59" s="45" t="n">
        <f aca="false">AC46-AC58</f>
        <v>418.812664866905</v>
      </c>
      <c r="AD59" s="45" t="n">
        <f aca="false">AD46-AD58</f>
        <v>611.547403470789</v>
      </c>
      <c r="AE59" s="45" t="n">
        <f aca="false">AE46-AE58</f>
        <v>810.28100219108</v>
      </c>
      <c r="AF59" s="45" t="n">
        <f aca="false">AF46-AF58</f>
        <v>963.027298765865</v>
      </c>
      <c r="AG59" s="45" t="n">
        <f aca="false">AG46-AG58</f>
        <v>1136.91090207462</v>
      </c>
      <c r="AH59" s="45" t="n">
        <f aca="false">AH46-AH58</f>
        <v>1337.09199059586</v>
      </c>
      <c r="AI59" s="45" t="n">
        <f aca="false">AI46-AI58</f>
        <v>1502.72130845541</v>
      </c>
      <c r="AJ59" s="45" t="n">
        <f aca="false">AJ46-AJ58</f>
        <v>1696.32681884957</v>
      </c>
      <c r="AK59" s="45" t="n">
        <f aca="false">AK46-AK58</f>
        <v>1915.67065304797</v>
      </c>
      <c r="AL59" s="45" t="n">
        <f aca="false">AL46-AL58</f>
        <v>2239.30766924789</v>
      </c>
      <c r="AM59" s="45" t="n">
        <f aca="false">AM46-AM58</f>
        <v>2455.61663930933</v>
      </c>
      <c r="AN59" s="46" t="n">
        <f aca="false">AN46-AN58</f>
        <v>2990.64842110542</v>
      </c>
      <c r="AO59" s="46" t="n">
        <f aca="false">AO46-AO58</f>
        <v>3656.03030220108</v>
      </c>
      <c r="AP59" s="46" t="n">
        <f aca="false">AP46-AP58</f>
        <v>4237.80408019894</v>
      </c>
      <c r="AQ59" s="46" t="n">
        <f aca="false">AQ46-AQ58</f>
        <v>4862.41450419739</v>
      </c>
      <c r="AR59" s="46" t="n">
        <f aca="false">AR46-AR58</f>
        <v>5620.97669530427</v>
      </c>
      <c r="AS59" s="46" t="n">
        <f aca="false">AS46-AS58</f>
        <v>6292.58523713401</v>
      </c>
      <c r="AT59" s="46" t="n">
        <f aca="false">AT46-AT58</f>
        <v>6627.19630684829</v>
      </c>
      <c r="AU59" s="46" t="n">
        <f aca="false">AU46-AU58</f>
        <v>7072.26124739215</v>
      </c>
      <c r="AV59" s="46" t="n">
        <f aca="false">AV46-AV58</f>
        <v>7401.52196506971</v>
      </c>
      <c r="AW59" s="46" t="n">
        <f aca="false">AW46-AW58</f>
        <v>7742.24089565552</v>
      </c>
      <c r="AX59" s="46" t="n">
        <f aca="false">AX46-AX58</f>
        <v>8192.56612572089</v>
      </c>
      <c r="AY59" s="46" t="n">
        <f aca="false">AY46-AY58</f>
        <v>8526.32047681102</v>
      </c>
      <c r="AZ59" s="46" t="n">
        <f aca="false">AZ46-AZ58</f>
        <v>8870.83366473387</v>
      </c>
      <c r="BA59" s="46" t="n">
        <f aca="false">BA46-BA58</f>
        <v>9324.31126965317</v>
      </c>
      <c r="BB59" s="46" t="n">
        <f aca="false">BB46-BB58</f>
        <v>9660.62638094044</v>
      </c>
      <c r="BC59" s="46" t="n">
        <f aca="false">BC46-BC58</f>
        <v>10008.3535330637</v>
      </c>
      <c r="BD59" s="46" t="n">
        <f aca="false">BD46-BD58</f>
        <v>10464.0403284533</v>
      </c>
      <c r="BE59" s="46" t="n">
        <f aca="false">BE46-BE58</f>
        <v>10801.726058776</v>
      </c>
      <c r="BF59" s="46" t="n">
        <f aca="false">BF46-BF58</f>
        <v>11150.1066868541</v>
      </c>
      <c r="BG59" s="46" t="n">
        <f aca="false">BG46-BG58</f>
        <v>11605.8212923424</v>
      </c>
      <c r="BH59" s="46" t="n">
        <f aca="false">BH46-BH58</f>
        <v>11942.9803818202</v>
      </c>
      <c r="BI59" s="46" t="n">
        <f aca="false">BI46-BI58</f>
        <v>12290.3372188954</v>
      </c>
      <c r="BJ59" s="46" t="n">
        <f aca="false">BJ46-BJ58</f>
        <v>12744.5784433576</v>
      </c>
      <c r="BK59" s="46" t="n">
        <f aca="false">BK46-BK58</f>
        <v>13079.8551381084</v>
      </c>
    </row>
    <row r="60" customFormat="false" ht="15" hidden="false" customHeight="false" outlineLevel="0" collapsed="false">
      <c r="B60" s="5" t="s">
        <v>633</v>
      </c>
    </row>
    <row r="61" customFormat="false" ht="15" hidden="false" customHeight="false" outlineLevel="0" collapsed="false">
      <c r="A61" s="28" t="s">
        <v>267</v>
      </c>
      <c r="B61" s="6" t="s">
        <v>634</v>
      </c>
      <c r="C61" s="47"/>
      <c r="D61" s="9" t="n">
        <f aca="false">Assumptions!$C$83*(1+Assumptions!$C$84)^INT(D7/12)</f>
        <v>17.95</v>
      </c>
      <c r="E61" s="9" t="n">
        <f aca="false">Assumptions!$C$83*(1+Assumptions!$C$84)^INT(E7/12)</f>
        <v>17.95</v>
      </c>
      <c r="F61" s="9" t="n">
        <f aca="false">Assumptions!$C$83*(1+Assumptions!$C$84)^INT(F7/12)</f>
        <v>17.95</v>
      </c>
      <c r="G61" s="9" t="n">
        <f aca="false">Assumptions!$C$83*(1+Assumptions!$C$84)^INT(G7/12)</f>
        <v>17.95</v>
      </c>
      <c r="H61" s="9" t="n">
        <f aca="false">Assumptions!$C$83*(1+Assumptions!$C$84)^INT(H7/12)</f>
        <v>17.95</v>
      </c>
      <c r="I61" s="9" t="n">
        <f aca="false">Assumptions!$C$83*(1+Assumptions!$C$84)^INT(I7/12)</f>
        <v>17.95</v>
      </c>
      <c r="J61" s="9" t="n">
        <f aca="false">Assumptions!$C$83*(1+Assumptions!$C$84)^INT(J7/12)</f>
        <v>17.95</v>
      </c>
      <c r="K61" s="9" t="n">
        <f aca="false">Assumptions!$C$83*(1+Assumptions!$C$84)^INT(K7/12)</f>
        <v>17.95</v>
      </c>
      <c r="L61" s="9" t="n">
        <f aca="false">Assumptions!$C$83*(1+Assumptions!$C$84)^INT(L7/12)</f>
        <v>17.95</v>
      </c>
      <c r="M61" s="9" t="n">
        <f aca="false">Assumptions!$C$83*(1+Assumptions!$C$84)^INT(M7/12)</f>
        <v>17.95</v>
      </c>
      <c r="N61" s="9" t="n">
        <f aca="false">Assumptions!$C$83*(1+Assumptions!$C$84)^INT(N7/12)</f>
        <v>17.95</v>
      </c>
      <c r="O61" s="9" t="n">
        <f aca="false">Assumptions!$C$83*(1+Assumptions!$C$84)^INT(O7/12)</f>
        <v>18.39875</v>
      </c>
      <c r="P61" s="9" t="n">
        <f aca="false">Assumptions!$C$83*(1+Assumptions!$C$84)^INT(P7/12)</f>
        <v>18.39875</v>
      </c>
      <c r="Q61" s="9" t="n">
        <f aca="false">Assumptions!$C$83*(1+Assumptions!$C$84)^INT(Q7/12)</f>
        <v>18.39875</v>
      </c>
      <c r="R61" s="9" t="n">
        <f aca="false">Assumptions!$C$83*(1+Assumptions!$C$84)^INT(R7/12)</f>
        <v>18.39875</v>
      </c>
      <c r="S61" s="9" t="n">
        <f aca="false">Assumptions!$C$83*(1+Assumptions!$C$84)^INT(S7/12)</f>
        <v>18.39875</v>
      </c>
      <c r="T61" s="9" t="n">
        <f aca="false">Assumptions!$C$83*(1+Assumptions!$C$84)^INT(T7/12)</f>
        <v>18.39875</v>
      </c>
      <c r="U61" s="9" t="n">
        <f aca="false">Assumptions!$C$83*(1+Assumptions!$C$84)^INT(U7/12)</f>
        <v>18.39875</v>
      </c>
      <c r="V61" s="9" t="n">
        <f aca="false">Assumptions!$C$83*(1+Assumptions!$C$84)^INT(V7/12)</f>
        <v>18.39875</v>
      </c>
      <c r="W61" s="9" t="n">
        <f aca="false">Assumptions!$C$83*(1+Assumptions!$C$84)^INT(W7/12)</f>
        <v>18.39875</v>
      </c>
      <c r="X61" s="9" t="n">
        <f aca="false">Assumptions!$C$83*(1+Assumptions!$C$84)^INT(X7/12)</f>
        <v>18.39875</v>
      </c>
      <c r="Y61" s="9" t="n">
        <f aca="false">Assumptions!$C$83*(1+Assumptions!$C$84)^INT(Y7/12)</f>
        <v>18.39875</v>
      </c>
      <c r="Z61" s="9" t="n">
        <f aca="false">Assumptions!$C$83*(1+Assumptions!$C$84)^INT(Z7/12)</f>
        <v>18.39875</v>
      </c>
      <c r="AA61" s="9" t="n">
        <f aca="false">Assumptions!$C$83*(1+Assumptions!$C$84)^INT(AA7/12)</f>
        <v>18.85871875</v>
      </c>
      <c r="AB61" s="9" t="n">
        <f aca="false">Assumptions!$C$83*(1+Assumptions!$C$84)^INT(AB7/12)</f>
        <v>18.85871875</v>
      </c>
      <c r="AC61" s="9" t="n">
        <f aca="false">Assumptions!$C$83*(1+Assumptions!$C$84)^INT(AC7/12)</f>
        <v>18.85871875</v>
      </c>
      <c r="AD61" s="9" t="n">
        <f aca="false">Assumptions!$C$83*(1+Assumptions!$C$84)^INT(AD7/12)</f>
        <v>18.85871875</v>
      </c>
      <c r="AE61" s="9" t="n">
        <f aca="false">Assumptions!$C$83*(1+Assumptions!$C$84)^INT(AE7/12)</f>
        <v>18.85871875</v>
      </c>
      <c r="AF61" s="9" t="n">
        <f aca="false">Assumptions!$C$83*(1+Assumptions!$C$84)^INT(AF7/12)</f>
        <v>18.85871875</v>
      </c>
      <c r="AG61" s="9" t="n">
        <f aca="false">Assumptions!$C$83*(1+Assumptions!$C$84)^INT(AG7/12)</f>
        <v>18.85871875</v>
      </c>
      <c r="AH61" s="9" t="n">
        <f aca="false">Assumptions!$C$83*(1+Assumptions!$C$84)^INT(AH7/12)</f>
        <v>18.85871875</v>
      </c>
      <c r="AI61" s="9" t="n">
        <f aca="false">Assumptions!$C$83*(1+Assumptions!$C$84)^INT(AI7/12)</f>
        <v>18.85871875</v>
      </c>
      <c r="AJ61" s="9" t="n">
        <f aca="false">Assumptions!$C$83*(1+Assumptions!$C$84)^INT(AJ7/12)</f>
        <v>18.85871875</v>
      </c>
      <c r="AK61" s="9" t="n">
        <f aca="false">Assumptions!$C$83*(1+Assumptions!$C$84)^INT(AK7/12)</f>
        <v>18.85871875</v>
      </c>
      <c r="AL61" s="9" t="n">
        <f aca="false">Assumptions!$C$83*(1+Assumptions!$C$84)^INT(AL7/12)</f>
        <v>18.85871875</v>
      </c>
      <c r="AM61" s="9" t="n">
        <f aca="false">Assumptions!$C$83*(1+Assumptions!$C$84)^INT(AM7/12)</f>
        <v>19.33018671875</v>
      </c>
      <c r="AN61" s="48" t="n">
        <f aca="false">Assumptions!$C$83*(1+Assumptions!$C$84)^INT(AN7/12)</f>
        <v>19.33018671875</v>
      </c>
      <c r="AO61" s="48" t="n">
        <f aca="false">Assumptions!$C$83*(1+Assumptions!$C$84)^INT(AO7/12)</f>
        <v>19.33018671875</v>
      </c>
      <c r="AP61" s="48" t="n">
        <f aca="false">Assumptions!$C$83*(1+Assumptions!$C$84)^INT(AP7/12)</f>
        <v>19.33018671875</v>
      </c>
      <c r="AQ61" s="48" t="n">
        <f aca="false">Assumptions!$C$83*(1+Assumptions!$C$84)^INT(AQ7/12)</f>
        <v>19.33018671875</v>
      </c>
      <c r="AR61" s="48" t="n">
        <f aca="false">Assumptions!$C$83*(1+Assumptions!$C$84)^INT(AR7/12)</f>
        <v>19.33018671875</v>
      </c>
      <c r="AS61" s="48" t="n">
        <f aca="false">Assumptions!$C$83*(1+Assumptions!$C$84)^INT(AS7/12)</f>
        <v>19.33018671875</v>
      </c>
      <c r="AT61" s="48" t="n">
        <f aca="false">Assumptions!$C$83*(1+Assumptions!$C$84)^INT(AT7/12)</f>
        <v>19.33018671875</v>
      </c>
      <c r="AU61" s="48" t="n">
        <f aca="false">Assumptions!$C$83*(1+Assumptions!$C$84)^INT(AU7/12)</f>
        <v>19.33018671875</v>
      </c>
      <c r="AV61" s="48" t="n">
        <f aca="false">Assumptions!$C$83*(1+Assumptions!$C$84)^INT(AV7/12)</f>
        <v>19.33018671875</v>
      </c>
      <c r="AW61" s="48" t="n">
        <f aca="false">Assumptions!$C$83*(1+Assumptions!$C$84)^INT(AW7/12)</f>
        <v>19.33018671875</v>
      </c>
      <c r="AX61" s="48" t="n">
        <f aca="false">Assumptions!$C$83*(1+Assumptions!$C$84)^INT(AX7/12)</f>
        <v>19.33018671875</v>
      </c>
      <c r="AY61" s="48" t="n">
        <f aca="false">Assumptions!$C$83*(1+Assumptions!$C$84)^INT(AY7/12)</f>
        <v>19.8134413867187</v>
      </c>
      <c r="AZ61" s="48" t="n">
        <f aca="false">Assumptions!$C$83*(1+Assumptions!$C$84)^INT(AZ7/12)</f>
        <v>19.8134413867187</v>
      </c>
      <c r="BA61" s="48" t="n">
        <f aca="false">Assumptions!$C$83*(1+Assumptions!$C$84)^INT(BA7/12)</f>
        <v>19.8134413867187</v>
      </c>
      <c r="BB61" s="48" t="n">
        <f aca="false">Assumptions!$C$83*(1+Assumptions!$C$84)^INT(BB7/12)</f>
        <v>19.8134413867187</v>
      </c>
      <c r="BC61" s="48" t="n">
        <f aca="false">Assumptions!$C$83*(1+Assumptions!$C$84)^INT(BC7/12)</f>
        <v>19.8134413867187</v>
      </c>
      <c r="BD61" s="48" t="n">
        <f aca="false">Assumptions!$C$83*(1+Assumptions!$C$84)^INT(BD7/12)</f>
        <v>19.8134413867187</v>
      </c>
      <c r="BE61" s="48" t="n">
        <f aca="false">Assumptions!$C$83*(1+Assumptions!$C$84)^INT(BE7/12)</f>
        <v>19.8134413867187</v>
      </c>
      <c r="BF61" s="48" t="n">
        <f aca="false">Assumptions!$C$83*(1+Assumptions!$C$84)^INT(BF7/12)</f>
        <v>19.8134413867187</v>
      </c>
      <c r="BG61" s="48" t="n">
        <f aca="false">Assumptions!$C$83*(1+Assumptions!$C$84)^INT(BG7/12)</f>
        <v>19.8134413867187</v>
      </c>
      <c r="BH61" s="48" t="n">
        <f aca="false">Assumptions!$C$83*(1+Assumptions!$C$84)^INT(BH7/12)</f>
        <v>19.8134413867187</v>
      </c>
      <c r="BI61" s="48" t="n">
        <f aca="false">Assumptions!$C$83*(1+Assumptions!$C$84)^INT(BI7/12)</f>
        <v>19.8134413867187</v>
      </c>
      <c r="BJ61" s="48" t="n">
        <f aca="false">Assumptions!$C$83*(1+Assumptions!$C$84)^INT(BJ7/12)</f>
        <v>19.8134413867187</v>
      </c>
      <c r="BK61" s="48" t="n">
        <f aca="false">Assumptions!$C$83*(1+Assumptions!$C$84)^INT(BK7/12)</f>
        <v>20.3087774213867</v>
      </c>
    </row>
    <row r="62" customFormat="false" ht="15" hidden="false" customHeight="false" outlineLevel="0" collapsed="false">
      <c r="A62" s="28" t="s">
        <v>635</v>
      </c>
      <c r="B62" s="6" t="s">
        <v>636</v>
      </c>
      <c r="C62" s="43"/>
      <c r="D62" s="17" t="n">
        <f aca="false">D11*Assumptions!$C$86*D61*(1+Assumptions!$C$85)*Assumptions!$C$91</f>
        <v>0</v>
      </c>
      <c r="E62" s="17" t="n">
        <f aca="false">E11*Assumptions!$C$86*E61*(1+Assumptions!$C$85)*Assumptions!$C$91</f>
        <v>0</v>
      </c>
      <c r="F62" s="17" t="n">
        <f aca="false">F11*Assumptions!$C$86*F61*(1+Assumptions!$C$85)*Assumptions!$C$91</f>
        <v>0</v>
      </c>
      <c r="G62" s="17" t="n">
        <f aca="false">G11*Assumptions!$C$86*G61*(1+Assumptions!$C$85)*Assumptions!$C$91</f>
        <v>0</v>
      </c>
      <c r="H62" s="17" t="n">
        <f aca="false">H11*Assumptions!$C$86*H61*(1+Assumptions!$C$85)*Assumptions!$C$91</f>
        <v>405.67</v>
      </c>
      <c r="I62" s="17" t="n">
        <f aca="false">I11*Assumptions!$C$86*I61*(1+Assumptions!$C$85)*Assumptions!$C$91</f>
        <v>356.9896</v>
      </c>
      <c r="J62" s="17" t="n">
        <f aca="false">J11*Assumptions!$C$86*J61*(1+Assumptions!$C$85)*Assumptions!$C$91</f>
        <v>243.402</v>
      </c>
      <c r="K62" s="17" t="n">
        <f aca="false">K11*Assumptions!$C$86*K61*(1+Assumptions!$C$85)*Assumptions!$C$91</f>
        <v>567.938</v>
      </c>
      <c r="L62" s="17" t="n">
        <f aca="false">L11*Assumptions!$C$86*L61*(1+Assumptions!$C$85)*Assumptions!$C$91</f>
        <v>454.3504</v>
      </c>
      <c r="M62" s="17" t="n">
        <f aca="false">M11*Assumptions!$C$86*M61*(1+Assumptions!$C$85)*Assumptions!$C$91</f>
        <v>324.536</v>
      </c>
      <c r="N62" s="17" t="n">
        <f aca="false">N11*Assumptions!$C$86*N61*(1+Assumptions!$C$85)*Assumptions!$C$91</f>
        <v>584.1648</v>
      </c>
      <c r="O62" s="17" t="n">
        <f aca="false">O11*Assumptions!$C$86*O61*(1+Assumptions!$C$85)*Assumptions!$C$91</f>
        <v>898.15338</v>
      </c>
      <c r="P62" s="17" t="n">
        <f aca="false">P11*Assumptions!$C$86*P61*(1+Assumptions!$C$85)*Assumptions!$C$91</f>
        <v>715.19621</v>
      </c>
      <c r="Q62" s="17" t="n">
        <f aca="false">Q11*Assumptions!$C$86*Q61*(1+Assumptions!$C$85)*Assumptions!$C$91</f>
        <v>864.88844</v>
      </c>
      <c r="R62" s="17" t="n">
        <f aca="false">R11*Assumptions!$C$86*R61*(1+Assumptions!$C$85)*Assumptions!$C$91</f>
        <v>1081.11055</v>
      </c>
      <c r="S62" s="17" t="n">
        <f aca="false">S11*Assumptions!$C$86*S61*(1+Assumptions!$C$85)*Assumptions!$C$91</f>
        <v>831.6235</v>
      </c>
      <c r="T62" s="17" t="n">
        <f aca="false">T11*Assumptions!$C$86*T61*(1+Assumptions!$C$85)*Assumptions!$C$91</f>
        <v>964.68326</v>
      </c>
      <c r="U62" s="17" t="n">
        <f aca="false">U11*Assumptions!$C$86*U61*(1+Assumptions!$C$85)*Assumptions!$C$91</f>
        <v>1114.37549</v>
      </c>
      <c r="V62" s="17" t="n">
        <f aca="false">V11*Assumptions!$C$86*V61*(1+Assumptions!$C$85)*Assumptions!$C$91</f>
        <v>1280.70019</v>
      </c>
      <c r="W62" s="17" t="n">
        <f aca="false">W11*Assumptions!$C$86*W61*(1+Assumptions!$C$85)*Assumptions!$C$91</f>
        <v>1363.86254</v>
      </c>
      <c r="X62" s="17" t="n">
        <f aca="false">X11*Assumptions!$C$86*X61*(1+Assumptions!$C$85)*Assumptions!$C$91</f>
        <v>1397.12748</v>
      </c>
      <c r="Y62" s="17" t="n">
        <f aca="false">Y11*Assumptions!$C$86*Y61*(1+Assumptions!$C$85)*Assumptions!$C$91</f>
        <v>1480.28983</v>
      </c>
      <c r="Z62" s="17" t="n">
        <f aca="false">Z11*Assumptions!$C$86*Z61*(1+Assumptions!$C$85)*Assumptions!$C$91</f>
        <v>1496.9223</v>
      </c>
      <c r="AA62" s="17" t="n">
        <f aca="false">AA11*Assumptions!$C$86*AA61*(1+Assumptions!$C$85)*Assumptions!$C$91</f>
        <v>1551.39363925</v>
      </c>
      <c r="AB62" s="17" t="n">
        <f aca="false">AB11*Assumptions!$C$86*AB61*(1+Assumptions!$C$85)*Assumptions!$C$91</f>
        <v>1568.441921</v>
      </c>
      <c r="AC62" s="17" t="n">
        <f aca="false">AC11*Assumptions!$C$86*AC61*(1+Assumptions!$C$85)*Assumptions!$C$91</f>
        <v>1585.49020275</v>
      </c>
      <c r="AD62" s="17" t="n">
        <f aca="false">AD11*Assumptions!$C$86*AD61*(1+Assumptions!$C$85)*Assumptions!$C$91</f>
        <v>1602.5384845</v>
      </c>
      <c r="AE62" s="17" t="n">
        <f aca="false">AE11*Assumptions!$C$86*AE61*(1+Assumptions!$C$85)*Assumptions!$C$91</f>
        <v>1602.5384845</v>
      </c>
      <c r="AF62" s="17" t="n">
        <f aca="false">AF11*Assumptions!$C$86*AF61*(1+Assumptions!$C$85)*Assumptions!$C$91</f>
        <v>2045.79381</v>
      </c>
      <c r="AG62" s="17" t="n">
        <f aca="false">AG11*Assumptions!$C$86*AG61*(1+Assumptions!$C$85)*Assumptions!$C$91</f>
        <v>2011.6972465</v>
      </c>
      <c r="AH62" s="17" t="n">
        <f aca="false">AH11*Assumptions!$C$86*AH61*(1+Assumptions!$C$85)*Assumptions!$C$91</f>
        <v>1892.35927425</v>
      </c>
      <c r="AI62" s="17" t="n">
        <f aca="false">AI11*Assumptions!$C$86*AI61*(1+Assumptions!$C$85)*Assumptions!$C$91</f>
        <v>2250.373191</v>
      </c>
      <c r="AJ62" s="17" t="n">
        <f aca="false">AJ11*Assumptions!$C$86*AJ61*(1+Assumptions!$C$85)*Assumptions!$C$91</f>
        <v>2148.0835005</v>
      </c>
      <c r="AK62" s="17" t="n">
        <f aca="false">AK11*Assumptions!$C$86*AK61*(1+Assumptions!$C$85)*Assumptions!$C$91</f>
        <v>2011.6972465</v>
      </c>
      <c r="AL62" s="17" t="n">
        <f aca="false">AL11*Assumptions!$C$86*AL61*(1+Assumptions!$C$85)*Assumptions!$C$91</f>
        <v>2284.4697545</v>
      </c>
      <c r="AM62" s="17" t="n">
        <f aca="false">AM11*Assumptions!$C$86*AM61*(1+Assumptions!$C$85)*Assumptions!$C$91</f>
        <v>2236.7345656</v>
      </c>
      <c r="AN62" s="44" t="n">
        <f aca="false">AN11*Assumptions!$C$86*AN61*(1+Assumptions!$C$85)*Assumptions!$C$91</f>
        <v>2096.93865525</v>
      </c>
      <c r="AO62" s="44" t="n">
        <f aca="false">AO11*Assumptions!$C$86*AO61*(1+Assumptions!$C$85)*Assumptions!$C$91</f>
        <v>2376.53047595</v>
      </c>
      <c r="AP62" s="44" t="n">
        <f aca="false">AP11*Assumptions!$C$86*AP61*(1+Assumptions!$C$85)*Assumptions!$C$91</f>
        <v>2271.6835431875</v>
      </c>
      <c r="AQ62" s="44" t="n">
        <f aca="false">AQ11*Assumptions!$C$86*AQ61*(1+Assumptions!$C$85)*Assumptions!$C$91</f>
        <v>2131.8876328375</v>
      </c>
      <c r="AR62" s="44" t="n">
        <f aca="false">AR11*Assumptions!$C$86*AR61*(1+Assumptions!$C$85)*Assumptions!$C$91</f>
        <v>2411.4794535375</v>
      </c>
      <c r="AS62" s="44" t="n">
        <f aca="false">AS11*Assumptions!$C$86*AS61*(1+Assumptions!$C$85)*Assumptions!$C$91</f>
        <v>2289.15803198125</v>
      </c>
      <c r="AT62" s="44" t="n">
        <f aca="false">AT11*Assumptions!$C$86*AT61*(1+Assumptions!$C$85)*Assumptions!$C$91</f>
        <v>2149.36212163125</v>
      </c>
      <c r="AU62" s="44" t="n">
        <f aca="false">AU11*Assumptions!$C$86*AU61*(1+Assumptions!$C$85)*Assumptions!$C$91</f>
        <v>2428.95394233125</v>
      </c>
      <c r="AV62" s="44" t="n">
        <f aca="false">AV11*Assumptions!$C$86*AV61*(1+Assumptions!$C$85)*Assumptions!$C$91</f>
        <v>2306.632520775</v>
      </c>
      <c r="AW62" s="44" t="n">
        <f aca="false">AW11*Assumptions!$C$86*AW61*(1+Assumptions!$C$85)*Assumptions!$C$91</f>
        <v>2166.836610425</v>
      </c>
      <c r="AX62" s="44" t="n">
        <f aca="false">AX11*Assumptions!$C$86*AX61*(1+Assumptions!$C$85)*Assumptions!$C$91</f>
        <v>2446.428431125</v>
      </c>
      <c r="AY62" s="44" t="n">
        <f aca="false">AY11*Assumptions!$C$86*AY61*(1+Assumptions!$C$85)*Assumptions!$C$91</f>
        <v>2382.20968480797</v>
      </c>
      <c r="AZ62" s="44" t="n">
        <f aca="false">AZ11*Assumptions!$C$86*AZ61*(1+Assumptions!$C$85)*Assumptions!$C$91</f>
        <v>2238.91887669922</v>
      </c>
      <c r="BA62" s="44" t="n">
        <f aca="false">BA11*Assumptions!$C$86*BA61*(1+Assumptions!$C$85)*Assumptions!$C$91</f>
        <v>2525.50049291672</v>
      </c>
      <c r="BB62" s="44" t="n">
        <f aca="false">BB11*Assumptions!$C$86*BB61*(1+Assumptions!$C$85)*Assumptions!$C$91</f>
        <v>2400.12103582156</v>
      </c>
      <c r="BC62" s="44" t="n">
        <f aca="false">BC11*Assumptions!$C$86*BC61*(1+Assumptions!$C$85)*Assumptions!$C$91</f>
        <v>2238.91887669922</v>
      </c>
      <c r="BD62" s="44" t="n">
        <f aca="false">BD11*Assumptions!$C$86*BD61*(1+Assumptions!$C$85)*Assumptions!$C$91</f>
        <v>2525.50049291672</v>
      </c>
      <c r="BE62" s="44" t="n">
        <f aca="false">BE11*Assumptions!$C$86*BE61*(1+Assumptions!$C$85)*Assumptions!$C$91</f>
        <v>2400.12103582156</v>
      </c>
      <c r="BF62" s="44" t="n">
        <f aca="false">BF11*Assumptions!$C$86*BF61*(1+Assumptions!$C$85)*Assumptions!$C$91</f>
        <v>2238.91887669922</v>
      </c>
      <c r="BG62" s="44" t="n">
        <f aca="false">BG11*Assumptions!$C$86*BG61*(1+Assumptions!$C$85)*Assumptions!$C$91</f>
        <v>2525.50049291672</v>
      </c>
      <c r="BH62" s="44" t="n">
        <f aca="false">BH11*Assumptions!$C$86*BH61*(1+Assumptions!$C$85)*Assumptions!$C$91</f>
        <v>2400.12103582156</v>
      </c>
      <c r="BI62" s="44" t="n">
        <f aca="false">BI11*Assumptions!$C$86*BI61*(1+Assumptions!$C$85)*Assumptions!$C$91</f>
        <v>2238.91887669922</v>
      </c>
      <c r="BJ62" s="44" t="n">
        <f aca="false">BJ11*Assumptions!$C$86*BJ61*(1+Assumptions!$C$85)*Assumptions!$C$91</f>
        <v>2525.50049291672</v>
      </c>
      <c r="BK62" s="44" t="n">
        <f aca="false">BK11*Assumptions!$C$86*BK61*(1+Assumptions!$C$85)*Assumptions!$C$91</f>
        <v>2460.1240617171</v>
      </c>
    </row>
    <row r="63" customFormat="false" ht="15" hidden="false" customHeight="false" outlineLevel="0" collapsed="false">
      <c r="A63" s="28" t="s">
        <v>637</v>
      </c>
      <c r="B63" s="6" t="s">
        <v>638</v>
      </c>
      <c r="C63" s="43"/>
      <c r="D63" s="17" t="n">
        <f aca="false">D14*Assumptions!$C$87*(1+Assumptions!$C$85)*Assumptions!$C$91</f>
        <v>0</v>
      </c>
      <c r="E63" s="17" t="n">
        <f aca="false">E14*Assumptions!$C$87*(1+Assumptions!$C$85)*Assumptions!$C$91</f>
        <v>0</v>
      </c>
      <c r="F63" s="17" t="n">
        <f aca="false">F14*Assumptions!$C$87*(1+Assumptions!$C$85)*Assumptions!$C$91</f>
        <v>0</v>
      </c>
      <c r="G63" s="17" t="n">
        <f aca="false">G14*Assumptions!$C$87*(1+Assumptions!$C$85)*Assumptions!$C$91</f>
        <v>0</v>
      </c>
      <c r="H63" s="17" t="n">
        <f aca="false">H14*Assumptions!$C$87*(1+Assumptions!$C$85)*Assumptions!$C$91</f>
        <v>135.6</v>
      </c>
      <c r="I63" s="17" t="n">
        <f aca="false">I14*Assumptions!$C$87*(1+Assumptions!$C$85)*Assumptions!$C$91</f>
        <v>119.328</v>
      </c>
      <c r="J63" s="17" t="n">
        <f aca="false">J14*Assumptions!$C$87*(1+Assumptions!$C$85)*Assumptions!$C$91</f>
        <v>81.36</v>
      </c>
      <c r="K63" s="17" t="n">
        <f aca="false">K14*Assumptions!$C$87*(1+Assumptions!$C$85)*Assumptions!$C$91</f>
        <v>189.84</v>
      </c>
      <c r="L63" s="17" t="n">
        <f aca="false">L14*Assumptions!$C$87*(1+Assumptions!$C$85)*Assumptions!$C$91</f>
        <v>151.872</v>
      </c>
      <c r="M63" s="17" t="n">
        <f aca="false">M14*Assumptions!$C$87*(1+Assumptions!$C$85)*Assumptions!$C$91</f>
        <v>108.48</v>
      </c>
      <c r="N63" s="17" t="n">
        <f aca="false">N14*Assumptions!$C$87*(1+Assumptions!$C$85)*Assumptions!$C$91</f>
        <v>195.264</v>
      </c>
      <c r="O63" s="17" t="n">
        <f aca="false">O14*Assumptions!$C$87*(1+Assumptions!$C$85)*Assumptions!$C$91</f>
        <v>292.896</v>
      </c>
      <c r="P63" s="17" t="n">
        <f aca="false">P14*Assumptions!$C$87*(1+Assumptions!$C$85)*Assumptions!$C$91</f>
        <v>233.232</v>
      </c>
      <c r="Q63" s="17" t="n">
        <f aca="false">Q14*Assumptions!$C$87*(1+Assumptions!$C$85)*Assumptions!$C$91</f>
        <v>282.048</v>
      </c>
      <c r="R63" s="17" t="n">
        <f aca="false">R14*Assumptions!$C$87*(1+Assumptions!$C$85)*Assumptions!$C$91</f>
        <v>352.56</v>
      </c>
      <c r="S63" s="17" t="n">
        <f aca="false">S14*Assumptions!$C$87*(1+Assumptions!$C$85)*Assumptions!$C$91</f>
        <v>271.2</v>
      </c>
      <c r="T63" s="17" t="n">
        <f aca="false">T14*Assumptions!$C$87*(1+Assumptions!$C$85)*Assumptions!$C$91</f>
        <v>314.592</v>
      </c>
      <c r="U63" s="17" t="n">
        <f aca="false">U14*Assumptions!$C$87*(1+Assumptions!$C$85)*Assumptions!$C$91</f>
        <v>363.408</v>
      </c>
      <c r="V63" s="17" t="n">
        <f aca="false">V14*Assumptions!$C$87*(1+Assumptions!$C$85)*Assumptions!$C$91</f>
        <v>417.648</v>
      </c>
      <c r="W63" s="17" t="n">
        <f aca="false">W14*Assumptions!$C$87*(1+Assumptions!$C$85)*Assumptions!$C$91</f>
        <v>444.768</v>
      </c>
      <c r="X63" s="17" t="n">
        <f aca="false">X14*Assumptions!$C$87*(1+Assumptions!$C$85)*Assumptions!$C$91</f>
        <v>455.616</v>
      </c>
      <c r="Y63" s="17" t="n">
        <f aca="false">Y14*Assumptions!$C$87*(1+Assumptions!$C$85)*Assumptions!$C$91</f>
        <v>482.736</v>
      </c>
      <c r="Z63" s="17" t="n">
        <f aca="false">Z14*Assumptions!$C$87*(1+Assumptions!$C$85)*Assumptions!$C$91</f>
        <v>488.16</v>
      </c>
      <c r="AA63" s="17" t="n">
        <f aca="false">AA14*Assumptions!$C$87*(1+Assumptions!$C$85)*Assumptions!$C$91</f>
        <v>493.584</v>
      </c>
      <c r="AB63" s="17" t="n">
        <f aca="false">AB14*Assumptions!$C$87*(1+Assumptions!$C$85)*Assumptions!$C$91</f>
        <v>499.008</v>
      </c>
      <c r="AC63" s="17" t="n">
        <f aca="false">AC14*Assumptions!$C$87*(1+Assumptions!$C$85)*Assumptions!$C$91</f>
        <v>504.432</v>
      </c>
      <c r="AD63" s="17" t="n">
        <f aca="false">AD14*Assumptions!$C$87*(1+Assumptions!$C$85)*Assumptions!$C$91</f>
        <v>509.856</v>
      </c>
      <c r="AE63" s="17" t="n">
        <f aca="false">AE14*Assumptions!$C$87*(1+Assumptions!$C$85)*Assumptions!$C$91</f>
        <v>509.856</v>
      </c>
      <c r="AF63" s="17" t="n">
        <f aca="false">AF14*Assumptions!$C$87*(1+Assumptions!$C$85)*Assumptions!$C$91</f>
        <v>650.88</v>
      </c>
      <c r="AG63" s="17" t="n">
        <f aca="false">AG14*Assumptions!$C$87*(1+Assumptions!$C$85)*Assumptions!$C$91</f>
        <v>640.032</v>
      </c>
      <c r="AH63" s="17" t="n">
        <f aca="false">AH14*Assumptions!$C$87*(1+Assumptions!$C$85)*Assumptions!$C$91</f>
        <v>602.064</v>
      </c>
      <c r="AI63" s="17" t="n">
        <f aca="false">AI14*Assumptions!$C$87*(1+Assumptions!$C$85)*Assumptions!$C$91</f>
        <v>715.968</v>
      </c>
      <c r="AJ63" s="17" t="n">
        <f aca="false">AJ14*Assumptions!$C$87*(1+Assumptions!$C$85)*Assumptions!$C$91</f>
        <v>683.424</v>
      </c>
      <c r="AK63" s="17" t="n">
        <f aca="false">AK14*Assumptions!$C$87*(1+Assumptions!$C$85)*Assumptions!$C$91</f>
        <v>640.032</v>
      </c>
      <c r="AL63" s="17" t="n">
        <f aca="false">AL14*Assumptions!$C$87*(1+Assumptions!$C$85)*Assumptions!$C$91</f>
        <v>726.816</v>
      </c>
      <c r="AM63" s="17" t="n">
        <f aca="false">AM14*Assumptions!$C$87*(1+Assumptions!$C$85)*Assumptions!$C$91</f>
        <v>694.272</v>
      </c>
      <c r="AN63" s="44" t="n">
        <f aca="false">AN14*Assumptions!$C$87*(1+Assumptions!$C$85)*Assumptions!$C$91</f>
        <v>650.88</v>
      </c>
      <c r="AO63" s="44" t="n">
        <f aca="false">AO14*Assumptions!$C$87*(1+Assumptions!$C$85)*Assumptions!$C$91</f>
        <v>737.664</v>
      </c>
      <c r="AP63" s="44" t="n">
        <f aca="false">AP14*Assumptions!$C$87*(1+Assumptions!$C$85)*Assumptions!$C$91</f>
        <v>705.12</v>
      </c>
      <c r="AQ63" s="44" t="n">
        <f aca="false">AQ14*Assumptions!$C$87*(1+Assumptions!$C$85)*Assumptions!$C$91</f>
        <v>661.728</v>
      </c>
      <c r="AR63" s="44" t="n">
        <f aca="false">AR14*Assumptions!$C$87*(1+Assumptions!$C$85)*Assumptions!$C$91</f>
        <v>748.512</v>
      </c>
      <c r="AS63" s="44" t="n">
        <f aca="false">AS14*Assumptions!$C$87*(1+Assumptions!$C$85)*Assumptions!$C$91</f>
        <v>710.544</v>
      </c>
      <c r="AT63" s="44" t="n">
        <f aca="false">AT14*Assumptions!$C$87*(1+Assumptions!$C$85)*Assumptions!$C$91</f>
        <v>667.152</v>
      </c>
      <c r="AU63" s="44" t="n">
        <f aca="false">AU14*Assumptions!$C$87*(1+Assumptions!$C$85)*Assumptions!$C$91</f>
        <v>753.936</v>
      </c>
      <c r="AV63" s="44" t="n">
        <f aca="false">AV14*Assumptions!$C$87*(1+Assumptions!$C$85)*Assumptions!$C$91</f>
        <v>715.968</v>
      </c>
      <c r="AW63" s="44" t="n">
        <f aca="false">AW14*Assumptions!$C$87*(1+Assumptions!$C$85)*Assumptions!$C$91</f>
        <v>672.576</v>
      </c>
      <c r="AX63" s="44" t="n">
        <f aca="false">AX14*Assumptions!$C$87*(1+Assumptions!$C$85)*Assumptions!$C$91</f>
        <v>759.36</v>
      </c>
      <c r="AY63" s="44" t="n">
        <f aca="false">AY14*Assumptions!$C$87*(1+Assumptions!$C$85)*Assumptions!$C$91</f>
        <v>721.392</v>
      </c>
      <c r="AZ63" s="44" t="n">
        <f aca="false">AZ14*Assumptions!$C$87*(1+Assumptions!$C$85)*Assumptions!$C$91</f>
        <v>678</v>
      </c>
      <c r="BA63" s="44" t="n">
        <f aca="false">BA14*Assumptions!$C$87*(1+Assumptions!$C$85)*Assumptions!$C$91</f>
        <v>764.784</v>
      </c>
      <c r="BB63" s="44" t="n">
        <f aca="false">BB14*Assumptions!$C$87*(1+Assumptions!$C$85)*Assumptions!$C$91</f>
        <v>726.816</v>
      </c>
      <c r="BC63" s="44" t="n">
        <f aca="false">BC14*Assumptions!$C$87*(1+Assumptions!$C$85)*Assumptions!$C$91</f>
        <v>678</v>
      </c>
      <c r="BD63" s="44" t="n">
        <f aca="false">BD14*Assumptions!$C$87*(1+Assumptions!$C$85)*Assumptions!$C$91</f>
        <v>764.784</v>
      </c>
      <c r="BE63" s="44" t="n">
        <f aca="false">BE14*Assumptions!$C$87*(1+Assumptions!$C$85)*Assumptions!$C$91</f>
        <v>726.816</v>
      </c>
      <c r="BF63" s="44" t="n">
        <f aca="false">BF14*Assumptions!$C$87*(1+Assumptions!$C$85)*Assumptions!$C$91</f>
        <v>678</v>
      </c>
      <c r="BG63" s="44" t="n">
        <f aca="false">BG14*Assumptions!$C$87*(1+Assumptions!$C$85)*Assumptions!$C$91</f>
        <v>764.784</v>
      </c>
      <c r="BH63" s="44" t="n">
        <f aca="false">BH14*Assumptions!$C$87*(1+Assumptions!$C$85)*Assumptions!$C$91</f>
        <v>726.816</v>
      </c>
      <c r="BI63" s="44" t="n">
        <f aca="false">BI14*Assumptions!$C$87*(1+Assumptions!$C$85)*Assumptions!$C$91</f>
        <v>678</v>
      </c>
      <c r="BJ63" s="44" t="n">
        <f aca="false">BJ14*Assumptions!$C$87*(1+Assumptions!$C$85)*Assumptions!$C$91</f>
        <v>764.784</v>
      </c>
      <c r="BK63" s="44" t="n">
        <f aca="false">BK14*Assumptions!$C$87*(1+Assumptions!$C$85)*Assumptions!$C$91</f>
        <v>726.816</v>
      </c>
    </row>
    <row r="64" customFormat="false" ht="15" hidden="false" customHeight="false" outlineLevel="0" collapsed="false">
      <c r="A64" s="28" t="s">
        <v>639</v>
      </c>
      <c r="B64" s="6" t="s">
        <v>640</v>
      </c>
      <c r="C64" s="43"/>
      <c r="D64" s="17" t="n">
        <f aca="false">D11*Assumptions!$C$88*Assumptions!$C$91</f>
        <v>0</v>
      </c>
      <c r="E64" s="17" t="n">
        <f aca="false">E11*Assumptions!$C$88*Assumptions!$C$91</f>
        <v>0</v>
      </c>
      <c r="F64" s="17" t="n">
        <f aca="false">F11*Assumptions!$C$88*Assumptions!$C$91</f>
        <v>0</v>
      </c>
      <c r="G64" s="17" t="n">
        <f aca="false">G11*Assumptions!$C$88*Assumptions!$C$91</f>
        <v>0</v>
      </c>
      <c r="H64" s="17" t="n">
        <f aca="false">H11*Assumptions!$C$88*Assumptions!$C$91</f>
        <v>120</v>
      </c>
      <c r="I64" s="17" t="n">
        <f aca="false">I11*Assumptions!$C$88*Assumptions!$C$91</f>
        <v>105.6</v>
      </c>
      <c r="J64" s="17" t="n">
        <f aca="false">J11*Assumptions!$C$88*Assumptions!$C$91</f>
        <v>72</v>
      </c>
      <c r="K64" s="17" t="n">
        <f aca="false">K11*Assumptions!$C$88*Assumptions!$C$91</f>
        <v>168</v>
      </c>
      <c r="L64" s="17" t="n">
        <f aca="false">L11*Assumptions!$C$88*Assumptions!$C$91</f>
        <v>134.4</v>
      </c>
      <c r="M64" s="17" t="n">
        <f aca="false">M11*Assumptions!$C$88*Assumptions!$C$91</f>
        <v>96</v>
      </c>
      <c r="N64" s="17" t="n">
        <f aca="false">N11*Assumptions!$C$88*Assumptions!$C$91</f>
        <v>172.8</v>
      </c>
      <c r="O64" s="17" t="n">
        <f aca="false">O11*Assumptions!$C$88*Assumptions!$C$91</f>
        <v>259.2</v>
      </c>
      <c r="P64" s="17" t="n">
        <f aca="false">P11*Assumptions!$C$88*Assumptions!$C$91</f>
        <v>206.4</v>
      </c>
      <c r="Q64" s="17" t="n">
        <f aca="false">Q11*Assumptions!$C$88*Assumptions!$C$91</f>
        <v>249.6</v>
      </c>
      <c r="R64" s="17" t="n">
        <f aca="false">R11*Assumptions!$C$88*Assumptions!$C$91</f>
        <v>312</v>
      </c>
      <c r="S64" s="17" t="n">
        <f aca="false">S11*Assumptions!$C$88*Assumptions!$C$91</f>
        <v>240</v>
      </c>
      <c r="T64" s="17" t="n">
        <f aca="false">T11*Assumptions!$C$88*Assumptions!$C$91</f>
        <v>278.4</v>
      </c>
      <c r="U64" s="17" t="n">
        <f aca="false">U11*Assumptions!$C$88*Assumptions!$C$91</f>
        <v>321.6</v>
      </c>
      <c r="V64" s="17" t="n">
        <f aca="false">V11*Assumptions!$C$88*Assumptions!$C$91</f>
        <v>369.6</v>
      </c>
      <c r="W64" s="17" t="n">
        <f aca="false">W11*Assumptions!$C$88*Assumptions!$C$91</f>
        <v>393.6</v>
      </c>
      <c r="X64" s="17" t="n">
        <f aca="false">X11*Assumptions!$C$88*Assumptions!$C$91</f>
        <v>403.2</v>
      </c>
      <c r="Y64" s="17" t="n">
        <f aca="false">Y11*Assumptions!$C$88*Assumptions!$C$91</f>
        <v>427.2</v>
      </c>
      <c r="Z64" s="17" t="n">
        <f aca="false">Z11*Assumptions!$C$88*Assumptions!$C$91</f>
        <v>432</v>
      </c>
      <c r="AA64" s="17" t="n">
        <f aca="false">AA11*Assumptions!$C$88*Assumptions!$C$91</f>
        <v>436.8</v>
      </c>
      <c r="AB64" s="17" t="n">
        <f aca="false">AB11*Assumptions!$C$88*Assumptions!$C$91</f>
        <v>441.6</v>
      </c>
      <c r="AC64" s="17" t="n">
        <f aca="false">AC11*Assumptions!$C$88*Assumptions!$C$91</f>
        <v>446.4</v>
      </c>
      <c r="AD64" s="17" t="n">
        <f aca="false">AD11*Assumptions!$C$88*Assumptions!$C$91</f>
        <v>451.2</v>
      </c>
      <c r="AE64" s="17" t="n">
        <f aca="false">AE11*Assumptions!$C$88*Assumptions!$C$91</f>
        <v>451.2</v>
      </c>
      <c r="AF64" s="17" t="n">
        <f aca="false">AF11*Assumptions!$C$88*Assumptions!$C$91</f>
        <v>576</v>
      </c>
      <c r="AG64" s="17" t="n">
        <f aca="false">AG11*Assumptions!$C$88*Assumptions!$C$91</f>
        <v>566.4</v>
      </c>
      <c r="AH64" s="17" t="n">
        <f aca="false">AH11*Assumptions!$C$88*Assumptions!$C$91</f>
        <v>532.8</v>
      </c>
      <c r="AI64" s="17" t="n">
        <f aca="false">AI11*Assumptions!$C$88*Assumptions!$C$91</f>
        <v>633.6</v>
      </c>
      <c r="AJ64" s="17" t="n">
        <f aca="false">AJ11*Assumptions!$C$88*Assumptions!$C$91</f>
        <v>604.8</v>
      </c>
      <c r="AK64" s="17" t="n">
        <f aca="false">AK11*Assumptions!$C$88*Assumptions!$C$91</f>
        <v>566.4</v>
      </c>
      <c r="AL64" s="17" t="n">
        <f aca="false">AL11*Assumptions!$C$88*Assumptions!$C$91</f>
        <v>643.2</v>
      </c>
      <c r="AM64" s="17" t="n">
        <f aca="false">AM11*Assumptions!$C$88*Assumptions!$C$91</f>
        <v>614.4</v>
      </c>
      <c r="AN64" s="44" t="n">
        <f aca="false">AN11*Assumptions!$C$88*Assumptions!$C$91</f>
        <v>576</v>
      </c>
      <c r="AO64" s="44" t="n">
        <f aca="false">AO11*Assumptions!$C$88*Assumptions!$C$91</f>
        <v>652.8</v>
      </c>
      <c r="AP64" s="44" t="n">
        <f aca="false">AP11*Assumptions!$C$88*Assumptions!$C$91</f>
        <v>624</v>
      </c>
      <c r="AQ64" s="44" t="n">
        <f aca="false">AQ11*Assumptions!$C$88*Assumptions!$C$91</f>
        <v>585.6</v>
      </c>
      <c r="AR64" s="44" t="n">
        <f aca="false">AR11*Assumptions!$C$88*Assumptions!$C$91</f>
        <v>662.4</v>
      </c>
      <c r="AS64" s="44" t="n">
        <f aca="false">AS11*Assumptions!$C$88*Assumptions!$C$91</f>
        <v>628.8</v>
      </c>
      <c r="AT64" s="44" t="n">
        <f aca="false">AT11*Assumptions!$C$88*Assumptions!$C$91</f>
        <v>590.4</v>
      </c>
      <c r="AU64" s="44" t="n">
        <f aca="false">AU11*Assumptions!$C$88*Assumptions!$C$91</f>
        <v>667.2</v>
      </c>
      <c r="AV64" s="44" t="n">
        <f aca="false">AV11*Assumptions!$C$88*Assumptions!$C$91</f>
        <v>633.6</v>
      </c>
      <c r="AW64" s="44" t="n">
        <f aca="false">AW11*Assumptions!$C$88*Assumptions!$C$91</f>
        <v>595.2</v>
      </c>
      <c r="AX64" s="44" t="n">
        <f aca="false">AX11*Assumptions!$C$88*Assumptions!$C$91</f>
        <v>672</v>
      </c>
      <c r="AY64" s="44" t="n">
        <f aca="false">AY11*Assumptions!$C$88*Assumptions!$C$91</f>
        <v>638.4</v>
      </c>
      <c r="AZ64" s="44" t="n">
        <f aca="false">AZ11*Assumptions!$C$88*Assumptions!$C$91</f>
        <v>600</v>
      </c>
      <c r="BA64" s="44" t="n">
        <f aca="false">BA11*Assumptions!$C$88*Assumptions!$C$91</f>
        <v>676.8</v>
      </c>
      <c r="BB64" s="44" t="n">
        <f aca="false">BB11*Assumptions!$C$88*Assumptions!$C$91</f>
        <v>643.2</v>
      </c>
      <c r="BC64" s="44" t="n">
        <f aca="false">BC11*Assumptions!$C$88*Assumptions!$C$91</f>
        <v>600</v>
      </c>
      <c r="BD64" s="44" t="n">
        <f aca="false">BD11*Assumptions!$C$88*Assumptions!$C$91</f>
        <v>676.8</v>
      </c>
      <c r="BE64" s="44" t="n">
        <f aca="false">BE11*Assumptions!$C$88*Assumptions!$C$91</f>
        <v>643.2</v>
      </c>
      <c r="BF64" s="44" t="n">
        <f aca="false">BF11*Assumptions!$C$88*Assumptions!$C$91</f>
        <v>600</v>
      </c>
      <c r="BG64" s="44" t="n">
        <f aca="false">BG11*Assumptions!$C$88*Assumptions!$C$91</f>
        <v>676.8</v>
      </c>
      <c r="BH64" s="44" t="n">
        <f aca="false">BH11*Assumptions!$C$88*Assumptions!$C$91</f>
        <v>643.2</v>
      </c>
      <c r="BI64" s="44" t="n">
        <f aca="false">BI11*Assumptions!$C$88*Assumptions!$C$91</f>
        <v>600</v>
      </c>
      <c r="BJ64" s="44" t="n">
        <f aca="false">BJ11*Assumptions!$C$88*Assumptions!$C$91</f>
        <v>676.8</v>
      </c>
      <c r="BK64" s="44" t="n">
        <f aca="false">BK11*Assumptions!$C$88*Assumptions!$C$91</f>
        <v>643.2</v>
      </c>
    </row>
    <row r="65" customFormat="false" ht="15" hidden="false" customHeight="false" outlineLevel="0" collapsed="false">
      <c r="A65" s="28" t="s">
        <v>641</v>
      </c>
      <c r="B65" s="6" t="s">
        <v>642</v>
      </c>
      <c r="C65" s="43"/>
      <c r="D65" s="17" t="n">
        <f aca="false">D8*Assumptions!$C$89*Assumptions!$C$91</f>
        <v>0</v>
      </c>
      <c r="E65" s="17" t="n">
        <f aca="false">E8*Assumptions!$C$89*Assumptions!$C$91</f>
        <v>0</v>
      </c>
      <c r="F65" s="17" t="n">
        <f aca="false">F8*Assumptions!$C$89*Assumptions!$C$91</f>
        <v>0</v>
      </c>
      <c r="G65" s="17" t="n">
        <f aca="false">G8*Assumptions!$C$89*Assumptions!$C$91</f>
        <v>0</v>
      </c>
      <c r="H65" s="17" t="n">
        <f aca="false">H8*Assumptions!$C$89*Assumptions!$C$91</f>
        <v>750</v>
      </c>
      <c r="I65" s="17" t="n">
        <f aca="false">I8*Assumptions!$C$89*Assumptions!$C$91</f>
        <v>0</v>
      </c>
      <c r="J65" s="17" t="n">
        <f aca="false">J8*Assumptions!$C$89*Assumptions!$C$91</f>
        <v>0</v>
      </c>
      <c r="K65" s="17" t="n">
        <f aca="false">K8*Assumptions!$C$89*Assumptions!$C$91</f>
        <v>750</v>
      </c>
      <c r="L65" s="17" t="n">
        <f aca="false">L8*Assumptions!$C$89*Assumptions!$C$91</f>
        <v>0</v>
      </c>
      <c r="M65" s="17" t="n">
        <f aca="false">M8*Assumptions!$C$89*Assumptions!$C$91</f>
        <v>0</v>
      </c>
      <c r="N65" s="17" t="n">
        <f aca="false">N8*Assumptions!$C$89*Assumptions!$C$91</f>
        <v>750</v>
      </c>
      <c r="O65" s="17" t="n">
        <f aca="false">O8*Assumptions!$C$89*Assumptions!$C$91</f>
        <v>750</v>
      </c>
      <c r="P65" s="17" t="n">
        <f aca="false">P8*Assumptions!$C$89*Assumptions!$C$91</f>
        <v>0</v>
      </c>
      <c r="Q65" s="17" t="n">
        <f aca="false">Q8*Assumptions!$C$89*Assumptions!$C$91</f>
        <v>750</v>
      </c>
      <c r="R65" s="17" t="n">
        <f aca="false">R8*Assumptions!$C$89*Assumptions!$C$91</f>
        <v>750</v>
      </c>
      <c r="S65" s="17" t="n">
        <f aca="false">S8*Assumptions!$C$89*Assumptions!$C$91</f>
        <v>0</v>
      </c>
      <c r="T65" s="17" t="n">
        <f aca="false">T8*Assumptions!$C$89*Assumptions!$C$91</f>
        <v>750</v>
      </c>
      <c r="U65" s="17" t="n">
        <f aca="false">U8*Assumptions!$C$89*Assumptions!$C$91</f>
        <v>750</v>
      </c>
      <c r="V65" s="17" t="n">
        <f aca="false">V8*Assumptions!$C$89*Assumptions!$C$91</f>
        <v>750</v>
      </c>
      <c r="W65" s="17" t="n">
        <f aca="false">W8*Assumptions!$C$89*Assumptions!$C$91</f>
        <v>750</v>
      </c>
      <c r="X65" s="17" t="n">
        <f aca="false">X8*Assumptions!$C$89*Assumptions!$C$91</f>
        <v>750</v>
      </c>
      <c r="Y65" s="17" t="n">
        <f aca="false">Y8*Assumptions!$C$89*Assumptions!$C$91</f>
        <v>750</v>
      </c>
      <c r="Z65" s="17" t="n">
        <f aca="false">Z8*Assumptions!$C$89*Assumptions!$C$91</f>
        <v>750</v>
      </c>
      <c r="AA65" s="17" t="n">
        <f aca="false">AA8*Assumptions!$C$89*Assumptions!$C$91</f>
        <v>750</v>
      </c>
      <c r="AB65" s="17" t="n">
        <f aca="false">AB8*Assumptions!$C$89*Assumptions!$C$91</f>
        <v>750</v>
      </c>
      <c r="AC65" s="17" t="n">
        <f aca="false">AC8*Assumptions!$C$89*Assumptions!$C$91</f>
        <v>750</v>
      </c>
      <c r="AD65" s="17" t="n">
        <f aca="false">AD8*Assumptions!$C$89*Assumptions!$C$91</f>
        <v>750</v>
      </c>
      <c r="AE65" s="17" t="n">
        <f aca="false">AE8*Assumptions!$C$89*Assumptions!$C$91</f>
        <v>750</v>
      </c>
      <c r="AF65" s="17" t="n">
        <f aca="false">AF8*Assumptions!$C$89*Assumptions!$C$91</f>
        <v>1500</v>
      </c>
      <c r="AG65" s="17" t="n">
        <f aca="false">AG8*Assumptions!$C$89*Assumptions!$C$91</f>
        <v>750</v>
      </c>
      <c r="AH65" s="17" t="n">
        <f aca="false">AH8*Assumptions!$C$89*Assumptions!$C$91</f>
        <v>750</v>
      </c>
      <c r="AI65" s="17" t="n">
        <f aca="false">AI8*Assumptions!$C$89*Assumptions!$C$91</f>
        <v>1500</v>
      </c>
      <c r="AJ65" s="17" t="n">
        <f aca="false">AJ8*Assumptions!$C$89*Assumptions!$C$91</f>
        <v>750</v>
      </c>
      <c r="AK65" s="17" t="n">
        <f aca="false">AK8*Assumptions!$C$89*Assumptions!$C$91</f>
        <v>750</v>
      </c>
      <c r="AL65" s="17" t="n">
        <f aca="false">AL8*Assumptions!$C$89*Assumptions!$C$91</f>
        <v>1500</v>
      </c>
      <c r="AM65" s="17" t="n">
        <f aca="false">AM8*Assumptions!$C$89*Assumptions!$C$91</f>
        <v>750</v>
      </c>
      <c r="AN65" s="44" t="n">
        <f aca="false">AN8*Assumptions!$C$89*Assumptions!$C$91</f>
        <v>750</v>
      </c>
      <c r="AO65" s="44" t="n">
        <f aca="false">AO8*Assumptions!$C$89*Assumptions!$C$91</f>
        <v>1500</v>
      </c>
      <c r="AP65" s="44" t="n">
        <f aca="false">AP8*Assumptions!$C$89*Assumptions!$C$91</f>
        <v>750</v>
      </c>
      <c r="AQ65" s="44" t="n">
        <f aca="false">AQ8*Assumptions!$C$89*Assumptions!$C$91</f>
        <v>750</v>
      </c>
      <c r="AR65" s="44" t="n">
        <f aca="false">AR8*Assumptions!$C$89*Assumptions!$C$91</f>
        <v>1500</v>
      </c>
      <c r="AS65" s="44" t="n">
        <f aca="false">AS8*Assumptions!$C$89*Assumptions!$C$91</f>
        <v>750</v>
      </c>
      <c r="AT65" s="44" t="n">
        <f aca="false">AT8*Assumptions!$C$89*Assumptions!$C$91</f>
        <v>750</v>
      </c>
      <c r="AU65" s="44" t="n">
        <f aca="false">AU8*Assumptions!$C$89*Assumptions!$C$91</f>
        <v>1500</v>
      </c>
      <c r="AV65" s="44" t="n">
        <f aca="false">AV8*Assumptions!$C$89*Assumptions!$C$91</f>
        <v>750</v>
      </c>
      <c r="AW65" s="44" t="n">
        <f aca="false">AW8*Assumptions!$C$89*Assumptions!$C$91</f>
        <v>750</v>
      </c>
      <c r="AX65" s="44" t="n">
        <f aca="false">AX8*Assumptions!$C$89*Assumptions!$C$91</f>
        <v>1500</v>
      </c>
      <c r="AY65" s="44" t="n">
        <f aca="false">AY8*Assumptions!$C$89*Assumptions!$C$91</f>
        <v>750</v>
      </c>
      <c r="AZ65" s="44" t="n">
        <f aca="false">AZ8*Assumptions!$C$89*Assumptions!$C$91</f>
        <v>750</v>
      </c>
      <c r="BA65" s="44" t="n">
        <f aca="false">BA8*Assumptions!$C$89*Assumptions!$C$91</f>
        <v>1500</v>
      </c>
      <c r="BB65" s="44" t="n">
        <f aca="false">BB8*Assumptions!$C$89*Assumptions!$C$91</f>
        <v>750</v>
      </c>
      <c r="BC65" s="44" t="n">
        <f aca="false">BC8*Assumptions!$C$89*Assumptions!$C$91</f>
        <v>750</v>
      </c>
      <c r="BD65" s="44" t="n">
        <f aca="false">BD8*Assumptions!$C$89*Assumptions!$C$91</f>
        <v>1500</v>
      </c>
      <c r="BE65" s="44" t="n">
        <f aca="false">BE8*Assumptions!$C$89*Assumptions!$C$91</f>
        <v>750</v>
      </c>
      <c r="BF65" s="44" t="n">
        <f aca="false">BF8*Assumptions!$C$89*Assumptions!$C$91</f>
        <v>750</v>
      </c>
      <c r="BG65" s="44" t="n">
        <f aca="false">BG8*Assumptions!$C$89*Assumptions!$C$91</f>
        <v>1500</v>
      </c>
      <c r="BH65" s="44" t="n">
        <f aca="false">BH8*Assumptions!$C$89*Assumptions!$C$91</f>
        <v>750</v>
      </c>
      <c r="BI65" s="44" t="n">
        <f aca="false">BI8*Assumptions!$C$89*Assumptions!$C$91</f>
        <v>750</v>
      </c>
      <c r="BJ65" s="44" t="n">
        <f aca="false">BJ8*Assumptions!$C$89*Assumptions!$C$91</f>
        <v>1500</v>
      </c>
      <c r="BK65" s="44" t="n">
        <f aca="false">BK8*Assumptions!$C$89*Assumptions!$C$91</f>
        <v>750</v>
      </c>
    </row>
    <row r="66" customFormat="false" ht="15" hidden="false" customHeight="false" outlineLevel="0" collapsed="false">
      <c r="A66" s="28" t="s">
        <v>643</v>
      </c>
      <c r="B66" s="6" t="s">
        <v>644</v>
      </c>
      <c r="C66" s="43"/>
      <c r="D66" s="17" t="n">
        <f aca="false">D35*Assumptions!$C$90*Assumptions!$C$91</f>
        <v>0</v>
      </c>
      <c r="E66" s="17" t="n">
        <f aca="false">E35*Assumptions!$C$90*Assumptions!$C$91</f>
        <v>0</v>
      </c>
      <c r="F66" s="17" t="n">
        <f aca="false">F35*Assumptions!$C$90*Assumptions!$C$91</f>
        <v>0</v>
      </c>
      <c r="G66" s="17" t="n">
        <f aca="false">G35*Assumptions!$C$90*Assumptions!$C$91</f>
        <v>0</v>
      </c>
      <c r="H66" s="17" t="n">
        <f aca="false">H35*Assumptions!$C$90*Assumptions!$C$91</f>
        <v>0</v>
      </c>
      <c r="I66" s="17" t="n">
        <f aca="false">I35*Assumptions!$C$90*Assumptions!$C$91</f>
        <v>0</v>
      </c>
      <c r="J66" s="17" t="n">
        <f aca="false">J35*Assumptions!$C$90*Assumptions!$C$91</f>
        <v>0</v>
      </c>
      <c r="K66" s="17" t="n">
        <f aca="false">K35*Assumptions!$C$90*Assumptions!$C$91</f>
        <v>0</v>
      </c>
      <c r="L66" s="17" t="n">
        <f aca="false">L35*Assumptions!$C$90*Assumptions!$C$91</f>
        <v>0</v>
      </c>
      <c r="M66" s="17" t="n">
        <f aca="false">M35*Assumptions!$C$90*Assumptions!$C$91</f>
        <v>0</v>
      </c>
      <c r="N66" s="17" t="n">
        <f aca="false">N35*Assumptions!$C$90*Assumptions!$C$91</f>
        <v>0</v>
      </c>
      <c r="O66" s="17" t="n">
        <f aca="false">O35*Assumptions!$C$90*Assumptions!$C$91</f>
        <v>0</v>
      </c>
      <c r="P66" s="17" t="n">
        <f aca="false">P35*Assumptions!$C$90*Assumptions!$C$91</f>
        <v>0</v>
      </c>
      <c r="Q66" s="17" t="n">
        <f aca="false">Q35*Assumptions!$C$90*Assumptions!$C$91</f>
        <v>0</v>
      </c>
      <c r="R66" s="17" t="n">
        <f aca="false">R35*Assumptions!$C$90*Assumptions!$C$91</f>
        <v>0</v>
      </c>
      <c r="S66" s="17" t="n">
        <f aca="false">S35*Assumptions!$C$90*Assumptions!$C$91</f>
        <v>0</v>
      </c>
      <c r="T66" s="17" t="n">
        <f aca="false">T35*Assumptions!$C$90*Assumptions!$C$91</f>
        <v>0</v>
      </c>
      <c r="U66" s="17" t="n">
        <f aca="false">U35*Assumptions!$C$90*Assumptions!$C$91</f>
        <v>0</v>
      </c>
      <c r="V66" s="17" t="n">
        <f aca="false">V35*Assumptions!$C$90*Assumptions!$C$91</f>
        <v>0</v>
      </c>
      <c r="W66" s="17" t="n">
        <f aca="false">W35*Assumptions!$C$90*Assumptions!$C$91</f>
        <v>0</v>
      </c>
      <c r="X66" s="17" t="n">
        <f aca="false">X35*Assumptions!$C$90*Assumptions!$C$91</f>
        <v>0</v>
      </c>
      <c r="Y66" s="17" t="n">
        <f aca="false">Y35*Assumptions!$C$90*Assumptions!$C$91</f>
        <v>153.174635958556</v>
      </c>
      <c r="Z66" s="17" t="n">
        <f aca="false">Z35*Assumptions!$C$90*Assumptions!$C$91</f>
        <v>163.540292141361</v>
      </c>
      <c r="AA66" s="17" t="n">
        <f aca="false">AA35*Assumptions!$C$90*Assumptions!$C$91</f>
        <v>173.748553776379</v>
      </c>
      <c r="AB66" s="17" t="n">
        <f aca="false">AB35*Assumptions!$C$90*Assumptions!$C$91</f>
        <v>183.808136795748</v>
      </c>
      <c r="AC66" s="17" t="n">
        <f aca="false">AC35*Assumptions!$C$90*Assumptions!$C$91</f>
        <v>193.727228204265</v>
      </c>
      <c r="AD66" s="17" t="n">
        <f aca="false">AD35*Assumptions!$C$90*Assumptions!$C$91</f>
        <v>203.513519911468</v>
      </c>
      <c r="AE66" s="17" t="n">
        <f aca="false">AE35*Assumptions!$C$90*Assumptions!$C$91</f>
        <v>212.988117171546</v>
      </c>
      <c r="AF66" s="17" t="n">
        <f aca="false">AF35*Assumptions!$C$90*Assumptions!$C$91</f>
        <v>227.00477527091</v>
      </c>
      <c r="AG66" s="17" t="n">
        <f aca="false">AG35*Assumptions!$C$90*Assumptions!$C$91</f>
        <v>240.164028833453</v>
      </c>
      <c r="AH66" s="17" t="n">
        <f aca="false">AH35*Assumptions!$C$90*Assumptions!$C$91</f>
        <v>251.57491988179</v>
      </c>
      <c r="AI66" s="17" t="n">
        <f aca="false">AI35*Assumptions!$C$90*Assumptions!$C$91</f>
        <v>266.525046398963</v>
      </c>
      <c r="AJ66" s="17" t="n">
        <f aca="false">AJ35*Assumptions!$C$90*Assumptions!$C$91</f>
        <v>279.843671013109</v>
      </c>
      <c r="AK66" s="17" t="n">
        <f aca="false">AK35*Assumptions!$C$90*Assumptions!$C$91</f>
        <v>291.23065979373</v>
      </c>
      <c r="AL66" s="17" t="n">
        <f aca="false">AL35*Assumptions!$C$90*Assumptions!$C$91</f>
        <v>305.236486836765</v>
      </c>
      <c r="AM66" s="17" t="n">
        <f aca="false">AM35*Assumptions!$C$90*Assumptions!$C$91</f>
        <v>317.659033409715</v>
      </c>
      <c r="AN66" s="44" t="n">
        <f aca="false">AN35*Assumptions!$C$90*Assumptions!$C$91</f>
        <v>328.195272632172</v>
      </c>
      <c r="AO66" s="44" t="n">
        <f aca="false">AO35*Assumptions!$C$90*Assumptions!$C$91</f>
        <v>341.392972050973</v>
      </c>
      <c r="AP66" s="44" t="n">
        <f aca="false">AP35*Assumptions!$C$90*Assumptions!$C$91</f>
        <v>353.047480318361</v>
      </c>
      <c r="AQ66" s="44" t="n">
        <f aca="false">AQ35*Assumptions!$C$90*Assumptions!$C$91</f>
        <v>362.853400258827</v>
      </c>
      <c r="AR66" s="44" t="n">
        <f aca="false">AR35*Assumptions!$C$90*Assumptions!$C$91</f>
        <v>375.35628062444</v>
      </c>
      <c r="AS66" s="44" t="n">
        <f aca="false">AS35*Assumptions!$C$90*Assumptions!$C$91</f>
        <v>386.163269541102</v>
      </c>
      <c r="AT66" s="44" t="n">
        <f aca="false">AT35*Assumptions!$C$90*Assumptions!$C$91</f>
        <v>395.160906594649</v>
      </c>
      <c r="AU66" s="44" t="n">
        <f aca="false">AU35*Assumptions!$C$90*Assumptions!$C$91</f>
        <v>406.892487354642</v>
      </c>
      <c r="AV66" s="44" t="n">
        <f aca="false">AV35*Assumptions!$C$90*Assumptions!$C$91</f>
        <v>416.963049005413</v>
      </c>
      <c r="AW66" s="44" t="n">
        <f aca="false">AW35*Assumptions!$C$90*Assumptions!$C$91</f>
        <v>425.257153028455</v>
      </c>
      <c r="AX66" s="44" t="n">
        <f aca="false">AX35*Assumptions!$C$90*Assumptions!$C$91</f>
        <v>436.316240961273</v>
      </c>
      <c r="AY66" s="44" t="n">
        <f aca="false">AY35*Assumptions!$C$90*Assumptions!$C$91</f>
        <v>445.743611858114</v>
      </c>
      <c r="AZ66" s="44" t="n">
        <f aca="false">AZ35*Assumptions!$C$90*Assumptions!$C$91</f>
        <v>453.422197355569</v>
      </c>
      <c r="BA66" s="44" t="n">
        <f aca="false">BA35*Assumptions!$C$90*Assumptions!$C$91</f>
        <v>463.891910329994</v>
      </c>
      <c r="BB66" s="44" t="n">
        <f aca="false">BB35*Assumptions!$C$90*Assumptions!$C$91</f>
        <v>472.754615736604</v>
      </c>
      <c r="BC66" s="44" t="n">
        <f aca="false">BC35*Assumptions!$C$90*Assumptions!$C$91</f>
        <v>479.705776349265</v>
      </c>
      <c r="BD66" s="44" t="n">
        <f aca="false">BD35*Assumptions!$C$90*Assumptions!$C$91</f>
        <v>489.477924071775</v>
      </c>
      <c r="BE66" s="44" t="n">
        <f aca="false">BE35*Assumptions!$C$90*Assumptions!$C$91</f>
        <v>497.671306927546</v>
      </c>
      <c r="BF66" s="44" t="n">
        <f aca="false">BF35*Assumptions!$C$90*Assumptions!$C$91</f>
        <v>503.979870131549</v>
      </c>
      <c r="BG66" s="44" t="n">
        <f aca="false">BG35*Assumptions!$C$90*Assumptions!$C$91</f>
        <v>513.134720926973</v>
      </c>
      <c r="BH66" s="44" t="n">
        <f aca="false">BH35*Assumptions!$C$90*Assumptions!$C$91</f>
        <v>520.734769536018</v>
      </c>
      <c r="BI66" s="44" t="n">
        <f aca="false">BI35*Assumptions!$C$90*Assumptions!$C$91</f>
        <v>526.472704598883</v>
      </c>
      <c r="BJ66" s="44" t="n">
        <f aca="false">BJ35*Assumptions!$C$90*Assumptions!$C$91</f>
        <v>535.078452755364</v>
      </c>
      <c r="BK66" s="44" t="n">
        <f aca="false">BK35*Assumptions!$C$90*Assumptions!$C$91</f>
        <v>542.149814692709</v>
      </c>
    </row>
    <row r="67" customFormat="false" ht="15" hidden="false" customHeight="false" outlineLevel="0" collapsed="false">
      <c r="A67" s="28" t="s">
        <v>645</v>
      </c>
      <c r="B67" s="5" t="s">
        <v>646</v>
      </c>
      <c r="C67" s="43"/>
      <c r="D67" s="45" t="n">
        <f aca="false">D62+D63+D64+D65+D66</f>
        <v>0</v>
      </c>
      <c r="E67" s="45" t="n">
        <f aca="false">E62+E63+E64+E65+E66</f>
        <v>0</v>
      </c>
      <c r="F67" s="45" t="n">
        <f aca="false">F62+F63+F64+F65+F66</f>
        <v>0</v>
      </c>
      <c r="G67" s="45" t="n">
        <f aca="false">G62+G63+G64+G65+G66</f>
        <v>0</v>
      </c>
      <c r="H67" s="45" t="n">
        <f aca="false">H62+H63+H64+H65+H66</f>
        <v>1411.27</v>
      </c>
      <c r="I67" s="45" t="n">
        <f aca="false">I62+I63+I64+I65+I66</f>
        <v>581.9176</v>
      </c>
      <c r="J67" s="45" t="n">
        <f aca="false">J62+J63+J64+J65+J66</f>
        <v>396.762</v>
      </c>
      <c r="K67" s="45" t="n">
        <f aca="false">K62+K63+K64+K65+K66</f>
        <v>1675.778</v>
      </c>
      <c r="L67" s="45" t="n">
        <f aca="false">L62+L63+L64+L65+L66</f>
        <v>740.6224</v>
      </c>
      <c r="M67" s="45" t="n">
        <f aca="false">M62+M63+M64+M65+M66</f>
        <v>529.016</v>
      </c>
      <c r="N67" s="45" t="n">
        <f aca="false">N62+N63+N64+N65+N66</f>
        <v>1702.2288</v>
      </c>
      <c r="O67" s="45" t="n">
        <f aca="false">O62+O63+O64+O65+O66</f>
        <v>2200.24938</v>
      </c>
      <c r="P67" s="45" t="n">
        <f aca="false">P62+P63+P64+P65+P66</f>
        <v>1154.82821</v>
      </c>
      <c r="Q67" s="45" t="n">
        <f aca="false">Q62+Q63+Q64+Q65+Q66</f>
        <v>2146.53644</v>
      </c>
      <c r="R67" s="45" t="n">
        <f aca="false">R62+R63+R64+R65+R66</f>
        <v>2495.67055</v>
      </c>
      <c r="S67" s="45" t="n">
        <f aca="false">S62+S63+S64+S65+S66</f>
        <v>1342.8235</v>
      </c>
      <c r="T67" s="45" t="n">
        <f aca="false">T62+T63+T64+T65+T66</f>
        <v>2307.67526</v>
      </c>
      <c r="U67" s="45" t="n">
        <f aca="false">U62+U63+U64+U65+U66</f>
        <v>2549.38349</v>
      </c>
      <c r="V67" s="45" t="n">
        <f aca="false">V62+V63+V64+V65+V66</f>
        <v>2817.94819</v>
      </c>
      <c r="W67" s="45" t="n">
        <f aca="false">W62+W63+W64+W65+W66</f>
        <v>2952.23054</v>
      </c>
      <c r="X67" s="45" t="n">
        <f aca="false">X62+X63+X64+X65+X66</f>
        <v>3005.94348</v>
      </c>
      <c r="Y67" s="45" t="n">
        <f aca="false">Y62+Y63+Y64+Y65+Y66</f>
        <v>3293.40046595856</v>
      </c>
      <c r="Z67" s="45" t="n">
        <f aca="false">Z62+Z63+Z64+Z65+Z66</f>
        <v>3330.62259214136</v>
      </c>
      <c r="AA67" s="45" t="n">
        <f aca="false">AA62+AA63+AA64+AA65+AA66</f>
        <v>3405.52619302638</v>
      </c>
      <c r="AB67" s="45" t="n">
        <f aca="false">AB62+AB63+AB64+AB65+AB66</f>
        <v>3442.85805779575</v>
      </c>
      <c r="AC67" s="45" t="n">
        <f aca="false">AC62+AC63+AC64+AC65+AC66</f>
        <v>3480.04943095427</v>
      </c>
      <c r="AD67" s="45" t="n">
        <f aca="false">AD62+AD63+AD64+AD65+AD66</f>
        <v>3517.10800441147</v>
      </c>
      <c r="AE67" s="45" t="n">
        <f aca="false">AE62+AE63+AE64+AE65+AE66</f>
        <v>3526.58260167155</v>
      </c>
      <c r="AF67" s="45" t="n">
        <f aca="false">AF62+AF63+AF64+AF65+AF66</f>
        <v>4999.67858527091</v>
      </c>
      <c r="AG67" s="45" t="n">
        <f aca="false">AG62+AG63+AG64+AG65+AG66</f>
        <v>4208.29327533345</v>
      </c>
      <c r="AH67" s="45" t="n">
        <f aca="false">AH62+AH63+AH64+AH65+AH66</f>
        <v>4028.79819413179</v>
      </c>
      <c r="AI67" s="45" t="n">
        <f aca="false">AI62+AI63+AI64+AI65+AI66</f>
        <v>5366.46623739896</v>
      </c>
      <c r="AJ67" s="45" t="n">
        <f aca="false">AJ62+AJ63+AJ64+AJ65+AJ66</f>
        <v>4466.15117151311</v>
      </c>
      <c r="AK67" s="45" t="n">
        <f aca="false">AK62+AK63+AK64+AK65+AK66</f>
        <v>4259.35990629373</v>
      </c>
      <c r="AL67" s="45" t="n">
        <f aca="false">AL62+AL63+AL64+AL65+AL66</f>
        <v>5459.72224133677</v>
      </c>
      <c r="AM67" s="45" t="n">
        <f aca="false">AM62+AM63+AM64+AM65+AM66</f>
        <v>4613.06559900971</v>
      </c>
      <c r="AN67" s="46" t="n">
        <f aca="false">AN62+AN63+AN64+AN65+AN66</f>
        <v>4402.01392788217</v>
      </c>
      <c r="AO67" s="46" t="n">
        <f aca="false">AO62+AO63+AO64+AO65+AO66</f>
        <v>5608.38744800097</v>
      </c>
      <c r="AP67" s="46" t="n">
        <f aca="false">AP62+AP63+AP64+AP65+AP66</f>
        <v>4703.85102350586</v>
      </c>
      <c r="AQ67" s="46" t="n">
        <f aca="false">AQ62+AQ63+AQ64+AQ65+AQ66</f>
        <v>4492.06903309633</v>
      </c>
      <c r="AR67" s="46" t="n">
        <f aca="false">AR62+AR63+AR64+AR65+AR66</f>
        <v>5697.74773416194</v>
      </c>
      <c r="AS67" s="46" t="n">
        <f aca="false">AS62+AS63+AS64+AS65+AS66</f>
        <v>4764.66530152235</v>
      </c>
      <c r="AT67" s="46" t="n">
        <f aca="false">AT62+AT63+AT64+AT65+AT66</f>
        <v>4552.0750282259</v>
      </c>
      <c r="AU67" s="46" t="n">
        <f aca="false">AU62+AU63+AU64+AU65+AU66</f>
        <v>5756.98242968589</v>
      </c>
      <c r="AV67" s="46" t="n">
        <f aca="false">AV62+AV63+AV64+AV65+AV66</f>
        <v>4823.16356978041</v>
      </c>
      <c r="AW67" s="46" t="n">
        <f aca="false">AW62+AW63+AW64+AW65+AW66</f>
        <v>4609.86976345346</v>
      </c>
      <c r="AX67" s="46" t="n">
        <f aca="false">AX62+AX63+AX64+AX65+AX66</f>
        <v>5814.10467208627</v>
      </c>
      <c r="AY67" s="46" t="n">
        <f aca="false">AY62+AY63+AY64+AY65+AY66</f>
        <v>4937.74529666608</v>
      </c>
      <c r="AZ67" s="46" t="n">
        <f aca="false">AZ62+AZ63+AZ64+AZ65+AZ66</f>
        <v>4720.34107405479</v>
      </c>
      <c r="BA67" s="46" t="n">
        <f aca="false">BA62+BA63+BA64+BA65+BA66</f>
        <v>5930.97640324671</v>
      </c>
      <c r="BB67" s="46" t="n">
        <f aca="false">BB62+BB63+BB64+BB65+BB66</f>
        <v>4992.89165155817</v>
      </c>
      <c r="BC67" s="46" t="n">
        <f aca="false">BC62+BC63+BC64+BC65+BC66</f>
        <v>4746.62465304848</v>
      </c>
      <c r="BD67" s="46" t="n">
        <f aca="false">BD62+BD63+BD64+BD65+BD66</f>
        <v>5956.56241698849</v>
      </c>
      <c r="BE67" s="46" t="n">
        <f aca="false">BE62+BE63+BE64+BE65+BE66</f>
        <v>5017.80834274911</v>
      </c>
      <c r="BF67" s="46" t="n">
        <f aca="false">BF62+BF63+BF64+BF65+BF66</f>
        <v>4770.89874683077</v>
      </c>
      <c r="BG67" s="46" t="n">
        <f aca="false">BG62+BG63+BG64+BG65+BG66</f>
        <v>5980.21921384369</v>
      </c>
      <c r="BH67" s="46" t="n">
        <f aca="false">BH62+BH63+BH64+BH65+BH66</f>
        <v>5040.87180535758</v>
      </c>
      <c r="BI67" s="46" t="n">
        <f aca="false">BI62+BI63+BI64+BI65+BI66</f>
        <v>4793.3915812981</v>
      </c>
      <c r="BJ67" s="46" t="n">
        <f aca="false">BJ62+BJ63+BJ64+BJ65+BJ66</f>
        <v>6002.16294567208</v>
      </c>
      <c r="BK67" s="46" t="n">
        <f aca="false">BK62+BK63+BK64+BK65+BK66</f>
        <v>5122.28987640981</v>
      </c>
    </row>
    <row r="68" customFormat="false" ht="15" hidden="false" customHeight="false" outlineLevel="0" collapsed="false">
      <c r="B68" s="5" t="s">
        <v>647</v>
      </c>
    </row>
    <row r="69" customFormat="false" ht="15" hidden="false" customHeight="false" outlineLevel="0" collapsed="false">
      <c r="A69" s="28" t="s">
        <v>648</v>
      </c>
      <c r="B69" s="6" t="s">
        <v>649</v>
      </c>
      <c r="C69" s="43"/>
      <c r="D69" s="17" t="n">
        <f aca="false">Assumptions!$C$108</f>
        <v>1465</v>
      </c>
      <c r="E69" s="17" t="n">
        <f aca="false">Assumptions!$C$108</f>
        <v>1465</v>
      </c>
      <c r="F69" s="17" t="n">
        <f aca="false">Assumptions!$C$108</f>
        <v>1465</v>
      </c>
      <c r="G69" s="17" t="n">
        <f aca="false">Assumptions!$C$108</f>
        <v>1465</v>
      </c>
      <c r="H69" s="17" t="n">
        <f aca="false">Assumptions!$C$108</f>
        <v>1465</v>
      </c>
      <c r="I69" s="17" t="n">
        <f aca="false">Assumptions!$C$108</f>
        <v>1465</v>
      </c>
      <c r="J69" s="17" t="n">
        <f aca="false">Assumptions!$C$108</f>
        <v>1465</v>
      </c>
      <c r="K69" s="17" t="n">
        <f aca="false">Assumptions!$C$108</f>
        <v>1465</v>
      </c>
      <c r="L69" s="17" t="n">
        <f aca="false">Assumptions!$C$108</f>
        <v>1465</v>
      </c>
      <c r="M69" s="17" t="n">
        <f aca="false">Assumptions!$C$108</f>
        <v>1465</v>
      </c>
      <c r="N69" s="17" t="n">
        <f aca="false">Assumptions!$C$108</f>
        <v>1465</v>
      </c>
      <c r="O69" s="17" t="n">
        <f aca="false">Assumptions!$C$108</f>
        <v>1465</v>
      </c>
      <c r="P69" s="17" t="n">
        <f aca="false">Assumptions!$C$108</f>
        <v>1465</v>
      </c>
      <c r="Q69" s="17" t="n">
        <f aca="false">Assumptions!$C$108</f>
        <v>1465</v>
      </c>
      <c r="R69" s="17" t="n">
        <f aca="false">Assumptions!$C$108</f>
        <v>1465</v>
      </c>
      <c r="S69" s="17" t="n">
        <f aca="false">Assumptions!$C$108</f>
        <v>1465</v>
      </c>
      <c r="T69" s="17" t="n">
        <f aca="false">Assumptions!$C$108</f>
        <v>1465</v>
      </c>
      <c r="U69" s="17" t="n">
        <f aca="false">Assumptions!$C$108</f>
        <v>1465</v>
      </c>
      <c r="V69" s="17" t="n">
        <f aca="false">Assumptions!$C$108</f>
        <v>1465</v>
      </c>
      <c r="W69" s="17" t="n">
        <f aca="false">Assumptions!$C$108</f>
        <v>1465</v>
      </c>
      <c r="X69" s="17" t="n">
        <f aca="false">Assumptions!$C$108</f>
        <v>1465</v>
      </c>
      <c r="Y69" s="17" t="n">
        <f aca="false">Assumptions!$C$108</f>
        <v>1465</v>
      </c>
      <c r="Z69" s="17" t="n">
        <f aca="false">Assumptions!$C$108</f>
        <v>1465</v>
      </c>
      <c r="AA69" s="17" t="n">
        <f aca="false">Assumptions!$C$108</f>
        <v>1465</v>
      </c>
      <c r="AB69" s="17" t="n">
        <f aca="false">Assumptions!$C$108</f>
        <v>1465</v>
      </c>
      <c r="AC69" s="17" t="n">
        <f aca="false">Assumptions!$C$108</f>
        <v>1465</v>
      </c>
      <c r="AD69" s="17" t="n">
        <f aca="false">Assumptions!$C$108</f>
        <v>1465</v>
      </c>
      <c r="AE69" s="17" t="n">
        <f aca="false">Assumptions!$C$108</f>
        <v>1465</v>
      </c>
      <c r="AF69" s="17" t="n">
        <f aca="false">Assumptions!$C$108</f>
        <v>1465</v>
      </c>
      <c r="AG69" s="17" t="n">
        <f aca="false">Assumptions!$C$108</f>
        <v>1465</v>
      </c>
      <c r="AH69" s="17" t="n">
        <f aca="false">Assumptions!$C$108</f>
        <v>1465</v>
      </c>
      <c r="AI69" s="17" t="n">
        <f aca="false">Assumptions!$C$108</f>
        <v>1465</v>
      </c>
      <c r="AJ69" s="17" t="n">
        <f aca="false">Assumptions!$C$108</f>
        <v>1465</v>
      </c>
      <c r="AK69" s="17" t="n">
        <f aca="false">Assumptions!$C$108</f>
        <v>1465</v>
      </c>
      <c r="AL69" s="17" t="n">
        <f aca="false">Assumptions!$C$108</f>
        <v>1465</v>
      </c>
      <c r="AM69" s="17" t="n">
        <f aca="false">Assumptions!$C$108</f>
        <v>1465</v>
      </c>
      <c r="AN69" s="44" t="n">
        <f aca="false">Assumptions!$C$108</f>
        <v>1465</v>
      </c>
      <c r="AO69" s="44" t="n">
        <f aca="false">Assumptions!$C$108</f>
        <v>1465</v>
      </c>
      <c r="AP69" s="44" t="n">
        <f aca="false">Assumptions!$C$108</f>
        <v>1465</v>
      </c>
      <c r="AQ69" s="44" t="n">
        <f aca="false">Assumptions!$C$108</f>
        <v>1465</v>
      </c>
      <c r="AR69" s="44" t="n">
        <f aca="false">Assumptions!$C$108</f>
        <v>1465</v>
      </c>
      <c r="AS69" s="44" t="n">
        <f aca="false">Assumptions!$C$108</f>
        <v>1465</v>
      </c>
      <c r="AT69" s="44" t="n">
        <f aca="false">Assumptions!$C$108</f>
        <v>1465</v>
      </c>
      <c r="AU69" s="44" t="n">
        <f aca="false">Assumptions!$C$108</f>
        <v>1465</v>
      </c>
      <c r="AV69" s="44" t="n">
        <f aca="false">Assumptions!$C$108</f>
        <v>1465</v>
      </c>
      <c r="AW69" s="44" t="n">
        <f aca="false">Assumptions!$C$108</f>
        <v>1465</v>
      </c>
      <c r="AX69" s="44" t="n">
        <f aca="false">Assumptions!$C$108</f>
        <v>1465</v>
      </c>
      <c r="AY69" s="44" t="n">
        <f aca="false">Assumptions!$C$108</f>
        <v>1465</v>
      </c>
      <c r="AZ69" s="44" t="n">
        <f aca="false">Assumptions!$C$108</f>
        <v>1465</v>
      </c>
      <c r="BA69" s="44" t="n">
        <f aca="false">Assumptions!$C$108</f>
        <v>1465</v>
      </c>
      <c r="BB69" s="44" t="n">
        <f aca="false">Assumptions!$C$108</f>
        <v>1465</v>
      </c>
      <c r="BC69" s="44" t="n">
        <f aca="false">Assumptions!$C$108</f>
        <v>1465</v>
      </c>
      <c r="BD69" s="44" t="n">
        <f aca="false">Assumptions!$C$108</f>
        <v>1465</v>
      </c>
      <c r="BE69" s="44" t="n">
        <f aca="false">Assumptions!$C$108</f>
        <v>1465</v>
      </c>
      <c r="BF69" s="44" t="n">
        <f aca="false">Assumptions!$C$108</f>
        <v>1465</v>
      </c>
      <c r="BG69" s="44" t="n">
        <f aca="false">Assumptions!$C$108</f>
        <v>1465</v>
      </c>
      <c r="BH69" s="44" t="n">
        <f aca="false">Assumptions!$C$108</f>
        <v>1465</v>
      </c>
      <c r="BI69" s="44" t="n">
        <f aca="false">Assumptions!$C$108</f>
        <v>1465</v>
      </c>
      <c r="BJ69" s="44" t="n">
        <f aca="false">Assumptions!$C$108</f>
        <v>1465</v>
      </c>
      <c r="BK69" s="44" t="n">
        <f aca="false">Assumptions!$C$108</f>
        <v>1465</v>
      </c>
    </row>
    <row r="70" customFormat="false" ht="15" hidden="false" customHeight="false" outlineLevel="0" collapsed="false">
      <c r="A70" s="28" t="s">
        <v>650</v>
      </c>
      <c r="B70" s="6" t="s">
        <v>651</v>
      </c>
      <c r="C70" s="43"/>
      <c r="D70" s="17" t="n">
        <f aca="false">IF(D7&lt;=12,Assumptions!$C$100,IF(D7&lt;=24,Assumptions!$C$101,Assumptions!$C$102))</f>
        <v>4000</v>
      </c>
      <c r="E70" s="17" t="n">
        <f aca="false">IF(E7&lt;=12,Assumptions!$C$100,IF(E7&lt;=24,Assumptions!$C$101,Assumptions!$C$102))</f>
        <v>4000</v>
      </c>
      <c r="F70" s="17" t="n">
        <f aca="false">IF(F7&lt;=12,Assumptions!$C$100,IF(F7&lt;=24,Assumptions!$C$101,Assumptions!$C$102))</f>
        <v>4000</v>
      </c>
      <c r="G70" s="17" t="n">
        <f aca="false">IF(G7&lt;=12,Assumptions!$C$100,IF(G7&lt;=24,Assumptions!$C$101,Assumptions!$C$102))</f>
        <v>4000</v>
      </c>
      <c r="H70" s="17" t="n">
        <f aca="false">IF(H7&lt;=12,Assumptions!$C$100,IF(H7&lt;=24,Assumptions!$C$101,Assumptions!$C$102))</f>
        <v>4000</v>
      </c>
      <c r="I70" s="17" t="n">
        <f aca="false">IF(I7&lt;=12,Assumptions!$C$100,IF(I7&lt;=24,Assumptions!$C$101,Assumptions!$C$102))</f>
        <v>4000</v>
      </c>
      <c r="J70" s="17" t="n">
        <f aca="false">IF(J7&lt;=12,Assumptions!$C$100,IF(J7&lt;=24,Assumptions!$C$101,Assumptions!$C$102))</f>
        <v>4000</v>
      </c>
      <c r="K70" s="17" t="n">
        <f aca="false">IF(K7&lt;=12,Assumptions!$C$100,IF(K7&lt;=24,Assumptions!$C$101,Assumptions!$C$102))</f>
        <v>4000</v>
      </c>
      <c r="L70" s="17" t="n">
        <f aca="false">IF(L7&lt;=12,Assumptions!$C$100,IF(L7&lt;=24,Assumptions!$C$101,Assumptions!$C$102))</f>
        <v>4000</v>
      </c>
      <c r="M70" s="17" t="n">
        <f aca="false">IF(M7&lt;=12,Assumptions!$C$100,IF(M7&lt;=24,Assumptions!$C$101,Assumptions!$C$102))</f>
        <v>4000</v>
      </c>
      <c r="N70" s="17" t="n">
        <f aca="false">IF(N7&lt;=12,Assumptions!$C$100,IF(N7&lt;=24,Assumptions!$C$101,Assumptions!$C$102))</f>
        <v>4000</v>
      </c>
      <c r="O70" s="17" t="n">
        <f aca="false">IF(O7&lt;=12,Assumptions!$C$100,IF(O7&lt;=24,Assumptions!$C$101,Assumptions!$C$102))</f>
        <v>4000</v>
      </c>
      <c r="P70" s="17" t="n">
        <f aca="false">IF(P7&lt;=12,Assumptions!$C$100,IF(P7&lt;=24,Assumptions!$C$101,Assumptions!$C$102))</f>
        <v>5000</v>
      </c>
      <c r="Q70" s="17" t="n">
        <f aca="false">IF(Q7&lt;=12,Assumptions!$C$100,IF(Q7&lt;=24,Assumptions!$C$101,Assumptions!$C$102))</f>
        <v>5000</v>
      </c>
      <c r="R70" s="17" t="n">
        <f aca="false">IF(R7&lt;=12,Assumptions!$C$100,IF(R7&lt;=24,Assumptions!$C$101,Assumptions!$C$102))</f>
        <v>5000</v>
      </c>
      <c r="S70" s="17" t="n">
        <f aca="false">IF(S7&lt;=12,Assumptions!$C$100,IF(S7&lt;=24,Assumptions!$C$101,Assumptions!$C$102))</f>
        <v>5000</v>
      </c>
      <c r="T70" s="17" t="n">
        <f aca="false">IF(T7&lt;=12,Assumptions!$C$100,IF(T7&lt;=24,Assumptions!$C$101,Assumptions!$C$102))</f>
        <v>5000</v>
      </c>
      <c r="U70" s="17" t="n">
        <f aca="false">IF(U7&lt;=12,Assumptions!$C$100,IF(U7&lt;=24,Assumptions!$C$101,Assumptions!$C$102))</f>
        <v>5000</v>
      </c>
      <c r="V70" s="17" t="n">
        <f aca="false">IF(V7&lt;=12,Assumptions!$C$100,IF(V7&lt;=24,Assumptions!$C$101,Assumptions!$C$102))</f>
        <v>5000</v>
      </c>
      <c r="W70" s="17" t="n">
        <f aca="false">IF(W7&lt;=12,Assumptions!$C$100,IF(W7&lt;=24,Assumptions!$C$101,Assumptions!$C$102))</f>
        <v>5000</v>
      </c>
      <c r="X70" s="17" t="n">
        <f aca="false">IF(X7&lt;=12,Assumptions!$C$100,IF(X7&lt;=24,Assumptions!$C$101,Assumptions!$C$102))</f>
        <v>5000</v>
      </c>
      <c r="Y70" s="17" t="n">
        <f aca="false">IF(Y7&lt;=12,Assumptions!$C$100,IF(Y7&lt;=24,Assumptions!$C$101,Assumptions!$C$102))</f>
        <v>5000</v>
      </c>
      <c r="Z70" s="17" t="n">
        <f aca="false">IF(Z7&lt;=12,Assumptions!$C$100,IF(Z7&lt;=24,Assumptions!$C$101,Assumptions!$C$102))</f>
        <v>5000</v>
      </c>
      <c r="AA70" s="17" t="n">
        <f aca="false">IF(AA7&lt;=12,Assumptions!$C$100,IF(AA7&lt;=24,Assumptions!$C$101,Assumptions!$C$102))</f>
        <v>5000</v>
      </c>
      <c r="AB70" s="17" t="n">
        <f aca="false">IF(AB7&lt;=12,Assumptions!$C$100,IF(AB7&lt;=24,Assumptions!$C$101,Assumptions!$C$102))</f>
        <v>6000</v>
      </c>
      <c r="AC70" s="17" t="n">
        <f aca="false">IF(AC7&lt;=12,Assumptions!$C$100,IF(AC7&lt;=24,Assumptions!$C$101,Assumptions!$C$102))</f>
        <v>6000</v>
      </c>
      <c r="AD70" s="17" t="n">
        <f aca="false">IF(AD7&lt;=12,Assumptions!$C$100,IF(AD7&lt;=24,Assumptions!$C$101,Assumptions!$C$102))</f>
        <v>6000</v>
      </c>
      <c r="AE70" s="17" t="n">
        <f aca="false">IF(AE7&lt;=12,Assumptions!$C$100,IF(AE7&lt;=24,Assumptions!$C$101,Assumptions!$C$102))</f>
        <v>6000</v>
      </c>
      <c r="AF70" s="17" t="n">
        <f aca="false">IF(AF7&lt;=12,Assumptions!$C$100,IF(AF7&lt;=24,Assumptions!$C$101,Assumptions!$C$102))</f>
        <v>6000</v>
      </c>
      <c r="AG70" s="17" t="n">
        <f aca="false">IF(AG7&lt;=12,Assumptions!$C$100,IF(AG7&lt;=24,Assumptions!$C$101,Assumptions!$C$102))</f>
        <v>6000</v>
      </c>
      <c r="AH70" s="17" t="n">
        <f aca="false">IF(AH7&lt;=12,Assumptions!$C$100,IF(AH7&lt;=24,Assumptions!$C$101,Assumptions!$C$102))</f>
        <v>6000</v>
      </c>
      <c r="AI70" s="17" t="n">
        <f aca="false">IF(AI7&lt;=12,Assumptions!$C$100,IF(AI7&lt;=24,Assumptions!$C$101,Assumptions!$C$102))</f>
        <v>6000</v>
      </c>
      <c r="AJ70" s="17" t="n">
        <f aca="false">IF(AJ7&lt;=12,Assumptions!$C$100,IF(AJ7&lt;=24,Assumptions!$C$101,Assumptions!$C$102))</f>
        <v>6000</v>
      </c>
      <c r="AK70" s="17" t="n">
        <f aca="false">IF(AK7&lt;=12,Assumptions!$C$100,IF(AK7&lt;=24,Assumptions!$C$101,Assumptions!$C$102))</f>
        <v>6000</v>
      </c>
      <c r="AL70" s="17" t="n">
        <f aca="false">IF(AL7&lt;=12,Assumptions!$C$100,IF(AL7&lt;=24,Assumptions!$C$101,Assumptions!$C$102))</f>
        <v>6000</v>
      </c>
      <c r="AM70" s="17" t="n">
        <f aca="false">IF(AM7&lt;=12,Assumptions!$C$100,IF(AM7&lt;=24,Assumptions!$C$101,Assumptions!$C$102))</f>
        <v>6000</v>
      </c>
      <c r="AN70" s="44" t="n">
        <f aca="false">IF(AN7&lt;=12,Assumptions!$C$100,IF(AN7&lt;=24,Assumptions!$C$101,Assumptions!$C$102))</f>
        <v>6000</v>
      </c>
      <c r="AO70" s="44" t="n">
        <f aca="false">IF(AO7&lt;=12,Assumptions!$C$100,IF(AO7&lt;=24,Assumptions!$C$101,Assumptions!$C$102))</f>
        <v>6000</v>
      </c>
      <c r="AP70" s="44" t="n">
        <f aca="false">IF(AP7&lt;=12,Assumptions!$C$100,IF(AP7&lt;=24,Assumptions!$C$101,Assumptions!$C$102))</f>
        <v>6000</v>
      </c>
      <c r="AQ70" s="44" t="n">
        <f aca="false">IF(AQ7&lt;=12,Assumptions!$C$100,IF(AQ7&lt;=24,Assumptions!$C$101,Assumptions!$C$102))</f>
        <v>6000</v>
      </c>
      <c r="AR70" s="44" t="n">
        <f aca="false">IF(AR7&lt;=12,Assumptions!$C$100,IF(AR7&lt;=24,Assumptions!$C$101,Assumptions!$C$102))</f>
        <v>6000</v>
      </c>
      <c r="AS70" s="44" t="n">
        <f aca="false">IF(AS7&lt;=12,Assumptions!$C$100,IF(AS7&lt;=24,Assumptions!$C$101,Assumptions!$C$102))</f>
        <v>6000</v>
      </c>
      <c r="AT70" s="44" t="n">
        <f aca="false">IF(AT7&lt;=12,Assumptions!$C$100,IF(AT7&lt;=24,Assumptions!$C$101,Assumptions!$C$102))</f>
        <v>6000</v>
      </c>
      <c r="AU70" s="44" t="n">
        <f aca="false">IF(AU7&lt;=12,Assumptions!$C$100,IF(AU7&lt;=24,Assumptions!$C$101,Assumptions!$C$102))</f>
        <v>6000</v>
      </c>
      <c r="AV70" s="44" t="n">
        <f aca="false">IF(AV7&lt;=12,Assumptions!$C$100,IF(AV7&lt;=24,Assumptions!$C$101,Assumptions!$C$102))</f>
        <v>6000</v>
      </c>
      <c r="AW70" s="44" t="n">
        <f aca="false">IF(AW7&lt;=12,Assumptions!$C$100,IF(AW7&lt;=24,Assumptions!$C$101,Assumptions!$C$102))</f>
        <v>6000</v>
      </c>
      <c r="AX70" s="44" t="n">
        <f aca="false">IF(AX7&lt;=12,Assumptions!$C$100,IF(AX7&lt;=24,Assumptions!$C$101,Assumptions!$C$102))</f>
        <v>6000</v>
      </c>
      <c r="AY70" s="44" t="n">
        <f aca="false">IF(AY7&lt;=12,Assumptions!$C$100,IF(AY7&lt;=24,Assumptions!$C$101,Assumptions!$C$102))</f>
        <v>6000</v>
      </c>
      <c r="AZ70" s="44" t="n">
        <f aca="false">IF(AZ7&lt;=12,Assumptions!$C$100,IF(AZ7&lt;=24,Assumptions!$C$101,Assumptions!$C$102))</f>
        <v>6000</v>
      </c>
      <c r="BA70" s="44" t="n">
        <f aca="false">IF(BA7&lt;=12,Assumptions!$C$100,IF(BA7&lt;=24,Assumptions!$C$101,Assumptions!$C$102))</f>
        <v>6000</v>
      </c>
      <c r="BB70" s="44" t="n">
        <f aca="false">IF(BB7&lt;=12,Assumptions!$C$100,IF(BB7&lt;=24,Assumptions!$C$101,Assumptions!$C$102))</f>
        <v>6000</v>
      </c>
      <c r="BC70" s="44" t="n">
        <f aca="false">IF(BC7&lt;=12,Assumptions!$C$100,IF(BC7&lt;=24,Assumptions!$C$101,Assumptions!$C$102))</f>
        <v>6000</v>
      </c>
      <c r="BD70" s="44" t="n">
        <f aca="false">IF(BD7&lt;=12,Assumptions!$C$100,IF(BD7&lt;=24,Assumptions!$C$101,Assumptions!$C$102))</f>
        <v>6000</v>
      </c>
      <c r="BE70" s="44" t="n">
        <f aca="false">IF(BE7&lt;=12,Assumptions!$C$100,IF(BE7&lt;=24,Assumptions!$C$101,Assumptions!$C$102))</f>
        <v>6000</v>
      </c>
      <c r="BF70" s="44" t="n">
        <f aca="false">IF(BF7&lt;=12,Assumptions!$C$100,IF(BF7&lt;=24,Assumptions!$C$101,Assumptions!$C$102))</f>
        <v>6000</v>
      </c>
      <c r="BG70" s="44" t="n">
        <f aca="false">IF(BG7&lt;=12,Assumptions!$C$100,IF(BG7&lt;=24,Assumptions!$C$101,Assumptions!$C$102))</f>
        <v>6000</v>
      </c>
      <c r="BH70" s="44" t="n">
        <f aca="false">IF(BH7&lt;=12,Assumptions!$C$100,IF(BH7&lt;=24,Assumptions!$C$101,Assumptions!$C$102))</f>
        <v>6000</v>
      </c>
      <c r="BI70" s="44" t="n">
        <f aca="false">IF(BI7&lt;=12,Assumptions!$C$100,IF(BI7&lt;=24,Assumptions!$C$101,Assumptions!$C$102))</f>
        <v>6000</v>
      </c>
      <c r="BJ70" s="44" t="n">
        <f aca="false">IF(BJ7&lt;=12,Assumptions!$C$100,IF(BJ7&lt;=24,Assumptions!$C$101,Assumptions!$C$102))</f>
        <v>6000</v>
      </c>
      <c r="BK70" s="44" t="n">
        <f aca="false">IF(BK7&lt;=12,Assumptions!$C$100,IF(BK7&lt;=24,Assumptions!$C$101,Assumptions!$C$102))</f>
        <v>6000</v>
      </c>
    </row>
    <row r="71" customFormat="false" ht="15" hidden="false" customHeight="false" outlineLevel="0" collapsed="false">
      <c r="A71" s="28" t="s">
        <v>652</v>
      </c>
      <c r="B71" s="6" t="s">
        <v>653</v>
      </c>
      <c r="C71" s="43"/>
      <c r="D71" s="17" t="n">
        <f aca="false">INT(D13/Assumptions!$C$103)*Assumptions!$C$104</f>
        <v>0</v>
      </c>
      <c r="E71" s="17" t="n">
        <f aca="false">INT(E13/Assumptions!$C$103)*Assumptions!$C$104</f>
        <v>0</v>
      </c>
      <c r="F71" s="17" t="n">
        <f aca="false">INT(F13/Assumptions!$C$103)*Assumptions!$C$104</f>
        <v>0</v>
      </c>
      <c r="G71" s="17" t="n">
        <f aca="false">INT(G13/Assumptions!$C$103)*Assumptions!$C$104</f>
        <v>0</v>
      </c>
      <c r="H71" s="17" t="n">
        <f aca="false">INT(H13/Assumptions!$C$103)*Assumptions!$C$104</f>
        <v>0</v>
      </c>
      <c r="I71" s="17" t="n">
        <f aca="false">INT(I13/Assumptions!$C$103)*Assumptions!$C$104</f>
        <v>0</v>
      </c>
      <c r="J71" s="17" t="n">
        <f aca="false">INT(J13/Assumptions!$C$103)*Assumptions!$C$104</f>
        <v>0</v>
      </c>
      <c r="K71" s="17" t="n">
        <f aca="false">INT(K13/Assumptions!$C$103)*Assumptions!$C$104</f>
        <v>0</v>
      </c>
      <c r="L71" s="17" t="n">
        <f aca="false">INT(L13/Assumptions!$C$103)*Assumptions!$C$104</f>
        <v>0</v>
      </c>
      <c r="M71" s="17" t="n">
        <f aca="false">INT(M13/Assumptions!$C$103)*Assumptions!$C$104</f>
        <v>0</v>
      </c>
      <c r="N71" s="17" t="n">
        <f aca="false">INT(N13/Assumptions!$C$103)*Assumptions!$C$104</f>
        <v>0</v>
      </c>
      <c r="O71" s="17" t="n">
        <f aca="false">INT(O13/Assumptions!$C$103)*Assumptions!$C$104</f>
        <v>0</v>
      </c>
      <c r="P71" s="17" t="n">
        <f aca="false">INT(P13/Assumptions!$C$103)*Assumptions!$C$104</f>
        <v>0</v>
      </c>
      <c r="Q71" s="17" t="n">
        <f aca="false">INT(Q13/Assumptions!$C$103)*Assumptions!$C$104</f>
        <v>0</v>
      </c>
      <c r="R71" s="17" t="n">
        <f aca="false">INT(R13/Assumptions!$C$103)*Assumptions!$C$104</f>
        <v>0</v>
      </c>
      <c r="S71" s="17" t="n">
        <f aca="false">INT(S13/Assumptions!$C$103)*Assumptions!$C$104</f>
        <v>0</v>
      </c>
      <c r="T71" s="17" t="n">
        <f aca="false">INT(T13/Assumptions!$C$103)*Assumptions!$C$104</f>
        <v>0</v>
      </c>
      <c r="U71" s="17" t="n">
        <f aca="false">INT(U13/Assumptions!$C$103)*Assumptions!$C$104</f>
        <v>0</v>
      </c>
      <c r="V71" s="17" t="n">
        <f aca="false">INT(V13/Assumptions!$C$103)*Assumptions!$C$104</f>
        <v>0</v>
      </c>
      <c r="W71" s="17" t="n">
        <f aca="false">INT(W13/Assumptions!$C$103)*Assumptions!$C$104</f>
        <v>0</v>
      </c>
      <c r="X71" s="17" t="n">
        <f aca="false">INT(X13/Assumptions!$C$103)*Assumptions!$C$104</f>
        <v>0</v>
      </c>
      <c r="Y71" s="17" t="n">
        <f aca="false">INT(Y13/Assumptions!$C$103)*Assumptions!$C$104</f>
        <v>0</v>
      </c>
      <c r="Z71" s="17" t="n">
        <f aca="false">INT(Z13/Assumptions!$C$103)*Assumptions!$C$104</f>
        <v>0</v>
      </c>
      <c r="AA71" s="17" t="n">
        <f aca="false">INT(AA13/Assumptions!$C$103)*Assumptions!$C$104</f>
        <v>0</v>
      </c>
      <c r="AB71" s="17" t="n">
        <f aca="false">INT(AB13/Assumptions!$C$103)*Assumptions!$C$104</f>
        <v>0</v>
      </c>
      <c r="AC71" s="17" t="n">
        <f aca="false">INT(AC13/Assumptions!$C$103)*Assumptions!$C$104</f>
        <v>0</v>
      </c>
      <c r="AD71" s="17" t="n">
        <f aca="false">INT(AD13/Assumptions!$C$103)*Assumptions!$C$104</f>
        <v>0</v>
      </c>
      <c r="AE71" s="17" t="n">
        <f aca="false">INT(AE13/Assumptions!$C$103)*Assumptions!$C$104</f>
        <v>0</v>
      </c>
      <c r="AF71" s="17" t="n">
        <f aca="false">INT(AF13/Assumptions!$C$103)*Assumptions!$C$104</f>
        <v>0</v>
      </c>
      <c r="AG71" s="17" t="n">
        <f aca="false">INT(AG13/Assumptions!$C$103)*Assumptions!$C$104</f>
        <v>0</v>
      </c>
      <c r="AH71" s="17" t="n">
        <f aca="false">INT(AH13/Assumptions!$C$103)*Assumptions!$C$104</f>
        <v>0</v>
      </c>
      <c r="AI71" s="17" t="n">
        <f aca="false">INT(AI13/Assumptions!$C$103)*Assumptions!$C$104</f>
        <v>0</v>
      </c>
      <c r="AJ71" s="17" t="n">
        <f aca="false">INT(AJ13/Assumptions!$C$103)*Assumptions!$C$104</f>
        <v>0</v>
      </c>
      <c r="AK71" s="17" t="n">
        <f aca="false">INT(AK13/Assumptions!$C$103)*Assumptions!$C$104</f>
        <v>0</v>
      </c>
      <c r="AL71" s="17" t="n">
        <f aca="false">INT(AL13/Assumptions!$C$103)*Assumptions!$C$104</f>
        <v>0</v>
      </c>
      <c r="AM71" s="17" t="n">
        <f aca="false">INT(AM13/Assumptions!$C$103)*Assumptions!$C$104</f>
        <v>0</v>
      </c>
      <c r="AN71" s="44" t="n">
        <f aca="false">INT(AN13/Assumptions!$C$103)*Assumptions!$C$104</f>
        <v>0</v>
      </c>
      <c r="AO71" s="44" t="n">
        <f aca="false">INT(AO13/Assumptions!$C$103)*Assumptions!$C$104</f>
        <v>0</v>
      </c>
      <c r="AP71" s="44" t="n">
        <f aca="false">INT(AP13/Assumptions!$C$103)*Assumptions!$C$104</f>
        <v>0</v>
      </c>
      <c r="AQ71" s="44" t="n">
        <f aca="false">INT(AQ13/Assumptions!$C$103)*Assumptions!$C$104</f>
        <v>0</v>
      </c>
      <c r="AR71" s="44" t="n">
        <f aca="false">INT(AR13/Assumptions!$C$103)*Assumptions!$C$104</f>
        <v>0</v>
      </c>
      <c r="AS71" s="44" t="n">
        <f aca="false">INT(AS13/Assumptions!$C$103)*Assumptions!$C$104</f>
        <v>0</v>
      </c>
      <c r="AT71" s="44" t="n">
        <f aca="false">INT(AT13/Assumptions!$C$103)*Assumptions!$C$104</f>
        <v>0</v>
      </c>
      <c r="AU71" s="44" t="n">
        <f aca="false">INT(AU13/Assumptions!$C$103)*Assumptions!$C$104</f>
        <v>0</v>
      </c>
      <c r="AV71" s="44" t="n">
        <f aca="false">INT(AV13/Assumptions!$C$103)*Assumptions!$C$104</f>
        <v>0</v>
      </c>
      <c r="AW71" s="44" t="n">
        <f aca="false">INT(AW13/Assumptions!$C$103)*Assumptions!$C$104</f>
        <v>0</v>
      </c>
      <c r="AX71" s="44" t="n">
        <f aca="false">INT(AX13/Assumptions!$C$103)*Assumptions!$C$104</f>
        <v>0</v>
      </c>
      <c r="AY71" s="44" t="n">
        <f aca="false">INT(AY13/Assumptions!$C$103)*Assumptions!$C$104</f>
        <v>0</v>
      </c>
      <c r="AZ71" s="44" t="n">
        <f aca="false">INT(AZ13/Assumptions!$C$103)*Assumptions!$C$104</f>
        <v>0</v>
      </c>
      <c r="BA71" s="44" t="n">
        <f aca="false">INT(BA13/Assumptions!$C$103)*Assumptions!$C$104</f>
        <v>0</v>
      </c>
      <c r="BB71" s="44" t="n">
        <f aca="false">INT(BB13/Assumptions!$C$103)*Assumptions!$C$104</f>
        <v>0</v>
      </c>
      <c r="BC71" s="44" t="n">
        <f aca="false">INT(BC13/Assumptions!$C$103)*Assumptions!$C$104</f>
        <v>0</v>
      </c>
      <c r="BD71" s="44" t="n">
        <f aca="false">INT(BD13/Assumptions!$C$103)*Assumptions!$C$104</f>
        <v>0</v>
      </c>
      <c r="BE71" s="44" t="n">
        <f aca="false">INT(BE13/Assumptions!$C$103)*Assumptions!$C$104</f>
        <v>0</v>
      </c>
      <c r="BF71" s="44" t="n">
        <f aca="false">INT(BF13/Assumptions!$C$103)*Assumptions!$C$104</f>
        <v>0</v>
      </c>
      <c r="BG71" s="44" t="n">
        <f aca="false">INT(BG13/Assumptions!$C$103)*Assumptions!$C$104</f>
        <v>0</v>
      </c>
      <c r="BH71" s="44" t="n">
        <f aca="false">INT(BH13/Assumptions!$C$103)*Assumptions!$C$104</f>
        <v>0</v>
      </c>
      <c r="BI71" s="44" t="n">
        <f aca="false">INT(BI13/Assumptions!$C$103)*Assumptions!$C$104</f>
        <v>0</v>
      </c>
      <c r="BJ71" s="44" t="n">
        <f aca="false">INT(BJ13/Assumptions!$C$103)*Assumptions!$C$104</f>
        <v>0</v>
      </c>
      <c r="BK71" s="44" t="n">
        <f aca="false">INT(BK13/Assumptions!$C$103)*Assumptions!$C$104</f>
        <v>0</v>
      </c>
    </row>
    <row r="72" customFormat="false" ht="15" hidden="false" customHeight="false" outlineLevel="0" collapsed="false">
      <c r="A72" s="28" t="s">
        <v>654</v>
      </c>
      <c r="B72" s="6" t="s">
        <v>341</v>
      </c>
      <c r="C72" s="43"/>
      <c r="D72" s="17" t="n">
        <f aca="false">IF(D7&gt;=Assumptions!$C$106,Assumptions!$C$105,0)</f>
        <v>0</v>
      </c>
      <c r="E72" s="17" t="n">
        <f aca="false">IF(E7&gt;=Assumptions!$C$106,Assumptions!$C$105,0)</f>
        <v>0</v>
      </c>
      <c r="F72" s="17" t="n">
        <f aca="false">IF(F7&gt;=Assumptions!$C$106,Assumptions!$C$105,0)</f>
        <v>0</v>
      </c>
      <c r="G72" s="17" t="n">
        <f aca="false">IF(G7&gt;=Assumptions!$C$106,Assumptions!$C$105,0)</f>
        <v>0</v>
      </c>
      <c r="H72" s="17" t="n">
        <f aca="false">IF(H7&gt;=Assumptions!$C$106,Assumptions!$C$105,0)</f>
        <v>0</v>
      </c>
      <c r="I72" s="17" t="n">
        <f aca="false">IF(I7&gt;=Assumptions!$C$106,Assumptions!$C$105,0)</f>
        <v>0</v>
      </c>
      <c r="J72" s="17" t="n">
        <f aca="false">IF(J7&gt;=Assumptions!$C$106,Assumptions!$C$105,0)</f>
        <v>0</v>
      </c>
      <c r="K72" s="17" t="n">
        <f aca="false">IF(K7&gt;=Assumptions!$C$106,Assumptions!$C$105,0)</f>
        <v>0</v>
      </c>
      <c r="L72" s="17" t="n">
        <f aca="false">IF(L7&gt;=Assumptions!$C$106,Assumptions!$C$105,0)</f>
        <v>0</v>
      </c>
      <c r="M72" s="17" t="n">
        <f aca="false">IF(M7&gt;=Assumptions!$C$106,Assumptions!$C$105,0)</f>
        <v>0</v>
      </c>
      <c r="N72" s="17" t="n">
        <f aca="false">IF(N7&gt;=Assumptions!$C$106,Assumptions!$C$105,0)</f>
        <v>0</v>
      </c>
      <c r="O72" s="17" t="n">
        <f aca="false">IF(O7&gt;=Assumptions!$C$106,Assumptions!$C$105,0)</f>
        <v>0</v>
      </c>
      <c r="P72" s="17" t="n">
        <f aca="false">IF(P7&gt;=Assumptions!$C$106,Assumptions!$C$105,0)</f>
        <v>0</v>
      </c>
      <c r="Q72" s="17" t="n">
        <f aca="false">IF(Q7&gt;=Assumptions!$C$106,Assumptions!$C$105,0)</f>
        <v>0</v>
      </c>
      <c r="R72" s="17" t="n">
        <f aca="false">IF(R7&gt;=Assumptions!$C$106,Assumptions!$C$105,0)</f>
        <v>0</v>
      </c>
      <c r="S72" s="17" t="n">
        <f aca="false">IF(S7&gt;=Assumptions!$C$106,Assumptions!$C$105,0)</f>
        <v>0</v>
      </c>
      <c r="T72" s="17" t="n">
        <f aca="false">IF(T7&gt;=Assumptions!$C$106,Assumptions!$C$105,0)</f>
        <v>0</v>
      </c>
      <c r="U72" s="17" t="n">
        <f aca="false">IF(U7&gt;=Assumptions!$C$106,Assumptions!$C$105,0)</f>
        <v>0</v>
      </c>
      <c r="V72" s="17" t="n">
        <f aca="false">IF(V7&gt;=Assumptions!$C$106,Assumptions!$C$105,0)</f>
        <v>0</v>
      </c>
      <c r="W72" s="17" t="n">
        <f aca="false">IF(W7&gt;=Assumptions!$C$106,Assumptions!$C$105,0)</f>
        <v>0</v>
      </c>
      <c r="X72" s="17" t="n">
        <f aca="false">IF(X7&gt;=Assumptions!$C$106,Assumptions!$C$105,0)</f>
        <v>0</v>
      </c>
      <c r="Y72" s="17" t="n">
        <f aca="false">IF(Y7&gt;=Assumptions!$C$106,Assumptions!$C$105,0)</f>
        <v>0</v>
      </c>
      <c r="Z72" s="17" t="n">
        <f aca="false">IF(Z7&gt;=Assumptions!$C$106,Assumptions!$C$105,0)</f>
        <v>0</v>
      </c>
      <c r="AA72" s="17" t="n">
        <f aca="false">IF(AA7&gt;=Assumptions!$C$106,Assumptions!$C$105,0)</f>
        <v>0</v>
      </c>
      <c r="AB72" s="17" t="n">
        <f aca="false">IF(AB7&gt;=Assumptions!$C$106,Assumptions!$C$105,0)</f>
        <v>0</v>
      </c>
      <c r="AC72" s="17" t="n">
        <f aca="false">IF(AC7&gt;=Assumptions!$C$106,Assumptions!$C$105,0)</f>
        <v>0</v>
      </c>
      <c r="AD72" s="17" t="n">
        <f aca="false">IF(AD7&gt;=Assumptions!$C$106,Assumptions!$C$105,0)</f>
        <v>0</v>
      </c>
      <c r="AE72" s="17" t="n">
        <f aca="false">IF(AE7&gt;=Assumptions!$C$106,Assumptions!$C$105,0)</f>
        <v>0</v>
      </c>
      <c r="AF72" s="17" t="n">
        <f aca="false">IF(AF7&gt;=Assumptions!$C$106,Assumptions!$C$105,0)</f>
        <v>0</v>
      </c>
      <c r="AG72" s="17" t="n">
        <f aca="false">IF(AG7&gt;=Assumptions!$C$106,Assumptions!$C$105,0)</f>
        <v>0</v>
      </c>
      <c r="AH72" s="17" t="n">
        <f aca="false">IF(AH7&gt;=Assumptions!$C$106,Assumptions!$C$105,0)</f>
        <v>0</v>
      </c>
      <c r="AI72" s="17" t="n">
        <f aca="false">IF(AI7&gt;=Assumptions!$C$106,Assumptions!$C$105,0)</f>
        <v>0</v>
      </c>
      <c r="AJ72" s="17" t="n">
        <f aca="false">IF(AJ7&gt;=Assumptions!$C$106,Assumptions!$C$105,0)</f>
        <v>0</v>
      </c>
      <c r="AK72" s="17" t="n">
        <f aca="false">IF(AK7&gt;=Assumptions!$C$106,Assumptions!$C$105,0)</f>
        <v>0</v>
      </c>
      <c r="AL72" s="17" t="n">
        <f aca="false">IF(AL7&gt;=Assumptions!$C$106,Assumptions!$C$105,0)</f>
        <v>0</v>
      </c>
      <c r="AM72" s="17" t="n">
        <f aca="false">IF(AM7&gt;=Assumptions!$C$106,Assumptions!$C$105,0)</f>
        <v>0</v>
      </c>
      <c r="AN72" s="44" t="n">
        <f aca="false">IF(AN7&gt;=Assumptions!$C$106,Assumptions!$C$105,0)</f>
        <v>0</v>
      </c>
      <c r="AO72" s="44" t="n">
        <f aca="false">IF(AO7&gt;=Assumptions!$C$106,Assumptions!$C$105,0)</f>
        <v>0</v>
      </c>
      <c r="AP72" s="44" t="n">
        <f aca="false">IF(AP7&gt;=Assumptions!$C$106,Assumptions!$C$105,0)</f>
        <v>0</v>
      </c>
      <c r="AQ72" s="44" t="n">
        <f aca="false">IF(AQ7&gt;=Assumptions!$C$106,Assumptions!$C$105,0)</f>
        <v>0</v>
      </c>
      <c r="AR72" s="44" t="n">
        <f aca="false">IF(AR7&gt;=Assumptions!$C$106,Assumptions!$C$105,0)</f>
        <v>0</v>
      </c>
      <c r="AS72" s="44" t="n">
        <f aca="false">IF(AS7&gt;=Assumptions!$C$106,Assumptions!$C$105,0)</f>
        <v>0</v>
      </c>
      <c r="AT72" s="44" t="n">
        <f aca="false">IF(AT7&gt;=Assumptions!$C$106,Assumptions!$C$105,0)</f>
        <v>0</v>
      </c>
      <c r="AU72" s="44" t="n">
        <f aca="false">IF(AU7&gt;=Assumptions!$C$106,Assumptions!$C$105,0)</f>
        <v>0</v>
      </c>
      <c r="AV72" s="44" t="n">
        <f aca="false">IF(AV7&gt;=Assumptions!$C$106,Assumptions!$C$105,0)</f>
        <v>0</v>
      </c>
      <c r="AW72" s="44" t="n">
        <f aca="false">IF(AW7&gt;=Assumptions!$C$106,Assumptions!$C$105,0)</f>
        <v>0</v>
      </c>
      <c r="AX72" s="44" t="n">
        <f aca="false">IF(AX7&gt;=Assumptions!$C$106,Assumptions!$C$105,0)</f>
        <v>0</v>
      </c>
      <c r="AY72" s="44" t="n">
        <f aca="false">IF(AY7&gt;=Assumptions!$C$106,Assumptions!$C$105,0)</f>
        <v>0</v>
      </c>
      <c r="AZ72" s="44" t="n">
        <f aca="false">IF(AZ7&gt;=Assumptions!$C$106,Assumptions!$C$105,0)</f>
        <v>0</v>
      </c>
      <c r="BA72" s="44" t="n">
        <f aca="false">IF(BA7&gt;=Assumptions!$C$106,Assumptions!$C$105,0)</f>
        <v>0</v>
      </c>
      <c r="BB72" s="44" t="n">
        <f aca="false">IF(BB7&gt;=Assumptions!$C$106,Assumptions!$C$105,0)</f>
        <v>0</v>
      </c>
      <c r="BC72" s="44" t="n">
        <f aca="false">IF(BC7&gt;=Assumptions!$C$106,Assumptions!$C$105,0)</f>
        <v>0</v>
      </c>
      <c r="BD72" s="44" t="n">
        <f aca="false">IF(BD7&gt;=Assumptions!$C$106,Assumptions!$C$105,0)</f>
        <v>0</v>
      </c>
      <c r="BE72" s="44" t="n">
        <f aca="false">IF(BE7&gt;=Assumptions!$C$106,Assumptions!$C$105,0)</f>
        <v>0</v>
      </c>
      <c r="BF72" s="44" t="n">
        <f aca="false">IF(BF7&gt;=Assumptions!$C$106,Assumptions!$C$105,0)</f>
        <v>0</v>
      </c>
      <c r="BG72" s="44" t="n">
        <f aca="false">IF(BG7&gt;=Assumptions!$C$106,Assumptions!$C$105,0)</f>
        <v>0</v>
      </c>
      <c r="BH72" s="44" t="n">
        <f aca="false">IF(BH7&gt;=Assumptions!$C$106,Assumptions!$C$105,0)</f>
        <v>0</v>
      </c>
      <c r="BI72" s="44" t="n">
        <f aca="false">IF(BI7&gt;=Assumptions!$C$106,Assumptions!$C$105,0)</f>
        <v>0</v>
      </c>
      <c r="BJ72" s="44" t="n">
        <f aca="false">IF(BJ7&gt;=Assumptions!$C$106,Assumptions!$C$105,0)</f>
        <v>0</v>
      </c>
      <c r="BK72" s="44" t="n">
        <f aca="false">IF(BK7&gt;=Assumptions!$C$106,Assumptions!$C$105,0)</f>
        <v>0</v>
      </c>
    </row>
    <row r="73" customFormat="false" ht="15" hidden="false" customHeight="false" outlineLevel="0" collapsed="false">
      <c r="A73" s="28" t="s">
        <v>655</v>
      </c>
      <c r="B73" s="6" t="s">
        <v>656</v>
      </c>
      <c r="C73" s="43"/>
      <c r="D73" s="22" t="n">
        <f aca="false">Assumptions!C$144</f>
        <v>3500</v>
      </c>
      <c r="E73" s="22" t="n">
        <f aca="false">Assumptions!D$144</f>
        <v>1500</v>
      </c>
      <c r="F73" s="22" t="n">
        <f aca="false">Assumptions!E$144</f>
        <v>3000</v>
      </c>
      <c r="G73" s="22" t="n">
        <f aca="false">Assumptions!F$144</f>
        <v>0</v>
      </c>
      <c r="H73" s="22" t="n">
        <f aca="false">Assumptions!G$144</f>
        <v>0</v>
      </c>
      <c r="I73" s="22" t="n">
        <f aca="false">Assumptions!H$144</f>
        <v>0</v>
      </c>
      <c r="J73" s="22" t="n">
        <f aca="false">Assumptions!I$144</f>
        <v>0</v>
      </c>
      <c r="K73" s="22" t="n">
        <f aca="false">Assumptions!J$144</f>
        <v>0</v>
      </c>
      <c r="L73" s="22" t="n">
        <f aca="false">Assumptions!K$144</f>
        <v>0</v>
      </c>
      <c r="M73" s="22" t="n">
        <f aca="false">Assumptions!L$144</f>
        <v>0</v>
      </c>
      <c r="N73" s="22" t="n">
        <f aca="false">Assumptions!M$144</f>
        <v>0</v>
      </c>
      <c r="O73" s="22" t="n">
        <f aca="false">Assumptions!N$144</f>
        <v>0</v>
      </c>
      <c r="P73" s="22" t="n">
        <f aca="false">Assumptions!O$144</f>
        <v>0</v>
      </c>
      <c r="Q73" s="22" t="n">
        <f aca="false">Assumptions!P$144</f>
        <v>0</v>
      </c>
      <c r="R73" s="22" t="n">
        <f aca="false">Assumptions!Q$144</f>
        <v>0</v>
      </c>
      <c r="S73" s="22" t="n">
        <f aca="false">Assumptions!R$144</f>
        <v>0</v>
      </c>
      <c r="T73" s="22" t="n">
        <f aca="false">Assumptions!S$144</f>
        <v>0</v>
      </c>
      <c r="U73" s="22" t="n">
        <f aca="false">Assumptions!T$144</f>
        <v>0</v>
      </c>
      <c r="V73" s="22" t="n">
        <f aca="false">Assumptions!U$144</f>
        <v>0</v>
      </c>
      <c r="W73" s="22" t="n">
        <f aca="false">Assumptions!V$144</f>
        <v>0</v>
      </c>
      <c r="X73" s="22" t="n">
        <f aca="false">Assumptions!W$144</f>
        <v>0</v>
      </c>
      <c r="Y73" s="22" t="n">
        <f aca="false">Assumptions!X$144</f>
        <v>0</v>
      </c>
      <c r="Z73" s="22" t="n">
        <f aca="false">Assumptions!Y$144</f>
        <v>0</v>
      </c>
      <c r="AA73" s="22" t="n">
        <f aca="false">Assumptions!Z$144</f>
        <v>0</v>
      </c>
      <c r="AB73" s="22" t="n">
        <f aca="false">Assumptions!AA$144</f>
        <v>0</v>
      </c>
      <c r="AC73" s="22" t="n">
        <f aca="false">Assumptions!AB$144</f>
        <v>0</v>
      </c>
      <c r="AD73" s="22" t="n">
        <f aca="false">Assumptions!AC$144</f>
        <v>0</v>
      </c>
      <c r="AE73" s="22" t="n">
        <f aca="false">Assumptions!AD$144</f>
        <v>0</v>
      </c>
      <c r="AF73" s="22" t="n">
        <f aca="false">Assumptions!AE$144</f>
        <v>0</v>
      </c>
      <c r="AG73" s="22" t="n">
        <f aca="false">Assumptions!AF$144</f>
        <v>0</v>
      </c>
      <c r="AH73" s="22" t="n">
        <f aca="false">Assumptions!AG$144</f>
        <v>0</v>
      </c>
      <c r="AI73" s="22" t="n">
        <f aca="false">Assumptions!AH$144</f>
        <v>0</v>
      </c>
      <c r="AJ73" s="22" t="n">
        <f aca="false">Assumptions!AI$144</f>
        <v>0</v>
      </c>
      <c r="AK73" s="22" t="n">
        <f aca="false">Assumptions!AJ$144</f>
        <v>0</v>
      </c>
      <c r="AL73" s="22" t="n">
        <f aca="false">Assumptions!AK$144</f>
        <v>0</v>
      </c>
      <c r="AM73" s="22" t="n">
        <f aca="false">Assumptions!AL$144</f>
        <v>0</v>
      </c>
      <c r="AN73" s="49" t="n">
        <f aca="false">Assumptions!AM$144</f>
        <v>0</v>
      </c>
      <c r="AO73" s="49" t="n">
        <f aca="false">Assumptions!AN$144</f>
        <v>0</v>
      </c>
      <c r="AP73" s="49" t="n">
        <f aca="false">Assumptions!AO$144</f>
        <v>0</v>
      </c>
      <c r="AQ73" s="49" t="n">
        <f aca="false">Assumptions!AP$144</f>
        <v>0</v>
      </c>
      <c r="AR73" s="49" t="n">
        <f aca="false">Assumptions!AQ$144</f>
        <v>0</v>
      </c>
      <c r="AS73" s="49" t="n">
        <f aca="false">Assumptions!AR$144</f>
        <v>0</v>
      </c>
      <c r="AT73" s="49" t="n">
        <f aca="false">Assumptions!AS$144</f>
        <v>0</v>
      </c>
      <c r="AU73" s="49" t="n">
        <f aca="false">Assumptions!AT$144</f>
        <v>0</v>
      </c>
      <c r="AV73" s="49" t="n">
        <f aca="false">Assumptions!AU$144</f>
        <v>0</v>
      </c>
      <c r="AW73" s="49" t="n">
        <f aca="false">Assumptions!AV$144</f>
        <v>0</v>
      </c>
      <c r="AX73" s="49" t="n">
        <f aca="false">Assumptions!AW$144</f>
        <v>0</v>
      </c>
      <c r="AY73" s="49" t="n">
        <f aca="false">Assumptions!AX$144</f>
        <v>0</v>
      </c>
      <c r="AZ73" s="49" t="n">
        <f aca="false">Assumptions!AY$144</f>
        <v>0</v>
      </c>
      <c r="BA73" s="49" t="n">
        <f aca="false">Assumptions!AZ$144</f>
        <v>0</v>
      </c>
      <c r="BB73" s="49" t="n">
        <f aca="false">Assumptions!BA$144</f>
        <v>0</v>
      </c>
      <c r="BC73" s="49" t="n">
        <f aca="false">Assumptions!BB$144</f>
        <v>0</v>
      </c>
      <c r="BD73" s="49" t="n">
        <f aca="false">Assumptions!BC$144</f>
        <v>0</v>
      </c>
      <c r="BE73" s="49" t="n">
        <f aca="false">Assumptions!BD$144</f>
        <v>0</v>
      </c>
      <c r="BF73" s="49" t="n">
        <f aca="false">Assumptions!BE$144</f>
        <v>0</v>
      </c>
      <c r="BG73" s="49" t="n">
        <f aca="false">Assumptions!BF$144</f>
        <v>0</v>
      </c>
      <c r="BH73" s="49" t="n">
        <f aca="false">Assumptions!BG$144</f>
        <v>0</v>
      </c>
      <c r="BI73" s="49" t="n">
        <f aca="false">Assumptions!BH$144</f>
        <v>0</v>
      </c>
      <c r="BJ73" s="49" t="n">
        <f aca="false">Assumptions!BI$144</f>
        <v>0</v>
      </c>
      <c r="BK73" s="49" t="n">
        <f aca="false">Assumptions!BJ$144</f>
        <v>0</v>
      </c>
    </row>
    <row r="74" customFormat="false" ht="15" hidden="false" customHeight="false" outlineLevel="0" collapsed="false">
      <c r="A74" s="28" t="s">
        <v>657</v>
      </c>
      <c r="B74" s="5" t="s">
        <v>658</v>
      </c>
      <c r="C74" s="43"/>
      <c r="D74" s="45" t="n">
        <f aca="false">D69+D70+D71+D72+D73</f>
        <v>8965</v>
      </c>
      <c r="E74" s="45" t="n">
        <f aca="false">E69+E70+E71+E72+E73</f>
        <v>6965</v>
      </c>
      <c r="F74" s="45" t="n">
        <f aca="false">F69+F70+F71+F72+F73</f>
        <v>8465</v>
      </c>
      <c r="G74" s="45" t="n">
        <f aca="false">G69+G70+G71+G72+G73</f>
        <v>5465</v>
      </c>
      <c r="H74" s="45" t="n">
        <f aca="false">H69+H70+H71+H72+H73</f>
        <v>5465</v>
      </c>
      <c r="I74" s="45" t="n">
        <f aca="false">I69+I70+I71+I72+I73</f>
        <v>5465</v>
      </c>
      <c r="J74" s="45" t="n">
        <f aca="false">J69+J70+J71+J72+J73</f>
        <v>5465</v>
      </c>
      <c r="K74" s="45" t="n">
        <f aca="false">K69+K70+K71+K72+K73</f>
        <v>5465</v>
      </c>
      <c r="L74" s="45" t="n">
        <f aca="false">L69+L70+L71+L72+L73</f>
        <v>5465</v>
      </c>
      <c r="M74" s="45" t="n">
        <f aca="false">M69+M70+M71+M72+M73</f>
        <v>5465</v>
      </c>
      <c r="N74" s="45" t="n">
        <f aca="false">N69+N70+N71+N72+N73</f>
        <v>5465</v>
      </c>
      <c r="O74" s="45" t="n">
        <f aca="false">O69+O70+O71+O72+O73</f>
        <v>5465</v>
      </c>
      <c r="P74" s="45" t="n">
        <f aca="false">P69+P70+P71+P72+P73</f>
        <v>6465</v>
      </c>
      <c r="Q74" s="45" t="n">
        <f aca="false">Q69+Q70+Q71+Q72+Q73</f>
        <v>6465</v>
      </c>
      <c r="R74" s="45" t="n">
        <f aca="false">R69+R70+R71+R72+R73</f>
        <v>6465</v>
      </c>
      <c r="S74" s="45" t="n">
        <f aca="false">S69+S70+S71+S72+S73</f>
        <v>6465</v>
      </c>
      <c r="T74" s="45" t="n">
        <f aca="false">T69+T70+T71+T72+T73</f>
        <v>6465</v>
      </c>
      <c r="U74" s="45" t="n">
        <f aca="false">U69+U70+U71+U72+U73</f>
        <v>6465</v>
      </c>
      <c r="V74" s="45" t="n">
        <f aca="false">V69+V70+V71+V72+V73</f>
        <v>6465</v>
      </c>
      <c r="W74" s="45" t="n">
        <f aca="false">W69+W70+W71+W72+W73</f>
        <v>6465</v>
      </c>
      <c r="X74" s="45" t="n">
        <f aca="false">X69+X70+X71+X72+X73</f>
        <v>6465</v>
      </c>
      <c r="Y74" s="45" t="n">
        <f aca="false">Y69+Y70+Y71+Y72+Y73</f>
        <v>6465</v>
      </c>
      <c r="Z74" s="45" t="n">
        <f aca="false">Z69+Z70+Z71+Z72+Z73</f>
        <v>6465</v>
      </c>
      <c r="AA74" s="45" t="n">
        <f aca="false">AA69+AA70+AA71+AA72+AA73</f>
        <v>6465</v>
      </c>
      <c r="AB74" s="45" t="n">
        <f aca="false">AB69+AB70+AB71+AB72+AB73</f>
        <v>7465</v>
      </c>
      <c r="AC74" s="45" t="n">
        <f aca="false">AC69+AC70+AC71+AC72+AC73</f>
        <v>7465</v>
      </c>
      <c r="AD74" s="45" t="n">
        <f aca="false">AD69+AD70+AD71+AD72+AD73</f>
        <v>7465</v>
      </c>
      <c r="AE74" s="45" t="n">
        <f aca="false">AE69+AE70+AE71+AE72+AE73</f>
        <v>7465</v>
      </c>
      <c r="AF74" s="45" t="n">
        <f aca="false">AF69+AF70+AF71+AF72+AF73</f>
        <v>7465</v>
      </c>
      <c r="AG74" s="45" t="n">
        <f aca="false">AG69+AG70+AG71+AG72+AG73</f>
        <v>7465</v>
      </c>
      <c r="AH74" s="45" t="n">
        <f aca="false">AH69+AH70+AH71+AH72+AH73</f>
        <v>7465</v>
      </c>
      <c r="AI74" s="45" t="n">
        <f aca="false">AI69+AI70+AI71+AI72+AI73</f>
        <v>7465</v>
      </c>
      <c r="AJ74" s="45" t="n">
        <f aca="false">AJ69+AJ70+AJ71+AJ72+AJ73</f>
        <v>7465</v>
      </c>
      <c r="AK74" s="45" t="n">
        <f aca="false">AK69+AK70+AK71+AK72+AK73</f>
        <v>7465</v>
      </c>
      <c r="AL74" s="45" t="n">
        <f aca="false">AL69+AL70+AL71+AL72+AL73</f>
        <v>7465</v>
      </c>
      <c r="AM74" s="45" t="n">
        <f aca="false">AM69+AM70+AM71+AM72+AM73</f>
        <v>7465</v>
      </c>
      <c r="AN74" s="46" t="n">
        <f aca="false">AN69+AN70+AN71+AN72+AN73</f>
        <v>7465</v>
      </c>
      <c r="AO74" s="46" t="n">
        <f aca="false">AO69+AO70+AO71+AO72+AO73</f>
        <v>7465</v>
      </c>
      <c r="AP74" s="46" t="n">
        <f aca="false">AP69+AP70+AP71+AP72+AP73</f>
        <v>7465</v>
      </c>
      <c r="AQ74" s="46" t="n">
        <f aca="false">AQ69+AQ70+AQ71+AQ72+AQ73</f>
        <v>7465</v>
      </c>
      <c r="AR74" s="46" t="n">
        <f aca="false">AR69+AR70+AR71+AR72+AR73</f>
        <v>7465</v>
      </c>
      <c r="AS74" s="46" t="n">
        <f aca="false">AS69+AS70+AS71+AS72+AS73</f>
        <v>7465</v>
      </c>
      <c r="AT74" s="46" t="n">
        <f aca="false">AT69+AT70+AT71+AT72+AT73</f>
        <v>7465</v>
      </c>
      <c r="AU74" s="46" t="n">
        <f aca="false">AU69+AU70+AU71+AU72+AU73</f>
        <v>7465</v>
      </c>
      <c r="AV74" s="46" t="n">
        <f aca="false">AV69+AV70+AV71+AV72+AV73</f>
        <v>7465</v>
      </c>
      <c r="AW74" s="46" t="n">
        <f aca="false">AW69+AW70+AW71+AW72+AW73</f>
        <v>7465</v>
      </c>
      <c r="AX74" s="46" t="n">
        <f aca="false">AX69+AX70+AX71+AX72+AX73</f>
        <v>7465</v>
      </c>
      <c r="AY74" s="46" t="n">
        <f aca="false">AY69+AY70+AY71+AY72+AY73</f>
        <v>7465</v>
      </c>
      <c r="AZ74" s="46" t="n">
        <f aca="false">AZ69+AZ70+AZ71+AZ72+AZ73</f>
        <v>7465</v>
      </c>
      <c r="BA74" s="46" t="n">
        <f aca="false">BA69+BA70+BA71+BA72+BA73</f>
        <v>7465</v>
      </c>
      <c r="BB74" s="46" t="n">
        <f aca="false">BB69+BB70+BB71+BB72+BB73</f>
        <v>7465</v>
      </c>
      <c r="BC74" s="46" t="n">
        <f aca="false">BC69+BC70+BC71+BC72+BC73</f>
        <v>7465</v>
      </c>
      <c r="BD74" s="46" t="n">
        <f aca="false">BD69+BD70+BD71+BD72+BD73</f>
        <v>7465</v>
      </c>
      <c r="BE74" s="46" t="n">
        <f aca="false">BE69+BE70+BE71+BE72+BE73</f>
        <v>7465</v>
      </c>
      <c r="BF74" s="46" t="n">
        <f aca="false">BF69+BF70+BF71+BF72+BF73</f>
        <v>7465</v>
      </c>
      <c r="BG74" s="46" t="n">
        <f aca="false">BG69+BG70+BG71+BG72+BG73</f>
        <v>7465</v>
      </c>
      <c r="BH74" s="46" t="n">
        <f aca="false">BH69+BH70+BH71+BH72+BH73</f>
        <v>7465</v>
      </c>
      <c r="BI74" s="46" t="n">
        <f aca="false">BI69+BI70+BI71+BI72+BI73</f>
        <v>7465</v>
      </c>
      <c r="BJ74" s="46" t="n">
        <f aca="false">BJ69+BJ70+BJ71+BJ72+BJ73</f>
        <v>7465</v>
      </c>
      <c r="BK74" s="46" t="n">
        <f aca="false">BK69+BK70+BK71+BK72+BK73</f>
        <v>7465</v>
      </c>
    </row>
    <row r="75" customFormat="false" ht="15" hidden="false" customHeight="false" outlineLevel="0" collapsed="false">
      <c r="B75" s="5" t="s">
        <v>659</v>
      </c>
    </row>
    <row r="76" customFormat="false" ht="15" hidden="false" customHeight="false" outlineLevel="0" collapsed="false">
      <c r="A76" s="28" t="s">
        <v>660</v>
      </c>
      <c r="B76" s="5" t="s">
        <v>661</v>
      </c>
      <c r="C76" s="43"/>
      <c r="D76" s="45" t="n">
        <f aca="false">D59-D67-D74</f>
        <v>-8965</v>
      </c>
      <c r="E76" s="45" t="n">
        <f aca="false">E59-E67-E74</f>
        <v>-6965</v>
      </c>
      <c r="F76" s="45" t="n">
        <f aca="false">F59-F67-F74</f>
        <v>-8465</v>
      </c>
      <c r="G76" s="45" t="n">
        <f aca="false">G59-G67-G74</f>
        <v>-5465</v>
      </c>
      <c r="H76" s="45" t="n">
        <f aca="false">H59-H67-H74</f>
        <v>-6929.70066666667</v>
      </c>
      <c r="I76" s="45" t="n">
        <f aca="false">I59-I67-I74</f>
        <v>-6139.08319333333</v>
      </c>
      <c r="J76" s="45" t="n">
        <f aca="false">J59-J67-J74</f>
        <v>-5973.15513143333</v>
      </c>
      <c r="K76" s="45" t="n">
        <f aca="false">K59-K67-K74</f>
        <v>-7313.37216209517</v>
      </c>
      <c r="L76" s="45" t="n">
        <f aca="false">L59-L67-L74</f>
        <v>-6417.23920262541</v>
      </c>
      <c r="M76" s="45" t="n">
        <f aca="false">M59-M67-M74</f>
        <v>-6224.97255601111</v>
      </c>
      <c r="N76" s="45" t="n">
        <f aca="false">N59-N67-N74</f>
        <v>-7452.52524453058</v>
      </c>
      <c r="O76" s="45" t="n">
        <f aca="false">O59-O67-O74</f>
        <v>-8038.46332382139</v>
      </c>
      <c r="P76" s="45" t="n">
        <f aca="false">P59-P67-P74</f>
        <v>-8048.09363420393</v>
      </c>
      <c r="Q76" s="45" t="n">
        <f aca="false">Q59-Q67-Q74</f>
        <v>-9111.33041037511</v>
      </c>
      <c r="R76" s="45" t="n">
        <f aca="false">R59-R67-R74</f>
        <v>-9554.75441771674</v>
      </c>
      <c r="S76" s="45" t="n">
        <f aca="false">S59-S67-S74</f>
        <v>-8456.26628085088</v>
      </c>
      <c r="T76" s="45" t="n">
        <f aca="false">T59-T67-T74</f>
        <v>-9492.05109038554</v>
      </c>
      <c r="U76" s="45" t="n">
        <f aca="false">U59-U67-U74</f>
        <v>-9295.65859157392</v>
      </c>
      <c r="V76" s="45" t="n">
        <f aca="false">V59-V67-V74</f>
        <v>-9667.06446966901</v>
      </c>
      <c r="W76" s="45" t="n">
        <f aca="false">W59-W67-W74</f>
        <v>-9776.40600747614</v>
      </c>
      <c r="X76" s="45" t="n">
        <f aca="false">X59-X67-X74</f>
        <v>-9802.67235193206</v>
      </c>
      <c r="Y76" s="45" t="n">
        <f aca="false">Y59-Y67-Y74</f>
        <v>-10059.0960271339</v>
      </c>
      <c r="Z76" s="45" t="n">
        <f aca="false">Z59-Z67-Z74</f>
        <v>-9925.72652616876</v>
      </c>
      <c r="AA76" s="45" t="n">
        <f aca="false">AA59-AA67-AA74</f>
        <v>-9823.20136284209</v>
      </c>
      <c r="AB76" s="45" t="n">
        <f aca="false">AB59-AB67-AB74</f>
        <v>-10677.3087057934</v>
      </c>
      <c r="AC76" s="45" t="n">
        <f aca="false">AC59-AC67-AC74</f>
        <v>-10526.2367660874</v>
      </c>
      <c r="AD76" s="45" t="n">
        <f aca="false">AD59-AD67-AD74</f>
        <v>-10370.5606009407</v>
      </c>
      <c r="AE76" s="45" t="n">
        <f aca="false">AE59-AE67-AE74</f>
        <v>-10181.3015994805</v>
      </c>
      <c r="AF76" s="45" t="n">
        <f aca="false">AF59-AF67-AF74</f>
        <v>-11501.651286505</v>
      </c>
      <c r="AG76" s="45" t="n">
        <f aca="false">AG59-AG67-AG74</f>
        <v>-10536.3823732588</v>
      </c>
      <c r="AH76" s="45" t="n">
        <f aca="false">AH59-AH67-AH74</f>
        <v>-10156.7062035359</v>
      </c>
      <c r="AI76" s="45" t="n">
        <f aca="false">AI59-AI67-AI74</f>
        <v>-11328.7449289436</v>
      </c>
      <c r="AJ76" s="45" t="n">
        <f aca="false">AJ59-AJ67-AJ74</f>
        <v>-10234.8243526635</v>
      </c>
      <c r="AK76" s="45" t="n">
        <f aca="false">AK59-AK67-AK74</f>
        <v>-9808.68925324576</v>
      </c>
      <c r="AL76" s="45" t="n">
        <f aca="false">AL59-AL67-AL74</f>
        <v>-10685.4145720889</v>
      </c>
      <c r="AM76" s="45" t="n">
        <f aca="false">AM59-AM67-AM74</f>
        <v>-9622.44895970039</v>
      </c>
      <c r="AN76" s="46" t="n">
        <f aca="false">AN59-AN67-AN74</f>
        <v>-8876.36550677675</v>
      </c>
      <c r="AO76" s="46" t="n">
        <f aca="false">AO59-AO67-AO74</f>
        <v>-9417.3571457999</v>
      </c>
      <c r="AP76" s="46" t="n">
        <f aca="false">AP59-AP67-AP74</f>
        <v>-7931.04694330693</v>
      </c>
      <c r="AQ76" s="46" t="n">
        <f aca="false">AQ59-AQ67-AQ74</f>
        <v>-7094.65452889893</v>
      </c>
      <c r="AR76" s="46" t="n">
        <f aca="false">AR59-AR67-AR74</f>
        <v>-7541.77103885767</v>
      </c>
      <c r="AS76" s="46" t="n">
        <f aca="false">AS59-AS67-AS74</f>
        <v>-5937.08006438834</v>
      </c>
      <c r="AT76" s="46" t="n">
        <f aca="false">AT59-AT67-AT74</f>
        <v>-5389.87872137761</v>
      </c>
      <c r="AU76" s="46" t="n">
        <f aca="false">AU59-AU67-AU74</f>
        <v>-6149.72118229374</v>
      </c>
      <c r="AV76" s="46" t="n">
        <f aca="false">AV59-AV67-AV74</f>
        <v>-4886.6416047107</v>
      </c>
      <c r="AW76" s="46" t="n">
        <f aca="false">AW59-AW67-AW74</f>
        <v>-4332.62886779793</v>
      </c>
      <c r="AX76" s="46" t="n">
        <f aca="false">AX59-AX67-AX74</f>
        <v>-5086.53854636539</v>
      </c>
      <c r="AY76" s="46" t="n">
        <f aca="false">AY59-AY67-AY74</f>
        <v>-3876.42481985506</v>
      </c>
      <c r="AZ76" s="46" t="n">
        <f aca="false">AZ59-AZ67-AZ74</f>
        <v>-3314.50740932092</v>
      </c>
      <c r="BA76" s="46" t="n">
        <f aca="false">BA59-BA67-BA74</f>
        <v>-4071.66513359355</v>
      </c>
      <c r="BB76" s="46" t="n">
        <f aca="false">BB59-BB67-BB74</f>
        <v>-2797.26527061773</v>
      </c>
      <c r="BC76" s="46" t="n">
        <f aca="false">BC59-BC67-BC74</f>
        <v>-2203.27111998475</v>
      </c>
      <c r="BD76" s="46" t="n">
        <f aca="false">BD59-BD67-BD74</f>
        <v>-2957.52208853516</v>
      </c>
      <c r="BE76" s="46" t="n">
        <f aca="false">BE59-BE67-BE74</f>
        <v>-1681.08228397309</v>
      </c>
      <c r="BF76" s="46" t="n">
        <f aca="false">BF59-BF67-BF74</f>
        <v>-1085.7920599767</v>
      </c>
      <c r="BG76" s="46" t="n">
        <f aca="false">BG59-BG67-BG74</f>
        <v>-1839.39792150131</v>
      </c>
      <c r="BH76" s="46" t="n">
        <f aca="false">BH59-BH67-BH74</f>
        <v>-562.891423537386</v>
      </c>
      <c r="BI76" s="46" t="n">
        <f aca="false">BI59-BI67-BI74</f>
        <v>31.945637597255</v>
      </c>
      <c r="BJ76" s="46" t="n">
        <f aca="false">BJ59-BJ67-BJ74</f>
        <v>-722.584502314528</v>
      </c>
      <c r="BK76" s="46" t="n">
        <f aca="false">BK59-BK67-BK74</f>
        <v>492.565261698564</v>
      </c>
    </row>
    <row r="77" customFormat="false" ht="15" hidden="false" customHeight="false" outlineLevel="0" collapsed="false">
      <c r="A77" s="28" t="s">
        <v>662</v>
      </c>
      <c r="B77" s="5" t="s">
        <v>663</v>
      </c>
      <c r="C77" s="50" t="n">
        <f aca="false">Assumptions!$C$9</f>
        <v>0</v>
      </c>
      <c r="D77" s="45" t="n">
        <f aca="false">C77+D76</f>
        <v>-8965</v>
      </c>
      <c r="E77" s="45" t="n">
        <f aca="false">D77+E76</f>
        <v>-15930</v>
      </c>
      <c r="F77" s="45" t="n">
        <f aca="false">E77+F76</f>
        <v>-24395</v>
      </c>
      <c r="G77" s="45" t="n">
        <f aca="false">F77+G76</f>
        <v>-29860</v>
      </c>
      <c r="H77" s="45" t="n">
        <f aca="false">G77+H76</f>
        <v>-36789.7006666667</v>
      </c>
      <c r="I77" s="45" t="n">
        <f aca="false">H77+I76</f>
        <v>-42928.78386</v>
      </c>
      <c r="J77" s="45" t="n">
        <f aca="false">I77+J76</f>
        <v>-48901.9389914333</v>
      </c>
      <c r="K77" s="45" t="n">
        <f aca="false">J77+K76</f>
        <v>-56215.3111535285</v>
      </c>
      <c r="L77" s="45" t="n">
        <f aca="false">K77+L76</f>
        <v>-62632.5503561539</v>
      </c>
      <c r="M77" s="45" t="n">
        <f aca="false">L77+M76</f>
        <v>-68857.522912165</v>
      </c>
      <c r="N77" s="45" t="n">
        <f aca="false">M77+N76</f>
        <v>-76310.0481566956</v>
      </c>
      <c r="O77" s="45" t="n">
        <f aca="false">N77+O76</f>
        <v>-84348.511480517</v>
      </c>
      <c r="P77" s="45" t="n">
        <f aca="false">O77+P76</f>
        <v>-92396.6051147209</v>
      </c>
      <c r="Q77" s="45" t="n">
        <f aca="false">P77+Q76</f>
        <v>-101507.935525096</v>
      </c>
      <c r="R77" s="45" t="n">
        <f aca="false">Q77+R76</f>
        <v>-111062.689942813</v>
      </c>
      <c r="S77" s="45" t="n">
        <f aca="false">R77+S76</f>
        <v>-119518.956223664</v>
      </c>
      <c r="T77" s="45" t="n">
        <f aca="false">S77+T76</f>
        <v>-129011.007314049</v>
      </c>
      <c r="U77" s="45" t="n">
        <f aca="false">T77+U76</f>
        <v>-138306.665905623</v>
      </c>
      <c r="V77" s="45" t="n">
        <f aca="false">U77+V76</f>
        <v>-147973.730375292</v>
      </c>
      <c r="W77" s="45" t="n">
        <f aca="false">V77+W76</f>
        <v>-157750.136382768</v>
      </c>
      <c r="X77" s="45" t="n">
        <f aca="false">W77+X76</f>
        <v>-167552.8087347</v>
      </c>
      <c r="Y77" s="45" t="n">
        <f aca="false">X77+Y76</f>
        <v>-177611.904761834</v>
      </c>
      <c r="Z77" s="45" t="n">
        <f aca="false">Y77+Z76</f>
        <v>-187537.631288003</v>
      </c>
      <c r="AA77" s="45" t="n">
        <f aca="false">Z77+AA76</f>
        <v>-197360.832650845</v>
      </c>
      <c r="AB77" s="45" t="n">
        <f aca="false">AA77+AB76</f>
        <v>-208038.141356639</v>
      </c>
      <c r="AC77" s="45" t="n">
        <f aca="false">AB77+AC76</f>
        <v>-218564.378122726</v>
      </c>
      <c r="AD77" s="45" t="n">
        <f aca="false">AC77+AD76</f>
        <v>-228934.938723667</v>
      </c>
      <c r="AE77" s="45" t="n">
        <f aca="false">AD77+AE76</f>
        <v>-239116.240323147</v>
      </c>
      <c r="AF77" s="45" t="n">
        <f aca="false">AE77+AF76</f>
        <v>-250617.891609652</v>
      </c>
      <c r="AG77" s="45" t="n">
        <f aca="false">AF77+AG76</f>
        <v>-261154.273982911</v>
      </c>
      <c r="AH77" s="45" t="n">
        <f aca="false">AG77+AH76</f>
        <v>-271310.980186447</v>
      </c>
      <c r="AI77" s="45" t="n">
        <f aca="false">AH77+AI76</f>
        <v>-282639.72511539</v>
      </c>
      <c r="AJ77" s="45" t="n">
        <f aca="false">AI77+AJ76</f>
        <v>-292874.549468054</v>
      </c>
      <c r="AK77" s="45" t="n">
        <f aca="false">AJ77+AK76</f>
        <v>-302683.2387213</v>
      </c>
      <c r="AL77" s="45" t="n">
        <f aca="false">AK77+AL76</f>
        <v>-313368.653293389</v>
      </c>
      <c r="AM77" s="45" t="n">
        <f aca="false">AL77+AM76</f>
        <v>-322991.102253089</v>
      </c>
      <c r="AN77" s="46" t="n">
        <f aca="false">AM77+AN76</f>
        <v>-331867.467759866</v>
      </c>
      <c r="AO77" s="46" t="n">
        <f aca="false">AN77+AO76</f>
        <v>-341284.824905666</v>
      </c>
      <c r="AP77" s="46" t="n">
        <f aca="false">AO77+AP76</f>
        <v>-349215.871848973</v>
      </c>
      <c r="AQ77" s="46" t="n">
        <f aca="false">AP77+AQ76</f>
        <v>-356310.526377871</v>
      </c>
      <c r="AR77" s="46" t="n">
        <f aca="false">AQ77+AR76</f>
        <v>-363852.297416729</v>
      </c>
      <c r="AS77" s="46" t="n">
        <f aca="false">AR77+AS76</f>
        <v>-369789.377481118</v>
      </c>
      <c r="AT77" s="46" t="n">
        <f aca="false">AS77+AT76</f>
        <v>-375179.256202495</v>
      </c>
      <c r="AU77" s="46" t="n">
        <f aca="false">AT77+AU76</f>
        <v>-381328.977384789</v>
      </c>
      <c r="AV77" s="46" t="n">
        <f aca="false">AU77+AV76</f>
        <v>-386215.6189895</v>
      </c>
      <c r="AW77" s="46" t="n">
        <f aca="false">AV77+AW76</f>
        <v>-390548.247857298</v>
      </c>
      <c r="AX77" s="46" t="n">
        <f aca="false">AW77+AX76</f>
        <v>-395634.786403663</v>
      </c>
      <c r="AY77" s="46" t="n">
        <f aca="false">AX77+AY76</f>
        <v>-399511.211223518</v>
      </c>
      <c r="AZ77" s="46" t="n">
        <f aca="false">AY77+AZ76</f>
        <v>-402825.718632839</v>
      </c>
      <c r="BA77" s="46" t="n">
        <f aca="false">AZ77+BA76</f>
        <v>-406897.383766432</v>
      </c>
      <c r="BB77" s="46" t="n">
        <f aca="false">BA77+BB76</f>
        <v>-409694.64903705</v>
      </c>
      <c r="BC77" s="46" t="n">
        <f aca="false">BB77+BC76</f>
        <v>-411897.920157035</v>
      </c>
      <c r="BD77" s="46" t="n">
        <f aca="false">BC77+BD76</f>
        <v>-414855.44224557</v>
      </c>
      <c r="BE77" s="46" t="n">
        <f aca="false">BD77+BE76</f>
        <v>-416536.524529543</v>
      </c>
      <c r="BF77" s="46" t="n">
        <f aca="false">BE77+BF76</f>
        <v>-417622.31658952</v>
      </c>
      <c r="BG77" s="46" t="n">
        <f aca="false">BF77+BG76</f>
        <v>-419461.714511021</v>
      </c>
      <c r="BH77" s="46" t="n">
        <f aca="false">BG77+BH76</f>
        <v>-420024.605934559</v>
      </c>
      <c r="BI77" s="46" t="n">
        <f aca="false">BH77+BI76</f>
        <v>-419992.660296961</v>
      </c>
      <c r="BJ77" s="46" t="n">
        <f aca="false">BI77+BJ76</f>
        <v>-420715.244799276</v>
      </c>
      <c r="BK77" s="46" t="n">
        <f aca="false">BJ77+BK76</f>
        <v>-420222.679537577</v>
      </c>
    </row>
    <row r="78" customFormat="false" ht="15" hidden="false" customHeight="false" outlineLevel="0" collapsed="false">
      <c r="A78" s="28" t="s">
        <v>664</v>
      </c>
      <c r="B78" s="6" t="s">
        <v>665</v>
      </c>
      <c r="C78" s="43"/>
      <c r="D78" s="17" t="n">
        <f aca="false">D39*Assumptions!$C$49+D39/Assumptions!$C$48*Assumptions!$C$50</f>
        <v>0</v>
      </c>
      <c r="E78" s="17" t="n">
        <f aca="false">E39*Assumptions!$C$49+E39/Assumptions!$C$48*Assumptions!$C$50</f>
        <v>0</v>
      </c>
      <c r="F78" s="17" t="n">
        <f aca="false">F39*Assumptions!$C$49+F39/Assumptions!$C$48*Assumptions!$C$50</f>
        <v>0</v>
      </c>
      <c r="G78" s="17" t="n">
        <f aca="false">G39*Assumptions!$C$49+G39/Assumptions!$C$48*Assumptions!$C$50</f>
        <v>0</v>
      </c>
      <c r="H78" s="17" t="n">
        <f aca="false">H39*Assumptions!$C$49+H39/Assumptions!$C$48*Assumptions!$C$50</f>
        <v>0</v>
      </c>
      <c r="I78" s="17" t="n">
        <f aca="false">I39*Assumptions!$C$49+I39/Assumptions!$C$48*Assumptions!$C$50</f>
        <v>0</v>
      </c>
      <c r="J78" s="17" t="n">
        <f aca="false">J39*Assumptions!$C$49+J39/Assumptions!$C$48*Assumptions!$C$50</f>
        <v>0</v>
      </c>
      <c r="K78" s="17" t="n">
        <f aca="false">K39*Assumptions!$C$49+K39/Assumptions!$C$48*Assumptions!$C$50</f>
        <v>0</v>
      </c>
      <c r="L78" s="17" t="n">
        <f aca="false">L39*Assumptions!$C$49+L39/Assumptions!$C$48*Assumptions!$C$50</f>
        <v>0</v>
      </c>
      <c r="M78" s="17" t="n">
        <f aca="false">M39*Assumptions!$C$49+M39/Assumptions!$C$48*Assumptions!$C$50</f>
        <v>0</v>
      </c>
      <c r="N78" s="17" t="n">
        <f aca="false">N39*Assumptions!$C$49+N39/Assumptions!$C$48*Assumptions!$C$50</f>
        <v>0</v>
      </c>
      <c r="O78" s="17" t="n">
        <f aca="false">O39*Assumptions!$C$49+O39/Assumptions!$C$48*Assumptions!$C$50</f>
        <v>0</v>
      </c>
      <c r="P78" s="17" t="n">
        <f aca="false">P39*Assumptions!$C$49+P39/Assumptions!$C$48*Assumptions!$C$50</f>
        <v>0</v>
      </c>
      <c r="Q78" s="17" t="n">
        <f aca="false">Q39*Assumptions!$C$49+Q39/Assumptions!$C$48*Assumptions!$C$50</f>
        <v>0</v>
      </c>
      <c r="R78" s="17" t="n">
        <f aca="false">R39*Assumptions!$C$49+R39/Assumptions!$C$48*Assumptions!$C$50</f>
        <v>0</v>
      </c>
      <c r="S78" s="17" t="n">
        <f aca="false">S39*Assumptions!$C$49+S39/Assumptions!$C$48*Assumptions!$C$50</f>
        <v>0</v>
      </c>
      <c r="T78" s="17" t="n">
        <f aca="false">T39*Assumptions!$C$49+T39/Assumptions!$C$48*Assumptions!$C$50</f>
        <v>0</v>
      </c>
      <c r="U78" s="17" t="n">
        <f aca="false">U39*Assumptions!$C$49+U39/Assumptions!$C$48*Assumptions!$C$50</f>
        <v>0</v>
      </c>
      <c r="V78" s="17" t="n">
        <f aca="false">V39*Assumptions!$C$49+V39/Assumptions!$C$48*Assumptions!$C$50</f>
        <v>0</v>
      </c>
      <c r="W78" s="17" t="n">
        <f aca="false">W39*Assumptions!$C$49+W39/Assumptions!$C$48*Assumptions!$C$50</f>
        <v>0</v>
      </c>
      <c r="X78" s="17" t="n">
        <f aca="false">X39*Assumptions!$C$49+X39/Assumptions!$C$48*Assumptions!$C$50</f>
        <v>0</v>
      </c>
      <c r="Y78" s="17" t="n">
        <f aca="false">Y39*Assumptions!$C$49+Y39/Assumptions!$C$48*Assumptions!$C$50</f>
        <v>272.68508511506</v>
      </c>
      <c r="Z78" s="17" t="n">
        <f aca="false">Z39*Assumptions!$C$49+Z39/Assumptions!$C$48*Assumptions!$C$50</f>
        <v>554.458629219007</v>
      </c>
      <c r="AA78" s="17" t="n">
        <f aca="false">AA39*Assumptions!$C$49+AA39/Assumptions!$C$48*Assumptions!$C$50</f>
        <v>844.758558589706</v>
      </c>
      <c r="AB78" s="17" t="n">
        <f aca="false">AB39*Assumptions!$C$49+AB39/Assumptions!$C$48*Assumptions!$C$50</f>
        <v>1143.05692577491</v>
      </c>
      <c r="AC78" s="17" t="n">
        <f aca="false">AC39*Assumptions!$C$49+AC39/Assumptions!$C$48*Assumptions!$C$50</f>
        <v>1448.85777282028</v>
      </c>
      <c r="AD78" s="17" t="n">
        <f aca="false">AD39*Assumptions!$C$49+AD39/Assumptions!$C$48*Assumptions!$C$50</f>
        <v>1761.69513318592</v>
      </c>
      <c r="AE78" s="17" t="n">
        <f aca="false">AE39*Assumptions!$C$49+AE39/Assumptions!$C$48*Assumptions!$C$50</f>
        <v>2080.79982227104</v>
      </c>
      <c r="AF78" s="17" t="n">
        <f aca="false">AF39*Assumptions!$C$49+AF39/Assumptions!$C$48*Assumptions!$C$50</f>
        <v>2414.06908306402</v>
      </c>
      <c r="AG78" s="17" t="n">
        <f aca="false">AG39*Assumptions!$C$49+AG39/Assumptions!$C$48*Assumptions!$C$50</f>
        <v>2759.51589128654</v>
      </c>
      <c r="AH78" s="17" t="n">
        <f aca="false">AH39*Assumptions!$C$49+AH39/Assumptions!$C$48*Assumptions!$C$50</f>
        <v>3113.63547906586</v>
      </c>
      <c r="AI78" s="17" t="n">
        <f aca="false">AI39*Assumptions!$C$49+AI39/Assumptions!$C$48*Assumptions!$C$50</f>
        <v>3482.4564416287</v>
      </c>
      <c r="AJ78" s="17" t="n">
        <f aca="false">AJ39*Assumptions!$C$49+AJ39/Assumptions!$C$48*Assumptions!$C$50</f>
        <v>3862.59477951244</v>
      </c>
      <c r="AK78" s="17" t="n">
        <f aca="false">AK39*Assumptions!$C$49+AK39/Assumptions!$C$48*Assumptions!$C$50</f>
        <v>4250.24861084286</v>
      </c>
      <c r="AL78" s="17" t="n">
        <f aca="false">AL39*Assumptions!$C$49+AL39/Assumptions!$C$48*Assumptions!$C$50</f>
        <v>4649.84730195416</v>
      </c>
      <c r="AM78" s="17" t="n">
        <f aca="false">AM39*Assumptions!$C$49+AM39/Assumptions!$C$48*Assumptions!$C$50</f>
        <v>5058.18680173078</v>
      </c>
      <c r="AN78" s="44" t="n">
        <f aca="false">AN39*Assumptions!$C$49+AN39/Assumptions!$C$48*Assumptions!$C$50</f>
        <v>5471.63357283886</v>
      </c>
      <c r="AO78" s="44" t="n">
        <f aca="false">AO39*Assumptions!$C$49+AO39/Assumptions!$C$48*Assumptions!$C$50</f>
        <v>5894.77448803173</v>
      </c>
      <c r="AP78" s="44" t="n">
        <f aca="false">AP39*Assumptions!$C$49+AP39/Assumptions!$C$48*Assumptions!$C$50</f>
        <v>6324.55287841166</v>
      </c>
      <c r="AQ78" s="44" t="n">
        <f aca="false">AQ39*Assumptions!$C$49+AQ39/Assumptions!$C$48*Assumptions!$C$50</f>
        <v>6757.47313038142</v>
      </c>
      <c r="AR78" s="44" t="n">
        <f aca="false">AR39*Assumptions!$C$49+AR39/Assumptions!$C$48*Assumptions!$C$50</f>
        <v>7198.2512027877</v>
      </c>
      <c r="AS78" s="44" t="n">
        <f aca="false">AS39*Assumptions!$C$49+AS39/Assumptions!$C$48*Assumptions!$C$50</f>
        <v>7643.61991341853</v>
      </c>
      <c r="AT78" s="44" t="n">
        <f aca="false">AT39*Assumptions!$C$49+AT39/Assumptions!$C$48*Assumptions!$C$50</f>
        <v>8090.22194948171</v>
      </c>
      <c r="AU78" s="44" t="n">
        <f aca="false">AU39*Assumptions!$C$49+AU39/Assumptions!$C$48*Assumptions!$C$50</f>
        <v>8542.90268663393</v>
      </c>
      <c r="AV78" s="44" t="n">
        <f aca="false">AV39*Assumptions!$C$49+AV39/Assumptions!$C$48*Assumptions!$C$50</f>
        <v>8998.51605605099</v>
      </c>
      <c r="AW78" s="44" t="n">
        <f aca="false">AW39*Assumptions!$C$49+AW39/Assumptions!$C$48*Assumptions!$C$50</f>
        <v>9453.81809656286</v>
      </c>
      <c r="AX78" s="44" t="n">
        <f aca="false">AX39*Assumptions!$C$49+AX39/Assumptions!$C$48*Assumptions!$C$50</f>
        <v>9913.76027908728</v>
      </c>
      <c r="AY78" s="44" t="n">
        <f aca="false">AY39*Assumptions!$C$49+AY39/Assumptions!$C$48*Assumptions!$C$50</f>
        <v>10375.2958453312</v>
      </c>
      <c r="AZ78" s="44" t="n">
        <f aca="false">AZ39*Assumptions!$C$49+AZ39/Assumptions!$C$48*Assumptions!$C$50</f>
        <v>10835.2738000906</v>
      </c>
      <c r="BA78" s="44" t="n">
        <f aca="false">BA39*Assumptions!$C$49+BA39/Assumptions!$C$48*Assumptions!$C$50</f>
        <v>11298.7326465284</v>
      </c>
      <c r="BB78" s="44" t="n">
        <f aca="false">BB39*Assumptions!$C$49+BB39/Assumptions!$C$48*Assumptions!$C$50</f>
        <v>11762.7071083992</v>
      </c>
      <c r="BC78" s="44" t="n">
        <f aca="false">BC39*Assumptions!$C$49+BC39/Assumptions!$C$48*Assumptions!$C$50</f>
        <v>12223.7911396024</v>
      </c>
      <c r="BD78" s="44" t="n">
        <f aca="false">BD39*Assumptions!$C$49+BD39/Assumptions!$C$48*Assumptions!$C$50</f>
        <v>12687.1198672008</v>
      </c>
      <c r="BE78" s="44" t="n">
        <f aca="false">BE39*Assumptions!$C$49+BE39/Assumptions!$C$48*Assumptions!$C$50</f>
        <v>13149.8184238766</v>
      </c>
      <c r="BF78" s="44" t="n">
        <f aca="false">BF39*Assumptions!$C$49+BF39/Assumptions!$C$48*Assumptions!$C$50</f>
        <v>13608.5653595543</v>
      </c>
      <c r="BG78" s="44" t="n">
        <f aca="false">BG39*Assumptions!$C$49+BG39/Assumptions!$C$48*Assumptions!$C$50</f>
        <v>14068.5749598044</v>
      </c>
      <c r="BH78" s="44" t="n">
        <f aca="false">BH39*Assumptions!$C$49+BH39/Assumptions!$C$48*Assumptions!$C$50</f>
        <v>14527.0464288161</v>
      </c>
      <c r="BI78" s="44" t="n">
        <f aca="false">BI39*Assumptions!$C$49+BI39/Assumptions!$C$48*Assumptions!$C$50</f>
        <v>14980.7276283527</v>
      </c>
      <c r="BJ78" s="44" t="n">
        <f aca="false">BJ39*Assumptions!$C$49+BJ39/Assumptions!$C$48*Assumptions!$C$50</f>
        <v>15434.8977018768</v>
      </c>
      <c r="BK78" s="44" t="n">
        <f aca="false">BK39*Assumptions!$C$49+BK39/Assumptions!$C$48*Assumptions!$C$50</f>
        <v>15886.8165430942</v>
      </c>
    </row>
    <row r="79" customFormat="false" ht="15" hidden="false" customHeight="false" outlineLevel="0" collapsed="false">
      <c r="B79" s="5" t="s">
        <v>666</v>
      </c>
    </row>
    <row r="80" customFormat="false" ht="15" hidden="false" customHeight="false" outlineLevel="0" collapsed="false">
      <c r="A80" s="28" t="s">
        <v>667</v>
      </c>
      <c r="B80" s="6" t="s">
        <v>668</v>
      </c>
      <c r="C80" s="51"/>
      <c r="D80" s="39" t="n">
        <f aca="false">IF(D76&gt;=0,1,0)</f>
        <v>0</v>
      </c>
      <c r="E80" s="39" t="n">
        <f aca="false">IF(E76&gt;=0,1,0)</f>
        <v>0</v>
      </c>
      <c r="F80" s="39" t="n">
        <f aca="false">IF(F76&gt;=0,1,0)</f>
        <v>0</v>
      </c>
      <c r="G80" s="39" t="n">
        <f aca="false">IF(G76&gt;=0,1,0)</f>
        <v>0</v>
      </c>
      <c r="H80" s="39" t="n">
        <f aca="false">IF(H76&gt;=0,1,0)</f>
        <v>0</v>
      </c>
      <c r="I80" s="39" t="n">
        <f aca="false">IF(I76&gt;=0,1,0)</f>
        <v>0</v>
      </c>
      <c r="J80" s="39" t="n">
        <f aca="false">IF(J76&gt;=0,1,0)</f>
        <v>0</v>
      </c>
      <c r="K80" s="39" t="n">
        <f aca="false">IF(K76&gt;=0,1,0)</f>
        <v>0</v>
      </c>
      <c r="L80" s="39" t="n">
        <f aca="false">IF(L76&gt;=0,1,0)</f>
        <v>0</v>
      </c>
      <c r="M80" s="39" t="n">
        <f aca="false">IF(M76&gt;=0,1,0)</f>
        <v>0</v>
      </c>
      <c r="N80" s="39" t="n">
        <f aca="false">IF(N76&gt;=0,1,0)</f>
        <v>0</v>
      </c>
      <c r="O80" s="39" t="n">
        <f aca="false">IF(O76&gt;=0,1,0)</f>
        <v>0</v>
      </c>
      <c r="P80" s="39" t="n">
        <f aca="false">IF(P76&gt;=0,1,0)</f>
        <v>0</v>
      </c>
      <c r="Q80" s="39" t="n">
        <f aca="false">IF(Q76&gt;=0,1,0)</f>
        <v>0</v>
      </c>
      <c r="R80" s="39" t="n">
        <f aca="false">IF(R76&gt;=0,1,0)</f>
        <v>0</v>
      </c>
      <c r="S80" s="39" t="n">
        <f aca="false">IF(S76&gt;=0,1,0)</f>
        <v>0</v>
      </c>
      <c r="T80" s="39" t="n">
        <f aca="false">IF(T76&gt;=0,1,0)</f>
        <v>0</v>
      </c>
      <c r="U80" s="39" t="n">
        <f aca="false">IF(U76&gt;=0,1,0)</f>
        <v>0</v>
      </c>
      <c r="V80" s="39" t="n">
        <f aca="false">IF(V76&gt;=0,1,0)</f>
        <v>0</v>
      </c>
      <c r="W80" s="39" t="n">
        <f aca="false">IF(W76&gt;=0,1,0)</f>
        <v>0</v>
      </c>
      <c r="X80" s="39" t="n">
        <f aca="false">IF(X76&gt;=0,1,0)</f>
        <v>0</v>
      </c>
      <c r="Y80" s="39" t="n">
        <f aca="false">IF(Y76&gt;=0,1,0)</f>
        <v>0</v>
      </c>
      <c r="Z80" s="39" t="n">
        <f aca="false">IF(Z76&gt;=0,1,0)</f>
        <v>0</v>
      </c>
      <c r="AA80" s="39" t="n">
        <f aca="false">IF(AA76&gt;=0,1,0)</f>
        <v>0</v>
      </c>
      <c r="AB80" s="39" t="n">
        <f aca="false">IF(AB76&gt;=0,1,0)</f>
        <v>0</v>
      </c>
      <c r="AC80" s="39" t="n">
        <f aca="false">IF(AC76&gt;=0,1,0)</f>
        <v>0</v>
      </c>
      <c r="AD80" s="39" t="n">
        <f aca="false">IF(AD76&gt;=0,1,0)</f>
        <v>0</v>
      </c>
      <c r="AE80" s="39" t="n">
        <f aca="false">IF(AE76&gt;=0,1,0)</f>
        <v>0</v>
      </c>
      <c r="AF80" s="39" t="n">
        <f aca="false">IF(AF76&gt;=0,1,0)</f>
        <v>0</v>
      </c>
      <c r="AG80" s="39" t="n">
        <f aca="false">IF(AG76&gt;=0,1,0)</f>
        <v>0</v>
      </c>
      <c r="AH80" s="39" t="n">
        <f aca="false">IF(AH76&gt;=0,1,0)</f>
        <v>0</v>
      </c>
      <c r="AI80" s="39" t="n">
        <f aca="false">IF(AI76&gt;=0,1,0)</f>
        <v>0</v>
      </c>
      <c r="AJ80" s="39" t="n">
        <f aca="false">IF(AJ76&gt;=0,1,0)</f>
        <v>0</v>
      </c>
      <c r="AK80" s="39" t="n">
        <f aca="false">IF(AK76&gt;=0,1,0)</f>
        <v>0</v>
      </c>
      <c r="AL80" s="39" t="n">
        <f aca="false">IF(AL76&gt;=0,1,0)</f>
        <v>0</v>
      </c>
      <c r="AM80" s="39" t="n">
        <f aca="false">IF(AM76&gt;=0,1,0)</f>
        <v>0</v>
      </c>
      <c r="AN80" s="40" t="n">
        <f aca="false">IF(AN76&gt;=0,1,0)</f>
        <v>0</v>
      </c>
      <c r="AO80" s="40" t="n">
        <f aca="false">IF(AO76&gt;=0,1,0)</f>
        <v>0</v>
      </c>
      <c r="AP80" s="40" t="n">
        <f aca="false">IF(AP76&gt;=0,1,0)</f>
        <v>0</v>
      </c>
      <c r="AQ80" s="40" t="n">
        <f aca="false">IF(AQ76&gt;=0,1,0)</f>
        <v>0</v>
      </c>
      <c r="AR80" s="40" t="n">
        <f aca="false">IF(AR76&gt;=0,1,0)</f>
        <v>0</v>
      </c>
      <c r="AS80" s="40" t="n">
        <f aca="false">IF(AS76&gt;=0,1,0)</f>
        <v>0</v>
      </c>
      <c r="AT80" s="40" t="n">
        <f aca="false">IF(AT76&gt;=0,1,0)</f>
        <v>0</v>
      </c>
      <c r="AU80" s="40" t="n">
        <f aca="false">IF(AU76&gt;=0,1,0)</f>
        <v>0</v>
      </c>
      <c r="AV80" s="40" t="n">
        <f aca="false">IF(AV76&gt;=0,1,0)</f>
        <v>0</v>
      </c>
      <c r="AW80" s="40" t="n">
        <f aca="false">IF(AW76&gt;=0,1,0)</f>
        <v>0</v>
      </c>
      <c r="AX80" s="40" t="n">
        <f aca="false">IF(AX76&gt;=0,1,0)</f>
        <v>0</v>
      </c>
      <c r="AY80" s="40" t="n">
        <f aca="false">IF(AY76&gt;=0,1,0)</f>
        <v>0</v>
      </c>
      <c r="AZ80" s="40" t="n">
        <f aca="false">IF(AZ76&gt;=0,1,0)</f>
        <v>0</v>
      </c>
      <c r="BA80" s="40" t="n">
        <f aca="false">IF(BA76&gt;=0,1,0)</f>
        <v>0</v>
      </c>
      <c r="BB80" s="40" t="n">
        <f aca="false">IF(BB76&gt;=0,1,0)</f>
        <v>0</v>
      </c>
      <c r="BC80" s="40" t="n">
        <f aca="false">IF(BC76&gt;=0,1,0)</f>
        <v>0</v>
      </c>
      <c r="BD80" s="40" t="n">
        <f aca="false">IF(BD76&gt;=0,1,0)</f>
        <v>0</v>
      </c>
      <c r="BE80" s="40" t="n">
        <f aca="false">IF(BE76&gt;=0,1,0)</f>
        <v>0</v>
      </c>
      <c r="BF80" s="40" t="n">
        <f aca="false">IF(BF76&gt;=0,1,0)</f>
        <v>0</v>
      </c>
      <c r="BG80" s="40" t="n">
        <f aca="false">IF(BG76&gt;=0,1,0)</f>
        <v>0</v>
      </c>
      <c r="BH80" s="40" t="n">
        <f aca="false">IF(BH76&gt;=0,1,0)</f>
        <v>0</v>
      </c>
      <c r="BI80" s="40" t="n">
        <f aca="false">IF(BI76&gt;=0,1,0)</f>
        <v>1</v>
      </c>
      <c r="BJ80" s="40" t="n">
        <f aca="false">IF(BJ76&gt;=0,1,0)</f>
        <v>0</v>
      </c>
      <c r="BK80" s="40" t="n">
        <f aca="false">IF(BK76&gt;=0,1,0)</f>
        <v>1</v>
      </c>
    </row>
    <row r="81" customFormat="false" ht="15" hidden="false" customHeight="false" outlineLevel="0" collapsed="false">
      <c r="A81" s="28" t="s">
        <v>669</v>
      </c>
      <c r="B81" s="6" t="s">
        <v>670</v>
      </c>
      <c r="C81" s="51"/>
      <c r="D81" s="39" t="n">
        <f aca="false">IF(AND(D80=1,E81=1),1,0)</f>
        <v>0</v>
      </c>
      <c r="E81" s="39" t="n">
        <f aca="false">IF(AND(E80=1,F81=1),1,0)</f>
        <v>0</v>
      </c>
      <c r="F81" s="39" t="n">
        <f aca="false">IF(AND(F80=1,G81=1),1,0)</f>
        <v>0</v>
      </c>
      <c r="G81" s="39" t="n">
        <f aca="false">IF(AND(G80=1,H81=1),1,0)</f>
        <v>0</v>
      </c>
      <c r="H81" s="39" t="n">
        <f aca="false">IF(AND(H80=1,I81=1),1,0)</f>
        <v>0</v>
      </c>
      <c r="I81" s="39" t="n">
        <f aca="false">IF(AND(I80=1,J81=1),1,0)</f>
        <v>0</v>
      </c>
      <c r="J81" s="39" t="n">
        <f aca="false">IF(AND(J80=1,K81=1),1,0)</f>
        <v>0</v>
      </c>
      <c r="K81" s="39" t="n">
        <f aca="false">IF(AND(K80=1,L81=1),1,0)</f>
        <v>0</v>
      </c>
      <c r="L81" s="39" t="n">
        <f aca="false">IF(AND(L80=1,M81=1),1,0)</f>
        <v>0</v>
      </c>
      <c r="M81" s="39" t="n">
        <f aca="false">IF(AND(M80=1,N81=1),1,0)</f>
        <v>0</v>
      </c>
      <c r="N81" s="39" t="n">
        <f aca="false">IF(AND(N80=1,O81=1),1,0)</f>
        <v>0</v>
      </c>
      <c r="O81" s="39" t="n">
        <f aca="false">IF(AND(O80=1,P81=1),1,0)</f>
        <v>0</v>
      </c>
      <c r="P81" s="39" t="n">
        <f aca="false">IF(AND(P80=1,Q81=1),1,0)</f>
        <v>0</v>
      </c>
      <c r="Q81" s="39" t="n">
        <f aca="false">IF(AND(Q80=1,R81=1),1,0)</f>
        <v>0</v>
      </c>
      <c r="R81" s="39" t="n">
        <f aca="false">IF(AND(R80=1,S81=1),1,0)</f>
        <v>0</v>
      </c>
      <c r="S81" s="39" t="n">
        <f aca="false">IF(AND(S80=1,T81=1),1,0)</f>
        <v>0</v>
      </c>
      <c r="T81" s="39" t="n">
        <f aca="false">IF(AND(T80=1,U81=1),1,0)</f>
        <v>0</v>
      </c>
      <c r="U81" s="39" t="n">
        <f aca="false">IF(AND(U80=1,V81=1),1,0)</f>
        <v>0</v>
      </c>
      <c r="V81" s="39" t="n">
        <f aca="false">IF(AND(V80=1,W81=1),1,0)</f>
        <v>0</v>
      </c>
      <c r="W81" s="39" t="n">
        <f aca="false">IF(AND(W80=1,X81=1),1,0)</f>
        <v>0</v>
      </c>
      <c r="X81" s="39" t="n">
        <f aca="false">IF(AND(X80=1,Y81=1),1,0)</f>
        <v>0</v>
      </c>
      <c r="Y81" s="39" t="n">
        <f aca="false">IF(AND(Y80=1,Z81=1),1,0)</f>
        <v>0</v>
      </c>
      <c r="Z81" s="39" t="n">
        <f aca="false">IF(AND(Z80=1,AA81=1),1,0)</f>
        <v>0</v>
      </c>
      <c r="AA81" s="39" t="n">
        <f aca="false">IF(AND(AA80=1,AB81=1),1,0)</f>
        <v>0</v>
      </c>
      <c r="AB81" s="39" t="n">
        <f aca="false">IF(AND(AB80=1,AC81=1),1,0)</f>
        <v>0</v>
      </c>
      <c r="AC81" s="39" t="n">
        <f aca="false">IF(AND(AC80=1,AD81=1),1,0)</f>
        <v>0</v>
      </c>
      <c r="AD81" s="39" t="n">
        <f aca="false">IF(AND(AD80=1,AE81=1),1,0)</f>
        <v>0</v>
      </c>
      <c r="AE81" s="39" t="n">
        <f aca="false">IF(AND(AE80=1,AF81=1),1,0)</f>
        <v>0</v>
      </c>
      <c r="AF81" s="39" t="n">
        <f aca="false">IF(AND(AF80=1,AG81=1),1,0)</f>
        <v>0</v>
      </c>
      <c r="AG81" s="39" t="n">
        <f aca="false">IF(AND(AG80=1,AH81=1),1,0)</f>
        <v>0</v>
      </c>
      <c r="AH81" s="39" t="n">
        <f aca="false">IF(AND(AH80=1,AI81=1),1,0)</f>
        <v>0</v>
      </c>
      <c r="AI81" s="39" t="n">
        <f aca="false">IF(AND(AI80=1,AJ81=1),1,0)</f>
        <v>0</v>
      </c>
      <c r="AJ81" s="39" t="n">
        <f aca="false">IF(AND(AJ80=1,AK81=1),1,0)</f>
        <v>0</v>
      </c>
      <c r="AK81" s="39" t="n">
        <f aca="false">IF(AND(AK80=1,AL81=1),1,0)</f>
        <v>0</v>
      </c>
      <c r="AL81" s="39" t="n">
        <f aca="false">IF(AND(AL80=1,AM81=1),1,0)</f>
        <v>0</v>
      </c>
      <c r="AM81" s="39" t="n">
        <f aca="false">AM80</f>
        <v>0</v>
      </c>
    </row>
    <row r="82" customFormat="false" ht="15" hidden="false" customHeight="false" outlineLevel="0" collapsed="false">
      <c r="A82" s="28" t="s">
        <v>671</v>
      </c>
      <c r="B82" s="6" t="s">
        <v>672</v>
      </c>
      <c r="C82" s="51"/>
      <c r="D82" s="39" t="n">
        <f aca="false">IF(AND(D80=1,E82=1),1,0)</f>
        <v>0</v>
      </c>
      <c r="E82" s="39" t="n">
        <f aca="false">IF(AND(E80=1,F82=1),1,0)</f>
        <v>0</v>
      </c>
      <c r="F82" s="39" t="n">
        <f aca="false">IF(AND(F80=1,G82=1),1,0)</f>
        <v>0</v>
      </c>
      <c r="G82" s="39" t="n">
        <f aca="false">IF(AND(G80=1,H82=1),1,0)</f>
        <v>0</v>
      </c>
      <c r="H82" s="39" t="n">
        <f aca="false">IF(AND(H80=1,I82=1),1,0)</f>
        <v>0</v>
      </c>
      <c r="I82" s="39" t="n">
        <f aca="false">IF(AND(I80=1,J82=1),1,0)</f>
        <v>0</v>
      </c>
      <c r="J82" s="39" t="n">
        <f aca="false">IF(AND(J80=1,K82=1),1,0)</f>
        <v>0</v>
      </c>
      <c r="K82" s="39" t="n">
        <f aca="false">IF(AND(K80=1,L82=1),1,0)</f>
        <v>0</v>
      </c>
      <c r="L82" s="39" t="n">
        <f aca="false">IF(AND(L80=1,M82=1),1,0)</f>
        <v>0</v>
      </c>
      <c r="M82" s="39" t="n">
        <f aca="false">IF(AND(M80=1,N82=1),1,0)</f>
        <v>0</v>
      </c>
      <c r="N82" s="39" t="n">
        <f aca="false">IF(AND(N80=1,O82=1),1,0)</f>
        <v>0</v>
      </c>
      <c r="O82" s="39" t="n">
        <f aca="false">IF(AND(O80=1,P82=1),1,0)</f>
        <v>0</v>
      </c>
      <c r="P82" s="39" t="n">
        <f aca="false">IF(AND(P80=1,Q82=1),1,0)</f>
        <v>0</v>
      </c>
      <c r="Q82" s="39" t="n">
        <f aca="false">IF(AND(Q80=1,R82=1),1,0)</f>
        <v>0</v>
      </c>
      <c r="R82" s="39" t="n">
        <f aca="false">IF(AND(R80=1,S82=1),1,0)</f>
        <v>0</v>
      </c>
      <c r="S82" s="39" t="n">
        <f aca="false">IF(AND(S80=1,T82=1),1,0)</f>
        <v>0</v>
      </c>
      <c r="T82" s="39" t="n">
        <f aca="false">IF(AND(T80=1,U82=1),1,0)</f>
        <v>0</v>
      </c>
      <c r="U82" s="39" t="n">
        <f aca="false">IF(AND(U80=1,V82=1),1,0)</f>
        <v>0</v>
      </c>
      <c r="V82" s="39" t="n">
        <f aca="false">IF(AND(V80=1,W82=1),1,0)</f>
        <v>0</v>
      </c>
      <c r="W82" s="39" t="n">
        <f aca="false">IF(AND(W80=1,X82=1),1,0)</f>
        <v>0</v>
      </c>
      <c r="X82" s="39" t="n">
        <f aca="false">IF(AND(X80=1,Y82=1),1,0)</f>
        <v>0</v>
      </c>
      <c r="Y82" s="39" t="n">
        <f aca="false">IF(AND(Y80=1,Z82=1),1,0)</f>
        <v>0</v>
      </c>
      <c r="Z82" s="39" t="n">
        <f aca="false">IF(AND(Z80=1,AA82=1),1,0)</f>
        <v>0</v>
      </c>
      <c r="AA82" s="39" t="n">
        <f aca="false">IF(AND(AA80=1,AB82=1),1,0)</f>
        <v>0</v>
      </c>
      <c r="AB82" s="39" t="n">
        <f aca="false">IF(AND(AB80=1,AC82=1),1,0)</f>
        <v>0</v>
      </c>
      <c r="AC82" s="39" t="n">
        <f aca="false">IF(AND(AC80=1,AD82=1),1,0)</f>
        <v>0</v>
      </c>
      <c r="AD82" s="39" t="n">
        <f aca="false">IF(AND(AD80=1,AE82=1),1,0)</f>
        <v>0</v>
      </c>
      <c r="AE82" s="39" t="n">
        <f aca="false">IF(AND(AE80=1,AF82=1),1,0)</f>
        <v>0</v>
      </c>
      <c r="AF82" s="39" t="n">
        <f aca="false">IF(AND(AF80=1,AG82=1),1,0)</f>
        <v>0</v>
      </c>
      <c r="AG82" s="39" t="n">
        <f aca="false">IF(AND(AG80=1,AH82=1),1,0)</f>
        <v>0</v>
      </c>
      <c r="AH82" s="39" t="n">
        <f aca="false">IF(AND(AH80=1,AI82=1),1,0)</f>
        <v>0</v>
      </c>
      <c r="AI82" s="39" t="n">
        <f aca="false">IF(AND(AI80=1,AJ82=1),1,0)</f>
        <v>0</v>
      </c>
      <c r="AJ82" s="39" t="n">
        <f aca="false">IF(AND(AJ80=1,AK82=1),1,0)</f>
        <v>0</v>
      </c>
      <c r="AK82" s="39" t="n">
        <f aca="false">IF(AND(AK80=1,AL82=1),1,0)</f>
        <v>0</v>
      </c>
      <c r="AL82" s="39" t="n">
        <f aca="false">IF(AND(AL80=1,AM82=1),1,0)</f>
        <v>0</v>
      </c>
      <c r="AM82" s="39" t="n">
        <f aca="false">IF(AND(AM80=1,AN82=1),1,0)</f>
        <v>0</v>
      </c>
      <c r="AN82" s="39" t="n">
        <f aca="false">IF(AND(AN80=1,AO82=1),1,0)</f>
        <v>0</v>
      </c>
      <c r="AO82" s="39" t="n">
        <f aca="false">IF(AND(AO80=1,AP82=1),1,0)</f>
        <v>0</v>
      </c>
      <c r="AP82" s="39" t="n">
        <f aca="false">IF(AND(AP80=1,AQ82=1),1,0)</f>
        <v>0</v>
      </c>
      <c r="AQ82" s="39" t="n">
        <f aca="false">IF(AND(AQ80=1,AR82=1),1,0)</f>
        <v>0</v>
      </c>
      <c r="AR82" s="39" t="n">
        <f aca="false">IF(AND(AR80=1,AS82=1),1,0)</f>
        <v>0</v>
      </c>
      <c r="AS82" s="39" t="n">
        <f aca="false">IF(AND(AS80=1,AT82=1),1,0)</f>
        <v>0</v>
      </c>
      <c r="AT82" s="39" t="n">
        <f aca="false">IF(AND(AT80=1,AU82=1),1,0)</f>
        <v>0</v>
      </c>
      <c r="AU82" s="39" t="n">
        <f aca="false">IF(AND(AU80=1,AV82=1),1,0)</f>
        <v>0</v>
      </c>
      <c r="AV82" s="39" t="n">
        <f aca="false">IF(AND(AV80=1,AW82=1),1,0)</f>
        <v>0</v>
      </c>
      <c r="AW82" s="39" t="n">
        <f aca="false">IF(AND(AW80=1,AX82=1),1,0)</f>
        <v>0</v>
      </c>
      <c r="AX82" s="39" t="n">
        <f aca="false">IF(AND(AX80=1,AY82=1),1,0)</f>
        <v>0</v>
      </c>
      <c r="AY82" s="39" t="n">
        <f aca="false">IF(AND(AY80=1,AZ82=1),1,0)</f>
        <v>0</v>
      </c>
      <c r="AZ82" s="39" t="n">
        <f aca="false">IF(AND(AZ80=1,BA82=1),1,0)</f>
        <v>0</v>
      </c>
      <c r="BA82" s="39" t="n">
        <f aca="false">IF(AND(BA80=1,BB82=1),1,0)</f>
        <v>0</v>
      </c>
      <c r="BB82" s="39" t="n">
        <f aca="false">IF(AND(BB80=1,BC82=1),1,0)</f>
        <v>0</v>
      </c>
      <c r="BC82" s="39" t="n">
        <f aca="false">IF(AND(BC80=1,BD82=1),1,0)</f>
        <v>0</v>
      </c>
      <c r="BD82" s="39" t="n">
        <f aca="false">IF(AND(BD80=1,BE82=1),1,0)</f>
        <v>0</v>
      </c>
      <c r="BE82" s="39" t="n">
        <f aca="false">IF(AND(BE80=1,BF82=1),1,0)</f>
        <v>0</v>
      </c>
      <c r="BF82" s="39" t="n">
        <f aca="false">IF(AND(BF80=1,BG82=1),1,0)</f>
        <v>0</v>
      </c>
      <c r="BG82" s="39" t="n">
        <f aca="false">IF(AND(BG80=1,BH82=1),1,0)</f>
        <v>0</v>
      </c>
      <c r="BH82" s="39" t="n">
        <f aca="false">IF(AND(BH80=1,BI82=1),1,0)</f>
        <v>0</v>
      </c>
      <c r="BI82" s="39" t="n">
        <f aca="false">IF(AND(BI80=1,BJ82=1),1,0)</f>
        <v>0</v>
      </c>
      <c r="BJ82" s="39" t="n">
        <f aca="false">IF(AND(BJ80=1,BK82=1),1,0)</f>
        <v>0</v>
      </c>
      <c r="BK82" s="39" t="n">
        <f aca="false">BK80</f>
        <v>1</v>
      </c>
    </row>
    <row r="84" customFormat="false" ht="17.35" hidden="false" customHeight="false" outlineLevel="0" collapsed="false">
      <c r="B84" s="1" t="s">
        <v>673</v>
      </c>
    </row>
    <row r="85" customFormat="false" ht="15" hidden="false" customHeight="false" outlineLevel="0" collapsed="false">
      <c r="B85" s="5" t="s">
        <v>674</v>
      </c>
      <c r="C85" s="52" t="str">
        <f aca="false">IFERROR(MATCH(1,D81:AM81,0),"none")</f>
        <v>none</v>
      </c>
    </row>
    <row r="86" customFormat="false" ht="15" hidden="false" customHeight="false" outlineLevel="0" collapsed="false">
      <c r="B86" s="5" t="s">
        <v>675</v>
      </c>
      <c r="C86" s="52" t="n">
        <f aca="false">IFERROR(MATCH(1,D82:BK82,0),"none")</f>
        <v>60</v>
      </c>
    </row>
    <row r="87" customFormat="false" ht="15" hidden="false" customHeight="false" outlineLevel="0" collapsed="false">
      <c r="B87" s="5" t="s">
        <v>676</v>
      </c>
      <c r="C87" s="52" t="str">
        <f aca="false">IFERROR(MATCH(1,D80:AM80,0),"none")</f>
        <v>none</v>
      </c>
    </row>
    <row r="88" customFormat="false" ht="15" hidden="false" customHeight="false" outlineLevel="0" collapsed="false">
      <c r="B88" s="5" t="s">
        <v>485</v>
      </c>
      <c r="C88" s="53" t="n">
        <f aca="false">-MIN(0,MIN(D77:AM77))</f>
        <v>322991.102253089</v>
      </c>
    </row>
    <row r="89" customFormat="false" ht="15" hidden="false" customHeight="false" outlineLevel="0" collapsed="false">
      <c r="B89" s="5" t="s">
        <v>677</v>
      </c>
      <c r="C89" s="52" t="n">
        <f aca="false">MATCH(MIN(D77:AM77),D77:AM77,0)</f>
        <v>36</v>
      </c>
    </row>
    <row r="90" customFormat="false" ht="15" hidden="false" customHeight="false" outlineLevel="0" collapsed="false">
      <c r="B90" s="5" t="s">
        <v>678</v>
      </c>
      <c r="C90" s="53" t="n">
        <f aca="false">-MIN(0,MIN(D77:BK77))</f>
        <v>420715.244799276</v>
      </c>
    </row>
    <row r="91" customFormat="false" ht="15" hidden="false" customHeight="false" outlineLevel="0" collapsed="false">
      <c r="B91" s="5" t="s">
        <v>488</v>
      </c>
      <c r="C91" s="52" t="n">
        <f aca="false">IFERROR(MATCH(1,D16:AM16,0),"none")</f>
        <v>22</v>
      </c>
    </row>
    <row r="92" customFormat="false" ht="15" hidden="false" customHeight="false" outlineLevel="0" collapsed="false">
      <c r="B92" s="5" t="s">
        <v>489</v>
      </c>
      <c r="C92" s="52" t="n">
        <f aca="false">IFERROR(MATCH(1,D17:AM17,0),"none")</f>
        <v>22</v>
      </c>
    </row>
    <row r="93" customFormat="false" ht="15" hidden="false" customHeight="false" outlineLevel="0" collapsed="false">
      <c r="B93" s="5" t="s">
        <v>679</v>
      </c>
      <c r="C93" s="52" t="n">
        <f aca="false">IFERROR(MATCH(1,D18:AM18,0),"none")</f>
        <v>18</v>
      </c>
    </row>
    <row r="94" customFormat="false" ht="15" hidden="false" customHeight="false" outlineLevel="0" collapsed="false">
      <c r="B94" s="5" t="s">
        <v>491</v>
      </c>
      <c r="C94" s="52" t="str">
        <f aca="false">IFERROR(MATCH(1,D19:AM19,0),"none")</f>
        <v>none</v>
      </c>
    </row>
    <row r="95" customFormat="false" ht="15" hidden="false" customHeight="false" outlineLevel="0" collapsed="false">
      <c r="B95" s="5" t="s">
        <v>492</v>
      </c>
      <c r="C95" s="54" t="n">
        <f aca="false">AM13</f>
        <v>398.760479684234</v>
      </c>
    </row>
    <row r="96" customFormat="false" ht="15" hidden="false" customHeight="false" outlineLevel="0" collapsed="false">
      <c r="B96" s="5" t="s">
        <v>493</v>
      </c>
      <c r="C96" s="54" t="n">
        <f aca="false">AM32</f>
        <v>58.1043885634005</v>
      </c>
    </row>
    <row r="97" customFormat="false" ht="15" hidden="false" customHeight="false" outlineLevel="0" collapsed="false">
      <c r="B97" s="5" t="s">
        <v>494</v>
      </c>
      <c r="C97" s="54" t="n">
        <f aca="false">AM24</f>
        <v>19474.9912321755</v>
      </c>
    </row>
    <row r="98" customFormat="false" ht="15" hidden="false" customHeight="false" outlineLevel="0" collapsed="false">
      <c r="B98" s="5" t="s">
        <v>495</v>
      </c>
      <c r="C98" s="53" t="n">
        <f aca="false">AM46</f>
        <v>8117.51312001458</v>
      </c>
    </row>
    <row r="99" customFormat="false" ht="15" hidden="false" customHeight="false" outlineLevel="0" collapsed="false">
      <c r="B99" s="5" t="s">
        <v>496</v>
      </c>
      <c r="C99" s="53" t="n">
        <f aca="false">AM76</f>
        <v>-9622.44895970039</v>
      </c>
    </row>
    <row r="100" customFormat="false" ht="15" hidden="false" customHeight="false" outlineLevel="0" collapsed="false">
      <c r="B100" s="5" t="s">
        <v>497</v>
      </c>
      <c r="C100" s="53" t="n">
        <f aca="false">SUM(D46:O46)</f>
        <v>0</v>
      </c>
    </row>
    <row r="101" customFormat="false" ht="15" hidden="false" customHeight="false" outlineLevel="0" collapsed="false">
      <c r="B101" s="5" t="s">
        <v>498</v>
      </c>
      <c r="C101" s="53" t="n">
        <f aca="false">SUM(P46:AA46)</f>
        <v>8877.78282342445</v>
      </c>
    </row>
    <row r="102" customFormat="false" ht="15" hidden="false" customHeight="false" outlineLevel="0" collapsed="false">
      <c r="B102" s="5" t="s">
        <v>499</v>
      </c>
      <c r="C102" s="53" t="n">
        <f aca="false">SUM(AB46:AM46)</f>
        <v>62747.4566900113</v>
      </c>
    </row>
    <row r="103" customFormat="false" ht="15" hidden="false" customHeight="false" outlineLevel="0" collapsed="false">
      <c r="B103" s="5" t="s">
        <v>500</v>
      </c>
      <c r="C103" s="53" t="n">
        <f aca="false">SUM(D76:O76)</f>
        <v>-84348.511480517</v>
      </c>
    </row>
    <row r="104" customFormat="false" ht="15" hidden="false" customHeight="false" outlineLevel="0" collapsed="false">
      <c r="B104" s="5" t="s">
        <v>501</v>
      </c>
      <c r="C104" s="53" t="n">
        <f aca="false">SUM(P76:AA76)</f>
        <v>-113012.321170328</v>
      </c>
    </row>
    <row r="105" customFormat="false" ht="15" hidden="false" customHeight="false" outlineLevel="0" collapsed="false">
      <c r="B105" s="5" t="s">
        <v>502</v>
      </c>
      <c r="C105" s="53" t="n">
        <f aca="false">SUM(AB76:AM76)</f>
        <v>-125630.269602244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63" min="3" style="0" width="11"/>
  </cols>
  <sheetData>
    <row r="1" customFormat="false" ht="17.35" hidden="false" customHeight="false" outlineLevel="0" collapsed="false">
      <c r="A1" s="1" t="s">
        <v>680</v>
      </c>
    </row>
    <row r="2" customFormat="false" ht="15" hidden="false" customHeight="false" outlineLevel="0" collapsed="false">
      <c r="A2" s="3" t="s">
        <v>681</v>
      </c>
    </row>
    <row r="4" customFormat="false" ht="15" hidden="false" customHeight="false" outlineLevel="0" collapsed="false">
      <c r="B4" s="5" t="s">
        <v>531</v>
      </c>
      <c r="C4" s="4" t="n">
        <v>0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19" t="n">
        <v>37</v>
      </c>
      <c r="AO4" s="19" t="n">
        <v>38</v>
      </c>
      <c r="AP4" s="19" t="n">
        <v>39</v>
      </c>
      <c r="AQ4" s="19" t="n">
        <v>40</v>
      </c>
      <c r="AR4" s="19" t="n">
        <v>41</v>
      </c>
      <c r="AS4" s="19" t="n">
        <v>42</v>
      </c>
      <c r="AT4" s="19" t="n">
        <v>43</v>
      </c>
      <c r="AU4" s="19" t="n">
        <v>44</v>
      </c>
      <c r="AV4" s="19" t="n">
        <v>45</v>
      </c>
      <c r="AW4" s="19" t="n">
        <v>46</v>
      </c>
      <c r="AX4" s="19" t="n">
        <v>47</v>
      </c>
      <c r="AY4" s="19" t="n">
        <v>48</v>
      </c>
      <c r="AZ4" s="19" t="n">
        <v>49</v>
      </c>
      <c r="BA4" s="19" t="n">
        <v>50</v>
      </c>
      <c r="BB4" s="19" t="n">
        <v>51</v>
      </c>
      <c r="BC4" s="19" t="n">
        <v>52</v>
      </c>
      <c r="BD4" s="19" t="n">
        <v>53</v>
      </c>
      <c r="BE4" s="19" t="n">
        <v>54</v>
      </c>
      <c r="BF4" s="19" t="n">
        <v>55</v>
      </c>
      <c r="BG4" s="19" t="n">
        <v>56</v>
      </c>
      <c r="BH4" s="19" t="n">
        <v>57</v>
      </c>
      <c r="BI4" s="19" t="n">
        <v>58</v>
      </c>
      <c r="BJ4" s="19" t="n">
        <v>59</v>
      </c>
      <c r="BK4" s="19" t="n">
        <v>60</v>
      </c>
    </row>
    <row r="5" customFormat="false" ht="15" hidden="false" customHeight="false" outlineLevel="0" collapsed="false">
      <c r="B5" s="5" t="s">
        <v>402</v>
      </c>
      <c r="C5" s="5" t="s">
        <v>532</v>
      </c>
      <c r="D5" s="5" t="s">
        <v>403</v>
      </c>
      <c r="E5" s="5" t="s">
        <v>404</v>
      </c>
      <c r="F5" s="5" t="s">
        <v>405</v>
      </c>
      <c r="G5" s="5" t="s">
        <v>406</v>
      </c>
      <c r="H5" s="5" t="s">
        <v>407</v>
      </c>
      <c r="I5" s="5" t="s">
        <v>408</v>
      </c>
      <c r="J5" s="5" t="s">
        <v>409</v>
      </c>
      <c r="K5" s="5" t="s">
        <v>410</v>
      </c>
      <c r="L5" s="5" t="s">
        <v>411</v>
      </c>
      <c r="M5" s="5" t="s">
        <v>412</v>
      </c>
      <c r="N5" s="5" t="s">
        <v>413</v>
      </c>
      <c r="O5" s="5" t="s">
        <v>414</v>
      </c>
      <c r="P5" s="5" t="s">
        <v>415</v>
      </c>
      <c r="Q5" s="5" t="s">
        <v>416</v>
      </c>
      <c r="R5" s="5" t="s">
        <v>417</v>
      </c>
      <c r="S5" s="5" t="s">
        <v>418</v>
      </c>
      <c r="T5" s="5" t="s">
        <v>419</v>
      </c>
      <c r="U5" s="5" t="s">
        <v>420</v>
      </c>
      <c r="V5" s="5" t="s">
        <v>421</v>
      </c>
      <c r="W5" s="5" t="s">
        <v>422</v>
      </c>
      <c r="X5" s="5" t="s">
        <v>423</v>
      </c>
      <c r="Y5" s="5" t="s">
        <v>424</v>
      </c>
      <c r="Z5" s="5" t="s">
        <v>425</v>
      </c>
      <c r="AA5" s="5" t="s">
        <v>426</v>
      </c>
      <c r="AB5" s="5" t="s">
        <v>427</v>
      </c>
      <c r="AC5" s="5" t="s">
        <v>428</v>
      </c>
      <c r="AD5" s="5" t="s">
        <v>429</v>
      </c>
      <c r="AE5" s="5" t="s">
        <v>430</v>
      </c>
      <c r="AF5" s="5" t="s">
        <v>431</v>
      </c>
      <c r="AG5" s="5" t="s">
        <v>432</v>
      </c>
      <c r="AH5" s="5" t="s">
        <v>433</v>
      </c>
      <c r="AI5" s="5" t="s">
        <v>434</v>
      </c>
      <c r="AJ5" s="5" t="s">
        <v>435</v>
      </c>
      <c r="AK5" s="5" t="s">
        <v>436</v>
      </c>
      <c r="AL5" s="5" t="s">
        <v>437</v>
      </c>
      <c r="AM5" s="5" t="s">
        <v>438</v>
      </c>
      <c r="AN5" s="5" t="s">
        <v>439</v>
      </c>
      <c r="AO5" s="5" t="s">
        <v>440</v>
      </c>
      <c r="AP5" s="5" t="s">
        <v>441</v>
      </c>
      <c r="AQ5" s="5" t="s">
        <v>442</v>
      </c>
      <c r="AR5" s="5" t="s">
        <v>443</v>
      </c>
      <c r="AS5" s="5" t="s">
        <v>444</v>
      </c>
      <c r="AT5" s="5" t="s">
        <v>445</v>
      </c>
      <c r="AU5" s="5" t="s">
        <v>446</v>
      </c>
      <c r="AV5" s="5" t="s">
        <v>447</v>
      </c>
      <c r="AW5" s="5" t="s">
        <v>448</v>
      </c>
      <c r="AX5" s="5" t="s">
        <v>449</v>
      </c>
      <c r="AY5" s="5" t="s">
        <v>450</v>
      </c>
      <c r="AZ5" s="5" t="s">
        <v>451</v>
      </c>
      <c r="BA5" s="5" t="s">
        <v>452</v>
      </c>
      <c r="BB5" s="5" t="s">
        <v>453</v>
      </c>
      <c r="BC5" s="5" t="s">
        <v>454</v>
      </c>
      <c r="BD5" s="5" t="s">
        <v>455</v>
      </c>
      <c r="BE5" s="5" t="s">
        <v>456</v>
      </c>
      <c r="BF5" s="5" t="s">
        <v>457</v>
      </c>
      <c r="BG5" s="5" t="s">
        <v>458</v>
      </c>
      <c r="BH5" s="5" t="s">
        <v>459</v>
      </c>
      <c r="BI5" s="5" t="s">
        <v>460</v>
      </c>
      <c r="BJ5" s="5" t="s">
        <v>461</v>
      </c>
      <c r="BK5" s="5" t="s">
        <v>462</v>
      </c>
    </row>
    <row r="6" customFormat="false" ht="15" hidden="false" customHeight="false" outlineLevel="0" collapsed="false">
      <c r="B6" s="5" t="s">
        <v>533</v>
      </c>
    </row>
    <row r="7" customFormat="false" ht="15" hidden="false" customHeight="false" outlineLevel="0" collapsed="false">
      <c r="A7" s="28" t="s">
        <v>534</v>
      </c>
      <c r="B7" s="6" t="s">
        <v>531</v>
      </c>
      <c r="C7" s="29" t="n">
        <v>0</v>
      </c>
      <c r="D7" s="30" t="n">
        <v>1</v>
      </c>
      <c r="E7" s="30" t="n">
        <v>2</v>
      </c>
      <c r="F7" s="30" t="n">
        <v>3</v>
      </c>
      <c r="G7" s="30" t="n">
        <v>4</v>
      </c>
      <c r="H7" s="30" t="n">
        <v>5</v>
      </c>
      <c r="I7" s="30" t="n">
        <v>6</v>
      </c>
      <c r="J7" s="30" t="n">
        <v>7</v>
      </c>
      <c r="K7" s="30" t="n">
        <v>8</v>
      </c>
      <c r="L7" s="30" t="n">
        <v>9</v>
      </c>
      <c r="M7" s="30" t="n">
        <v>10</v>
      </c>
      <c r="N7" s="30" t="n">
        <v>11</v>
      </c>
      <c r="O7" s="30" t="n">
        <v>12</v>
      </c>
      <c r="P7" s="30" t="n">
        <v>13</v>
      </c>
      <c r="Q7" s="30" t="n">
        <v>14</v>
      </c>
      <c r="R7" s="30" t="n">
        <v>15</v>
      </c>
      <c r="S7" s="30" t="n">
        <v>16</v>
      </c>
      <c r="T7" s="30" t="n">
        <v>17</v>
      </c>
      <c r="U7" s="30" t="n">
        <v>18</v>
      </c>
      <c r="V7" s="30" t="n">
        <v>19</v>
      </c>
      <c r="W7" s="30" t="n">
        <v>20</v>
      </c>
      <c r="X7" s="30" t="n">
        <v>21</v>
      </c>
      <c r="Y7" s="30" t="n">
        <v>22</v>
      </c>
      <c r="Z7" s="30" t="n">
        <v>23</v>
      </c>
      <c r="AA7" s="30" t="n">
        <v>24</v>
      </c>
      <c r="AB7" s="30" t="n">
        <v>25</v>
      </c>
      <c r="AC7" s="30" t="n">
        <v>26</v>
      </c>
      <c r="AD7" s="30" t="n">
        <v>27</v>
      </c>
      <c r="AE7" s="30" t="n">
        <v>28</v>
      </c>
      <c r="AF7" s="30" t="n">
        <v>29</v>
      </c>
      <c r="AG7" s="30" t="n">
        <v>30</v>
      </c>
      <c r="AH7" s="30" t="n">
        <v>31</v>
      </c>
      <c r="AI7" s="30" t="n">
        <v>32</v>
      </c>
      <c r="AJ7" s="30" t="n">
        <v>33</v>
      </c>
      <c r="AK7" s="30" t="n">
        <v>34</v>
      </c>
      <c r="AL7" s="30" t="n">
        <v>35</v>
      </c>
      <c r="AM7" s="30" t="n">
        <v>36</v>
      </c>
      <c r="AN7" s="31" t="n">
        <v>37</v>
      </c>
      <c r="AO7" s="31" t="n">
        <v>38</v>
      </c>
      <c r="AP7" s="31" t="n">
        <v>39</v>
      </c>
      <c r="AQ7" s="31" t="n">
        <v>40</v>
      </c>
      <c r="AR7" s="31" t="n">
        <v>41</v>
      </c>
      <c r="AS7" s="31" t="n">
        <v>42</v>
      </c>
      <c r="AT7" s="31" t="n">
        <v>43</v>
      </c>
      <c r="AU7" s="31" t="n">
        <v>44</v>
      </c>
      <c r="AV7" s="31" t="n">
        <v>45</v>
      </c>
      <c r="AW7" s="31" t="n">
        <v>46</v>
      </c>
      <c r="AX7" s="31" t="n">
        <v>47</v>
      </c>
      <c r="AY7" s="31" t="n">
        <v>48</v>
      </c>
      <c r="AZ7" s="31" t="n">
        <v>49</v>
      </c>
      <c r="BA7" s="31" t="n">
        <v>50</v>
      </c>
      <c r="BB7" s="31" t="n">
        <v>51</v>
      </c>
      <c r="BC7" s="31" t="n">
        <v>52</v>
      </c>
      <c r="BD7" s="31" t="n">
        <v>53</v>
      </c>
      <c r="BE7" s="31" t="n">
        <v>54</v>
      </c>
      <c r="BF7" s="31" t="n">
        <v>55</v>
      </c>
      <c r="BG7" s="31" t="n">
        <v>56</v>
      </c>
      <c r="BH7" s="31" t="n">
        <v>57</v>
      </c>
      <c r="BI7" s="31" t="n">
        <v>58</v>
      </c>
      <c r="BJ7" s="31" t="n">
        <v>59</v>
      </c>
      <c r="BK7" s="31" t="n">
        <v>60</v>
      </c>
    </row>
    <row r="8" customFormat="false" ht="15" hidden="false" customHeight="false" outlineLevel="0" collapsed="false">
      <c r="A8" s="28" t="s">
        <v>535</v>
      </c>
      <c r="B8" s="6" t="s">
        <v>536</v>
      </c>
      <c r="C8" s="32" t="n">
        <v>0</v>
      </c>
      <c r="D8" s="23" t="n">
        <f aca="false">Assumptions!C$140</f>
        <v>0</v>
      </c>
      <c r="E8" s="23" t="n">
        <f aca="false">Assumptions!D$140</f>
        <v>0</v>
      </c>
      <c r="F8" s="23" t="n">
        <f aca="false">Assumptions!E$140</f>
        <v>0</v>
      </c>
      <c r="G8" s="23" t="n">
        <f aca="false">Assumptions!F$140</f>
        <v>0</v>
      </c>
      <c r="H8" s="23" t="n">
        <f aca="false">Assumptions!G$140</f>
        <v>1</v>
      </c>
      <c r="I8" s="23" t="n">
        <f aca="false">Assumptions!H$140</f>
        <v>0</v>
      </c>
      <c r="J8" s="23" t="n">
        <f aca="false">Assumptions!I$140</f>
        <v>0</v>
      </c>
      <c r="K8" s="23" t="n">
        <f aca="false">Assumptions!J$140</f>
        <v>0</v>
      </c>
      <c r="L8" s="23" t="n">
        <f aca="false">Assumptions!K$140</f>
        <v>0</v>
      </c>
      <c r="M8" s="23" t="n">
        <f aca="false">Assumptions!L$140</f>
        <v>0</v>
      </c>
      <c r="N8" s="23" t="n">
        <f aca="false">Assumptions!M$140</f>
        <v>1</v>
      </c>
      <c r="O8" s="23" t="n">
        <f aca="false">Assumptions!N$140</f>
        <v>0</v>
      </c>
      <c r="P8" s="23" t="n">
        <f aca="false">Assumptions!O$140</f>
        <v>0</v>
      </c>
      <c r="Q8" s="23" t="n">
        <f aca="false">Assumptions!P$140</f>
        <v>1</v>
      </c>
      <c r="R8" s="23" t="n">
        <f aca="false">Assumptions!Q$140</f>
        <v>0</v>
      </c>
      <c r="S8" s="23" t="n">
        <f aca="false">Assumptions!R$140</f>
        <v>0</v>
      </c>
      <c r="T8" s="23" t="n">
        <f aca="false">Assumptions!S$140</f>
        <v>1</v>
      </c>
      <c r="U8" s="23" t="n">
        <f aca="false">Assumptions!T$140</f>
        <v>1</v>
      </c>
      <c r="V8" s="23" t="n">
        <f aca="false">Assumptions!U$140</f>
        <v>0</v>
      </c>
      <c r="W8" s="23" t="n">
        <f aca="false">Assumptions!V$140</f>
        <v>1</v>
      </c>
      <c r="X8" s="23" t="n">
        <f aca="false">Assumptions!W$140</f>
        <v>1</v>
      </c>
      <c r="Y8" s="23" t="n">
        <f aca="false">Assumptions!X$140</f>
        <v>0</v>
      </c>
      <c r="Z8" s="23" t="n">
        <f aca="false">Assumptions!Y$140</f>
        <v>1</v>
      </c>
      <c r="AA8" s="23" t="n">
        <f aca="false">Assumptions!Z$140</f>
        <v>1</v>
      </c>
      <c r="AB8" s="23" t="n">
        <f aca="false">Assumptions!AA$140</f>
        <v>0</v>
      </c>
      <c r="AC8" s="23" t="n">
        <f aca="false">Assumptions!AB$140</f>
        <v>1</v>
      </c>
      <c r="AD8" s="23" t="n">
        <f aca="false">Assumptions!AC$140</f>
        <v>1</v>
      </c>
      <c r="AE8" s="23" t="n">
        <f aca="false">Assumptions!AD$140</f>
        <v>1</v>
      </c>
      <c r="AF8" s="23" t="n">
        <f aca="false">Assumptions!AE$140</f>
        <v>1</v>
      </c>
      <c r="AG8" s="23" t="n">
        <f aca="false">Assumptions!AF$140</f>
        <v>1</v>
      </c>
      <c r="AH8" s="23" t="n">
        <f aca="false">Assumptions!AG$140</f>
        <v>1</v>
      </c>
      <c r="AI8" s="23" t="n">
        <f aca="false">Assumptions!AH$140</f>
        <v>1</v>
      </c>
      <c r="AJ8" s="23" t="n">
        <f aca="false">Assumptions!AI$140</f>
        <v>1</v>
      </c>
      <c r="AK8" s="23" t="n">
        <f aca="false">Assumptions!AJ$140</f>
        <v>1</v>
      </c>
      <c r="AL8" s="23" t="n">
        <f aca="false">Assumptions!AK$140</f>
        <v>1</v>
      </c>
      <c r="AM8" s="23" t="n">
        <f aca="false">Assumptions!AL$140</f>
        <v>1</v>
      </c>
      <c r="AN8" s="33" t="n">
        <f aca="false">Assumptions!AM$140</f>
        <v>1</v>
      </c>
      <c r="AO8" s="33" t="n">
        <f aca="false">Assumptions!AN$140</f>
        <v>1</v>
      </c>
      <c r="AP8" s="33" t="n">
        <f aca="false">Assumptions!AO$140</f>
        <v>1</v>
      </c>
      <c r="AQ8" s="33" t="n">
        <f aca="false">Assumptions!AP$140</f>
        <v>1</v>
      </c>
      <c r="AR8" s="33" t="n">
        <f aca="false">Assumptions!AQ$140</f>
        <v>1</v>
      </c>
      <c r="AS8" s="33" t="n">
        <f aca="false">Assumptions!AR$140</f>
        <v>1</v>
      </c>
      <c r="AT8" s="33" t="n">
        <f aca="false">Assumptions!AS$140</f>
        <v>1</v>
      </c>
      <c r="AU8" s="33" t="n">
        <f aca="false">Assumptions!AT$140</f>
        <v>1</v>
      </c>
      <c r="AV8" s="33" t="n">
        <f aca="false">Assumptions!AU$140</f>
        <v>1</v>
      </c>
      <c r="AW8" s="33" t="n">
        <f aca="false">Assumptions!AV$140</f>
        <v>1</v>
      </c>
      <c r="AX8" s="33" t="n">
        <f aca="false">Assumptions!AW$140</f>
        <v>1</v>
      </c>
      <c r="AY8" s="33" t="n">
        <f aca="false">Assumptions!AX$140</f>
        <v>1</v>
      </c>
      <c r="AZ8" s="33" t="n">
        <f aca="false">Assumptions!AY$140</f>
        <v>1</v>
      </c>
      <c r="BA8" s="33" t="n">
        <f aca="false">Assumptions!AZ$140</f>
        <v>1</v>
      </c>
      <c r="BB8" s="33" t="n">
        <f aca="false">Assumptions!BA$140</f>
        <v>1</v>
      </c>
      <c r="BC8" s="33" t="n">
        <f aca="false">Assumptions!BB$140</f>
        <v>1</v>
      </c>
      <c r="BD8" s="33" t="n">
        <f aca="false">Assumptions!BC$140</f>
        <v>1</v>
      </c>
      <c r="BE8" s="33" t="n">
        <f aca="false">Assumptions!BD$140</f>
        <v>1</v>
      </c>
      <c r="BF8" s="33" t="n">
        <f aca="false">Assumptions!BE$140</f>
        <v>1</v>
      </c>
      <c r="BG8" s="33" t="n">
        <f aca="false">Assumptions!BF$140</f>
        <v>1</v>
      </c>
      <c r="BH8" s="33" t="n">
        <f aca="false">Assumptions!BG$140</f>
        <v>1</v>
      </c>
      <c r="BI8" s="33" t="n">
        <f aca="false">Assumptions!BH$140</f>
        <v>1</v>
      </c>
      <c r="BJ8" s="33" t="n">
        <f aca="false">Assumptions!BI$140</f>
        <v>1</v>
      </c>
      <c r="BK8" s="33" t="n">
        <f aca="false">Assumptions!BJ$140</f>
        <v>1</v>
      </c>
    </row>
    <row r="9" customFormat="false" ht="15" hidden="false" customHeight="false" outlineLevel="0" collapsed="false">
      <c r="A9" s="28" t="s">
        <v>537</v>
      </c>
      <c r="B9" s="6" t="s">
        <v>538</v>
      </c>
      <c r="C9" s="32" t="n">
        <v>0</v>
      </c>
      <c r="D9" s="34" t="n">
        <f aca="false">C9+D8</f>
        <v>0</v>
      </c>
      <c r="E9" s="34" t="n">
        <f aca="false">D9+E8</f>
        <v>0</v>
      </c>
      <c r="F9" s="34" t="n">
        <f aca="false">E9+F8</f>
        <v>0</v>
      </c>
      <c r="G9" s="34" t="n">
        <f aca="false">F9+G8</f>
        <v>0</v>
      </c>
      <c r="H9" s="34" t="n">
        <f aca="false">G9+H8</f>
        <v>1</v>
      </c>
      <c r="I9" s="34" t="n">
        <f aca="false">H9+I8</f>
        <v>1</v>
      </c>
      <c r="J9" s="34" t="n">
        <f aca="false">I9+J8</f>
        <v>1</v>
      </c>
      <c r="K9" s="34" t="n">
        <f aca="false">J9+K8</f>
        <v>1</v>
      </c>
      <c r="L9" s="34" t="n">
        <f aca="false">K9+L8</f>
        <v>1</v>
      </c>
      <c r="M9" s="34" t="n">
        <f aca="false">L9+M8</f>
        <v>1</v>
      </c>
      <c r="N9" s="34" t="n">
        <f aca="false">M9+N8</f>
        <v>2</v>
      </c>
      <c r="O9" s="34" t="n">
        <f aca="false">N9+O8</f>
        <v>2</v>
      </c>
      <c r="P9" s="34" t="n">
        <f aca="false">O9+P8</f>
        <v>2</v>
      </c>
      <c r="Q9" s="34" t="n">
        <f aca="false">P9+Q8</f>
        <v>3</v>
      </c>
      <c r="R9" s="34" t="n">
        <f aca="false">Q9+R8</f>
        <v>3</v>
      </c>
      <c r="S9" s="34" t="n">
        <f aca="false">R9+S8</f>
        <v>3</v>
      </c>
      <c r="T9" s="34" t="n">
        <f aca="false">S9+T8</f>
        <v>4</v>
      </c>
      <c r="U9" s="34" t="n">
        <f aca="false">T9+U8</f>
        <v>5</v>
      </c>
      <c r="V9" s="34" t="n">
        <f aca="false">U9+V8</f>
        <v>5</v>
      </c>
      <c r="W9" s="34" t="n">
        <f aca="false">V9+W8</f>
        <v>6</v>
      </c>
      <c r="X9" s="34" t="n">
        <f aca="false">W9+X8</f>
        <v>7</v>
      </c>
      <c r="Y9" s="34" t="n">
        <f aca="false">X9+Y8</f>
        <v>7</v>
      </c>
      <c r="Z9" s="34" t="n">
        <f aca="false">Y9+Z8</f>
        <v>8</v>
      </c>
      <c r="AA9" s="34" t="n">
        <f aca="false">Z9+AA8</f>
        <v>9</v>
      </c>
      <c r="AB9" s="34" t="n">
        <f aca="false">AA9+AB8</f>
        <v>9</v>
      </c>
      <c r="AC9" s="34" t="n">
        <f aca="false">AB9+AC8</f>
        <v>10</v>
      </c>
      <c r="AD9" s="34" t="n">
        <f aca="false">AC9+AD8</f>
        <v>11</v>
      </c>
      <c r="AE9" s="34" t="n">
        <f aca="false">AD9+AE8</f>
        <v>12</v>
      </c>
      <c r="AF9" s="34" t="n">
        <f aca="false">AE9+AF8</f>
        <v>13</v>
      </c>
      <c r="AG9" s="34" t="n">
        <f aca="false">AF9+AG8</f>
        <v>14</v>
      </c>
      <c r="AH9" s="34" t="n">
        <f aca="false">AG9+AH8</f>
        <v>15</v>
      </c>
      <c r="AI9" s="34" t="n">
        <f aca="false">AH9+AI8</f>
        <v>16</v>
      </c>
      <c r="AJ9" s="34" t="n">
        <f aca="false">AI9+AJ8</f>
        <v>17</v>
      </c>
      <c r="AK9" s="34" t="n">
        <f aca="false">AJ9+AK8</f>
        <v>18</v>
      </c>
      <c r="AL9" s="34" t="n">
        <f aca="false">AK9+AL8</f>
        <v>19</v>
      </c>
      <c r="AM9" s="34" t="n">
        <f aca="false">AL9+AM8</f>
        <v>20</v>
      </c>
      <c r="AN9" s="35" t="n">
        <f aca="false">AM9+AN8</f>
        <v>21</v>
      </c>
      <c r="AO9" s="35" t="n">
        <f aca="false">AN9+AO8</f>
        <v>22</v>
      </c>
      <c r="AP9" s="35" t="n">
        <f aca="false">AO9+AP8</f>
        <v>23</v>
      </c>
      <c r="AQ9" s="35" t="n">
        <f aca="false">AP9+AQ8</f>
        <v>24</v>
      </c>
      <c r="AR9" s="35" t="n">
        <f aca="false">AQ9+AR8</f>
        <v>25</v>
      </c>
      <c r="AS9" s="35" t="n">
        <f aca="false">AR9+AS8</f>
        <v>26</v>
      </c>
      <c r="AT9" s="35" t="n">
        <f aca="false">AS9+AT8</f>
        <v>27</v>
      </c>
      <c r="AU9" s="35" t="n">
        <f aca="false">AT9+AU8</f>
        <v>28</v>
      </c>
      <c r="AV9" s="35" t="n">
        <f aca="false">AU9+AV8</f>
        <v>29</v>
      </c>
      <c r="AW9" s="35" t="n">
        <f aca="false">AV9+AW8</f>
        <v>30</v>
      </c>
      <c r="AX9" s="35" t="n">
        <f aca="false">AW9+AX8</f>
        <v>31</v>
      </c>
      <c r="AY9" s="35" t="n">
        <f aca="false">AX9+AY8</f>
        <v>32</v>
      </c>
      <c r="AZ9" s="35" t="n">
        <f aca="false">AY9+AZ8</f>
        <v>33</v>
      </c>
      <c r="BA9" s="35" t="n">
        <f aca="false">AZ9+BA8</f>
        <v>34</v>
      </c>
      <c r="BB9" s="35" t="n">
        <f aca="false">BA9+BB8</f>
        <v>35</v>
      </c>
      <c r="BC9" s="35" t="n">
        <f aca="false">BB9+BC8</f>
        <v>36</v>
      </c>
      <c r="BD9" s="35" t="n">
        <f aca="false">BC9+BD8</f>
        <v>37</v>
      </c>
      <c r="BE9" s="35" t="n">
        <f aca="false">BD9+BE8</f>
        <v>38</v>
      </c>
      <c r="BF9" s="35" t="n">
        <f aca="false">BE9+BF8</f>
        <v>39</v>
      </c>
      <c r="BG9" s="35" t="n">
        <f aca="false">BF9+BG8</f>
        <v>40</v>
      </c>
      <c r="BH9" s="35" t="n">
        <f aca="false">BG9+BH8</f>
        <v>41</v>
      </c>
      <c r="BI9" s="35" t="n">
        <f aca="false">BH9+BI8</f>
        <v>42</v>
      </c>
      <c r="BJ9" s="35" t="n">
        <f aca="false">BI9+BJ8</f>
        <v>43</v>
      </c>
      <c r="BK9" s="35" t="n">
        <f aca="false">BJ9+BK8</f>
        <v>44</v>
      </c>
    </row>
    <row r="10" customFormat="false" ht="15" hidden="false" customHeight="false" outlineLevel="0" collapsed="false">
      <c r="A10" s="28" t="s">
        <v>539</v>
      </c>
      <c r="B10" s="6" t="s">
        <v>540</v>
      </c>
      <c r="C10" s="32" t="n">
        <v>0</v>
      </c>
      <c r="D10" s="34" t="n">
        <f aca="false">IF(D7&gt;Assumptions!$D$79,INDEX($D$9:$BK$9,D7-Assumptions!$D$79),0)</f>
        <v>0</v>
      </c>
      <c r="E10" s="34" t="n">
        <f aca="false">IF(E7&gt;Assumptions!$D$79,INDEX($D$9:$BK$9,E7-Assumptions!$D$79),0)</f>
        <v>0</v>
      </c>
      <c r="F10" s="34" t="n">
        <f aca="false">IF(F7&gt;Assumptions!$D$79,INDEX($D$9:$BK$9,F7-Assumptions!$D$79),0)</f>
        <v>0</v>
      </c>
      <c r="G10" s="34" t="n">
        <f aca="false">IF(G7&gt;Assumptions!$D$79,INDEX($D$9:$BK$9,G7-Assumptions!$D$79),0)</f>
        <v>0</v>
      </c>
      <c r="H10" s="34" t="n">
        <f aca="false">IF(H7&gt;Assumptions!$D$79,INDEX($D$9:$BK$9,H7-Assumptions!$D$79),0)</f>
        <v>0</v>
      </c>
      <c r="I10" s="34" t="n">
        <f aca="false">IF(I7&gt;Assumptions!$D$79,INDEX($D$9:$BK$9,I7-Assumptions!$D$79),0)</f>
        <v>0</v>
      </c>
      <c r="J10" s="34" t="n">
        <f aca="false">IF(J7&gt;Assumptions!$D$79,INDEX($D$9:$BK$9,J7-Assumptions!$D$79),0)</f>
        <v>0</v>
      </c>
      <c r="K10" s="34" t="n">
        <f aca="false">IF(K7&gt;Assumptions!$D$79,INDEX($D$9:$BK$9,K7-Assumptions!$D$79),0)</f>
        <v>0</v>
      </c>
      <c r="L10" s="34" t="n">
        <f aca="false">IF(L7&gt;Assumptions!$D$79,INDEX($D$9:$BK$9,L7-Assumptions!$D$79),0)</f>
        <v>0</v>
      </c>
      <c r="M10" s="34" t="n">
        <f aca="false">IF(M7&gt;Assumptions!$D$79,INDEX($D$9:$BK$9,M7-Assumptions!$D$79),0)</f>
        <v>0</v>
      </c>
      <c r="N10" s="34" t="n">
        <f aca="false">IF(N7&gt;Assumptions!$D$79,INDEX($D$9:$BK$9,N7-Assumptions!$D$79),0)</f>
        <v>1</v>
      </c>
      <c r="O10" s="34" t="n">
        <f aca="false">IF(O7&gt;Assumptions!$D$79,INDEX($D$9:$BK$9,O7-Assumptions!$D$79),0)</f>
        <v>1</v>
      </c>
      <c r="P10" s="34" t="n">
        <f aca="false">IF(P7&gt;Assumptions!$D$79,INDEX($D$9:$BK$9,P7-Assumptions!$D$79),0)</f>
        <v>1</v>
      </c>
      <c r="Q10" s="34" t="n">
        <f aca="false">IF(Q7&gt;Assumptions!$D$79,INDEX($D$9:$BK$9,Q7-Assumptions!$D$79),0)</f>
        <v>1</v>
      </c>
      <c r="R10" s="34" t="n">
        <f aca="false">IF(R7&gt;Assumptions!$D$79,INDEX($D$9:$BK$9,R7-Assumptions!$D$79),0)</f>
        <v>1</v>
      </c>
      <c r="S10" s="34" t="n">
        <f aca="false">IF(S7&gt;Assumptions!$D$79,INDEX($D$9:$BK$9,S7-Assumptions!$D$79),0)</f>
        <v>1</v>
      </c>
      <c r="T10" s="34" t="n">
        <f aca="false">IF(T7&gt;Assumptions!$D$79,INDEX($D$9:$BK$9,T7-Assumptions!$D$79),0)</f>
        <v>2</v>
      </c>
      <c r="U10" s="34" t="n">
        <f aca="false">IF(U7&gt;Assumptions!$D$79,INDEX($D$9:$BK$9,U7-Assumptions!$D$79),0)</f>
        <v>2</v>
      </c>
      <c r="V10" s="34" t="n">
        <f aca="false">IF(V7&gt;Assumptions!$D$79,INDEX($D$9:$BK$9,V7-Assumptions!$D$79),0)</f>
        <v>2</v>
      </c>
      <c r="W10" s="34" t="n">
        <f aca="false">IF(W7&gt;Assumptions!$D$79,INDEX($D$9:$BK$9,W7-Assumptions!$D$79),0)</f>
        <v>3</v>
      </c>
      <c r="X10" s="34" t="n">
        <f aca="false">IF(X7&gt;Assumptions!$D$79,INDEX($D$9:$BK$9,X7-Assumptions!$D$79),0)</f>
        <v>3</v>
      </c>
      <c r="Y10" s="34" t="n">
        <f aca="false">IF(Y7&gt;Assumptions!$D$79,INDEX($D$9:$BK$9,Y7-Assumptions!$D$79),0)</f>
        <v>3</v>
      </c>
      <c r="Z10" s="34" t="n">
        <f aca="false">IF(Z7&gt;Assumptions!$D$79,INDEX($D$9:$BK$9,Z7-Assumptions!$D$79),0)</f>
        <v>4</v>
      </c>
      <c r="AA10" s="34" t="n">
        <f aca="false">IF(AA7&gt;Assumptions!$D$79,INDEX($D$9:$BK$9,AA7-Assumptions!$D$79),0)</f>
        <v>5</v>
      </c>
      <c r="AB10" s="34" t="n">
        <f aca="false">IF(AB7&gt;Assumptions!$D$79,INDEX($D$9:$BK$9,AB7-Assumptions!$D$79),0)</f>
        <v>5</v>
      </c>
      <c r="AC10" s="34" t="n">
        <f aca="false">IF(AC7&gt;Assumptions!$D$79,INDEX($D$9:$BK$9,AC7-Assumptions!$D$79),0)</f>
        <v>6</v>
      </c>
      <c r="AD10" s="34" t="n">
        <f aca="false">IF(AD7&gt;Assumptions!$D$79,INDEX($D$9:$BK$9,AD7-Assumptions!$D$79),0)</f>
        <v>7</v>
      </c>
      <c r="AE10" s="34" t="n">
        <f aca="false">IF(AE7&gt;Assumptions!$D$79,INDEX($D$9:$BK$9,AE7-Assumptions!$D$79),0)</f>
        <v>7</v>
      </c>
      <c r="AF10" s="34" t="n">
        <f aca="false">IF(AF7&gt;Assumptions!$D$79,INDEX($D$9:$BK$9,AF7-Assumptions!$D$79),0)</f>
        <v>8</v>
      </c>
      <c r="AG10" s="34" t="n">
        <f aca="false">IF(AG7&gt;Assumptions!$D$79,INDEX($D$9:$BK$9,AG7-Assumptions!$D$79),0)</f>
        <v>9</v>
      </c>
      <c r="AH10" s="34" t="n">
        <f aca="false">IF(AH7&gt;Assumptions!$D$79,INDEX($D$9:$BK$9,AH7-Assumptions!$D$79),0)</f>
        <v>9</v>
      </c>
      <c r="AI10" s="34" t="n">
        <f aca="false">IF(AI7&gt;Assumptions!$D$79,INDEX($D$9:$BK$9,AI7-Assumptions!$D$79),0)</f>
        <v>10</v>
      </c>
      <c r="AJ10" s="34" t="n">
        <f aca="false">IF(AJ7&gt;Assumptions!$D$79,INDEX($D$9:$BK$9,AJ7-Assumptions!$D$79),0)</f>
        <v>11</v>
      </c>
      <c r="AK10" s="34" t="n">
        <f aca="false">IF(AK7&gt;Assumptions!$D$79,INDEX($D$9:$BK$9,AK7-Assumptions!$D$79),0)</f>
        <v>12</v>
      </c>
      <c r="AL10" s="34" t="n">
        <f aca="false">IF(AL7&gt;Assumptions!$D$79,INDEX($D$9:$BK$9,AL7-Assumptions!$D$79),0)</f>
        <v>13</v>
      </c>
      <c r="AM10" s="34" t="n">
        <f aca="false">IF(AM7&gt;Assumptions!$D$79,INDEX($D$9:$BK$9,AM7-Assumptions!$D$79),0)</f>
        <v>14</v>
      </c>
      <c r="AN10" s="35" t="n">
        <f aca="false">IF(AN7&gt;Assumptions!$D$79,INDEX($D$9:$BK$9,AN7-Assumptions!$D$79),0)</f>
        <v>15</v>
      </c>
      <c r="AO10" s="35" t="n">
        <f aca="false">IF(AO7&gt;Assumptions!$D$79,INDEX($D$9:$BK$9,AO7-Assumptions!$D$79),0)</f>
        <v>16</v>
      </c>
      <c r="AP10" s="35" t="n">
        <f aca="false">IF(AP7&gt;Assumptions!$D$79,INDEX($D$9:$BK$9,AP7-Assumptions!$D$79),0)</f>
        <v>17</v>
      </c>
      <c r="AQ10" s="35" t="n">
        <f aca="false">IF(AQ7&gt;Assumptions!$D$79,INDEX($D$9:$BK$9,AQ7-Assumptions!$D$79),0)</f>
        <v>18</v>
      </c>
      <c r="AR10" s="35" t="n">
        <f aca="false">IF(AR7&gt;Assumptions!$D$79,INDEX($D$9:$BK$9,AR7-Assumptions!$D$79),0)</f>
        <v>19</v>
      </c>
      <c r="AS10" s="35" t="n">
        <f aca="false">IF(AS7&gt;Assumptions!$D$79,INDEX($D$9:$BK$9,AS7-Assumptions!$D$79),0)</f>
        <v>20</v>
      </c>
      <c r="AT10" s="35" t="n">
        <f aca="false">IF(AT7&gt;Assumptions!$D$79,INDEX($D$9:$BK$9,AT7-Assumptions!$D$79),0)</f>
        <v>21</v>
      </c>
      <c r="AU10" s="35" t="n">
        <f aca="false">IF(AU7&gt;Assumptions!$D$79,INDEX($D$9:$BK$9,AU7-Assumptions!$D$79),0)</f>
        <v>22</v>
      </c>
      <c r="AV10" s="35" t="n">
        <f aca="false">IF(AV7&gt;Assumptions!$D$79,INDEX($D$9:$BK$9,AV7-Assumptions!$D$79),0)</f>
        <v>23</v>
      </c>
      <c r="AW10" s="35" t="n">
        <f aca="false">IF(AW7&gt;Assumptions!$D$79,INDEX($D$9:$BK$9,AW7-Assumptions!$D$79),0)</f>
        <v>24</v>
      </c>
      <c r="AX10" s="35" t="n">
        <f aca="false">IF(AX7&gt;Assumptions!$D$79,INDEX($D$9:$BK$9,AX7-Assumptions!$D$79),0)</f>
        <v>25</v>
      </c>
      <c r="AY10" s="35" t="n">
        <f aca="false">IF(AY7&gt;Assumptions!$D$79,INDEX($D$9:$BK$9,AY7-Assumptions!$D$79),0)</f>
        <v>26</v>
      </c>
      <c r="AZ10" s="35" t="n">
        <f aca="false">IF(AZ7&gt;Assumptions!$D$79,INDEX($D$9:$BK$9,AZ7-Assumptions!$D$79),0)</f>
        <v>27</v>
      </c>
      <c r="BA10" s="35" t="n">
        <f aca="false">IF(BA7&gt;Assumptions!$D$79,INDEX($D$9:$BK$9,BA7-Assumptions!$D$79),0)</f>
        <v>28</v>
      </c>
      <c r="BB10" s="35" t="n">
        <f aca="false">IF(BB7&gt;Assumptions!$D$79,INDEX($D$9:$BK$9,BB7-Assumptions!$D$79),0)</f>
        <v>29</v>
      </c>
      <c r="BC10" s="35" t="n">
        <f aca="false">IF(BC7&gt;Assumptions!$D$79,INDEX($D$9:$BK$9,BC7-Assumptions!$D$79),0)</f>
        <v>30</v>
      </c>
      <c r="BD10" s="35" t="n">
        <f aca="false">IF(BD7&gt;Assumptions!$D$79,INDEX($D$9:$BK$9,BD7-Assumptions!$D$79),0)</f>
        <v>31</v>
      </c>
      <c r="BE10" s="35" t="n">
        <f aca="false">IF(BE7&gt;Assumptions!$D$79,INDEX($D$9:$BK$9,BE7-Assumptions!$D$79),0)</f>
        <v>32</v>
      </c>
      <c r="BF10" s="35" t="n">
        <f aca="false">IF(BF7&gt;Assumptions!$D$79,INDEX($D$9:$BK$9,BF7-Assumptions!$D$79),0)</f>
        <v>33</v>
      </c>
      <c r="BG10" s="35" t="n">
        <f aca="false">IF(BG7&gt;Assumptions!$D$79,INDEX($D$9:$BK$9,BG7-Assumptions!$D$79),0)</f>
        <v>34</v>
      </c>
      <c r="BH10" s="35" t="n">
        <f aca="false">IF(BH7&gt;Assumptions!$D$79,INDEX($D$9:$BK$9,BH7-Assumptions!$D$79),0)</f>
        <v>35</v>
      </c>
      <c r="BI10" s="35" t="n">
        <f aca="false">IF(BI7&gt;Assumptions!$D$79,INDEX($D$9:$BK$9,BI7-Assumptions!$D$79),0)</f>
        <v>36</v>
      </c>
      <c r="BJ10" s="35" t="n">
        <f aca="false">IF(BJ7&gt;Assumptions!$D$79,INDEX($D$9:$BK$9,BJ7-Assumptions!$D$79),0)</f>
        <v>37</v>
      </c>
      <c r="BK10" s="35" t="n">
        <f aca="false">IF(BK7&gt;Assumptions!$D$79,INDEX($D$9:$BK$9,BK7-Assumptions!$D$79),0)</f>
        <v>38</v>
      </c>
    </row>
    <row r="11" customFormat="false" ht="15" hidden="false" customHeight="false" outlineLevel="0" collapsed="false">
      <c r="A11" s="28" t="s">
        <v>541</v>
      </c>
      <c r="B11" s="6" t="s">
        <v>542</v>
      </c>
      <c r="C11" s="36" t="n">
        <v>0</v>
      </c>
      <c r="D11" s="26" t="n">
        <f aca="false">Assumptions!$D$10*(D8*Assumptions!$D$111)</f>
        <v>0</v>
      </c>
      <c r="E11" s="26" t="n">
        <f aca="false">Assumptions!$D$10*(E8*Assumptions!$D$111+D8*Assumptions!$D$112)</f>
        <v>0</v>
      </c>
      <c r="F11" s="26" t="n">
        <f aca="false">Assumptions!$D$10*(F8*Assumptions!$D$111+E8*Assumptions!$D$112+D8*Assumptions!$D$113)</f>
        <v>0</v>
      </c>
      <c r="G11" s="26" t="n">
        <f aca="false">Assumptions!$D$10*(G8*Assumptions!$D$111+F8*Assumptions!$D$112+E8*Assumptions!$D$113+D8*Assumptions!$D$114)</f>
        <v>0</v>
      </c>
      <c r="H11" s="26" t="n">
        <f aca="false">Assumptions!$D$10*(H8*Assumptions!$D$111+G8*Assumptions!$D$112+F8*Assumptions!$D$113+E8*Assumptions!$D$114+D8*Assumptions!$D$115)</f>
        <v>6</v>
      </c>
      <c r="I11" s="26" t="n">
        <f aca="false">Assumptions!$D$10*(I8*Assumptions!$D$111+H8*Assumptions!$D$112+G8*Assumptions!$D$113+F8*Assumptions!$D$114+E8*Assumptions!$D$115+D8*Assumptions!$D$116)</f>
        <v>5.28</v>
      </c>
      <c r="J11" s="26" t="n">
        <f aca="false">Assumptions!$D$10*(J8*Assumptions!$D$111+I8*Assumptions!$D$112+H8*Assumptions!$D$113+G8*Assumptions!$D$114+F8*Assumptions!$D$115+E8*Assumptions!$D$116+D8*Assumptions!$D$117)</f>
        <v>3.6</v>
      </c>
      <c r="K11" s="26" t="n">
        <f aca="false">Assumptions!$D$10*(K8*Assumptions!$D$111+J8*Assumptions!$D$112+I8*Assumptions!$D$113+H8*Assumptions!$D$114+G8*Assumptions!$D$115+F8*Assumptions!$D$116+E8*Assumptions!$D$117+D8*Assumptions!$D$118)</f>
        <v>2.4</v>
      </c>
      <c r="L11" s="26" t="n">
        <f aca="false">Assumptions!$D$10*(L8*Assumptions!$D$111+K8*Assumptions!$D$112+J8*Assumptions!$D$113+I8*Assumptions!$D$114+H8*Assumptions!$D$115+G8*Assumptions!$D$116+F8*Assumptions!$D$117+E8*Assumptions!$D$118+D8*Assumptions!$D$119)</f>
        <v>1.44</v>
      </c>
      <c r="M11" s="26" t="n">
        <f aca="false">Assumptions!$D$10*(M8*Assumptions!$D$111+L8*Assumptions!$D$112+K8*Assumptions!$D$113+J8*Assumptions!$D$114+I8*Assumptions!$D$115+H8*Assumptions!$D$116+G8*Assumptions!$D$117+F8*Assumptions!$D$118+E8*Assumptions!$D$119+D8*Assumptions!$D$120)</f>
        <v>1.2</v>
      </c>
      <c r="N11" s="26" t="n">
        <f aca="false">Assumptions!$D$10*(N8*Assumptions!$D$111+M8*Assumptions!$D$112+L8*Assumptions!$D$113+K8*Assumptions!$D$114+J8*Assumptions!$D$115+I8*Assumptions!$D$116+H8*Assumptions!$D$117+G8*Assumptions!$D$118+F8*Assumptions!$D$119+E8*Assumptions!$D$120+D8*Assumptions!$D$121)</f>
        <v>6.24</v>
      </c>
      <c r="O11" s="26" t="n">
        <f aca="false">Assumptions!$D$10*(O8*Assumptions!$D$111+N8*Assumptions!$D$112+M8*Assumptions!$D$113+L8*Assumptions!$D$114+K8*Assumptions!$D$115+J8*Assumptions!$D$116+I8*Assumptions!$D$117+H8*Assumptions!$D$118+G8*Assumptions!$D$119+F8*Assumptions!$D$120+E8*Assumptions!$D$121+D8*Assumptions!$D$122)</f>
        <v>5.52</v>
      </c>
      <c r="P11" s="26" t="n">
        <f aca="false">Assumptions!$D$10*(P8*Assumptions!$D$111+O8*Assumptions!$D$112+N8*Assumptions!$D$113+M8*Assumptions!$D$114+L8*Assumptions!$D$115+K8*Assumptions!$D$116+J8*Assumptions!$D$117+I8*Assumptions!$D$118+H8*Assumptions!$D$119+G8*Assumptions!$D$120+F8*Assumptions!$D$121+E8*Assumptions!$D$122+D8*Assumptions!$D$123)</f>
        <v>3.84</v>
      </c>
      <c r="Q11" s="26" t="n">
        <f aca="false">Assumptions!$D$10*(Q8*Assumptions!$D$111+P8*Assumptions!$D$112+O8*Assumptions!$D$113+N8*Assumptions!$D$114+M8*Assumptions!$D$115+L8*Assumptions!$D$116+K8*Assumptions!$D$117+J8*Assumptions!$D$118+I8*Assumptions!$D$119+H8*Assumptions!$D$120+G8*Assumptions!$D$121+F8*Assumptions!$D$122+E8*Assumptions!$D$123+D8*Assumptions!$D$124)</f>
        <v>8.64</v>
      </c>
      <c r="R11" s="26" t="n">
        <f aca="false">Assumptions!$D$10*(R8*Assumptions!$D$111+Q8*Assumptions!$D$112+P8*Assumptions!$D$113+O8*Assumptions!$D$114+N8*Assumptions!$D$115+M8*Assumptions!$D$116+L8*Assumptions!$D$117+K8*Assumptions!$D$118+J8*Assumptions!$D$119+I8*Assumptions!$D$120+H8*Assumptions!$D$121+G8*Assumptions!$D$122+F8*Assumptions!$D$123+E8*Assumptions!$D$124+D8*Assumptions!$D$125)</f>
        <v>6.96</v>
      </c>
      <c r="S11" s="26" t="n">
        <f aca="false">Assumptions!$D$10*(S8*Assumptions!$D$111+R8*Assumptions!$D$112+Q8*Assumptions!$D$113+P8*Assumptions!$D$114+O8*Assumptions!$D$115+N8*Assumptions!$D$116+M8*Assumptions!$D$117+L8*Assumptions!$D$118+K8*Assumptions!$D$119+J8*Assumptions!$D$120+I8*Assumptions!$D$121+H8*Assumptions!$D$122+G8*Assumptions!$D$123+F8*Assumptions!$D$124+E8*Assumptions!$D$125+D8*Assumptions!$D$126)</f>
        <v>5.04</v>
      </c>
      <c r="T11" s="26" t="n">
        <f aca="false">Assumptions!$D$10*(T8*Assumptions!$D$111+S8*Assumptions!$D$112+R8*Assumptions!$D$113+Q8*Assumptions!$D$114+P8*Assumptions!$D$115+O8*Assumptions!$D$116+N8*Assumptions!$D$117+M8*Assumptions!$D$118+L8*Assumptions!$D$119+K8*Assumptions!$D$120+J8*Assumptions!$D$121+I8*Assumptions!$D$122+H8*Assumptions!$D$123+G8*Assumptions!$D$124+F8*Assumptions!$D$125+E8*Assumptions!$D$126+D8*Assumptions!$D$127)</f>
        <v>8.88</v>
      </c>
      <c r="U11" s="26" t="n">
        <f aca="false">Assumptions!$D$10*(U8*Assumptions!$D$111+T8*Assumptions!$D$112+S8*Assumptions!$D$113+R8*Assumptions!$D$114+Q8*Assumptions!$D$115+P8*Assumptions!$D$116+O8*Assumptions!$D$117+N8*Assumptions!$D$118+M8*Assumptions!$D$119+L8*Assumptions!$D$120+K8*Assumptions!$D$121+J8*Assumptions!$D$122+I8*Assumptions!$D$123+H8*Assumptions!$D$124+G8*Assumptions!$D$125+F8*Assumptions!$D$126+E8*Assumptions!$D$127+D8*Assumptions!$D$128)</f>
        <v>13.2</v>
      </c>
      <c r="V11" s="26" t="n">
        <f aca="false">Assumptions!$D$10*(V8*Assumptions!$D$111+U8*Assumptions!$D$112+T8*Assumptions!$D$113+S8*Assumptions!$D$114+R8*Assumptions!$D$115+Q8*Assumptions!$D$116+P8*Assumptions!$D$117+O8*Assumptions!$D$118+N8*Assumptions!$D$119+M8*Assumptions!$D$120+L8*Assumptions!$D$121+K8*Assumptions!$D$122+J8*Assumptions!$D$123+I8*Assumptions!$D$124+H8*Assumptions!$D$125+G8*Assumptions!$D$126+F8*Assumptions!$D$127+E8*Assumptions!$D$128+D8*Assumptions!$D$129)</f>
        <v>10.56</v>
      </c>
      <c r="W11" s="26" t="n">
        <f aca="false">Assumptions!$D$10*(W8*Assumptions!$D$111+V8*Assumptions!$D$112+U8*Assumptions!$D$113+T8*Assumptions!$D$114+S8*Assumptions!$D$115+R8*Assumptions!$D$116+Q8*Assumptions!$D$117+P8*Assumptions!$D$118+O8*Assumptions!$D$119+N8*Assumptions!$D$120+M8*Assumptions!$D$121+L8*Assumptions!$D$122+K8*Assumptions!$D$123+J8*Assumptions!$D$124+I8*Assumptions!$D$125+H8*Assumptions!$D$126+G8*Assumptions!$D$127+F8*Assumptions!$D$128+E8*Assumptions!$D$129+D8*Assumptions!$D$130)</f>
        <v>12.72</v>
      </c>
      <c r="X11" s="26" t="n">
        <f aca="false">Assumptions!$D$10*(X8*Assumptions!$D$111+W8*Assumptions!$D$112+V8*Assumptions!$D$113+U8*Assumptions!$D$114+T8*Assumptions!$D$115+S8*Assumptions!$D$116+R8*Assumptions!$D$117+Q8*Assumptions!$D$118+P8*Assumptions!$D$119+O8*Assumptions!$D$120+N8*Assumptions!$D$121+M8*Assumptions!$D$122+L8*Assumptions!$D$123+K8*Assumptions!$D$124+J8*Assumptions!$D$125+I8*Assumptions!$D$126+H8*Assumptions!$D$127+G8*Assumptions!$D$128+F8*Assumptions!$D$129+E8*Assumptions!$D$130+D8*Assumptions!$D$131)</f>
        <v>15.84</v>
      </c>
      <c r="Y11" s="26" t="n">
        <f aca="false">Assumptions!$D$10*(Y8*Assumptions!$D$111+X8*Assumptions!$D$112+W8*Assumptions!$D$113+V8*Assumptions!$D$114+U8*Assumptions!$D$115+T8*Assumptions!$D$116+S8*Assumptions!$D$117+R8*Assumptions!$D$118+Q8*Assumptions!$D$119+P8*Assumptions!$D$120+O8*Assumptions!$D$121+N8*Assumptions!$D$122+M8*Assumptions!$D$123+L8*Assumptions!$D$124+K8*Assumptions!$D$125+J8*Assumptions!$D$126+I8*Assumptions!$D$127+H8*Assumptions!$D$128+G8*Assumptions!$D$129+F8*Assumptions!$D$130+E8*Assumptions!$D$131+D8*Assumptions!$D$132)</f>
        <v>12.24</v>
      </c>
      <c r="Z11" s="26" t="n">
        <f aca="false">Assumptions!$D$10*(Z8*Assumptions!$D$111+Y8*Assumptions!$D$112+X8*Assumptions!$D$113+W8*Assumptions!$D$114+V8*Assumptions!$D$115+U8*Assumptions!$D$116+T8*Assumptions!$D$117+S8*Assumptions!$D$118+R8*Assumptions!$D$119+Q8*Assumptions!$D$120+P8*Assumptions!$D$121+O8*Assumptions!$D$122+N8*Assumptions!$D$123+M8*Assumptions!$D$124+L8*Assumptions!$D$125+K8*Assumptions!$D$126+J8*Assumptions!$D$127+I8*Assumptions!$D$128+H8*Assumptions!$D$129+G8*Assumptions!$D$130+F8*Assumptions!$D$131+E8*Assumptions!$D$132+D8*Assumptions!$D$133)</f>
        <v>14.16</v>
      </c>
      <c r="AA11" s="26" t="n">
        <f aca="false">Assumptions!$D$10*(AA8*Assumptions!$D$111+Z8*Assumptions!$D$112+Y8*Assumptions!$D$113+X8*Assumptions!$D$114+W8*Assumptions!$D$115+V8*Assumptions!$D$116+U8*Assumptions!$D$117+T8*Assumptions!$D$118+S8*Assumptions!$D$119+R8*Assumptions!$D$120+Q8*Assumptions!$D$121+P8*Assumptions!$D$122+O8*Assumptions!$D$123+N8*Assumptions!$D$124+M8*Assumptions!$D$125+L8*Assumptions!$D$126+K8*Assumptions!$D$127+J8*Assumptions!$D$128+I8*Assumptions!$D$129+H8*Assumptions!$D$130+G8*Assumptions!$D$131+F8*Assumptions!$D$132+E8*Assumptions!$D$133)</f>
        <v>16.32</v>
      </c>
      <c r="AB11" s="26" t="n">
        <f aca="false">Assumptions!$D$10*(AB8*Assumptions!$D$111+AA8*Assumptions!$D$112+Z8*Assumptions!$D$113+Y8*Assumptions!$D$114+X8*Assumptions!$D$115+W8*Assumptions!$D$116+V8*Assumptions!$D$117+U8*Assumptions!$D$118+T8*Assumptions!$D$119+S8*Assumptions!$D$120+R8*Assumptions!$D$121+Q8*Assumptions!$D$122+P8*Assumptions!$D$123+O8*Assumptions!$D$124+N8*Assumptions!$D$125+M8*Assumptions!$D$126+L8*Assumptions!$D$127+K8*Assumptions!$D$128+J8*Assumptions!$D$129+I8*Assumptions!$D$130+H8*Assumptions!$D$131+G8*Assumptions!$D$132+F8*Assumptions!$D$133)</f>
        <v>12.72</v>
      </c>
      <c r="AC11" s="26" t="n">
        <f aca="false">Assumptions!$D$10*(AC8*Assumptions!$D$111+AB8*Assumptions!$D$112+AA8*Assumptions!$D$113+Z8*Assumptions!$D$114+Y8*Assumptions!$D$115+X8*Assumptions!$D$116+W8*Assumptions!$D$117+V8*Assumptions!$D$118+U8*Assumptions!$D$119+T8*Assumptions!$D$120+S8*Assumptions!$D$121+R8*Assumptions!$D$122+Q8*Assumptions!$D$123+P8*Assumptions!$D$124+O8*Assumptions!$D$125+N8*Assumptions!$D$126+M8*Assumptions!$D$127+L8*Assumptions!$D$128+K8*Assumptions!$D$129+J8*Assumptions!$D$130+I8*Assumptions!$D$131+H8*Assumptions!$D$132+G8*Assumptions!$D$133)</f>
        <v>14.64</v>
      </c>
      <c r="AD11" s="26" t="n">
        <f aca="false">Assumptions!$D$10*(AD8*Assumptions!$D$111+AC8*Assumptions!$D$112+AB8*Assumptions!$D$113+AA8*Assumptions!$D$114+Z8*Assumptions!$D$115+Y8*Assumptions!$D$116+X8*Assumptions!$D$117+W8*Assumptions!$D$118+V8*Assumptions!$D$119+U8*Assumptions!$D$120+T8*Assumptions!$D$121+S8*Assumptions!$D$122+R8*Assumptions!$D$123+Q8*Assumptions!$D$124+P8*Assumptions!$D$125+O8*Assumptions!$D$126+N8*Assumptions!$D$127+M8*Assumptions!$D$128+L8*Assumptions!$D$129+K8*Assumptions!$D$130+J8*Assumptions!$D$131+I8*Assumptions!$D$132+H8*Assumptions!$D$133)</f>
        <v>16.8</v>
      </c>
      <c r="AE11" s="26" t="n">
        <f aca="false">Assumptions!$D$10*(AE8*Assumptions!$D$111+AD8*Assumptions!$D$112+AC8*Assumptions!$D$113+AB8*Assumptions!$D$114+AA8*Assumptions!$D$115+Z8*Assumptions!$D$116+Y8*Assumptions!$D$117+X8*Assumptions!$D$118+W8*Assumptions!$D$119+V8*Assumptions!$D$120+U8*Assumptions!$D$121+T8*Assumptions!$D$122+S8*Assumptions!$D$123+R8*Assumptions!$D$124+Q8*Assumptions!$D$125+P8*Assumptions!$D$126+O8*Assumptions!$D$127+N8*Assumptions!$D$128+M8*Assumptions!$D$129+L8*Assumptions!$D$130+K8*Assumptions!$D$131+J8*Assumptions!$D$132+I8*Assumptions!$D$133)</f>
        <v>18.96</v>
      </c>
      <c r="AF11" s="26" t="n">
        <f aca="false">Assumptions!$D$10*(AF8*Assumptions!$D$111+AE8*Assumptions!$D$112+AD8*Assumptions!$D$113+AC8*Assumptions!$D$114+AB8*Assumptions!$D$115+AA8*Assumptions!$D$116+Z8*Assumptions!$D$117+Y8*Assumptions!$D$118+X8*Assumptions!$D$119+W8*Assumptions!$D$120+V8*Assumptions!$D$121+U8*Assumptions!$D$122+T8*Assumptions!$D$123+S8*Assumptions!$D$124+R8*Assumptions!$D$125+Q8*Assumptions!$D$126+P8*Assumptions!$D$127+O8*Assumptions!$D$128+N8*Assumptions!$D$129+M8*Assumptions!$D$130+L8*Assumptions!$D$131+K8*Assumptions!$D$132+J8*Assumptions!$D$133)</f>
        <v>20.16</v>
      </c>
      <c r="AG11" s="26" t="n">
        <f aca="false">Assumptions!$D$10*(AG8*Assumptions!$D$111+AF8*Assumptions!$D$112+AE8*Assumptions!$D$113+AD8*Assumptions!$D$114+AC8*Assumptions!$D$115+AB8*Assumptions!$D$116+AA8*Assumptions!$D$117+Z8*Assumptions!$D$118+Y8*Assumptions!$D$119+X8*Assumptions!$D$120+W8*Assumptions!$D$121+V8*Assumptions!$D$122+U8*Assumptions!$D$123+T8*Assumptions!$D$124+S8*Assumptions!$D$125+R8*Assumptions!$D$126+Q8*Assumptions!$D$127+P8*Assumptions!$D$128+O8*Assumptions!$D$129+N8*Assumptions!$D$130+M8*Assumptions!$D$131+L8*Assumptions!$D$132+K8*Assumptions!$D$133)</f>
        <v>20.64</v>
      </c>
      <c r="AH11" s="26" t="n">
        <f aca="false">Assumptions!$D$10*(AH8*Assumptions!$D$111+AG8*Assumptions!$D$112+AF8*Assumptions!$D$113+AE8*Assumptions!$D$114+AD8*Assumptions!$D$115+AC8*Assumptions!$D$116+AB8*Assumptions!$D$117+AA8*Assumptions!$D$118+Z8*Assumptions!$D$119+Y8*Assumptions!$D$120+X8*Assumptions!$D$121+W8*Assumptions!$D$122+V8*Assumptions!$D$123+U8*Assumptions!$D$124+T8*Assumptions!$D$125+S8*Assumptions!$D$126+R8*Assumptions!$D$127+Q8*Assumptions!$D$128+P8*Assumptions!$D$129+O8*Assumptions!$D$130+N8*Assumptions!$D$131+M8*Assumptions!$D$132+L8*Assumptions!$D$133)</f>
        <v>21.84</v>
      </c>
      <c r="AI11" s="26" t="n">
        <f aca="false">Assumptions!$D$10*(AI8*Assumptions!$D$111+AH8*Assumptions!$D$112+AG8*Assumptions!$D$113+AF8*Assumptions!$D$114+AE8*Assumptions!$D$115+AD8*Assumptions!$D$116+AC8*Assumptions!$D$117+AB8*Assumptions!$D$118+AA8*Assumptions!$D$119+Z8*Assumptions!$D$120+Y8*Assumptions!$D$121+X8*Assumptions!$D$122+W8*Assumptions!$D$123+V8*Assumptions!$D$124+U8*Assumptions!$D$125+T8*Assumptions!$D$126+S8*Assumptions!$D$127+R8*Assumptions!$D$128+Q8*Assumptions!$D$129+P8*Assumptions!$D$130+O8*Assumptions!$D$131+N8*Assumptions!$D$132+M8*Assumptions!$D$133)</f>
        <v>22.08</v>
      </c>
      <c r="AJ11" s="26" t="n">
        <f aca="false">Assumptions!$D$10*(AJ8*Assumptions!$D$111+AI8*Assumptions!$D$112+AH8*Assumptions!$D$113+AG8*Assumptions!$D$114+AF8*Assumptions!$D$115+AE8*Assumptions!$D$116+AD8*Assumptions!$D$117+AC8*Assumptions!$D$118+AB8*Assumptions!$D$119+AA8*Assumptions!$D$120+Z8*Assumptions!$D$121+Y8*Assumptions!$D$122+X8*Assumptions!$D$123+W8*Assumptions!$D$124+V8*Assumptions!$D$125+U8*Assumptions!$D$126+T8*Assumptions!$D$127+S8*Assumptions!$D$128+R8*Assumptions!$D$129+Q8*Assumptions!$D$130+P8*Assumptions!$D$131+O8*Assumptions!$D$132+N8*Assumptions!$D$133)</f>
        <v>22.32</v>
      </c>
      <c r="AK11" s="26" t="n">
        <f aca="false">Assumptions!$D$10*(AK8*Assumptions!$D$111+AJ8*Assumptions!$D$112+AI8*Assumptions!$D$113+AH8*Assumptions!$D$114+AG8*Assumptions!$D$115+AF8*Assumptions!$D$116+AE8*Assumptions!$D$117+AD8*Assumptions!$D$118+AC8*Assumptions!$D$119+AB8*Assumptions!$D$120+AA8*Assumptions!$D$121+Z8*Assumptions!$D$122+Y8*Assumptions!$D$123+X8*Assumptions!$D$124+W8*Assumptions!$D$125+V8*Assumptions!$D$126+U8*Assumptions!$D$127+T8*Assumptions!$D$128+S8*Assumptions!$D$129+R8*Assumptions!$D$130+Q8*Assumptions!$D$131+P8*Assumptions!$D$132+O8*Assumptions!$D$133)</f>
        <v>22.32</v>
      </c>
      <c r="AL11" s="26" t="n">
        <f aca="false">Assumptions!$D$10*(AL8*Assumptions!$D$111+AK8*Assumptions!$D$112+AJ8*Assumptions!$D$113+AI8*Assumptions!$D$114+AH8*Assumptions!$D$115+AG8*Assumptions!$D$116+AF8*Assumptions!$D$117+AE8*Assumptions!$D$118+AD8*Assumptions!$D$119+AC8*Assumptions!$D$120+AB8*Assumptions!$D$121+AA8*Assumptions!$D$122+Z8*Assumptions!$D$123+Y8*Assumptions!$D$124+X8*Assumptions!$D$125+W8*Assumptions!$D$126+V8*Assumptions!$D$127+U8*Assumptions!$D$128+T8*Assumptions!$D$129+S8*Assumptions!$D$130+R8*Assumptions!$D$131+Q8*Assumptions!$D$132+P8*Assumptions!$D$133)</f>
        <v>22.56</v>
      </c>
      <c r="AM11" s="26" t="n">
        <f aca="false">Assumptions!$D$10*(AM8*Assumptions!$D$111+AL8*Assumptions!$D$112+AK8*Assumptions!$D$113+AJ8*Assumptions!$D$114+AI8*Assumptions!$D$115+AH8*Assumptions!$D$116+AG8*Assumptions!$D$117+AF8*Assumptions!$D$118+AE8*Assumptions!$D$119+AD8*Assumptions!$D$120+AC8*Assumptions!$D$121+AB8*Assumptions!$D$122+AA8*Assumptions!$D$123+Z8*Assumptions!$D$124+Y8*Assumptions!$D$125+X8*Assumptions!$D$126+W8*Assumptions!$D$127+V8*Assumptions!$D$128+U8*Assumptions!$D$129+T8*Assumptions!$D$130+S8*Assumptions!$D$131+R8*Assumptions!$D$132+Q8*Assumptions!$D$133)</f>
        <v>22.8</v>
      </c>
      <c r="AN11" s="37" t="n">
        <f aca="false">Assumptions!$D$10*(AN8*Assumptions!$D$111+AM8*Assumptions!$D$112+AL8*Assumptions!$D$113+AK8*Assumptions!$D$114+AJ8*Assumptions!$D$115+AI8*Assumptions!$D$116+AH8*Assumptions!$D$117+AG8*Assumptions!$D$118+AF8*Assumptions!$D$119+AE8*Assumptions!$D$120+AD8*Assumptions!$D$121+AC8*Assumptions!$D$122+AB8*Assumptions!$D$123+AA8*Assumptions!$D$124+Z8*Assumptions!$D$125+Y8*Assumptions!$D$126+X8*Assumptions!$D$127+W8*Assumptions!$D$128+V8*Assumptions!$D$129+U8*Assumptions!$D$130+T8*Assumptions!$D$131+S8*Assumptions!$D$132+R8*Assumptions!$D$133)</f>
        <v>22.8</v>
      </c>
      <c r="AO11" s="37" t="n">
        <f aca="false">Assumptions!$D$10*(AO8*Assumptions!$D$111+AN8*Assumptions!$D$112+AM8*Assumptions!$D$113+AL8*Assumptions!$D$114+AK8*Assumptions!$D$115+AJ8*Assumptions!$D$116+AI8*Assumptions!$D$117+AH8*Assumptions!$D$118+AG8*Assumptions!$D$119+AF8*Assumptions!$D$120+AE8*Assumptions!$D$121+AD8*Assumptions!$D$122+AC8*Assumptions!$D$123+AB8*Assumptions!$D$124+AA8*Assumptions!$D$125+Z8*Assumptions!$D$126+Y8*Assumptions!$D$127+X8*Assumptions!$D$128+W8*Assumptions!$D$129+V8*Assumptions!$D$130+U8*Assumptions!$D$131+T8*Assumptions!$D$132+S8*Assumptions!$D$133)</f>
        <v>23.04</v>
      </c>
      <c r="AP11" s="37" t="n">
        <f aca="false">Assumptions!$D$10*(AP8*Assumptions!$D$111+AO8*Assumptions!$D$112+AN8*Assumptions!$D$113+AM8*Assumptions!$D$114+AL8*Assumptions!$D$115+AK8*Assumptions!$D$116+AJ8*Assumptions!$D$117+AI8*Assumptions!$D$118+AH8*Assumptions!$D$119+AG8*Assumptions!$D$120+AF8*Assumptions!$D$121+AE8*Assumptions!$D$122+AD8*Assumptions!$D$123+AC8*Assumptions!$D$124+AB8*Assumptions!$D$125+AA8*Assumptions!$D$126+Z8*Assumptions!$D$127+Y8*Assumptions!$D$128+X8*Assumptions!$D$129+W8*Assumptions!$D$130+V8*Assumptions!$D$131+U8*Assumptions!$D$132+T8*Assumptions!$D$133)</f>
        <v>23.28</v>
      </c>
      <c r="AQ11" s="37" t="n">
        <f aca="false">Assumptions!$D$10*(AQ8*Assumptions!$D$111+AP8*Assumptions!$D$112+AO8*Assumptions!$D$113+AN8*Assumptions!$D$114+AM8*Assumptions!$D$115+AL8*Assumptions!$D$116+AK8*Assumptions!$D$117+AJ8*Assumptions!$D$118+AI8*Assumptions!$D$119+AH8*Assumptions!$D$120+AG8*Assumptions!$D$121+AF8*Assumptions!$D$122+AE8*Assumptions!$D$123+AD8*Assumptions!$D$124+AC8*Assumptions!$D$125+AB8*Assumptions!$D$126+AA8*Assumptions!$D$127+Z8*Assumptions!$D$128+Y8*Assumptions!$D$129+X8*Assumptions!$D$130+W8*Assumptions!$D$131+V8*Assumptions!$D$132+U8*Assumptions!$D$133)</f>
        <v>23.28</v>
      </c>
      <c r="AR11" s="37" t="n">
        <f aca="false">Assumptions!$D$10*(AR8*Assumptions!$D$111+AQ8*Assumptions!$D$112+AP8*Assumptions!$D$113+AO8*Assumptions!$D$114+AN8*Assumptions!$D$115+AM8*Assumptions!$D$116+AL8*Assumptions!$D$117+AK8*Assumptions!$D$118+AJ8*Assumptions!$D$119+AI8*Assumptions!$D$120+AH8*Assumptions!$D$121+AG8*Assumptions!$D$122+AF8*Assumptions!$D$123+AE8*Assumptions!$D$124+AD8*Assumptions!$D$125+AC8*Assumptions!$D$126+AB8*Assumptions!$D$127+AA8*Assumptions!$D$128+Z8*Assumptions!$D$129+Y8*Assumptions!$D$130+X8*Assumptions!$D$131+W8*Assumptions!$D$132+V8*Assumptions!$D$133)</f>
        <v>23.28</v>
      </c>
      <c r="AS11" s="37" t="n">
        <f aca="false">Assumptions!$D$10*(AS8*Assumptions!$D$111+AR8*Assumptions!$D$112+AQ8*Assumptions!$D$113+AP8*Assumptions!$D$114+AO8*Assumptions!$D$115+AN8*Assumptions!$D$116+AM8*Assumptions!$D$117+AL8*Assumptions!$D$118+AK8*Assumptions!$D$119+AJ8*Assumptions!$D$120+AI8*Assumptions!$D$121+AH8*Assumptions!$D$122+AG8*Assumptions!$D$123+AF8*Assumptions!$D$124+AE8*Assumptions!$D$125+AD8*Assumptions!$D$126+AC8*Assumptions!$D$127+AB8*Assumptions!$D$128+AA8*Assumptions!$D$129+Z8*Assumptions!$D$130+Y8*Assumptions!$D$131+X8*Assumptions!$D$132+W8*Assumptions!$D$133)</f>
        <v>23.52</v>
      </c>
      <c r="AT11" s="37" t="n">
        <f aca="false">Assumptions!$D$10*(AT8*Assumptions!$D$111+AS8*Assumptions!$D$112+AR8*Assumptions!$D$113+AQ8*Assumptions!$D$114+AP8*Assumptions!$D$115+AO8*Assumptions!$D$116+AN8*Assumptions!$D$117+AM8*Assumptions!$D$118+AL8*Assumptions!$D$119+AK8*Assumptions!$D$120+AJ8*Assumptions!$D$121+AI8*Assumptions!$D$122+AH8*Assumptions!$D$123+AG8*Assumptions!$D$124+AF8*Assumptions!$D$125+AE8*Assumptions!$D$126+AD8*Assumptions!$D$127+AC8*Assumptions!$D$128+AB8*Assumptions!$D$129+AA8*Assumptions!$D$130+Z8*Assumptions!$D$131+Y8*Assumptions!$D$132+X8*Assumptions!$D$133)</f>
        <v>23.52</v>
      </c>
      <c r="AU11" s="37" t="n">
        <f aca="false">Assumptions!$D$10*(AU8*Assumptions!$D$111+AT8*Assumptions!$D$112+AS8*Assumptions!$D$113+AR8*Assumptions!$D$114+AQ8*Assumptions!$D$115+AP8*Assumptions!$D$116+AO8*Assumptions!$D$117+AN8*Assumptions!$D$118+AM8*Assumptions!$D$119+AL8*Assumptions!$D$120+AK8*Assumptions!$D$121+AJ8*Assumptions!$D$122+AI8*Assumptions!$D$123+AH8*Assumptions!$D$124+AG8*Assumptions!$D$125+AF8*Assumptions!$D$126+AE8*Assumptions!$D$127+AD8*Assumptions!$D$128+AC8*Assumptions!$D$129+AB8*Assumptions!$D$130+AA8*Assumptions!$D$131+Z8*Assumptions!$D$132+Y8*Assumptions!$D$133)</f>
        <v>23.52</v>
      </c>
      <c r="AV11" s="37" t="n">
        <f aca="false">Assumptions!$D$10*(AV8*Assumptions!$D$111+AU8*Assumptions!$D$112+AT8*Assumptions!$D$113+AS8*Assumptions!$D$114+AR8*Assumptions!$D$115+AQ8*Assumptions!$D$116+AP8*Assumptions!$D$117+AO8*Assumptions!$D$118+AN8*Assumptions!$D$119+AM8*Assumptions!$D$120+AL8*Assumptions!$D$121+AK8*Assumptions!$D$122+AJ8*Assumptions!$D$123+AI8*Assumptions!$D$124+AH8*Assumptions!$D$125+AG8*Assumptions!$D$126+AF8*Assumptions!$D$127+AE8*Assumptions!$D$128+AD8*Assumptions!$D$129+AC8*Assumptions!$D$130+AB8*Assumptions!$D$131+AA8*Assumptions!$D$132+Z8*Assumptions!$D$133)</f>
        <v>23.76</v>
      </c>
      <c r="AW11" s="37" t="n">
        <f aca="false">Assumptions!$D$10*(AW8*Assumptions!$D$111+AV8*Assumptions!$D$112+AU8*Assumptions!$D$113+AT8*Assumptions!$D$114+AS8*Assumptions!$D$115+AR8*Assumptions!$D$116+AQ8*Assumptions!$D$117+AP8*Assumptions!$D$118+AO8*Assumptions!$D$119+AN8*Assumptions!$D$120+AM8*Assumptions!$D$121+AL8*Assumptions!$D$122+AK8*Assumptions!$D$123+AJ8*Assumptions!$D$124+AI8*Assumptions!$D$125+AH8*Assumptions!$D$126+AG8*Assumptions!$D$127+AF8*Assumptions!$D$128+AE8*Assumptions!$D$129+AD8*Assumptions!$D$130+AC8*Assumptions!$D$131+AB8*Assumptions!$D$132+AA8*Assumptions!$D$133)</f>
        <v>23.76</v>
      </c>
      <c r="AX11" s="37" t="n">
        <f aca="false">Assumptions!$D$10*(AX8*Assumptions!$D$111+AW8*Assumptions!$D$112+AV8*Assumptions!$D$113+AU8*Assumptions!$D$114+AT8*Assumptions!$D$115+AS8*Assumptions!$D$116+AR8*Assumptions!$D$117+AQ8*Assumptions!$D$118+AP8*Assumptions!$D$119+AO8*Assumptions!$D$120+AN8*Assumptions!$D$121+AM8*Assumptions!$D$122+AL8*Assumptions!$D$123+AK8*Assumptions!$D$124+AJ8*Assumptions!$D$125+AI8*Assumptions!$D$126+AH8*Assumptions!$D$127+AG8*Assumptions!$D$128+AF8*Assumptions!$D$129+AE8*Assumptions!$D$130+AD8*Assumptions!$D$131+AC8*Assumptions!$D$132+AB8*Assumptions!$D$133)</f>
        <v>23.76</v>
      </c>
      <c r="AY11" s="37" t="n">
        <f aca="false">Assumptions!$D$10*(AY8*Assumptions!$D$111+AX8*Assumptions!$D$112+AW8*Assumptions!$D$113+AV8*Assumptions!$D$114+AU8*Assumptions!$D$115+AT8*Assumptions!$D$116+AS8*Assumptions!$D$117+AR8*Assumptions!$D$118+AQ8*Assumptions!$D$119+AP8*Assumptions!$D$120+AO8*Assumptions!$D$121+AN8*Assumptions!$D$122+AM8*Assumptions!$D$123+AL8*Assumptions!$D$124+AK8*Assumptions!$D$125+AJ8*Assumptions!$D$126+AI8*Assumptions!$D$127+AH8*Assumptions!$D$128+AG8*Assumptions!$D$129+AF8*Assumptions!$D$130+AE8*Assumptions!$D$131+AD8*Assumptions!$D$132+AC8*Assumptions!$D$133)</f>
        <v>24</v>
      </c>
      <c r="AZ11" s="37" t="n">
        <f aca="false">Assumptions!$D$10*(AZ8*Assumptions!$D$111+AY8*Assumptions!$D$112+AX8*Assumptions!$D$113+AW8*Assumptions!$D$114+AV8*Assumptions!$D$115+AU8*Assumptions!$D$116+AT8*Assumptions!$D$117+AS8*Assumptions!$D$118+AR8*Assumptions!$D$119+AQ8*Assumptions!$D$120+AP8*Assumptions!$D$121+AO8*Assumptions!$D$122+AN8*Assumptions!$D$123+AM8*Assumptions!$D$124+AL8*Assumptions!$D$125+AK8*Assumptions!$D$126+AJ8*Assumptions!$D$127+AI8*Assumptions!$D$128+AH8*Assumptions!$D$129+AG8*Assumptions!$D$130+AF8*Assumptions!$D$131+AE8*Assumptions!$D$132+AD8*Assumptions!$D$133)</f>
        <v>24</v>
      </c>
      <c r="BA11" s="37" t="n">
        <f aca="false">Assumptions!$D$10*(BA8*Assumptions!$D$111+AZ8*Assumptions!$D$112+AY8*Assumptions!$D$113+AX8*Assumptions!$D$114+AW8*Assumptions!$D$115+AV8*Assumptions!$D$116+AU8*Assumptions!$D$117+AT8*Assumptions!$D$118+AS8*Assumptions!$D$119+AR8*Assumptions!$D$120+AQ8*Assumptions!$D$121+AP8*Assumptions!$D$122+AO8*Assumptions!$D$123+AN8*Assumptions!$D$124+AM8*Assumptions!$D$125+AL8*Assumptions!$D$126+AK8*Assumptions!$D$127+AJ8*Assumptions!$D$128+AI8*Assumptions!$D$129+AH8*Assumptions!$D$130+AG8*Assumptions!$D$131+AF8*Assumptions!$D$132+AE8*Assumptions!$D$133)</f>
        <v>24</v>
      </c>
      <c r="BB11" s="37" t="n">
        <f aca="false">Assumptions!$D$10*(BB8*Assumptions!$D$111+BA8*Assumptions!$D$112+AZ8*Assumptions!$D$113+AY8*Assumptions!$D$114+AX8*Assumptions!$D$115+AW8*Assumptions!$D$116+AV8*Assumptions!$D$117+AU8*Assumptions!$D$118+AT8*Assumptions!$D$119+AS8*Assumptions!$D$120+AR8*Assumptions!$D$121+AQ8*Assumptions!$D$122+AP8*Assumptions!$D$123+AO8*Assumptions!$D$124+AN8*Assumptions!$D$125+AM8*Assumptions!$D$126+AL8*Assumptions!$D$127+AK8*Assumptions!$D$128+AJ8*Assumptions!$D$129+AI8*Assumptions!$D$130+AH8*Assumptions!$D$131+AG8*Assumptions!$D$132+AF8*Assumptions!$D$133)</f>
        <v>24</v>
      </c>
      <c r="BC11" s="37" t="n">
        <f aca="false">Assumptions!$D$10*(BC8*Assumptions!$D$111+BB8*Assumptions!$D$112+BA8*Assumptions!$D$113+AZ8*Assumptions!$D$114+AY8*Assumptions!$D$115+AX8*Assumptions!$D$116+AW8*Assumptions!$D$117+AV8*Assumptions!$D$118+AU8*Assumptions!$D$119+AT8*Assumptions!$D$120+AS8*Assumptions!$D$121+AR8*Assumptions!$D$122+AQ8*Assumptions!$D$123+AP8*Assumptions!$D$124+AO8*Assumptions!$D$125+AN8*Assumptions!$D$126+AM8*Assumptions!$D$127+AL8*Assumptions!$D$128+AK8*Assumptions!$D$129+AJ8*Assumptions!$D$130+AI8*Assumptions!$D$131+AH8*Assumptions!$D$132+AG8*Assumptions!$D$133)</f>
        <v>24</v>
      </c>
      <c r="BD11" s="37" t="n">
        <f aca="false">Assumptions!$D$10*(BD8*Assumptions!$D$111+BC8*Assumptions!$D$112+BB8*Assumptions!$D$113+BA8*Assumptions!$D$114+AZ8*Assumptions!$D$115+AY8*Assumptions!$D$116+AX8*Assumptions!$D$117+AW8*Assumptions!$D$118+AV8*Assumptions!$D$119+AU8*Assumptions!$D$120+AT8*Assumptions!$D$121+AS8*Assumptions!$D$122+AR8*Assumptions!$D$123+AQ8*Assumptions!$D$124+AP8*Assumptions!$D$125+AO8*Assumptions!$D$126+AN8*Assumptions!$D$127+AM8*Assumptions!$D$128+AL8*Assumptions!$D$129+AK8*Assumptions!$D$130+AJ8*Assumptions!$D$131+AI8*Assumptions!$D$132+AH8*Assumptions!$D$133)</f>
        <v>24</v>
      </c>
      <c r="BE11" s="37" t="n">
        <f aca="false">Assumptions!$D$10*(BE8*Assumptions!$D$111+BD8*Assumptions!$D$112+BC8*Assumptions!$D$113+BB8*Assumptions!$D$114+BA8*Assumptions!$D$115+AZ8*Assumptions!$D$116+AY8*Assumptions!$D$117+AX8*Assumptions!$D$118+AW8*Assumptions!$D$119+AV8*Assumptions!$D$120+AU8*Assumptions!$D$121+AT8*Assumptions!$D$122+AS8*Assumptions!$D$123+AR8*Assumptions!$D$124+AQ8*Assumptions!$D$125+AP8*Assumptions!$D$126+AO8*Assumptions!$D$127+AN8*Assumptions!$D$128+AM8*Assumptions!$D$129+AL8*Assumptions!$D$130+AK8*Assumptions!$D$131+AJ8*Assumptions!$D$132+AI8*Assumptions!$D$133)</f>
        <v>24</v>
      </c>
      <c r="BF11" s="37" t="n">
        <f aca="false">Assumptions!$D$10*(BF8*Assumptions!$D$111+BE8*Assumptions!$D$112+BD8*Assumptions!$D$113+BC8*Assumptions!$D$114+BB8*Assumptions!$D$115+BA8*Assumptions!$D$116+AZ8*Assumptions!$D$117+AY8*Assumptions!$D$118+AX8*Assumptions!$D$119+AW8*Assumptions!$D$120+AV8*Assumptions!$D$121+AU8*Assumptions!$D$122+AT8*Assumptions!$D$123+AS8*Assumptions!$D$124+AR8*Assumptions!$D$125+AQ8*Assumptions!$D$126+AP8*Assumptions!$D$127+AO8*Assumptions!$D$128+AN8*Assumptions!$D$129+AM8*Assumptions!$D$130+AL8*Assumptions!$D$131+AK8*Assumptions!$D$132+AJ8*Assumptions!$D$133)</f>
        <v>24</v>
      </c>
      <c r="BG11" s="37" t="n">
        <f aca="false">Assumptions!$D$10*(BG8*Assumptions!$D$111+BF8*Assumptions!$D$112+BE8*Assumptions!$D$113+BD8*Assumptions!$D$114+BC8*Assumptions!$D$115+BB8*Assumptions!$D$116+BA8*Assumptions!$D$117+AZ8*Assumptions!$D$118+AY8*Assumptions!$D$119+AX8*Assumptions!$D$120+AW8*Assumptions!$D$121+AV8*Assumptions!$D$122+AU8*Assumptions!$D$123+AT8*Assumptions!$D$124+AS8*Assumptions!$D$125+AR8*Assumptions!$D$126+AQ8*Assumptions!$D$127+AP8*Assumptions!$D$128+AO8*Assumptions!$D$129+AN8*Assumptions!$D$130+AM8*Assumptions!$D$131+AL8*Assumptions!$D$132+AK8*Assumptions!$D$133)</f>
        <v>24</v>
      </c>
      <c r="BH11" s="37" t="n">
        <f aca="false">Assumptions!$D$10*(BH8*Assumptions!$D$111+BG8*Assumptions!$D$112+BF8*Assumptions!$D$113+BE8*Assumptions!$D$114+BD8*Assumptions!$D$115+BC8*Assumptions!$D$116+BB8*Assumptions!$D$117+BA8*Assumptions!$D$118+AZ8*Assumptions!$D$119+AY8*Assumptions!$D$120+AX8*Assumptions!$D$121+AW8*Assumptions!$D$122+AV8*Assumptions!$D$123+AU8*Assumptions!$D$124+AT8*Assumptions!$D$125+AS8*Assumptions!$D$126+AR8*Assumptions!$D$127+AQ8*Assumptions!$D$128+AP8*Assumptions!$D$129+AO8*Assumptions!$D$130+AN8*Assumptions!$D$131+AM8*Assumptions!$D$132+AL8*Assumptions!$D$133)</f>
        <v>24</v>
      </c>
      <c r="BI11" s="37" t="n">
        <f aca="false">Assumptions!$D$10*(BI8*Assumptions!$D$111+BH8*Assumptions!$D$112+BG8*Assumptions!$D$113+BF8*Assumptions!$D$114+BE8*Assumptions!$D$115+BD8*Assumptions!$D$116+BC8*Assumptions!$D$117+BB8*Assumptions!$D$118+BA8*Assumptions!$D$119+AZ8*Assumptions!$D$120+AY8*Assumptions!$D$121+AX8*Assumptions!$D$122+AW8*Assumptions!$D$123+AV8*Assumptions!$D$124+AU8*Assumptions!$D$125+AT8*Assumptions!$D$126+AS8*Assumptions!$D$127+AR8*Assumptions!$D$128+AQ8*Assumptions!$D$129+AP8*Assumptions!$D$130+AO8*Assumptions!$D$131+AN8*Assumptions!$D$132+AM8*Assumptions!$D$133)</f>
        <v>24</v>
      </c>
      <c r="BJ11" s="37" t="n">
        <f aca="false">Assumptions!$D$10*(BJ8*Assumptions!$D$111+BI8*Assumptions!$D$112+BH8*Assumptions!$D$113+BG8*Assumptions!$D$114+BF8*Assumptions!$D$115+BE8*Assumptions!$D$116+BD8*Assumptions!$D$117+BC8*Assumptions!$D$118+BB8*Assumptions!$D$119+BA8*Assumptions!$D$120+AZ8*Assumptions!$D$121+AY8*Assumptions!$D$122+AX8*Assumptions!$D$123+AW8*Assumptions!$D$124+AV8*Assumptions!$D$125+AU8*Assumptions!$D$126+AT8*Assumptions!$D$127+AS8*Assumptions!$D$128+AR8*Assumptions!$D$129+AQ8*Assumptions!$D$130+AP8*Assumptions!$D$131+AO8*Assumptions!$D$132+AN8*Assumptions!$D$133)</f>
        <v>24</v>
      </c>
      <c r="BK11" s="37" t="n">
        <f aca="false">Assumptions!$D$10*(BK8*Assumptions!$D$111+BJ8*Assumptions!$D$112+BI8*Assumptions!$D$113+BH8*Assumptions!$D$114+BG8*Assumptions!$D$115+BF8*Assumptions!$D$116+BE8*Assumptions!$D$117+BD8*Assumptions!$D$118+BC8*Assumptions!$D$119+BB8*Assumptions!$D$120+BA8*Assumptions!$D$121+AZ8*Assumptions!$D$122+AY8*Assumptions!$D$123+AX8*Assumptions!$D$124+AW8*Assumptions!$D$125+AV8*Assumptions!$D$126+AU8*Assumptions!$D$127+AT8*Assumptions!$D$128+AS8*Assumptions!$D$129+AR8*Assumptions!$D$130+AQ8*Assumptions!$D$131+AP8*Assumptions!$D$132+AO8*Assumptions!$D$133)</f>
        <v>24</v>
      </c>
    </row>
    <row r="12" customFormat="false" ht="15" hidden="false" customHeight="false" outlineLevel="0" collapsed="false">
      <c r="A12" s="28" t="s">
        <v>543</v>
      </c>
      <c r="B12" s="6" t="s">
        <v>544</v>
      </c>
      <c r="C12" s="36" t="n">
        <v>0</v>
      </c>
      <c r="D12" s="26" t="n">
        <f aca="false">C12*(1-Assumptions!$D$12)+D11</f>
        <v>0</v>
      </c>
      <c r="E12" s="26" t="n">
        <f aca="false">D12*(1-Assumptions!$D$12)+E11</f>
        <v>0</v>
      </c>
      <c r="F12" s="26" t="n">
        <f aca="false">E12*(1-Assumptions!$D$12)+F11</f>
        <v>0</v>
      </c>
      <c r="G12" s="26" t="n">
        <f aca="false">F12*(1-Assumptions!$D$12)+G11</f>
        <v>0</v>
      </c>
      <c r="H12" s="26" t="n">
        <f aca="false">G12*(1-Assumptions!$D$12)+H11</f>
        <v>6</v>
      </c>
      <c r="I12" s="26" t="n">
        <f aca="false">H12*(1-Assumptions!$D$12)+I11</f>
        <v>11.13</v>
      </c>
      <c r="J12" s="26" t="n">
        <f aca="false">I12*(1-Assumptions!$D$12)+J11</f>
        <v>14.45175</v>
      </c>
      <c r="K12" s="26" t="n">
        <f aca="false">J12*(1-Assumptions!$D$12)+K11</f>
        <v>16.49045625</v>
      </c>
      <c r="L12" s="26" t="n">
        <f aca="false">K12*(1-Assumptions!$D$12)+L11</f>
        <v>17.51819484375</v>
      </c>
      <c r="M12" s="26" t="n">
        <f aca="false">L12*(1-Assumptions!$D$12)+M11</f>
        <v>18.2802399726563</v>
      </c>
      <c r="N12" s="26" t="n">
        <f aca="false">M12*(1-Assumptions!$D$12)+N11</f>
        <v>24.0632339733398</v>
      </c>
      <c r="O12" s="26" t="n">
        <f aca="false">N12*(1-Assumptions!$D$12)+O11</f>
        <v>28.9816531240063</v>
      </c>
      <c r="P12" s="26" t="n">
        <f aca="false">O12*(1-Assumptions!$D$12)+P11</f>
        <v>32.0971117959062</v>
      </c>
      <c r="Q12" s="26" t="n">
        <f aca="false">P12*(1-Assumptions!$D$12)+Q11</f>
        <v>39.9346840010085</v>
      </c>
      <c r="R12" s="26" t="n">
        <f aca="false">Q12*(1-Assumptions!$D$12)+R11</f>
        <v>45.8963169009833</v>
      </c>
      <c r="S12" s="26" t="n">
        <f aca="false">R12*(1-Assumptions!$D$12)+S11</f>
        <v>49.7889089784587</v>
      </c>
      <c r="T12" s="26" t="n">
        <f aca="false">S12*(1-Assumptions!$D$12)+T11</f>
        <v>57.4241862539973</v>
      </c>
      <c r="U12" s="26" t="n">
        <f aca="false">T12*(1-Assumptions!$D$12)+U11</f>
        <v>69.1885815976473</v>
      </c>
      <c r="V12" s="26" t="n">
        <f aca="false">U12*(1-Assumptions!$D$12)+V11</f>
        <v>78.0188670577062</v>
      </c>
      <c r="W12" s="26" t="n">
        <f aca="false">V12*(1-Assumptions!$D$12)+W11</f>
        <v>88.7883953812635</v>
      </c>
      <c r="X12" s="26" t="n">
        <f aca="false">W12*(1-Assumptions!$D$12)+X11</f>
        <v>102.408685496732</v>
      </c>
      <c r="Y12" s="26" t="n">
        <f aca="false">X12*(1-Assumptions!$D$12)+Y11</f>
        <v>112.088468359314</v>
      </c>
      <c r="Z12" s="26" t="n">
        <f aca="false">Y12*(1-Assumptions!$D$12)+Z11</f>
        <v>123.446256650331</v>
      </c>
      <c r="AA12" s="26" t="n">
        <f aca="false">Z12*(1-Assumptions!$D$12)+AA11</f>
        <v>136.680100234072</v>
      </c>
      <c r="AB12" s="26" t="n">
        <f aca="false">AA12*(1-Assumptions!$D$12)+AB11</f>
        <v>145.983097728221</v>
      </c>
      <c r="AC12" s="26" t="n">
        <f aca="false">AB12*(1-Assumptions!$D$12)+AC11</f>
        <v>156.973520285015</v>
      </c>
      <c r="AD12" s="26" t="n">
        <f aca="false">AC12*(1-Assumptions!$D$12)+AD11</f>
        <v>169.84918227789</v>
      </c>
      <c r="AE12" s="26" t="n">
        <f aca="false">AD12*(1-Assumptions!$D$12)+AE11</f>
        <v>184.562952720943</v>
      </c>
      <c r="AF12" s="26" t="n">
        <f aca="false">AE12*(1-Assumptions!$D$12)+AF11</f>
        <v>200.108878902919</v>
      </c>
      <c r="AG12" s="26" t="n">
        <f aca="false">AF12*(1-Assumptions!$D$12)+AG11</f>
        <v>215.746156930346</v>
      </c>
      <c r="AH12" s="26" t="n">
        <f aca="false">AG12*(1-Assumptions!$D$12)+AH11</f>
        <v>232.192503007087</v>
      </c>
      <c r="AI12" s="26" t="n">
        <f aca="false">AH12*(1-Assumptions!$D$12)+AI11</f>
        <v>248.46769043191</v>
      </c>
      <c r="AJ12" s="26" t="n">
        <f aca="false">AI12*(1-Assumptions!$D$12)+AJ11</f>
        <v>264.575998171112</v>
      </c>
      <c r="AK12" s="26" t="n">
        <f aca="false">AJ12*(1-Assumptions!$D$12)+AK11</f>
        <v>280.281598216835</v>
      </c>
      <c r="AL12" s="26" t="n">
        <f aca="false">AK12*(1-Assumptions!$D$12)+AL11</f>
        <v>295.834558261414</v>
      </c>
      <c r="AM12" s="26" t="n">
        <f aca="false">AL12*(1-Assumptions!$D$12)+AM11</f>
        <v>311.238694304878</v>
      </c>
      <c r="AN12" s="37" t="n">
        <f aca="false">AM12*(1-Assumptions!$D$12)+AN11</f>
        <v>326.257726947256</v>
      </c>
      <c r="AO12" s="37" t="n">
        <f aca="false">AN12*(1-Assumptions!$D$12)+AO11</f>
        <v>341.141283773575</v>
      </c>
      <c r="AP12" s="37" t="n">
        <f aca="false">AO12*(1-Assumptions!$D$12)+AP11</f>
        <v>355.892751679236</v>
      </c>
      <c r="AQ12" s="37" t="n">
        <f aca="false">AP12*(1-Assumptions!$D$12)+AQ11</f>
        <v>370.275432887255</v>
      </c>
      <c r="AR12" s="37" t="n">
        <f aca="false">AQ12*(1-Assumptions!$D$12)+AR11</f>
        <v>384.298547065074</v>
      </c>
      <c r="AS12" s="37" t="n">
        <f aca="false">AR12*(1-Assumptions!$D$12)+AS11</f>
        <v>398.211083388447</v>
      </c>
      <c r="AT12" s="37" t="n">
        <f aca="false">AS12*(1-Assumptions!$D$12)+AT11</f>
        <v>411.775806303735</v>
      </c>
      <c r="AU12" s="37" t="n">
        <f aca="false">AT12*(1-Assumptions!$D$12)+AU11</f>
        <v>425.001411146142</v>
      </c>
      <c r="AV12" s="37" t="n">
        <f aca="false">AU12*(1-Assumptions!$D$12)+AV11</f>
        <v>438.136375867489</v>
      </c>
      <c r="AW12" s="37" t="n">
        <f aca="false">AV12*(1-Assumptions!$D$12)+AW11</f>
        <v>450.942966470801</v>
      </c>
      <c r="AX12" s="37" t="n">
        <f aca="false">AW12*(1-Assumptions!$D$12)+AX11</f>
        <v>463.429392309031</v>
      </c>
      <c r="AY12" s="37" t="n">
        <f aca="false">AX12*(1-Assumptions!$D$12)+AY11</f>
        <v>475.843657501305</v>
      </c>
      <c r="AZ12" s="37" t="n">
        <f aca="false">AY12*(1-Assumptions!$D$12)+AZ11</f>
        <v>487.947566063773</v>
      </c>
      <c r="BA12" s="37" t="n">
        <f aca="false">AZ12*(1-Assumptions!$D$12)+BA11</f>
        <v>499.748876912178</v>
      </c>
      <c r="BB12" s="37" t="n">
        <f aca="false">BA12*(1-Assumptions!$D$12)+BB11</f>
        <v>511.255154989374</v>
      </c>
      <c r="BC12" s="37" t="n">
        <f aca="false">BB12*(1-Assumptions!$D$12)+BC11</f>
        <v>522.47377611464</v>
      </c>
      <c r="BD12" s="37" t="n">
        <f aca="false">BC12*(1-Assumptions!$D$12)+BD11</f>
        <v>533.411931711774</v>
      </c>
      <c r="BE12" s="37" t="n">
        <f aca="false">BD12*(1-Assumptions!$D$12)+BE11</f>
        <v>544.076633418979</v>
      </c>
      <c r="BF12" s="37" t="n">
        <f aca="false">BE12*(1-Assumptions!$D$12)+BF11</f>
        <v>554.474717583505</v>
      </c>
      <c r="BG12" s="37" t="n">
        <f aca="false">BF12*(1-Assumptions!$D$12)+BG11</f>
        <v>564.612849643917</v>
      </c>
      <c r="BH12" s="37" t="n">
        <f aca="false">BG12*(1-Assumptions!$D$12)+BH11</f>
        <v>574.497528402819</v>
      </c>
      <c r="BI12" s="37" t="n">
        <f aca="false">BH12*(1-Assumptions!$D$12)+BI11</f>
        <v>584.135090192749</v>
      </c>
      <c r="BJ12" s="37" t="n">
        <f aca="false">BI12*(1-Assumptions!$D$12)+BJ11</f>
        <v>593.53171293793</v>
      </c>
      <c r="BK12" s="37" t="n">
        <f aca="false">BJ12*(1-Assumptions!$D$12)+BK11</f>
        <v>602.693420114482</v>
      </c>
    </row>
    <row r="13" customFormat="false" ht="15" hidden="false" customHeight="false" outlineLevel="0" collapsed="false">
      <c r="A13" s="28" t="s">
        <v>545</v>
      </c>
      <c r="B13" s="6" t="s">
        <v>546</v>
      </c>
      <c r="C13" s="36" t="n">
        <v>0</v>
      </c>
      <c r="D13" s="26" t="n">
        <f aca="false">D12*Assumptions!$D$11</f>
        <v>0</v>
      </c>
      <c r="E13" s="26" t="n">
        <f aca="false">E12*Assumptions!$D$11</f>
        <v>0</v>
      </c>
      <c r="F13" s="26" t="n">
        <f aca="false">F12*Assumptions!$D$11</f>
        <v>0</v>
      </c>
      <c r="G13" s="26" t="n">
        <f aca="false">G12*Assumptions!$D$11</f>
        <v>0</v>
      </c>
      <c r="H13" s="26" t="n">
        <f aca="false">H12*Assumptions!$D$11</f>
        <v>3</v>
      </c>
      <c r="I13" s="26" t="n">
        <f aca="false">I12*Assumptions!$D$11</f>
        <v>5.565</v>
      </c>
      <c r="J13" s="26" t="n">
        <f aca="false">J12*Assumptions!$D$11</f>
        <v>7.225875</v>
      </c>
      <c r="K13" s="26" t="n">
        <f aca="false">K12*Assumptions!$D$11</f>
        <v>8.245228125</v>
      </c>
      <c r="L13" s="26" t="n">
        <f aca="false">L12*Assumptions!$D$11</f>
        <v>8.759097421875</v>
      </c>
      <c r="M13" s="26" t="n">
        <f aca="false">M12*Assumptions!$D$11</f>
        <v>9.14011998632813</v>
      </c>
      <c r="N13" s="26" t="n">
        <f aca="false">N12*Assumptions!$D$11</f>
        <v>12.0316169866699</v>
      </c>
      <c r="O13" s="26" t="n">
        <f aca="false">O12*Assumptions!$D$11</f>
        <v>14.4908265620032</v>
      </c>
      <c r="P13" s="26" t="n">
        <f aca="false">P12*Assumptions!$D$11</f>
        <v>16.0485558979531</v>
      </c>
      <c r="Q13" s="26" t="n">
        <f aca="false">Q12*Assumptions!$D$11</f>
        <v>19.9673420005043</v>
      </c>
      <c r="R13" s="26" t="n">
        <f aca="false">R12*Assumptions!$D$11</f>
        <v>22.9481584504917</v>
      </c>
      <c r="S13" s="26" t="n">
        <f aca="false">S12*Assumptions!$D$11</f>
        <v>24.8944544892294</v>
      </c>
      <c r="T13" s="26" t="n">
        <f aca="false">T12*Assumptions!$D$11</f>
        <v>28.7120931269986</v>
      </c>
      <c r="U13" s="26" t="n">
        <f aca="false">U12*Assumptions!$D$11</f>
        <v>34.5942907988237</v>
      </c>
      <c r="V13" s="26" t="n">
        <f aca="false">V12*Assumptions!$D$11</f>
        <v>39.0094335288531</v>
      </c>
      <c r="W13" s="26" t="n">
        <f aca="false">W12*Assumptions!$D$11</f>
        <v>44.3941976906317</v>
      </c>
      <c r="X13" s="26" t="n">
        <f aca="false">X12*Assumptions!$D$11</f>
        <v>51.204342748366</v>
      </c>
      <c r="Y13" s="26" t="n">
        <f aca="false">Y12*Assumptions!$D$11</f>
        <v>56.0442341796568</v>
      </c>
      <c r="Z13" s="26" t="n">
        <f aca="false">Z12*Assumptions!$D$11</f>
        <v>61.7231283251654</v>
      </c>
      <c r="AA13" s="26" t="n">
        <f aca="false">AA12*Assumptions!$D$11</f>
        <v>68.3400501170362</v>
      </c>
      <c r="AB13" s="26" t="n">
        <f aca="false">AB12*Assumptions!$D$11</f>
        <v>72.9915488641103</v>
      </c>
      <c r="AC13" s="26" t="n">
        <f aca="false">AC12*Assumptions!$D$11</f>
        <v>78.4867601425076</v>
      </c>
      <c r="AD13" s="26" t="n">
        <f aca="false">AD12*Assumptions!$D$11</f>
        <v>84.9245911389449</v>
      </c>
      <c r="AE13" s="26" t="n">
        <f aca="false">AE12*Assumptions!$D$11</f>
        <v>92.2814763604713</v>
      </c>
      <c r="AF13" s="26" t="n">
        <f aca="false">AF12*Assumptions!$D$11</f>
        <v>100.054439451459</v>
      </c>
      <c r="AG13" s="26" t="n">
        <f aca="false">AG12*Assumptions!$D$11</f>
        <v>107.873078465173</v>
      </c>
      <c r="AH13" s="26" t="n">
        <f aca="false">AH12*Assumptions!$D$11</f>
        <v>116.096251503544</v>
      </c>
      <c r="AI13" s="26" t="n">
        <f aca="false">AI12*Assumptions!$D$11</f>
        <v>124.233845215955</v>
      </c>
      <c r="AJ13" s="26" t="n">
        <f aca="false">AJ12*Assumptions!$D$11</f>
        <v>132.287999085556</v>
      </c>
      <c r="AK13" s="26" t="n">
        <f aca="false">AK12*Assumptions!$D$11</f>
        <v>140.140799108417</v>
      </c>
      <c r="AL13" s="26" t="n">
        <f aca="false">AL12*Assumptions!$D$11</f>
        <v>147.917279130707</v>
      </c>
      <c r="AM13" s="26" t="n">
        <f aca="false">AM12*Assumptions!$D$11</f>
        <v>155.619347152439</v>
      </c>
      <c r="AN13" s="37" t="n">
        <f aca="false">AN12*Assumptions!$D$11</f>
        <v>163.128863473628</v>
      </c>
      <c r="AO13" s="37" t="n">
        <f aca="false">AO12*Assumptions!$D$11</f>
        <v>170.570641886788</v>
      </c>
      <c r="AP13" s="37" t="n">
        <f aca="false">AP12*Assumptions!$D$11</f>
        <v>177.946375839618</v>
      </c>
      <c r="AQ13" s="37" t="n">
        <f aca="false">AQ12*Assumptions!$D$11</f>
        <v>185.137716443627</v>
      </c>
      <c r="AR13" s="37" t="n">
        <f aca="false">AR12*Assumptions!$D$11</f>
        <v>192.149273532537</v>
      </c>
      <c r="AS13" s="37" t="n">
        <f aca="false">AS12*Assumptions!$D$11</f>
        <v>199.105541694223</v>
      </c>
      <c r="AT13" s="37" t="n">
        <f aca="false">AT12*Assumptions!$D$11</f>
        <v>205.887903151868</v>
      </c>
      <c r="AU13" s="37" t="n">
        <f aca="false">AU12*Assumptions!$D$11</f>
        <v>212.500705573071</v>
      </c>
      <c r="AV13" s="37" t="n">
        <f aca="false">AV12*Assumptions!$D$11</f>
        <v>219.068187933744</v>
      </c>
      <c r="AW13" s="37" t="n">
        <f aca="false">AW12*Assumptions!$D$11</f>
        <v>225.471483235401</v>
      </c>
      <c r="AX13" s="37" t="n">
        <f aca="false">AX12*Assumptions!$D$11</f>
        <v>231.714696154516</v>
      </c>
      <c r="AY13" s="37" t="n">
        <f aca="false">AY12*Assumptions!$D$11</f>
        <v>237.921828750653</v>
      </c>
      <c r="AZ13" s="37" t="n">
        <f aca="false">AZ12*Assumptions!$D$11</f>
        <v>243.973783031886</v>
      </c>
      <c r="BA13" s="37" t="n">
        <f aca="false">BA12*Assumptions!$D$11</f>
        <v>249.874438456089</v>
      </c>
      <c r="BB13" s="37" t="n">
        <f aca="false">BB12*Assumptions!$D$11</f>
        <v>255.627577494687</v>
      </c>
      <c r="BC13" s="37" t="n">
        <f aca="false">BC12*Assumptions!$D$11</f>
        <v>261.23688805732</v>
      </c>
      <c r="BD13" s="37" t="n">
        <f aca="false">BD12*Assumptions!$D$11</f>
        <v>266.705965855887</v>
      </c>
      <c r="BE13" s="37" t="n">
        <f aca="false">BE12*Assumptions!$D$11</f>
        <v>272.03831670949</v>
      </c>
      <c r="BF13" s="37" t="n">
        <f aca="false">BF12*Assumptions!$D$11</f>
        <v>277.237358791752</v>
      </c>
      <c r="BG13" s="37" t="n">
        <f aca="false">BG12*Assumptions!$D$11</f>
        <v>282.306424821959</v>
      </c>
      <c r="BH13" s="37" t="n">
        <f aca="false">BH12*Assumptions!$D$11</f>
        <v>287.24876420141</v>
      </c>
      <c r="BI13" s="37" t="n">
        <f aca="false">BI12*Assumptions!$D$11</f>
        <v>292.067545096374</v>
      </c>
      <c r="BJ13" s="37" t="n">
        <f aca="false">BJ12*Assumptions!$D$11</f>
        <v>296.765856468965</v>
      </c>
      <c r="BK13" s="37" t="n">
        <f aca="false">BK12*Assumptions!$D$11</f>
        <v>301.346710057241</v>
      </c>
    </row>
    <row r="14" customFormat="false" ht="15" hidden="false" customHeight="false" outlineLevel="0" collapsed="false">
      <c r="A14" s="28" t="s">
        <v>547</v>
      </c>
      <c r="B14" s="6" t="s">
        <v>548</v>
      </c>
      <c r="C14" s="36" t="n">
        <v>0</v>
      </c>
      <c r="D14" s="26" t="n">
        <f aca="false">D11*Assumptions!$D$11</f>
        <v>0</v>
      </c>
      <c r="E14" s="26" t="n">
        <f aca="false">E11*Assumptions!$D$11</f>
        <v>0</v>
      </c>
      <c r="F14" s="26" t="n">
        <f aca="false">F11*Assumptions!$D$11</f>
        <v>0</v>
      </c>
      <c r="G14" s="26" t="n">
        <f aca="false">G11*Assumptions!$D$11</f>
        <v>0</v>
      </c>
      <c r="H14" s="26" t="n">
        <f aca="false">H11*Assumptions!$D$11</f>
        <v>3</v>
      </c>
      <c r="I14" s="26" t="n">
        <f aca="false">I11*Assumptions!$D$11</f>
        <v>2.64</v>
      </c>
      <c r="J14" s="26" t="n">
        <f aca="false">J11*Assumptions!$D$11</f>
        <v>1.8</v>
      </c>
      <c r="K14" s="26" t="n">
        <f aca="false">K11*Assumptions!$D$11</f>
        <v>1.2</v>
      </c>
      <c r="L14" s="26" t="n">
        <f aca="false">L11*Assumptions!$D$11</f>
        <v>0.72</v>
      </c>
      <c r="M14" s="26" t="n">
        <f aca="false">M11*Assumptions!$D$11</f>
        <v>0.6</v>
      </c>
      <c r="N14" s="26" t="n">
        <f aca="false">N11*Assumptions!$D$11</f>
        <v>3.12</v>
      </c>
      <c r="O14" s="26" t="n">
        <f aca="false">O11*Assumptions!$D$11</f>
        <v>2.76</v>
      </c>
      <c r="P14" s="26" t="n">
        <f aca="false">P11*Assumptions!$D$11</f>
        <v>1.92</v>
      </c>
      <c r="Q14" s="26" t="n">
        <f aca="false">Q11*Assumptions!$D$11</f>
        <v>4.32</v>
      </c>
      <c r="R14" s="26" t="n">
        <f aca="false">R11*Assumptions!$D$11</f>
        <v>3.48</v>
      </c>
      <c r="S14" s="26" t="n">
        <f aca="false">S11*Assumptions!$D$11</f>
        <v>2.52</v>
      </c>
      <c r="T14" s="26" t="n">
        <f aca="false">T11*Assumptions!$D$11</f>
        <v>4.44</v>
      </c>
      <c r="U14" s="26" t="n">
        <f aca="false">U11*Assumptions!$D$11</f>
        <v>6.6</v>
      </c>
      <c r="V14" s="26" t="n">
        <f aca="false">V11*Assumptions!$D$11</f>
        <v>5.28</v>
      </c>
      <c r="W14" s="26" t="n">
        <f aca="false">W11*Assumptions!$D$11</f>
        <v>6.36</v>
      </c>
      <c r="X14" s="26" t="n">
        <f aca="false">X11*Assumptions!$D$11</f>
        <v>7.92</v>
      </c>
      <c r="Y14" s="26" t="n">
        <f aca="false">Y11*Assumptions!$D$11</f>
        <v>6.12</v>
      </c>
      <c r="Z14" s="26" t="n">
        <f aca="false">Z11*Assumptions!$D$11</f>
        <v>7.08</v>
      </c>
      <c r="AA14" s="26" t="n">
        <f aca="false">AA11*Assumptions!$D$11</f>
        <v>8.16</v>
      </c>
      <c r="AB14" s="26" t="n">
        <f aca="false">AB11*Assumptions!$D$11</f>
        <v>6.36</v>
      </c>
      <c r="AC14" s="26" t="n">
        <f aca="false">AC11*Assumptions!$D$11</f>
        <v>7.32</v>
      </c>
      <c r="AD14" s="26" t="n">
        <f aca="false">AD11*Assumptions!$D$11</f>
        <v>8.4</v>
      </c>
      <c r="AE14" s="26" t="n">
        <f aca="false">AE11*Assumptions!$D$11</f>
        <v>9.48</v>
      </c>
      <c r="AF14" s="26" t="n">
        <f aca="false">AF11*Assumptions!$D$11</f>
        <v>10.08</v>
      </c>
      <c r="AG14" s="26" t="n">
        <f aca="false">AG11*Assumptions!$D$11</f>
        <v>10.32</v>
      </c>
      <c r="AH14" s="26" t="n">
        <f aca="false">AH11*Assumptions!$D$11</f>
        <v>10.92</v>
      </c>
      <c r="AI14" s="26" t="n">
        <f aca="false">AI11*Assumptions!$D$11</f>
        <v>11.04</v>
      </c>
      <c r="AJ14" s="26" t="n">
        <f aca="false">AJ11*Assumptions!$D$11</f>
        <v>11.16</v>
      </c>
      <c r="AK14" s="26" t="n">
        <f aca="false">AK11*Assumptions!$D$11</f>
        <v>11.16</v>
      </c>
      <c r="AL14" s="26" t="n">
        <f aca="false">AL11*Assumptions!$D$11</f>
        <v>11.28</v>
      </c>
      <c r="AM14" s="26" t="n">
        <f aca="false">AM11*Assumptions!$D$11</f>
        <v>11.4</v>
      </c>
      <c r="AN14" s="37" t="n">
        <f aca="false">AN11*Assumptions!$D$11</f>
        <v>11.4</v>
      </c>
      <c r="AO14" s="37" t="n">
        <f aca="false">AO11*Assumptions!$D$11</f>
        <v>11.52</v>
      </c>
      <c r="AP14" s="37" t="n">
        <f aca="false">AP11*Assumptions!$D$11</f>
        <v>11.64</v>
      </c>
      <c r="AQ14" s="37" t="n">
        <f aca="false">AQ11*Assumptions!$D$11</f>
        <v>11.64</v>
      </c>
      <c r="AR14" s="37" t="n">
        <f aca="false">AR11*Assumptions!$D$11</f>
        <v>11.64</v>
      </c>
      <c r="AS14" s="37" t="n">
        <f aca="false">AS11*Assumptions!$D$11</f>
        <v>11.76</v>
      </c>
      <c r="AT14" s="37" t="n">
        <f aca="false">AT11*Assumptions!$D$11</f>
        <v>11.76</v>
      </c>
      <c r="AU14" s="37" t="n">
        <f aca="false">AU11*Assumptions!$D$11</f>
        <v>11.76</v>
      </c>
      <c r="AV14" s="37" t="n">
        <f aca="false">AV11*Assumptions!$D$11</f>
        <v>11.88</v>
      </c>
      <c r="AW14" s="37" t="n">
        <f aca="false">AW11*Assumptions!$D$11</f>
        <v>11.88</v>
      </c>
      <c r="AX14" s="37" t="n">
        <f aca="false">AX11*Assumptions!$D$11</f>
        <v>11.88</v>
      </c>
      <c r="AY14" s="37" t="n">
        <f aca="false">AY11*Assumptions!$D$11</f>
        <v>12</v>
      </c>
      <c r="AZ14" s="37" t="n">
        <f aca="false">AZ11*Assumptions!$D$11</f>
        <v>12</v>
      </c>
      <c r="BA14" s="37" t="n">
        <f aca="false">BA11*Assumptions!$D$11</f>
        <v>12</v>
      </c>
      <c r="BB14" s="37" t="n">
        <f aca="false">BB11*Assumptions!$D$11</f>
        <v>12</v>
      </c>
      <c r="BC14" s="37" t="n">
        <f aca="false">BC11*Assumptions!$D$11</f>
        <v>12</v>
      </c>
      <c r="BD14" s="37" t="n">
        <f aca="false">BD11*Assumptions!$D$11</f>
        <v>12</v>
      </c>
      <c r="BE14" s="37" t="n">
        <f aca="false">BE11*Assumptions!$D$11</f>
        <v>12</v>
      </c>
      <c r="BF14" s="37" t="n">
        <f aca="false">BF11*Assumptions!$D$11</f>
        <v>12</v>
      </c>
      <c r="BG14" s="37" t="n">
        <f aca="false">BG11*Assumptions!$D$11</f>
        <v>12</v>
      </c>
      <c r="BH14" s="37" t="n">
        <f aca="false">BH11*Assumptions!$D$11</f>
        <v>12</v>
      </c>
      <c r="BI14" s="37" t="n">
        <f aca="false">BI11*Assumptions!$D$11</f>
        <v>12</v>
      </c>
      <c r="BJ14" s="37" t="n">
        <f aca="false">BJ11*Assumptions!$D$11</f>
        <v>12</v>
      </c>
      <c r="BK14" s="37" t="n">
        <f aca="false">BK11*Assumptions!$D$11</f>
        <v>12</v>
      </c>
    </row>
    <row r="15" customFormat="false" ht="15" hidden="false" customHeight="false" outlineLevel="0" collapsed="false">
      <c r="B15" s="5" t="s">
        <v>549</v>
      </c>
    </row>
    <row r="16" customFormat="false" ht="15" hidden="false" customHeight="false" outlineLevel="0" collapsed="false">
      <c r="A16" s="28" t="s">
        <v>550</v>
      </c>
      <c r="B16" s="6" t="s">
        <v>551</v>
      </c>
      <c r="C16" s="38" t="n">
        <v>0</v>
      </c>
      <c r="D16" s="39" t="n">
        <f aca="false">IF(OR(C16=1,AND(D13&gt;=Assumptions!$D$18,D7&gt;=Assumptions!$D$19)),1,0)</f>
        <v>0</v>
      </c>
      <c r="E16" s="39" t="n">
        <f aca="false">IF(OR(D16=1,AND(E13&gt;=Assumptions!$D$18,E7&gt;=Assumptions!$D$19)),1,0)</f>
        <v>0</v>
      </c>
      <c r="F16" s="39" t="n">
        <f aca="false">IF(OR(E16=1,AND(F13&gt;=Assumptions!$D$18,F7&gt;=Assumptions!$D$19)),1,0)</f>
        <v>0</v>
      </c>
      <c r="G16" s="39" t="n">
        <f aca="false">IF(OR(F16=1,AND(G13&gt;=Assumptions!$D$18,G7&gt;=Assumptions!$D$19)),1,0)</f>
        <v>0</v>
      </c>
      <c r="H16" s="39" t="n">
        <f aca="false">IF(OR(G16=1,AND(H13&gt;=Assumptions!$D$18,H7&gt;=Assumptions!$D$19)),1,0)</f>
        <v>0</v>
      </c>
      <c r="I16" s="39" t="n">
        <f aca="false">IF(OR(H16=1,AND(I13&gt;=Assumptions!$D$18,I7&gt;=Assumptions!$D$19)),1,0)</f>
        <v>0</v>
      </c>
      <c r="J16" s="39" t="n">
        <f aca="false">IF(OR(I16=1,AND(J13&gt;=Assumptions!$D$18,J7&gt;=Assumptions!$D$19)),1,0)</f>
        <v>0</v>
      </c>
      <c r="K16" s="39" t="n">
        <f aca="false">IF(OR(J16=1,AND(K13&gt;=Assumptions!$D$18,K7&gt;=Assumptions!$D$19)),1,0)</f>
        <v>0</v>
      </c>
      <c r="L16" s="39" t="n">
        <f aca="false">IF(OR(K16=1,AND(L13&gt;=Assumptions!$D$18,L7&gt;=Assumptions!$D$19)),1,0)</f>
        <v>0</v>
      </c>
      <c r="M16" s="39" t="n">
        <f aca="false">IF(OR(L16=1,AND(M13&gt;=Assumptions!$D$18,M7&gt;=Assumptions!$D$19)),1,0)</f>
        <v>0</v>
      </c>
      <c r="N16" s="39" t="n">
        <f aca="false">IF(OR(M16=1,AND(N13&gt;=Assumptions!$D$18,N7&gt;=Assumptions!$D$19)),1,0)</f>
        <v>0</v>
      </c>
      <c r="O16" s="39" t="n">
        <f aca="false">IF(OR(N16=1,AND(O13&gt;=Assumptions!$D$18,O7&gt;=Assumptions!$D$19)),1,0)</f>
        <v>0</v>
      </c>
      <c r="P16" s="39" t="n">
        <f aca="false">IF(OR(O16=1,AND(P13&gt;=Assumptions!$D$18,P7&gt;=Assumptions!$D$19)),1,0)</f>
        <v>0</v>
      </c>
      <c r="Q16" s="39" t="n">
        <f aca="false">IF(OR(P16=1,AND(Q13&gt;=Assumptions!$D$18,Q7&gt;=Assumptions!$D$19)),1,0)</f>
        <v>0</v>
      </c>
      <c r="R16" s="39" t="n">
        <f aca="false">IF(OR(Q16=1,AND(R13&gt;=Assumptions!$D$18,R7&gt;=Assumptions!$D$19)),1,0)</f>
        <v>0</v>
      </c>
      <c r="S16" s="39" t="n">
        <f aca="false">IF(OR(R16=1,AND(S13&gt;=Assumptions!$D$18,S7&gt;=Assumptions!$D$19)),1,0)</f>
        <v>0</v>
      </c>
      <c r="T16" s="39" t="n">
        <f aca="false">IF(OR(S16=1,AND(T13&gt;=Assumptions!$D$18,T7&gt;=Assumptions!$D$19)),1,0)</f>
        <v>0</v>
      </c>
      <c r="U16" s="39" t="n">
        <f aca="false">IF(OR(T16=1,AND(U13&gt;=Assumptions!$D$18,U7&gt;=Assumptions!$D$19)),1,0)</f>
        <v>0</v>
      </c>
      <c r="V16" s="39" t="n">
        <f aca="false">IF(OR(U16=1,AND(V13&gt;=Assumptions!$D$18,V7&gt;=Assumptions!$D$19)),1,0)</f>
        <v>0</v>
      </c>
      <c r="W16" s="39" t="n">
        <f aca="false">IF(OR(V16=1,AND(W13&gt;=Assumptions!$D$18,W7&gt;=Assumptions!$D$19)),1,0)</f>
        <v>0</v>
      </c>
      <c r="X16" s="39" t="n">
        <f aca="false">IF(OR(W16=1,AND(X13&gt;=Assumptions!$D$18,X7&gt;=Assumptions!$D$19)),1,0)</f>
        <v>0</v>
      </c>
      <c r="Y16" s="39" t="n">
        <f aca="false">IF(OR(X16=1,AND(Y13&gt;=Assumptions!$D$18,Y7&gt;=Assumptions!$D$19)),1,0)</f>
        <v>0</v>
      </c>
      <c r="Z16" s="39" t="n">
        <f aca="false">IF(OR(Y16=1,AND(Z13&gt;=Assumptions!$D$18,Z7&gt;=Assumptions!$D$19)),1,0)</f>
        <v>0</v>
      </c>
      <c r="AA16" s="39" t="n">
        <f aca="false">IF(OR(Z16=1,AND(AA13&gt;=Assumptions!$D$18,AA7&gt;=Assumptions!$D$19)),1,0)</f>
        <v>0</v>
      </c>
      <c r="AB16" s="39" t="n">
        <f aca="false">IF(OR(AA16=1,AND(AB13&gt;=Assumptions!$D$18,AB7&gt;=Assumptions!$D$19)),1,0)</f>
        <v>0</v>
      </c>
      <c r="AC16" s="39" t="n">
        <f aca="false">IF(OR(AB16=1,AND(AC13&gt;=Assumptions!$D$18,AC7&gt;=Assumptions!$D$19)),1,0)</f>
        <v>0</v>
      </c>
      <c r="AD16" s="39" t="n">
        <f aca="false">IF(OR(AC16=1,AND(AD13&gt;=Assumptions!$D$18,AD7&gt;=Assumptions!$D$19)),1,0)</f>
        <v>0</v>
      </c>
      <c r="AE16" s="39" t="n">
        <f aca="false">IF(OR(AD16=1,AND(AE13&gt;=Assumptions!$D$18,AE7&gt;=Assumptions!$D$19)),1,0)</f>
        <v>0</v>
      </c>
      <c r="AF16" s="39" t="n">
        <f aca="false">IF(OR(AE16=1,AND(AF13&gt;=Assumptions!$D$18,AF7&gt;=Assumptions!$D$19)),1,0)</f>
        <v>0</v>
      </c>
      <c r="AG16" s="39" t="n">
        <f aca="false">IF(OR(AF16=1,AND(AG13&gt;=Assumptions!$D$18,AG7&gt;=Assumptions!$D$19)),1,0)</f>
        <v>0</v>
      </c>
      <c r="AH16" s="39" t="n">
        <f aca="false">IF(OR(AG16=1,AND(AH13&gt;=Assumptions!$D$18,AH7&gt;=Assumptions!$D$19)),1,0)</f>
        <v>0</v>
      </c>
      <c r="AI16" s="39" t="n">
        <f aca="false">IF(OR(AH16=1,AND(AI13&gt;=Assumptions!$D$18,AI7&gt;=Assumptions!$D$19)),1,0)</f>
        <v>0</v>
      </c>
      <c r="AJ16" s="39" t="n">
        <f aca="false">IF(OR(AI16=1,AND(AJ13&gt;=Assumptions!$D$18,AJ7&gt;=Assumptions!$D$19)),1,0)</f>
        <v>0</v>
      </c>
      <c r="AK16" s="39" t="n">
        <f aca="false">IF(OR(AJ16=1,AND(AK13&gt;=Assumptions!$D$18,AK7&gt;=Assumptions!$D$19)),1,0)</f>
        <v>0</v>
      </c>
      <c r="AL16" s="39" t="n">
        <f aca="false">IF(OR(AK16=1,AND(AL13&gt;=Assumptions!$D$18,AL7&gt;=Assumptions!$D$19)),1,0)</f>
        <v>0</v>
      </c>
      <c r="AM16" s="39" t="n">
        <f aca="false">IF(OR(AL16=1,AND(AM13&gt;=Assumptions!$D$18,AM7&gt;=Assumptions!$D$19)),1,0)</f>
        <v>1</v>
      </c>
      <c r="AN16" s="40" t="n">
        <f aca="false">IF(OR(AM16=1,AND(AN13&gt;=Assumptions!$D$18,AN7&gt;=Assumptions!$D$19)),1,0)</f>
        <v>1</v>
      </c>
      <c r="AO16" s="40" t="n">
        <f aca="false">IF(OR(AN16=1,AND(AO13&gt;=Assumptions!$D$18,AO7&gt;=Assumptions!$D$19)),1,0)</f>
        <v>1</v>
      </c>
      <c r="AP16" s="40" t="n">
        <f aca="false">IF(OR(AO16=1,AND(AP13&gt;=Assumptions!$D$18,AP7&gt;=Assumptions!$D$19)),1,0)</f>
        <v>1</v>
      </c>
      <c r="AQ16" s="40" t="n">
        <f aca="false">IF(OR(AP16=1,AND(AQ13&gt;=Assumptions!$D$18,AQ7&gt;=Assumptions!$D$19)),1,0)</f>
        <v>1</v>
      </c>
      <c r="AR16" s="40" t="n">
        <f aca="false">IF(OR(AQ16=1,AND(AR13&gt;=Assumptions!$D$18,AR7&gt;=Assumptions!$D$19)),1,0)</f>
        <v>1</v>
      </c>
      <c r="AS16" s="40" t="n">
        <f aca="false">IF(OR(AR16=1,AND(AS13&gt;=Assumptions!$D$18,AS7&gt;=Assumptions!$D$19)),1,0)</f>
        <v>1</v>
      </c>
      <c r="AT16" s="40" t="n">
        <f aca="false">IF(OR(AS16=1,AND(AT13&gt;=Assumptions!$D$18,AT7&gt;=Assumptions!$D$19)),1,0)</f>
        <v>1</v>
      </c>
      <c r="AU16" s="40" t="n">
        <f aca="false">IF(OR(AT16=1,AND(AU13&gt;=Assumptions!$D$18,AU7&gt;=Assumptions!$D$19)),1,0)</f>
        <v>1</v>
      </c>
      <c r="AV16" s="40" t="n">
        <f aca="false">IF(OR(AU16=1,AND(AV13&gt;=Assumptions!$D$18,AV7&gt;=Assumptions!$D$19)),1,0)</f>
        <v>1</v>
      </c>
      <c r="AW16" s="40" t="n">
        <f aca="false">IF(OR(AV16=1,AND(AW13&gt;=Assumptions!$D$18,AW7&gt;=Assumptions!$D$19)),1,0)</f>
        <v>1</v>
      </c>
      <c r="AX16" s="40" t="n">
        <f aca="false">IF(OR(AW16=1,AND(AX13&gt;=Assumptions!$D$18,AX7&gt;=Assumptions!$D$19)),1,0)</f>
        <v>1</v>
      </c>
      <c r="AY16" s="40" t="n">
        <f aca="false">IF(OR(AX16=1,AND(AY13&gt;=Assumptions!$D$18,AY7&gt;=Assumptions!$D$19)),1,0)</f>
        <v>1</v>
      </c>
      <c r="AZ16" s="40" t="n">
        <f aca="false">IF(OR(AY16=1,AND(AZ13&gt;=Assumptions!$D$18,AZ7&gt;=Assumptions!$D$19)),1,0)</f>
        <v>1</v>
      </c>
      <c r="BA16" s="40" t="n">
        <f aca="false">IF(OR(AZ16=1,AND(BA13&gt;=Assumptions!$D$18,BA7&gt;=Assumptions!$D$19)),1,0)</f>
        <v>1</v>
      </c>
      <c r="BB16" s="40" t="n">
        <f aca="false">IF(OR(BA16=1,AND(BB13&gt;=Assumptions!$D$18,BB7&gt;=Assumptions!$D$19)),1,0)</f>
        <v>1</v>
      </c>
      <c r="BC16" s="40" t="n">
        <f aca="false">IF(OR(BB16=1,AND(BC13&gt;=Assumptions!$D$18,BC7&gt;=Assumptions!$D$19)),1,0)</f>
        <v>1</v>
      </c>
      <c r="BD16" s="40" t="n">
        <f aca="false">IF(OR(BC16=1,AND(BD13&gt;=Assumptions!$D$18,BD7&gt;=Assumptions!$D$19)),1,0)</f>
        <v>1</v>
      </c>
      <c r="BE16" s="40" t="n">
        <f aca="false">IF(OR(BD16=1,AND(BE13&gt;=Assumptions!$D$18,BE7&gt;=Assumptions!$D$19)),1,0)</f>
        <v>1</v>
      </c>
      <c r="BF16" s="40" t="n">
        <f aca="false">IF(OR(BE16=1,AND(BF13&gt;=Assumptions!$D$18,BF7&gt;=Assumptions!$D$19)),1,0)</f>
        <v>1</v>
      </c>
      <c r="BG16" s="40" t="n">
        <f aca="false">IF(OR(BF16=1,AND(BG13&gt;=Assumptions!$D$18,BG7&gt;=Assumptions!$D$19)),1,0)</f>
        <v>1</v>
      </c>
      <c r="BH16" s="40" t="n">
        <f aca="false">IF(OR(BG16=1,AND(BH13&gt;=Assumptions!$D$18,BH7&gt;=Assumptions!$D$19)),1,0)</f>
        <v>1</v>
      </c>
      <c r="BI16" s="40" t="n">
        <f aca="false">IF(OR(BH16=1,AND(BI13&gt;=Assumptions!$D$18,BI7&gt;=Assumptions!$D$19)),1,0)</f>
        <v>1</v>
      </c>
      <c r="BJ16" s="40" t="n">
        <f aca="false">IF(OR(BI16=1,AND(BJ13&gt;=Assumptions!$D$18,BJ7&gt;=Assumptions!$D$19)),1,0)</f>
        <v>1</v>
      </c>
      <c r="BK16" s="40" t="n">
        <f aca="false">IF(OR(BJ16=1,AND(BK13&gt;=Assumptions!$D$18,BK7&gt;=Assumptions!$D$19)),1,0)</f>
        <v>1</v>
      </c>
    </row>
    <row r="17" customFormat="false" ht="15" hidden="false" customHeight="false" outlineLevel="0" collapsed="false">
      <c r="A17" s="28" t="s">
        <v>552</v>
      </c>
      <c r="B17" s="6" t="s">
        <v>553</v>
      </c>
      <c r="C17" s="38" t="n">
        <v>0</v>
      </c>
      <c r="D17" s="39" t="n">
        <f aca="false">IF(OR(C17=1,AND(D13&gt;=Assumptions!$D$20,D7&gt;=Assumptions!$D$21)),1,0)</f>
        <v>0</v>
      </c>
      <c r="E17" s="39" t="n">
        <f aca="false">IF(OR(D17=1,AND(E13&gt;=Assumptions!$D$20,E7&gt;=Assumptions!$D$21)),1,0)</f>
        <v>0</v>
      </c>
      <c r="F17" s="39" t="n">
        <f aca="false">IF(OR(E17=1,AND(F13&gt;=Assumptions!$D$20,F7&gt;=Assumptions!$D$21)),1,0)</f>
        <v>0</v>
      </c>
      <c r="G17" s="39" t="n">
        <f aca="false">IF(OR(F17=1,AND(G13&gt;=Assumptions!$D$20,G7&gt;=Assumptions!$D$21)),1,0)</f>
        <v>0</v>
      </c>
      <c r="H17" s="39" t="n">
        <f aca="false">IF(OR(G17=1,AND(H13&gt;=Assumptions!$D$20,H7&gt;=Assumptions!$D$21)),1,0)</f>
        <v>0</v>
      </c>
      <c r="I17" s="39" t="n">
        <f aca="false">IF(OR(H17=1,AND(I13&gt;=Assumptions!$D$20,I7&gt;=Assumptions!$D$21)),1,0)</f>
        <v>0</v>
      </c>
      <c r="J17" s="39" t="n">
        <f aca="false">IF(OR(I17=1,AND(J13&gt;=Assumptions!$D$20,J7&gt;=Assumptions!$D$21)),1,0)</f>
        <v>0</v>
      </c>
      <c r="K17" s="39" t="n">
        <f aca="false">IF(OR(J17=1,AND(K13&gt;=Assumptions!$D$20,K7&gt;=Assumptions!$D$21)),1,0)</f>
        <v>0</v>
      </c>
      <c r="L17" s="39" t="n">
        <f aca="false">IF(OR(K17=1,AND(L13&gt;=Assumptions!$D$20,L7&gt;=Assumptions!$D$21)),1,0)</f>
        <v>0</v>
      </c>
      <c r="M17" s="39" t="n">
        <f aca="false">IF(OR(L17=1,AND(M13&gt;=Assumptions!$D$20,M7&gt;=Assumptions!$D$21)),1,0)</f>
        <v>0</v>
      </c>
      <c r="N17" s="39" t="n">
        <f aca="false">IF(OR(M17=1,AND(N13&gt;=Assumptions!$D$20,N7&gt;=Assumptions!$D$21)),1,0)</f>
        <v>0</v>
      </c>
      <c r="O17" s="39" t="n">
        <f aca="false">IF(OR(N17=1,AND(O13&gt;=Assumptions!$D$20,O7&gt;=Assumptions!$D$21)),1,0)</f>
        <v>0</v>
      </c>
      <c r="P17" s="39" t="n">
        <f aca="false">IF(OR(O17=1,AND(P13&gt;=Assumptions!$D$20,P7&gt;=Assumptions!$D$21)),1,0)</f>
        <v>0</v>
      </c>
      <c r="Q17" s="39" t="n">
        <f aca="false">IF(OR(P17=1,AND(Q13&gt;=Assumptions!$D$20,Q7&gt;=Assumptions!$D$21)),1,0)</f>
        <v>0</v>
      </c>
      <c r="R17" s="39" t="n">
        <f aca="false">IF(OR(Q17=1,AND(R13&gt;=Assumptions!$D$20,R7&gt;=Assumptions!$D$21)),1,0)</f>
        <v>0</v>
      </c>
      <c r="S17" s="39" t="n">
        <f aca="false">IF(OR(R17=1,AND(S13&gt;=Assumptions!$D$20,S7&gt;=Assumptions!$D$21)),1,0)</f>
        <v>0</v>
      </c>
      <c r="T17" s="39" t="n">
        <f aca="false">IF(OR(S17=1,AND(T13&gt;=Assumptions!$D$20,T7&gt;=Assumptions!$D$21)),1,0)</f>
        <v>0</v>
      </c>
      <c r="U17" s="39" t="n">
        <f aca="false">IF(OR(T17=1,AND(U13&gt;=Assumptions!$D$20,U7&gt;=Assumptions!$D$21)),1,0)</f>
        <v>0</v>
      </c>
      <c r="V17" s="39" t="n">
        <f aca="false">IF(OR(U17=1,AND(V13&gt;=Assumptions!$D$20,V7&gt;=Assumptions!$D$21)),1,0)</f>
        <v>0</v>
      </c>
      <c r="W17" s="39" t="n">
        <f aca="false">IF(OR(V17=1,AND(W13&gt;=Assumptions!$D$20,W7&gt;=Assumptions!$D$21)),1,0)</f>
        <v>0</v>
      </c>
      <c r="X17" s="39" t="n">
        <f aca="false">IF(OR(W17=1,AND(X13&gt;=Assumptions!$D$20,X7&gt;=Assumptions!$D$21)),1,0)</f>
        <v>0</v>
      </c>
      <c r="Y17" s="39" t="n">
        <f aca="false">IF(OR(X17=1,AND(Y13&gt;=Assumptions!$D$20,Y7&gt;=Assumptions!$D$21)),1,0)</f>
        <v>0</v>
      </c>
      <c r="Z17" s="39" t="n">
        <f aca="false">IF(OR(Y17=1,AND(Z13&gt;=Assumptions!$D$20,Z7&gt;=Assumptions!$D$21)),1,0)</f>
        <v>0</v>
      </c>
      <c r="AA17" s="39" t="n">
        <f aca="false">IF(OR(Z17=1,AND(AA13&gt;=Assumptions!$D$20,AA7&gt;=Assumptions!$D$21)),1,0)</f>
        <v>0</v>
      </c>
      <c r="AB17" s="39" t="n">
        <f aca="false">IF(OR(AA17=1,AND(AB13&gt;=Assumptions!$D$20,AB7&gt;=Assumptions!$D$21)),1,0)</f>
        <v>0</v>
      </c>
      <c r="AC17" s="39" t="n">
        <f aca="false">IF(OR(AB17=1,AND(AC13&gt;=Assumptions!$D$20,AC7&gt;=Assumptions!$D$21)),1,0)</f>
        <v>0</v>
      </c>
      <c r="AD17" s="39" t="n">
        <f aca="false">IF(OR(AC17=1,AND(AD13&gt;=Assumptions!$D$20,AD7&gt;=Assumptions!$D$21)),1,0)</f>
        <v>0</v>
      </c>
      <c r="AE17" s="39" t="n">
        <f aca="false">IF(OR(AD17=1,AND(AE13&gt;=Assumptions!$D$20,AE7&gt;=Assumptions!$D$21)),1,0)</f>
        <v>0</v>
      </c>
      <c r="AF17" s="39" t="n">
        <f aca="false">IF(OR(AE17=1,AND(AF13&gt;=Assumptions!$D$20,AF7&gt;=Assumptions!$D$21)),1,0)</f>
        <v>0</v>
      </c>
      <c r="AG17" s="39" t="n">
        <f aca="false">IF(OR(AF17=1,AND(AG13&gt;=Assumptions!$D$20,AG7&gt;=Assumptions!$D$21)),1,0)</f>
        <v>0</v>
      </c>
      <c r="AH17" s="39" t="n">
        <f aca="false">IF(OR(AG17=1,AND(AH13&gt;=Assumptions!$D$20,AH7&gt;=Assumptions!$D$21)),1,0)</f>
        <v>0</v>
      </c>
      <c r="AI17" s="39" t="n">
        <f aca="false">IF(OR(AH17=1,AND(AI13&gt;=Assumptions!$D$20,AI7&gt;=Assumptions!$D$21)),1,0)</f>
        <v>0</v>
      </c>
      <c r="AJ17" s="39" t="n">
        <f aca="false">IF(OR(AI17=1,AND(AJ13&gt;=Assumptions!$D$20,AJ7&gt;=Assumptions!$D$21)),1,0)</f>
        <v>0</v>
      </c>
      <c r="AK17" s="39" t="n">
        <f aca="false">IF(OR(AJ17=1,AND(AK13&gt;=Assumptions!$D$20,AK7&gt;=Assumptions!$D$21)),1,0)</f>
        <v>0</v>
      </c>
      <c r="AL17" s="39" t="n">
        <f aca="false">IF(OR(AK17=1,AND(AL13&gt;=Assumptions!$D$20,AL7&gt;=Assumptions!$D$21)),1,0)</f>
        <v>0</v>
      </c>
      <c r="AM17" s="39" t="n">
        <f aca="false">IF(OR(AL17=1,AND(AM13&gt;=Assumptions!$D$20,AM7&gt;=Assumptions!$D$21)),1,0)</f>
        <v>1</v>
      </c>
      <c r="AN17" s="40" t="n">
        <f aca="false">IF(OR(AM17=1,AND(AN13&gt;=Assumptions!$D$20,AN7&gt;=Assumptions!$D$21)),1,0)</f>
        <v>1</v>
      </c>
      <c r="AO17" s="40" t="n">
        <f aca="false">IF(OR(AN17=1,AND(AO13&gt;=Assumptions!$D$20,AO7&gt;=Assumptions!$D$21)),1,0)</f>
        <v>1</v>
      </c>
      <c r="AP17" s="40" t="n">
        <f aca="false">IF(OR(AO17=1,AND(AP13&gt;=Assumptions!$D$20,AP7&gt;=Assumptions!$D$21)),1,0)</f>
        <v>1</v>
      </c>
      <c r="AQ17" s="40" t="n">
        <f aca="false">IF(OR(AP17=1,AND(AQ13&gt;=Assumptions!$D$20,AQ7&gt;=Assumptions!$D$21)),1,0)</f>
        <v>1</v>
      </c>
      <c r="AR17" s="40" t="n">
        <f aca="false">IF(OR(AQ17=1,AND(AR13&gt;=Assumptions!$D$20,AR7&gt;=Assumptions!$D$21)),1,0)</f>
        <v>1</v>
      </c>
      <c r="AS17" s="40" t="n">
        <f aca="false">IF(OR(AR17=1,AND(AS13&gt;=Assumptions!$D$20,AS7&gt;=Assumptions!$D$21)),1,0)</f>
        <v>1</v>
      </c>
      <c r="AT17" s="40" t="n">
        <f aca="false">IF(OR(AS17=1,AND(AT13&gt;=Assumptions!$D$20,AT7&gt;=Assumptions!$D$21)),1,0)</f>
        <v>1</v>
      </c>
      <c r="AU17" s="40" t="n">
        <f aca="false">IF(OR(AT17=1,AND(AU13&gt;=Assumptions!$D$20,AU7&gt;=Assumptions!$D$21)),1,0)</f>
        <v>1</v>
      </c>
      <c r="AV17" s="40" t="n">
        <f aca="false">IF(OR(AU17=1,AND(AV13&gt;=Assumptions!$D$20,AV7&gt;=Assumptions!$D$21)),1,0)</f>
        <v>1</v>
      </c>
      <c r="AW17" s="40" t="n">
        <f aca="false">IF(OR(AV17=1,AND(AW13&gt;=Assumptions!$D$20,AW7&gt;=Assumptions!$D$21)),1,0)</f>
        <v>1</v>
      </c>
      <c r="AX17" s="40" t="n">
        <f aca="false">IF(OR(AW17=1,AND(AX13&gt;=Assumptions!$D$20,AX7&gt;=Assumptions!$D$21)),1,0)</f>
        <v>1</v>
      </c>
      <c r="AY17" s="40" t="n">
        <f aca="false">IF(OR(AX17=1,AND(AY13&gt;=Assumptions!$D$20,AY7&gt;=Assumptions!$D$21)),1,0)</f>
        <v>1</v>
      </c>
      <c r="AZ17" s="40" t="n">
        <f aca="false">IF(OR(AY17=1,AND(AZ13&gt;=Assumptions!$D$20,AZ7&gt;=Assumptions!$D$21)),1,0)</f>
        <v>1</v>
      </c>
      <c r="BA17" s="40" t="n">
        <f aca="false">IF(OR(AZ17=1,AND(BA13&gt;=Assumptions!$D$20,BA7&gt;=Assumptions!$D$21)),1,0)</f>
        <v>1</v>
      </c>
      <c r="BB17" s="40" t="n">
        <f aca="false">IF(OR(BA17=1,AND(BB13&gt;=Assumptions!$D$20,BB7&gt;=Assumptions!$D$21)),1,0)</f>
        <v>1</v>
      </c>
      <c r="BC17" s="40" t="n">
        <f aca="false">IF(OR(BB17=1,AND(BC13&gt;=Assumptions!$D$20,BC7&gt;=Assumptions!$D$21)),1,0)</f>
        <v>1</v>
      </c>
      <c r="BD17" s="40" t="n">
        <f aca="false">IF(OR(BC17=1,AND(BD13&gt;=Assumptions!$D$20,BD7&gt;=Assumptions!$D$21)),1,0)</f>
        <v>1</v>
      </c>
      <c r="BE17" s="40" t="n">
        <f aca="false">IF(OR(BD17=1,AND(BE13&gt;=Assumptions!$D$20,BE7&gt;=Assumptions!$D$21)),1,0)</f>
        <v>1</v>
      </c>
      <c r="BF17" s="40" t="n">
        <f aca="false">IF(OR(BE17=1,AND(BF13&gt;=Assumptions!$D$20,BF7&gt;=Assumptions!$D$21)),1,0)</f>
        <v>1</v>
      </c>
      <c r="BG17" s="40" t="n">
        <f aca="false">IF(OR(BF17=1,AND(BG13&gt;=Assumptions!$D$20,BG7&gt;=Assumptions!$D$21)),1,0)</f>
        <v>1</v>
      </c>
      <c r="BH17" s="40" t="n">
        <f aca="false">IF(OR(BG17=1,AND(BH13&gt;=Assumptions!$D$20,BH7&gt;=Assumptions!$D$21)),1,0)</f>
        <v>1</v>
      </c>
      <c r="BI17" s="40" t="n">
        <f aca="false">IF(OR(BH17=1,AND(BI13&gt;=Assumptions!$D$20,BI7&gt;=Assumptions!$D$21)),1,0)</f>
        <v>1</v>
      </c>
      <c r="BJ17" s="40" t="n">
        <f aca="false">IF(OR(BI17=1,AND(BJ13&gt;=Assumptions!$D$20,BJ7&gt;=Assumptions!$D$21)),1,0)</f>
        <v>1</v>
      </c>
      <c r="BK17" s="40" t="n">
        <f aca="false">IF(OR(BJ17=1,AND(BK13&gt;=Assumptions!$D$20,BK7&gt;=Assumptions!$D$21)),1,0)</f>
        <v>1</v>
      </c>
    </row>
    <row r="18" customFormat="false" ht="15" hidden="false" customHeight="false" outlineLevel="0" collapsed="false">
      <c r="A18" s="28" t="s">
        <v>554</v>
      </c>
      <c r="B18" s="6" t="s">
        <v>555</v>
      </c>
      <c r="C18" s="38" t="n">
        <v>0</v>
      </c>
      <c r="D18" s="39" t="n">
        <f aca="false">IF(OR(C18=1,D13&gt;=Assumptions!$D$22),1,0)</f>
        <v>0</v>
      </c>
      <c r="E18" s="39" t="n">
        <f aca="false">IF(OR(D18=1,E13&gt;=Assumptions!$D$22),1,0)</f>
        <v>0</v>
      </c>
      <c r="F18" s="39" t="n">
        <f aca="false">IF(OR(E18=1,F13&gt;=Assumptions!$D$22),1,0)</f>
        <v>0</v>
      </c>
      <c r="G18" s="39" t="n">
        <f aca="false">IF(OR(F18=1,G13&gt;=Assumptions!$D$22),1,0)</f>
        <v>0</v>
      </c>
      <c r="H18" s="39" t="n">
        <f aca="false">IF(OR(G18=1,H13&gt;=Assumptions!$D$22),1,0)</f>
        <v>0</v>
      </c>
      <c r="I18" s="39" t="n">
        <f aca="false">IF(OR(H18=1,I13&gt;=Assumptions!$D$22),1,0)</f>
        <v>0</v>
      </c>
      <c r="J18" s="39" t="n">
        <f aca="false">IF(OR(I18=1,J13&gt;=Assumptions!$D$22),1,0)</f>
        <v>0</v>
      </c>
      <c r="K18" s="39" t="n">
        <f aca="false">IF(OR(J18=1,K13&gt;=Assumptions!$D$22),1,0)</f>
        <v>0</v>
      </c>
      <c r="L18" s="39" t="n">
        <f aca="false">IF(OR(K18=1,L13&gt;=Assumptions!$D$22),1,0)</f>
        <v>0</v>
      </c>
      <c r="M18" s="39" t="n">
        <f aca="false">IF(OR(L18=1,M13&gt;=Assumptions!$D$22),1,0)</f>
        <v>0</v>
      </c>
      <c r="N18" s="39" t="n">
        <f aca="false">IF(OR(M18=1,N13&gt;=Assumptions!$D$22),1,0)</f>
        <v>0</v>
      </c>
      <c r="O18" s="39" t="n">
        <f aca="false">IF(OR(N18=1,O13&gt;=Assumptions!$D$22),1,0)</f>
        <v>0</v>
      </c>
      <c r="P18" s="39" t="n">
        <f aca="false">IF(OR(O18=1,P13&gt;=Assumptions!$D$22),1,0)</f>
        <v>0</v>
      </c>
      <c r="Q18" s="39" t="n">
        <f aca="false">IF(OR(P18=1,Q13&gt;=Assumptions!$D$22),1,0)</f>
        <v>0</v>
      </c>
      <c r="R18" s="39" t="n">
        <f aca="false">IF(OR(Q18=1,R13&gt;=Assumptions!$D$22),1,0)</f>
        <v>0</v>
      </c>
      <c r="S18" s="39" t="n">
        <f aca="false">IF(OR(R18=1,S13&gt;=Assumptions!$D$22),1,0)</f>
        <v>0</v>
      </c>
      <c r="T18" s="39" t="n">
        <f aca="false">IF(OR(S18=1,T13&gt;=Assumptions!$D$22),1,0)</f>
        <v>0</v>
      </c>
      <c r="U18" s="39" t="n">
        <f aca="false">IF(OR(T18=1,U13&gt;=Assumptions!$D$22),1,0)</f>
        <v>0</v>
      </c>
      <c r="V18" s="39" t="n">
        <f aca="false">IF(OR(U18=1,V13&gt;=Assumptions!$D$22),1,0)</f>
        <v>0</v>
      </c>
      <c r="W18" s="39" t="n">
        <f aca="false">IF(OR(V18=1,W13&gt;=Assumptions!$D$22),1,0)</f>
        <v>0</v>
      </c>
      <c r="X18" s="39" t="n">
        <f aca="false">IF(OR(W18=1,X13&gt;=Assumptions!$D$22),1,0)</f>
        <v>0</v>
      </c>
      <c r="Y18" s="39" t="n">
        <f aca="false">IF(OR(X18=1,Y13&gt;=Assumptions!$D$22),1,0)</f>
        <v>0</v>
      </c>
      <c r="Z18" s="39" t="n">
        <f aca="false">IF(OR(Y18=1,Z13&gt;=Assumptions!$D$22),1,0)</f>
        <v>0</v>
      </c>
      <c r="AA18" s="39" t="n">
        <f aca="false">IF(OR(Z18=1,AA13&gt;=Assumptions!$D$22),1,0)</f>
        <v>0</v>
      </c>
      <c r="AB18" s="39" t="n">
        <f aca="false">IF(OR(AA18=1,AB13&gt;=Assumptions!$D$22),1,0)</f>
        <v>0</v>
      </c>
      <c r="AC18" s="39" t="n">
        <f aca="false">IF(OR(AB18=1,AC13&gt;=Assumptions!$D$22),1,0)</f>
        <v>0</v>
      </c>
      <c r="AD18" s="39" t="n">
        <f aca="false">IF(OR(AC18=1,AD13&gt;=Assumptions!$D$22),1,0)</f>
        <v>0</v>
      </c>
      <c r="AE18" s="39" t="n">
        <f aca="false">IF(OR(AD18=1,AE13&gt;=Assumptions!$D$22),1,0)</f>
        <v>0</v>
      </c>
      <c r="AF18" s="39" t="n">
        <f aca="false">IF(OR(AE18=1,AF13&gt;=Assumptions!$D$22),1,0)</f>
        <v>1</v>
      </c>
      <c r="AG18" s="39" t="n">
        <f aca="false">IF(OR(AF18=1,AG13&gt;=Assumptions!$D$22),1,0)</f>
        <v>1</v>
      </c>
      <c r="AH18" s="39" t="n">
        <f aca="false">IF(OR(AG18=1,AH13&gt;=Assumptions!$D$22),1,0)</f>
        <v>1</v>
      </c>
      <c r="AI18" s="39" t="n">
        <f aca="false">IF(OR(AH18=1,AI13&gt;=Assumptions!$D$22),1,0)</f>
        <v>1</v>
      </c>
      <c r="AJ18" s="39" t="n">
        <f aca="false">IF(OR(AI18=1,AJ13&gt;=Assumptions!$D$22),1,0)</f>
        <v>1</v>
      </c>
      <c r="AK18" s="39" t="n">
        <f aca="false">IF(OR(AJ18=1,AK13&gt;=Assumptions!$D$22),1,0)</f>
        <v>1</v>
      </c>
      <c r="AL18" s="39" t="n">
        <f aca="false">IF(OR(AK18=1,AL13&gt;=Assumptions!$D$22),1,0)</f>
        <v>1</v>
      </c>
      <c r="AM18" s="39" t="n">
        <f aca="false">IF(OR(AL18=1,AM13&gt;=Assumptions!$D$22),1,0)</f>
        <v>1</v>
      </c>
      <c r="AN18" s="40" t="n">
        <f aca="false">IF(OR(AM18=1,AN13&gt;=Assumptions!$D$22),1,0)</f>
        <v>1</v>
      </c>
      <c r="AO18" s="40" t="n">
        <f aca="false">IF(OR(AN18=1,AO13&gt;=Assumptions!$D$22),1,0)</f>
        <v>1</v>
      </c>
      <c r="AP18" s="40" t="n">
        <f aca="false">IF(OR(AO18=1,AP13&gt;=Assumptions!$D$22),1,0)</f>
        <v>1</v>
      </c>
      <c r="AQ18" s="40" t="n">
        <f aca="false">IF(OR(AP18=1,AQ13&gt;=Assumptions!$D$22),1,0)</f>
        <v>1</v>
      </c>
      <c r="AR18" s="40" t="n">
        <f aca="false">IF(OR(AQ18=1,AR13&gt;=Assumptions!$D$22),1,0)</f>
        <v>1</v>
      </c>
      <c r="AS18" s="40" t="n">
        <f aca="false">IF(OR(AR18=1,AS13&gt;=Assumptions!$D$22),1,0)</f>
        <v>1</v>
      </c>
      <c r="AT18" s="40" t="n">
        <f aca="false">IF(OR(AS18=1,AT13&gt;=Assumptions!$D$22),1,0)</f>
        <v>1</v>
      </c>
      <c r="AU18" s="40" t="n">
        <f aca="false">IF(OR(AT18=1,AU13&gt;=Assumptions!$D$22),1,0)</f>
        <v>1</v>
      </c>
      <c r="AV18" s="40" t="n">
        <f aca="false">IF(OR(AU18=1,AV13&gt;=Assumptions!$D$22),1,0)</f>
        <v>1</v>
      </c>
      <c r="AW18" s="40" t="n">
        <f aca="false">IF(OR(AV18=1,AW13&gt;=Assumptions!$D$22),1,0)</f>
        <v>1</v>
      </c>
      <c r="AX18" s="40" t="n">
        <f aca="false">IF(OR(AW18=1,AX13&gt;=Assumptions!$D$22),1,0)</f>
        <v>1</v>
      </c>
      <c r="AY18" s="40" t="n">
        <f aca="false">IF(OR(AX18=1,AY13&gt;=Assumptions!$D$22),1,0)</f>
        <v>1</v>
      </c>
      <c r="AZ18" s="40" t="n">
        <f aca="false">IF(OR(AY18=1,AZ13&gt;=Assumptions!$D$22),1,0)</f>
        <v>1</v>
      </c>
      <c r="BA18" s="40" t="n">
        <f aca="false">IF(OR(AZ18=1,BA13&gt;=Assumptions!$D$22),1,0)</f>
        <v>1</v>
      </c>
      <c r="BB18" s="40" t="n">
        <f aca="false">IF(OR(BA18=1,BB13&gt;=Assumptions!$D$22),1,0)</f>
        <v>1</v>
      </c>
      <c r="BC18" s="40" t="n">
        <f aca="false">IF(OR(BB18=1,BC13&gt;=Assumptions!$D$22),1,0)</f>
        <v>1</v>
      </c>
      <c r="BD18" s="40" t="n">
        <f aca="false">IF(OR(BC18=1,BD13&gt;=Assumptions!$D$22),1,0)</f>
        <v>1</v>
      </c>
      <c r="BE18" s="40" t="n">
        <f aca="false">IF(OR(BD18=1,BE13&gt;=Assumptions!$D$22),1,0)</f>
        <v>1</v>
      </c>
      <c r="BF18" s="40" t="n">
        <f aca="false">IF(OR(BE18=1,BF13&gt;=Assumptions!$D$22),1,0)</f>
        <v>1</v>
      </c>
      <c r="BG18" s="40" t="n">
        <f aca="false">IF(OR(BF18=1,BG13&gt;=Assumptions!$D$22),1,0)</f>
        <v>1</v>
      </c>
      <c r="BH18" s="40" t="n">
        <f aca="false">IF(OR(BG18=1,BH13&gt;=Assumptions!$D$22),1,0)</f>
        <v>1</v>
      </c>
      <c r="BI18" s="40" t="n">
        <f aca="false">IF(OR(BH18=1,BI13&gt;=Assumptions!$D$22),1,0)</f>
        <v>1</v>
      </c>
      <c r="BJ18" s="40" t="n">
        <f aca="false">IF(OR(BI18=1,BJ13&gt;=Assumptions!$D$22),1,0)</f>
        <v>1</v>
      </c>
      <c r="BK18" s="40" t="n">
        <f aca="false">IF(OR(BJ18=1,BK13&gt;=Assumptions!$D$22),1,0)</f>
        <v>1</v>
      </c>
    </row>
    <row r="19" customFormat="false" ht="15" hidden="false" customHeight="false" outlineLevel="0" collapsed="false">
      <c r="A19" s="28" t="s">
        <v>556</v>
      </c>
      <c r="B19" s="6" t="s">
        <v>557</v>
      </c>
      <c r="C19" s="38" t="n">
        <v>0</v>
      </c>
      <c r="D19" s="39" t="n">
        <f aca="false">IF(OR(C19=1,AND(D13&gt;=Assumptions!$D$23,D7&gt;=Assumptions!$D$24)),1,0)</f>
        <v>0</v>
      </c>
      <c r="E19" s="39" t="n">
        <f aca="false">IF(OR(D19=1,AND(E13&gt;=Assumptions!$D$23,E7&gt;=Assumptions!$D$24)),1,0)</f>
        <v>0</v>
      </c>
      <c r="F19" s="39" t="n">
        <f aca="false">IF(OR(E19=1,AND(F13&gt;=Assumptions!$D$23,F7&gt;=Assumptions!$D$24)),1,0)</f>
        <v>0</v>
      </c>
      <c r="G19" s="39" t="n">
        <f aca="false">IF(OR(F19=1,AND(G13&gt;=Assumptions!$D$23,G7&gt;=Assumptions!$D$24)),1,0)</f>
        <v>0</v>
      </c>
      <c r="H19" s="39" t="n">
        <f aca="false">IF(OR(G19=1,AND(H13&gt;=Assumptions!$D$23,H7&gt;=Assumptions!$D$24)),1,0)</f>
        <v>0</v>
      </c>
      <c r="I19" s="39" t="n">
        <f aca="false">IF(OR(H19=1,AND(I13&gt;=Assumptions!$D$23,I7&gt;=Assumptions!$D$24)),1,0)</f>
        <v>0</v>
      </c>
      <c r="J19" s="39" t="n">
        <f aca="false">IF(OR(I19=1,AND(J13&gt;=Assumptions!$D$23,J7&gt;=Assumptions!$D$24)),1,0)</f>
        <v>0</v>
      </c>
      <c r="K19" s="39" t="n">
        <f aca="false">IF(OR(J19=1,AND(K13&gt;=Assumptions!$D$23,K7&gt;=Assumptions!$D$24)),1,0)</f>
        <v>0</v>
      </c>
      <c r="L19" s="39" t="n">
        <f aca="false">IF(OR(K19=1,AND(L13&gt;=Assumptions!$D$23,L7&gt;=Assumptions!$D$24)),1,0)</f>
        <v>0</v>
      </c>
      <c r="M19" s="39" t="n">
        <f aca="false">IF(OR(L19=1,AND(M13&gt;=Assumptions!$D$23,M7&gt;=Assumptions!$D$24)),1,0)</f>
        <v>0</v>
      </c>
      <c r="N19" s="39" t="n">
        <f aca="false">IF(OR(M19=1,AND(N13&gt;=Assumptions!$D$23,N7&gt;=Assumptions!$D$24)),1,0)</f>
        <v>0</v>
      </c>
      <c r="O19" s="39" t="n">
        <f aca="false">IF(OR(N19=1,AND(O13&gt;=Assumptions!$D$23,O7&gt;=Assumptions!$D$24)),1,0)</f>
        <v>0</v>
      </c>
      <c r="P19" s="39" t="n">
        <f aca="false">IF(OR(O19=1,AND(P13&gt;=Assumptions!$D$23,P7&gt;=Assumptions!$D$24)),1,0)</f>
        <v>0</v>
      </c>
      <c r="Q19" s="39" t="n">
        <f aca="false">IF(OR(P19=1,AND(Q13&gt;=Assumptions!$D$23,Q7&gt;=Assumptions!$D$24)),1,0)</f>
        <v>0</v>
      </c>
      <c r="R19" s="39" t="n">
        <f aca="false">IF(OR(Q19=1,AND(R13&gt;=Assumptions!$D$23,R7&gt;=Assumptions!$D$24)),1,0)</f>
        <v>0</v>
      </c>
      <c r="S19" s="39" t="n">
        <f aca="false">IF(OR(R19=1,AND(S13&gt;=Assumptions!$D$23,S7&gt;=Assumptions!$D$24)),1,0)</f>
        <v>0</v>
      </c>
      <c r="T19" s="39" t="n">
        <f aca="false">IF(OR(S19=1,AND(T13&gt;=Assumptions!$D$23,T7&gt;=Assumptions!$D$24)),1,0)</f>
        <v>0</v>
      </c>
      <c r="U19" s="39" t="n">
        <f aca="false">IF(OR(T19=1,AND(U13&gt;=Assumptions!$D$23,U7&gt;=Assumptions!$D$24)),1,0)</f>
        <v>0</v>
      </c>
      <c r="V19" s="39" t="n">
        <f aca="false">IF(OR(U19=1,AND(V13&gt;=Assumptions!$D$23,V7&gt;=Assumptions!$D$24)),1,0)</f>
        <v>0</v>
      </c>
      <c r="W19" s="39" t="n">
        <f aca="false">IF(OR(V19=1,AND(W13&gt;=Assumptions!$D$23,W7&gt;=Assumptions!$D$24)),1,0)</f>
        <v>0</v>
      </c>
      <c r="X19" s="39" t="n">
        <f aca="false">IF(OR(W19=1,AND(X13&gt;=Assumptions!$D$23,X7&gt;=Assumptions!$D$24)),1,0)</f>
        <v>0</v>
      </c>
      <c r="Y19" s="39" t="n">
        <f aca="false">IF(OR(X19=1,AND(Y13&gt;=Assumptions!$D$23,Y7&gt;=Assumptions!$D$24)),1,0)</f>
        <v>0</v>
      </c>
      <c r="Z19" s="39" t="n">
        <f aca="false">IF(OR(Y19=1,AND(Z13&gt;=Assumptions!$D$23,Z7&gt;=Assumptions!$D$24)),1,0)</f>
        <v>0</v>
      </c>
      <c r="AA19" s="39" t="n">
        <f aca="false">IF(OR(Z19=1,AND(AA13&gt;=Assumptions!$D$23,AA7&gt;=Assumptions!$D$24)),1,0)</f>
        <v>0</v>
      </c>
      <c r="AB19" s="39" t="n">
        <f aca="false">IF(OR(AA19=1,AND(AB13&gt;=Assumptions!$D$23,AB7&gt;=Assumptions!$D$24)),1,0)</f>
        <v>0</v>
      </c>
      <c r="AC19" s="39" t="n">
        <f aca="false">IF(OR(AB19=1,AND(AC13&gt;=Assumptions!$D$23,AC7&gt;=Assumptions!$D$24)),1,0)</f>
        <v>0</v>
      </c>
      <c r="AD19" s="39" t="n">
        <f aca="false">IF(OR(AC19=1,AND(AD13&gt;=Assumptions!$D$23,AD7&gt;=Assumptions!$D$24)),1,0)</f>
        <v>0</v>
      </c>
      <c r="AE19" s="39" t="n">
        <f aca="false">IF(OR(AD19=1,AND(AE13&gt;=Assumptions!$D$23,AE7&gt;=Assumptions!$D$24)),1,0)</f>
        <v>0</v>
      </c>
      <c r="AF19" s="39" t="n">
        <f aca="false">IF(OR(AE19=1,AND(AF13&gt;=Assumptions!$D$23,AF7&gt;=Assumptions!$D$24)),1,0)</f>
        <v>0</v>
      </c>
      <c r="AG19" s="39" t="n">
        <f aca="false">IF(OR(AF19=1,AND(AG13&gt;=Assumptions!$D$23,AG7&gt;=Assumptions!$D$24)),1,0)</f>
        <v>0</v>
      </c>
      <c r="AH19" s="39" t="n">
        <f aca="false">IF(OR(AG19=1,AND(AH13&gt;=Assumptions!$D$23,AH7&gt;=Assumptions!$D$24)),1,0)</f>
        <v>0</v>
      </c>
      <c r="AI19" s="39" t="n">
        <f aca="false">IF(OR(AH19=1,AND(AI13&gt;=Assumptions!$D$23,AI7&gt;=Assumptions!$D$24)),1,0)</f>
        <v>0</v>
      </c>
      <c r="AJ19" s="39" t="n">
        <f aca="false">IF(OR(AI19=1,AND(AJ13&gt;=Assumptions!$D$23,AJ7&gt;=Assumptions!$D$24)),1,0)</f>
        <v>0</v>
      </c>
      <c r="AK19" s="39" t="n">
        <f aca="false">IF(OR(AJ19=1,AND(AK13&gt;=Assumptions!$D$23,AK7&gt;=Assumptions!$D$24)),1,0)</f>
        <v>0</v>
      </c>
      <c r="AL19" s="39" t="n">
        <f aca="false">IF(OR(AK19=1,AND(AL13&gt;=Assumptions!$D$23,AL7&gt;=Assumptions!$D$24)),1,0)</f>
        <v>0</v>
      </c>
      <c r="AM19" s="39" t="n">
        <f aca="false">IF(OR(AL19=1,AND(AM13&gt;=Assumptions!$D$23,AM7&gt;=Assumptions!$D$24)),1,0)</f>
        <v>0</v>
      </c>
      <c r="AN19" s="40" t="n">
        <f aca="false">IF(OR(AM19=1,AND(AN13&gt;=Assumptions!$D$23,AN7&gt;=Assumptions!$D$24)),1,0)</f>
        <v>0</v>
      </c>
      <c r="AO19" s="40" t="n">
        <f aca="false">IF(OR(AN19=1,AND(AO13&gt;=Assumptions!$D$23,AO7&gt;=Assumptions!$D$24)),1,0)</f>
        <v>0</v>
      </c>
      <c r="AP19" s="40" t="n">
        <f aca="false">IF(OR(AO19=1,AND(AP13&gt;=Assumptions!$D$23,AP7&gt;=Assumptions!$D$24)),1,0)</f>
        <v>0</v>
      </c>
      <c r="AQ19" s="40" t="n">
        <f aca="false">IF(OR(AP19=1,AND(AQ13&gt;=Assumptions!$D$23,AQ7&gt;=Assumptions!$D$24)),1,0)</f>
        <v>0</v>
      </c>
      <c r="AR19" s="40" t="n">
        <f aca="false">IF(OR(AQ19=1,AND(AR13&gt;=Assumptions!$D$23,AR7&gt;=Assumptions!$D$24)),1,0)</f>
        <v>0</v>
      </c>
      <c r="AS19" s="40" t="n">
        <f aca="false">IF(OR(AR19=1,AND(AS13&gt;=Assumptions!$D$23,AS7&gt;=Assumptions!$D$24)),1,0)</f>
        <v>0</v>
      </c>
      <c r="AT19" s="40" t="n">
        <f aca="false">IF(OR(AS19=1,AND(AT13&gt;=Assumptions!$D$23,AT7&gt;=Assumptions!$D$24)),1,0)</f>
        <v>0</v>
      </c>
      <c r="AU19" s="40" t="n">
        <f aca="false">IF(OR(AT19=1,AND(AU13&gt;=Assumptions!$D$23,AU7&gt;=Assumptions!$D$24)),1,0)</f>
        <v>0</v>
      </c>
      <c r="AV19" s="40" t="n">
        <f aca="false">IF(OR(AU19=1,AND(AV13&gt;=Assumptions!$D$23,AV7&gt;=Assumptions!$D$24)),1,0)</f>
        <v>0</v>
      </c>
      <c r="AW19" s="40" t="n">
        <f aca="false">IF(OR(AV19=1,AND(AW13&gt;=Assumptions!$D$23,AW7&gt;=Assumptions!$D$24)),1,0)</f>
        <v>0</v>
      </c>
      <c r="AX19" s="40" t="n">
        <f aca="false">IF(OR(AW19=1,AND(AX13&gt;=Assumptions!$D$23,AX7&gt;=Assumptions!$D$24)),1,0)</f>
        <v>0</v>
      </c>
      <c r="AY19" s="40" t="n">
        <f aca="false">IF(OR(AX19=1,AND(AY13&gt;=Assumptions!$D$23,AY7&gt;=Assumptions!$D$24)),1,0)</f>
        <v>0</v>
      </c>
      <c r="AZ19" s="40" t="n">
        <f aca="false">IF(OR(AY19=1,AND(AZ13&gt;=Assumptions!$D$23,AZ7&gt;=Assumptions!$D$24)),1,0)</f>
        <v>0</v>
      </c>
      <c r="BA19" s="40" t="n">
        <f aca="false">IF(OR(AZ19=1,AND(BA13&gt;=Assumptions!$D$23,BA7&gt;=Assumptions!$D$24)),1,0)</f>
        <v>0</v>
      </c>
      <c r="BB19" s="40" t="n">
        <f aca="false">IF(OR(BA19=1,AND(BB13&gt;=Assumptions!$D$23,BB7&gt;=Assumptions!$D$24)),1,0)</f>
        <v>0</v>
      </c>
      <c r="BC19" s="40" t="n">
        <f aca="false">IF(OR(BB19=1,AND(BC13&gt;=Assumptions!$D$23,BC7&gt;=Assumptions!$D$24)),1,0)</f>
        <v>0</v>
      </c>
      <c r="BD19" s="40" t="n">
        <f aca="false">IF(OR(BC19=1,AND(BD13&gt;=Assumptions!$D$23,BD7&gt;=Assumptions!$D$24)),1,0)</f>
        <v>0</v>
      </c>
      <c r="BE19" s="40" t="n">
        <f aca="false">IF(OR(BD19=1,AND(BE13&gt;=Assumptions!$D$23,BE7&gt;=Assumptions!$D$24)),1,0)</f>
        <v>0</v>
      </c>
      <c r="BF19" s="40" t="n">
        <f aca="false">IF(OR(BE19=1,AND(BF13&gt;=Assumptions!$D$23,BF7&gt;=Assumptions!$D$24)),1,0)</f>
        <v>0</v>
      </c>
      <c r="BG19" s="40" t="n">
        <f aca="false">IF(OR(BF19=1,AND(BG13&gt;=Assumptions!$D$23,BG7&gt;=Assumptions!$D$24)),1,0)</f>
        <v>0</v>
      </c>
      <c r="BH19" s="40" t="n">
        <f aca="false">IF(OR(BG19=1,AND(BH13&gt;=Assumptions!$D$23,BH7&gt;=Assumptions!$D$24)),1,0)</f>
        <v>0</v>
      </c>
      <c r="BI19" s="40" t="n">
        <f aca="false">IF(OR(BH19=1,AND(BI13&gt;=Assumptions!$D$23,BI7&gt;=Assumptions!$D$24)),1,0)</f>
        <v>0</v>
      </c>
      <c r="BJ19" s="40" t="n">
        <f aca="false">IF(OR(BI19=1,AND(BJ13&gt;=Assumptions!$D$23,BJ7&gt;=Assumptions!$D$24)),1,0)</f>
        <v>0</v>
      </c>
      <c r="BK19" s="40" t="n">
        <f aca="false">IF(OR(BJ19=1,AND(BK13&gt;=Assumptions!$D$23,BK7&gt;=Assumptions!$D$24)),1,0)</f>
        <v>0</v>
      </c>
    </row>
    <row r="20" customFormat="false" ht="15" hidden="false" customHeight="false" outlineLevel="0" collapsed="false">
      <c r="A20" s="28" t="s">
        <v>558</v>
      </c>
      <c r="B20" s="6" t="s">
        <v>559</v>
      </c>
      <c r="C20" s="32" t="n">
        <v>0</v>
      </c>
      <c r="D20" s="34" t="n">
        <f aca="false">IF(D19=1,C20+1,0)</f>
        <v>0</v>
      </c>
      <c r="E20" s="34" t="n">
        <f aca="false">IF(E19=1,D20+1,0)</f>
        <v>0</v>
      </c>
      <c r="F20" s="34" t="n">
        <f aca="false">IF(F19=1,E20+1,0)</f>
        <v>0</v>
      </c>
      <c r="G20" s="34" t="n">
        <f aca="false">IF(G19=1,F20+1,0)</f>
        <v>0</v>
      </c>
      <c r="H20" s="34" t="n">
        <f aca="false">IF(H19=1,G20+1,0)</f>
        <v>0</v>
      </c>
      <c r="I20" s="34" t="n">
        <f aca="false">IF(I19=1,H20+1,0)</f>
        <v>0</v>
      </c>
      <c r="J20" s="34" t="n">
        <f aca="false">IF(J19=1,I20+1,0)</f>
        <v>0</v>
      </c>
      <c r="K20" s="34" t="n">
        <f aca="false">IF(K19=1,J20+1,0)</f>
        <v>0</v>
      </c>
      <c r="L20" s="34" t="n">
        <f aca="false">IF(L19=1,K20+1,0)</f>
        <v>0</v>
      </c>
      <c r="M20" s="34" t="n">
        <f aca="false">IF(M19=1,L20+1,0)</f>
        <v>0</v>
      </c>
      <c r="N20" s="34" t="n">
        <f aca="false">IF(N19=1,M20+1,0)</f>
        <v>0</v>
      </c>
      <c r="O20" s="34" t="n">
        <f aca="false">IF(O19=1,N20+1,0)</f>
        <v>0</v>
      </c>
      <c r="P20" s="34" t="n">
        <f aca="false">IF(P19=1,O20+1,0)</f>
        <v>0</v>
      </c>
      <c r="Q20" s="34" t="n">
        <f aca="false">IF(Q19=1,P20+1,0)</f>
        <v>0</v>
      </c>
      <c r="R20" s="34" t="n">
        <f aca="false">IF(R19=1,Q20+1,0)</f>
        <v>0</v>
      </c>
      <c r="S20" s="34" t="n">
        <f aca="false">IF(S19=1,R20+1,0)</f>
        <v>0</v>
      </c>
      <c r="T20" s="34" t="n">
        <f aca="false">IF(T19=1,S20+1,0)</f>
        <v>0</v>
      </c>
      <c r="U20" s="34" t="n">
        <f aca="false">IF(U19=1,T20+1,0)</f>
        <v>0</v>
      </c>
      <c r="V20" s="34" t="n">
        <f aca="false">IF(V19=1,U20+1,0)</f>
        <v>0</v>
      </c>
      <c r="W20" s="34" t="n">
        <f aca="false">IF(W19=1,V20+1,0)</f>
        <v>0</v>
      </c>
      <c r="X20" s="34" t="n">
        <f aca="false">IF(X19=1,W20+1,0)</f>
        <v>0</v>
      </c>
      <c r="Y20" s="34" t="n">
        <f aca="false">IF(Y19=1,X20+1,0)</f>
        <v>0</v>
      </c>
      <c r="Z20" s="34" t="n">
        <f aca="false">IF(Z19=1,Y20+1,0)</f>
        <v>0</v>
      </c>
      <c r="AA20" s="34" t="n">
        <f aca="false">IF(AA19=1,Z20+1,0)</f>
        <v>0</v>
      </c>
      <c r="AB20" s="34" t="n">
        <f aca="false">IF(AB19=1,AA20+1,0)</f>
        <v>0</v>
      </c>
      <c r="AC20" s="34" t="n">
        <f aca="false">IF(AC19=1,AB20+1,0)</f>
        <v>0</v>
      </c>
      <c r="AD20" s="34" t="n">
        <f aca="false">IF(AD19=1,AC20+1,0)</f>
        <v>0</v>
      </c>
      <c r="AE20" s="34" t="n">
        <f aca="false">IF(AE19=1,AD20+1,0)</f>
        <v>0</v>
      </c>
      <c r="AF20" s="34" t="n">
        <f aca="false">IF(AF19=1,AE20+1,0)</f>
        <v>0</v>
      </c>
      <c r="AG20" s="34" t="n">
        <f aca="false">IF(AG19=1,AF20+1,0)</f>
        <v>0</v>
      </c>
      <c r="AH20" s="34" t="n">
        <f aca="false">IF(AH19=1,AG20+1,0)</f>
        <v>0</v>
      </c>
      <c r="AI20" s="34" t="n">
        <f aca="false">IF(AI19=1,AH20+1,0)</f>
        <v>0</v>
      </c>
      <c r="AJ20" s="34" t="n">
        <f aca="false">IF(AJ19=1,AI20+1,0)</f>
        <v>0</v>
      </c>
      <c r="AK20" s="34" t="n">
        <f aca="false">IF(AK19=1,AJ20+1,0)</f>
        <v>0</v>
      </c>
      <c r="AL20" s="34" t="n">
        <f aca="false">IF(AL19=1,AK20+1,0)</f>
        <v>0</v>
      </c>
      <c r="AM20" s="34" t="n">
        <f aca="false">IF(AM19=1,AL20+1,0)</f>
        <v>0</v>
      </c>
      <c r="AN20" s="35" t="n">
        <f aca="false">IF(AN19=1,AM20+1,0)</f>
        <v>0</v>
      </c>
      <c r="AO20" s="35" t="n">
        <f aca="false">IF(AO19=1,AN20+1,0)</f>
        <v>0</v>
      </c>
      <c r="AP20" s="35" t="n">
        <f aca="false">IF(AP19=1,AO20+1,0)</f>
        <v>0</v>
      </c>
      <c r="AQ20" s="35" t="n">
        <f aca="false">IF(AQ19=1,AP20+1,0)</f>
        <v>0</v>
      </c>
      <c r="AR20" s="35" t="n">
        <f aca="false">IF(AR19=1,AQ20+1,0)</f>
        <v>0</v>
      </c>
      <c r="AS20" s="35" t="n">
        <f aca="false">IF(AS19=1,AR20+1,0)</f>
        <v>0</v>
      </c>
      <c r="AT20" s="35" t="n">
        <f aca="false">IF(AT19=1,AS20+1,0)</f>
        <v>0</v>
      </c>
      <c r="AU20" s="35" t="n">
        <f aca="false">IF(AU19=1,AT20+1,0)</f>
        <v>0</v>
      </c>
      <c r="AV20" s="35" t="n">
        <f aca="false">IF(AV19=1,AU20+1,0)</f>
        <v>0</v>
      </c>
      <c r="AW20" s="35" t="n">
        <f aca="false">IF(AW19=1,AV20+1,0)</f>
        <v>0</v>
      </c>
      <c r="AX20" s="35" t="n">
        <f aca="false">IF(AX19=1,AW20+1,0)</f>
        <v>0</v>
      </c>
      <c r="AY20" s="35" t="n">
        <f aca="false">IF(AY19=1,AX20+1,0)</f>
        <v>0</v>
      </c>
      <c r="AZ20" s="35" t="n">
        <f aca="false">IF(AZ19=1,AY20+1,0)</f>
        <v>0</v>
      </c>
      <c r="BA20" s="35" t="n">
        <f aca="false">IF(BA19=1,AZ20+1,0)</f>
        <v>0</v>
      </c>
      <c r="BB20" s="35" t="n">
        <f aca="false">IF(BB19=1,BA20+1,0)</f>
        <v>0</v>
      </c>
      <c r="BC20" s="35" t="n">
        <f aca="false">IF(BC19=1,BB20+1,0)</f>
        <v>0</v>
      </c>
      <c r="BD20" s="35" t="n">
        <f aca="false">IF(BD19=1,BC20+1,0)</f>
        <v>0</v>
      </c>
      <c r="BE20" s="35" t="n">
        <f aca="false">IF(BE19=1,BD20+1,0)</f>
        <v>0</v>
      </c>
      <c r="BF20" s="35" t="n">
        <f aca="false">IF(BF19=1,BE20+1,0)</f>
        <v>0</v>
      </c>
      <c r="BG20" s="35" t="n">
        <f aca="false">IF(BG19=1,BF20+1,0)</f>
        <v>0</v>
      </c>
      <c r="BH20" s="35" t="n">
        <f aca="false">IF(BH19=1,BG20+1,0)</f>
        <v>0</v>
      </c>
      <c r="BI20" s="35" t="n">
        <f aca="false">IF(BI19=1,BH20+1,0)</f>
        <v>0</v>
      </c>
      <c r="BJ20" s="35" t="n">
        <f aca="false">IF(BJ19=1,BI20+1,0)</f>
        <v>0</v>
      </c>
      <c r="BK20" s="35" t="n">
        <f aca="false">IF(BK19=1,BJ20+1,0)</f>
        <v>0</v>
      </c>
    </row>
    <row r="21" customFormat="false" ht="15" hidden="false" customHeight="false" outlineLevel="0" collapsed="false">
      <c r="A21" s="28" t="s">
        <v>560</v>
      </c>
      <c r="B21" s="6" t="s">
        <v>561</v>
      </c>
      <c r="C21" s="18" t="n">
        <v>0</v>
      </c>
      <c r="D21" s="13" t="n">
        <f aca="false">MIN(1,D20/Assumptions!$D$77)</f>
        <v>0</v>
      </c>
      <c r="E21" s="13" t="n">
        <f aca="false">MIN(1,E20/Assumptions!$D$77)</f>
        <v>0</v>
      </c>
      <c r="F21" s="13" t="n">
        <f aca="false">MIN(1,F20/Assumptions!$D$77)</f>
        <v>0</v>
      </c>
      <c r="G21" s="13" t="n">
        <f aca="false">MIN(1,G20/Assumptions!$D$77)</f>
        <v>0</v>
      </c>
      <c r="H21" s="13" t="n">
        <f aca="false">MIN(1,H20/Assumptions!$D$77)</f>
        <v>0</v>
      </c>
      <c r="I21" s="13" t="n">
        <f aca="false">MIN(1,I20/Assumptions!$D$77)</f>
        <v>0</v>
      </c>
      <c r="J21" s="13" t="n">
        <f aca="false">MIN(1,J20/Assumptions!$D$77)</f>
        <v>0</v>
      </c>
      <c r="K21" s="13" t="n">
        <f aca="false">MIN(1,K20/Assumptions!$D$77)</f>
        <v>0</v>
      </c>
      <c r="L21" s="13" t="n">
        <f aca="false">MIN(1,L20/Assumptions!$D$77)</f>
        <v>0</v>
      </c>
      <c r="M21" s="13" t="n">
        <f aca="false">MIN(1,M20/Assumptions!$D$77)</f>
        <v>0</v>
      </c>
      <c r="N21" s="13" t="n">
        <f aca="false">MIN(1,N20/Assumptions!$D$77)</f>
        <v>0</v>
      </c>
      <c r="O21" s="13" t="n">
        <f aca="false">MIN(1,O20/Assumptions!$D$77)</f>
        <v>0</v>
      </c>
      <c r="P21" s="13" t="n">
        <f aca="false">MIN(1,P20/Assumptions!$D$77)</f>
        <v>0</v>
      </c>
      <c r="Q21" s="13" t="n">
        <f aca="false">MIN(1,Q20/Assumptions!$D$77)</f>
        <v>0</v>
      </c>
      <c r="R21" s="13" t="n">
        <f aca="false">MIN(1,R20/Assumptions!$D$77)</f>
        <v>0</v>
      </c>
      <c r="S21" s="13" t="n">
        <f aca="false">MIN(1,S20/Assumptions!$D$77)</f>
        <v>0</v>
      </c>
      <c r="T21" s="13" t="n">
        <f aca="false">MIN(1,T20/Assumptions!$D$77)</f>
        <v>0</v>
      </c>
      <c r="U21" s="13" t="n">
        <f aca="false">MIN(1,U20/Assumptions!$D$77)</f>
        <v>0</v>
      </c>
      <c r="V21" s="13" t="n">
        <f aca="false">MIN(1,V20/Assumptions!$D$77)</f>
        <v>0</v>
      </c>
      <c r="W21" s="13" t="n">
        <f aca="false">MIN(1,W20/Assumptions!$D$77)</f>
        <v>0</v>
      </c>
      <c r="X21" s="13" t="n">
        <f aca="false">MIN(1,X20/Assumptions!$D$77)</f>
        <v>0</v>
      </c>
      <c r="Y21" s="13" t="n">
        <f aca="false">MIN(1,Y20/Assumptions!$D$77)</f>
        <v>0</v>
      </c>
      <c r="Z21" s="13" t="n">
        <f aca="false">MIN(1,Z20/Assumptions!$D$77)</f>
        <v>0</v>
      </c>
      <c r="AA21" s="13" t="n">
        <f aca="false">MIN(1,AA20/Assumptions!$D$77)</f>
        <v>0</v>
      </c>
      <c r="AB21" s="13" t="n">
        <f aca="false">MIN(1,AB20/Assumptions!$D$77)</f>
        <v>0</v>
      </c>
      <c r="AC21" s="13" t="n">
        <f aca="false">MIN(1,AC20/Assumptions!$D$77)</f>
        <v>0</v>
      </c>
      <c r="AD21" s="13" t="n">
        <f aca="false">MIN(1,AD20/Assumptions!$D$77)</f>
        <v>0</v>
      </c>
      <c r="AE21" s="13" t="n">
        <f aca="false">MIN(1,AE20/Assumptions!$D$77)</f>
        <v>0</v>
      </c>
      <c r="AF21" s="13" t="n">
        <f aca="false">MIN(1,AF20/Assumptions!$D$77)</f>
        <v>0</v>
      </c>
      <c r="AG21" s="13" t="n">
        <f aca="false">MIN(1,AG20/Assumptions!$D$77)</f>
        <v>0</v>
      </c>
      <c r="AH21" s="13" t="n">
        <f aca="false">MIN(1,AH20/Assumptions!$D$77)</f>
        <v>0</v>
      </c>
      <c r="AI21" s="13" t="n">
        <f aca="false">MIN(1,AI20/Assumptions!$D$77)</f>
        <v>0</v>
      </c>
      <c r="AJ21" s="13" t="n">
        <f aca="false">MIN(1,AJ20/Assumptions!$D$77)</f>
        <v>0</v>
      </c>
      <c r="AK21" s="13" t="n">
        <f aca="false">MIN(1,AK20/Assumptions!$D$77)</f>
        <v>0</v>
      </c>
      <c r="AL21" s="13" t="n">
        <f aca="false">MIN(1,AL20/Assumptions!$D$77)</f>
        <v>0</v>
      </c>
      <c r="AM21" s="13" t="n">
        <f aca="false">MIN(1,AM20/Assumptions!$D$77)</f>
        <v>0</v>
      </c>
      <c r="AN21" s="41" t="n">
        <f aca="false">MIN(1,AN20/Assumptions!$D$77)</f>
        <v>0</v>
      </c>
      <c r="AO21" s="41" t="n">
        <f aca="false">MIN(1,AO20/Assumptions!$D$77)</f>
        <v>0</v>
      </c>
      <c r="AP21" s="41" t="n">
        <f aca="false">MIN(1,AP20/Assumptions!$D$77)</f>
        <v>0</v>
      </c>
      <c r="AQ21" s="41" t="n">
        <f aca="false">MIN(1,AQ20/Assumptions!$D$77)</f>
        <v>0</v>
      </c>
      <c r="AR21" s="41" t="n">
        <f aca="false">MIN(1,AR20/Assumptions!$D$77)</f>
        <v>0</v>
      </c>
      <c r="AS21" s="41" t="n">
        <f aca="false">MIN(1,AS20/Assumptions!$D$77)</f>
        <v>0</v>
      </c>
      <c r="AT21" s="41" t="n">
        <f aca="false">MIN(1,AT20/Assumptions!$D$77)</f>
        <v>0</v>
      </c>
      <c r="AU21" s="41" t="n">
        <f aca="false">MIN(1,AU20/Assumptions!$D$77)</f>
        <v>0</v>
      </c>
      <c r="AV21" s="41" t="n">
        <f aca="false">MIN(1,AV20/Assumptions!$D$77)</f>
        <v>0</v>
      </c>
      <c r="AW21" s="41" t="n">
        <f aca="false">MIN(1,AW20/Assumptions!$D$77)</f>
        <v>0</v>
      </c>
      <c r="AX21" s="41" t="n">
        <f aca="false">MIN(1,AX20/Assumptions!$D$77)</f>
        <v>0</v>
      </c>
      <c r="AY21" s="41" t="n">
        <f aca="false">MIN(1,AY20/Assumptions!$D$77)</f>
        <v>0</v>
      </c>
      <c r="AZ21" s="41" t="n">
        <f aca="false">MIN(1,AZ20/Assumptions!$D$77)</f>
        <v>0</v>
      </c>
      <c r="BA21" s="41" t="n">
        <f aca="false">MIN(1,BA20/Assumptions!$D$77)</f>
        <v>0</v>
      </c>
      <c r="BB21" s="41" t="n">
        <f aca="false">MIN(1,BB20/Assumptions!$D$77)</f>
        <v>0</v>
      </c>
      <c r="BC21" s="41" t="n">
        <f aca="false">MIN(1,BC20/Assumptions!$D$77)</f>
        <v>0</v>
      </c>
      <c r="BD21" s="41" t="n">
        <f aca="false">MIN(1,BD20/Assumptions!$D$77)</f>
        <v>0</v>
      </c>
      <c r="BE21" s="41" t="n">
        <f aca="false">MIN(1,BE20/Assumptions!$D$77)</f>
        <v>0</v>
      </c>
      <c r="BF21" s="41" t="n">
        <f aca="false">MIN(1,BF20/Assumptions!$D$77)</f>
        <v>0</v>
      </c>
      <c r="BG21" s="41" t="n">
        <f aca="false">MIN(1,BG20/Assumptions!$D$77)</f>
        <v>0</v>
      </c>
      <c r="BH21" s="41" t="n">
        <f aca="false">MIN(1,BH20/Assumptions!$D$77)</f>
        <v>0</v>
      </c>
      <c r="BI21" s="41" t="n">
        <f aca="false">MIN(1,BI20/Assumptions!$D$77)</f>
        <v>0</v>
      </c>
      <c r="BJ21" s="41" t="n">
        <f aca="false">MIN(1,BJ20/Assumptions!$D$77)</f>
        <v>0</v>
      </c>
      <c r="BK21" s="41" t="n">
        <f aca="false">MIN(1,BK20/Assumptions!$D$77)</f>
        <v>0</v>
      </c>
    </row>
    <row r="22" customFormat="false" ht="15" hidden="false" customHeight="false" outlineLevel="0" collapsed="false">
      <c r="B22" s="5" t="s">
        <v>562</v>
      </c>
    </row>
    <row r="23" customFormat="false" ht="15" hidden="false" customHeight="false" outlineLevel="0" collapsed="false">
      <c r="A23" s="28" t="s">
        <v>563</v>
      </c>
      <c r="B23" s="6" t="s">
        <v>564</v>
      </c>
      <c r="C23" s="32" t="n">
        <v>0</v>
      </c>
      <c r="D23" s="34" t="n">
        <f aca="false">C23+(D13*Assumptions!$D$13-C23)*Assumptions!$D$14</f>
        <v>0</v>
      </c>
      <c r="E23" s="34" t="n">
        <f aca="false">D23+(E13*Assumptions!$D$13-D23)*Assumptions!$D$14</f>
        <v>0</v>
      </c>
      <c r="F23" s="34" t="n">
        <f aca="false">E23+(F13*Assumptions!$D$13-E23)*Assumptions!$D$14</f>
        <v>0</v>
      </c>
      <c r="G23" s="34" t="n">
        <f aca="false">F23+(G13*Assumptions!$D$13-F23)*Assumptions!$D$14</f>
        <v>0</v>
      </c>
      <c r="H23" s="34" t="n">
        <f aca="false">G23+(H13*Assumptions!$D$13-G23)*Assumptions!$D$14</f>
        <v>52.5</v>
      </c>
      <c r="I23" s="34" t="n">
        <f aca="false">H23+(I13*Assumptions!$D$13-H23)*Assumptions!$D$14</f>
        <v>131.5125</v>
      </c>
      <c r="J23" s="34" t="n">
        <f aca="false">I23+(J13*Assumptions!$D$13-I23)*Assumptions!$D$14</f>
        <v>211.9359375</v>
      </c>
      <c r="K23" s="34" t="n">
        <f aca="false">J23+(K13*Assumptions!$D$13-J23)*Assumptions!$D$14</f>
        <v>282.0498515625</v>
      </c>
      <c r="L23" s="34" t="n">
        <f aca="false">K23+(L13*Assumptions!$D$13-K23)*Assumptions!$D$14</f>
        <v>336.616608398438</v>
      </c>
      <c r="M23" s="34" t="n">
        <f aca="false">L23+(M13*Assumptions!$D$13-L23)*Assumptions!$D$14</f>
        <v>378.752895219727</v>
      </c>
      <c r="N23" s="34" t="n">
        <f aca="false">M23+(N13*Assumptions!$D$13-M23)*Assumptions!$D$14</f>
        <v>456.742679159546</v>
      </c>
      <c r="O23" s="34" t="n">
        <f aca="false">N23+(O13*Assumptions!$D$13-N23)*Assumptions!$D$14</f>
        <v>550.47220628876</v>
      </c>
      <c r="P23" s="34" t="n">
        <f aca="false">O23+(P13*Assumptions!$D$13-O23)*Assumptions!$D$14</f>
        <v>638.656662301873</v>
      </c>
      <c r="Q23" s="34" t="n">
        <f aca="false">P23+(Q13*Assumptions!$D$13-P23)*Assumptions!$D$14</f>
        <v>764.555315505042</v>
      </c>
      <c r="R23" s="34" t="n">
        <f aca="false">Q23+(R13*Assumptions!$D$13-Q23)*Assumptions!$D$14</f>
        <v>898.553727961882</v>
      </c>
      <c r="S23" s="34" t="n">
        <f aca="false">R23+(S13*Assumptions!$D$13-R23)*Assumptions!$D$14</f>
        <v>1019.71287673674</v>
      </c>
      <c r="T23" s="34" t="n">
        <f aca="false">S23+(T13*Assumptions!$D$13-S23)*Assumptions!$D$14</f>
        <v>1165.27499960136</v>
      </c>
      <c r="U23" s="34" t="n">
        <f aca="false">T23+(U13*Assumptions!$D$13-T23)*Assumptions!$D$14</f>
        <v>1362.8288387203</v>
      </c>
      <c r="V23" s="34" t="n">
        <f aca="false">U23+(V13*Assumptions!$D$13-U23)*Assumptions!$D$14</f>
        <v>1568.50383192312</v>
      </c>
      <c r="W23" s="34" t="n">
        <f aca="false">V23+(W13*Assumptions!$D$13-V23)*Assumptions!$D$14</f>
        <v>1796.42595033608</v>
      </c>
      <c r="X23" s="34" t="n">
        <f aca="false">W23+(X13*Assumptions!$D$13-W23)*Assumptions!$D$14</f>
        <v>2063.75286581486</v>
      </c>
      <c r="Y23" s="34" t="n">
        <f aca="false">X23+(Y13*Assumptions!$D$13-X23)*Assumptions!$D$14</f>
        <v>2322.21346092365</v>
      </c>
      <c r="Z23" s="34" t="n">
        <f aca="false">Y23+(Z13*Assumptions!$D$13-Y23)*Assumptions!$D$14</f>
        <v>2589.59349529077</v>
      </c>
      <c r="AA23" s="34" t="n">
        <f aca="false">Z23+(AA13*Assumptions!$D$13-Z23)*Assumptions!$D$14</f>
        <v>2879.18664898713</v>
      </c>
      <c r="AB23" s="34" t="n">
        <f aca="false">AA23+(AB13*Assumptions!$D$13-AA23)*Assumptions!$D$14</f>
        <v>3148.82342696357</v>
      </c>
      <c r="AC23" s="34" t="n">
        <f aca="false">AB23+(AC13*Assumptions!$D$13-AB23)*Assumptions!$D$14</f>
        <v>3420.2535300202</v>
      </c>
      <c r="AD23" s="34" t="n">
        <f aca="false">AC23+(AD13*Assumptions!$D$13-AC23)*Assumptions!$D$14</f>
        <v>3709.34513944467</v>
      </c>
      <c r="AE23" s="34" t="n">
        <f aca="false">AD23+(AE13*Assumptions!$D$13-AD23)*Assumptions!$D$14</f>
        <v>4026.00017694728</v>
      </c>
      <c r="AF23" s="34" t="n">
        <f aca="false">AE23+(AF13*Assumptions!$D$13-AE23)*Assumptions!$D$14</f>
        <v>4367.85280541627</v>
      </c>
      <c r="AG23" s="34" t="n">
        <f aca="false">AF23+(AG13*Assumptions!$D$13-AF23)*Assumptions!$D$14</f>
        <v>4726.88319666111</v>
      </c>
      <c r="AH23" s="34" t="n">
        <f aca="false">AG23+(AH13*Assumptions!$D$13-AG23)*Assumptions!$D$14</f>
        <v>5104.15847914173</v>
      </c>
      <c r="AI23" s="34" t="n">
        <f aca="false">AH23+(AI13*Assumptions!$D$13-AH23)*Assumptions!$D$14</f>
        <v>5491.79530272134</v>
      </c>
      <c r="AJ23" s="34" t="n">
        <f aca="false">AI23+(AJ13*Assumptions!$D$13-AI23)*Assumptions!$D$14</f>
        <v>5884.7069307661</v>
      </c>
      <c r="AK23" s="34" t="n">
        <f aca="false">AJ23+(AK13*Assumptions!$D$13-AJ23)*Assumptions!$D$14</f>
        <v>6277.52348939527</v>
      </c>
      <c r="AL23" s="34" t="n">
        <f aca="false">AK23+(AL13*Assumptions!$D$13-AK23)*Assumptions!$D$14</f>
        <v>6668.9426528943</v>
      </c>
      <c r="AM23" s="34" t="n">
        <f aca="false">AL23+(AM13*Assumptions!$D$13-AL23)*Assumptions!$D$14</f>
        <v>7058.15129954898</v>
      </c>
      <c r="AN23" s="35" t="n">
        <f aca="false">AM23+(AN13*Assumptions!$D$13-AM23)*Assumptions!$D$14</f>
        <v>7442.55345549533</v>
      </c>
      <c r="AO23" s="35" t="n">
        <f aca="false">AN23+(AO13*Assumptions!$D$13-AN23)*Assumptions!$D$14</f>
        <v>7822.64597909075</v>
      </c>
      <c r="AP23" s="35" t="n">
        <f aca="false">AO23+(AP13*Assumptions!$D$13-AO23)*Assumptions!$D$14</f>
        <v>8198.7814636023</v>
      </c>
      <c r="AQ23" s="35" t="n">
        <f aca="false">AP23+(AQ13*Assumptions!$D$13-AP23)*Assumptions!$D$14</f>
        <v>8569.11798910497</v>
      </c>
      <c r="AR23" s="35" t="n">
        <f aca="false">AQ23+(AR13*Assumptions!$D$13-AQ23)*Assumptions!$D$14</f>
        <v>8932.53897973763</v>
      </c>
      <c r="AS23" s="35" t="n">
        <f aca="false">AR23+(AS13*Assumptions!$D$13-AR23)*Assumptions!$D$14</f>
        <v>9290.49731647837</v>
      </c>
      <c r="AT23" s="35" t="n">
        <f aca="false">AS23+(AT13*Assumptions!$D$13-AS23)*Assumptions!$D$14</f>
        <v>9641.86156086862</v>
      </c>
      <c r="AU23" s="35" t="n">
        <f aca="false">AT23+(AU13*Assumptions!$D$13-AT23)*Assumptions!$D$14</f>
        <v>9985.97236209335</v>
      </c>
      <c r="AV23" s="35" t="n">
        <f aca="false">AU23+(AV13*Assumptions!$D$13-AU23)*Assumptions!$D$14</f>
        <v>10324.5753242012</v>
      </c>
      <c r="AW23" s="35" t="n">
        <f aca="false">AV23+(AW13*Assumptions!$D$13-AV23)*Assumptions!$D$14</f>
        <v>10656.7249173503</v>
      </c>
      <c r="AX23" s="35" t="n">
        <f aca="false">AW23+(AX13*Assumptions!$D$13-AW23)*Assumptions!$D$14</f>
        <v>10981.8783789817</v>
      </c>
      <c r="AY23" s="35" t="n">
        <f aca="false">AX23+(AY13*Assumptions!$D$13-AX23)*Assumptions!$D$14</f>
        <v>11301.8529494745</v>
      </c>
      <c r="AZ23" s="35" t="n">
        <f aca="false">AY23+(AZ13*Assumptions!$D$13-AY23)*Assumptions!$D$14</f>
        <v>11615.7456202165</v>
      </c>
      <c r="BA23" s="35" t="n">
        <f aca="false">AZ23+(BA13*Assumptions!$D$13-AZ23)*Assumptions!$D$14</f>
        <v>11923.0373261223</v>
      </c>
      <c r="BB23" s="35" t="n">
        <f aca="false">BA23+(BB13*Assumptions!$D$13-BA23)*Assumptions!$D$14</f>
        <v>12223.4568681365</v>
      </c>
      <c r="BC23" s="35" t="n">
        <f aca="false">BB23+(BC13*Assumptions!$D$13-BB23)*Assumptions!$D$14</f>
        <v>12516.8925052918</v>
      </c>
      <c r="BD23" s="35" t="n">
        <f aca="false">BC23+(BD13*Assumptions!$D$13-BC23)*Assumptions!$D$14</f>
        <v>12803.3345309177</v>
      </c>
      <c r="BE23" s="35" t="n">
        <f aca="false">BD23+(BE13*Assumptions!$D$13-BD23)*Assumptions!$D$14</f>
        <v>13082.8379875126</v>
      </c>
      <c r="BF23" s="35" t="n">
        <f aca="false">BE23+(BF13*Assumptions!$D$13-BE23)*Assumptions!$D$14</f>
        <v>13355.4984707388</v>
      </c>
      <c r="BG23" s="35" t="n">
        <f aca="false">BF23+(BG13*Assumptions!$D$13-BF23)*Assumptions!$D$14</f>
        <v>13621.4364403645</v>
      </c>
      <c r="BH23" s="35" t="n">
        <f aca="false">BG23+(BH13*Assumptions!$D$13-BG23)*Assumptions!$D$14</f>
        <v>13880.7870597616</v>
      </c>
      <c r="BI23" s="35" t="n">
        <f aca="false">BH23+(BI13*Assumptions!$D$13-BH23)*Assumptions!$D$14</f>
        <v>14133.6936280316</v>
      </c>
      <c r="BJ23" s="35" t="n">
        <f aca="false">BI23+(BJ13*Assumptions!$D$13-BI23)*Assumptions!$D$14</f>
        <v>14380.3033464274</v>
      </c>
      <c r="BK23" s="35" t="n">
        <f aca="false">BJ23+(BK13*Assumptions!$D$13-BJ23)*Assumptions!$D$14</f>
        <v>14620.7646011795</v>
      </c>
    </row>
    <row r="24" customFormat="false" ht="15" hidden="false" customHeight="false" outlineLevel="0" collapsed="false">
      <c r="A24" s="28" t="s">
        <v>565</v>
      </c>
      <c r="B24" s="6" t="s">
        <v>566</v>
      </c>
      <c r="C24" s="32" t="n">
        <v>0</v>
      </c>
      <c r="D24" s="34" t="n">
        <f aca="false">D23/Assumptions!$D$15</f>
        <v>0</v>
      </c>
      <c r="E24" s="34" t="n">
        <f aca="false">E23/Assumptions!$D$15</f>
        <v>0</v>
      </c>
      <c r="F24" s="34" t="n">
        <f aca="false">F23/Assumptions!$D$15</f>
        <v>0</v>
      </c>
      <c r="G24" s="34" t="n">
        <f aca="false">G23/Assumptions!$D$15</f>
        <v>0</v>
      </c>
      <c r="H24" s="34" t="n">
        <f aca="false">H23/Assumptions!$D$15</f>
        <v>37.5</v>
      </c>
      <c r="I24" s="34" t="n">
        <f aca="false">I23/Assumptions!$D$15</f>
        <v>93.9375</v>
      </c>
      <c r="J24" s="34" t="n">
        <f aca="false">J23/Assumptions!$D$15</f>
        <v>151.3828125</v>
      </c>
      <c r="K24" s="34" t="n">
        <f aca="false">K23/Assumptions!$D$15</f>
        <v>201.4641796875</v>
      </c>
      <c r="L24" s="34" t="n">
        <f aca="false">L23/Assumptions!$D$15</f>
        <v>240.440434570313</v>
      </c>
      <c r="M24" s="34" t="n">
        <f aca="false">M23/Assumptions!$D$15</f>
        <v>270.537782299805</v>
      </c>
      <c r="N24" s="34" t="n">
        <f aca="false">N23/Assumptions!$D$15</f>
        <v>326.244770828247</v>
      </c>
      <c r="O24" s="34" t="n">
        <f aca="false">O23/Assumptions!$D$15</f>
        <v>393.1944330634</v>
      </c>
      <c r="P24" s="34" t="n">
        <f aca="false">P23/Assumptions!$D$15</f>
        <v>456.183330215624</v>
      </c>
      <c r="Q24" s="34" t="n">
        <f aca="false">Q23/Assumptions!$D$15</f>
        <v>546.110939646459</v>
      </c>
      <c r="R24" s="34" t="n">
        <f aca="false">R23/Assumptions!$D$15</f>
        <v>641.824091401344</v>
      </c>
      <c r="S24" s="34" t="n">
        <f aca="false">S23/Assumptions!$D$15</f>
        <v>728.366340526241</v>
      </c>
      <c r="T24" s="34" t="n">
        <f aca="false">T23/Assumptions!$D$15</f>
        <v>832.33928542954</v>
      </c>
      <c r="U24" s="34" t="n">
        <f aca="false">U23/Assumptions!$D$15</f>
        <v>973.449170514497</v>
      </c>
      <c r="V24" s="34" t="n">
        <f aca="false">V23/Assumptions!$D$15</f>
        <v>1120.35987994509</v>
      </c>
      <c r="W24" s="34" t="n">
        <f aca="false">W23/Assumptions!$D$15</f>
        <v>1283.1613930972</v>
      </c>
      <c r="X24" s="34" t="n">
        <f aca="false">X23/Assumptions!$D$15</f>
        <v>1474.10918986776</v>
      </c>
      <c r="Y24" s="34" t="n">
        <f aca="false">Y23/Assumptions!$D$15</f>
        <v>1658.72390065975</v>
      </c>
      <c r="Z24" s="34" t="n">
        <f aca="false">Z23/Assumptions!$D$15</f>
        <v>1849.70963949341</v>
      </c>
      <c r="AA24" s="34" t="n">
        <f aca="false">AA23/Assumptions!$D$15</f>
        <v>2056.56189213367</v>
      </c>
      <c r="AB24" s="34" t="n">
        <f aca="false">AB23/Assumptions!$D$15</f>
        <v>2249.15959068826</v>
      </c>
      <c r="AC24" s="34" t="n">
        <f aca="false">AC23/Assumptions!$D$15</f>
        <v>2443.03823572872</v>
      </c>
      <c r="AD24" s="34" t="n">
        <f aca="false">AD23/Assumptions!$D$15</f>
        <v>2649.53224246048</v>
      </c>
      <c r="AE24" s="34" t="n">
        <f aca="false">AE23/Assumptions!$D$15</f>
        <v>2875.7144121052</v>
      </c>
      <c r="AF24" s="34" t="n">
        <f aca="false">AF23/Assumptions!$D$15</f>
        <v>3119.89486101162</v>
      </c>
      <c r="AG24" s="34" t="n">
        <f aca="false">AG23/Assumptions!$D$15</f>
        <v>3376.34514047222</v>
      </c>
      <c r="AH24" s="34" t="n">
        <f aca="false">AH23/Assumptions!$D$15</f>
        <v>3645.82748510124</v>
      </c>
      <c r="AI24" s="34" t="n">
        <f aca="false">AI23/Assumptions!$D$15</f>
        <v>3922.71093051524</v>
      </c>
      <c r="AJ24" s="34" t="n">
        <f aca="false">AJ23/Assumptions!$D$15</f>
        <v>4203.36209340436</v>
      </c>
      <c r="AK24" s="34" t="n">
        <f aca="false">AK23/Assumptions!$D$15</f>
        <v>4483.94534956805</v>
      </c>
      <c r="AL24" s="34" t="n">
        <f aca="false">AL23/Assumptions!$D$15</f>
        <v>4763.53046635307</v>
      </c>
      <c r="AM24" s="34" t="n">
        <f aca="false">AM23/Assumptions!$D$15</f>
        <v>5041.53664253499</v>
      </c>
      <c r="AN24" s="35" t="n">
        <f aca="false">AN23/Assumptions!$D$15</f>
        <v>5316.10961106809</v>
      </c>
      <c r="AO24" s="35" t="n">
        <f aca="false">AO23/Assumptions!$D$15</f>
        <v>5587.60427077911</v>
      </c>
      <c r="AP24" s="35" t="n">
        <f aca="false">AP23/Assumptions!$D$15</f>
        <v>5856.27247400164</v>
      </c>
      <c r="AQ24" s="35" t="n">
        <f aca="false">AQ23/Assumptions!$D$15</f>
        <v>6120.79856364641</v>
      </c>
      <c r="AR24" s="35" t="n">
        <f aca="false">AR23/Assumptions!$D$15</f>
        <v>6380.38498552688</v>
      </c>
      <c r="AS24" s="35" t="n">
        <f aca="false">AS23/Assumptions!$D$15</f>
        <v>6636.06951177026</v>
      </c>
      <c r="AT24" s="35" t="n">
        <f aca="false">AT23/Assumptions!$D$15</f>
        <v>6887.04397204902</v>
      </c>
      <c r="AU24" s="35" t="n">
        <f aca="false">AU23/Assumptions!$D$15</f>
        <v>7132.83740149525</v>
      </c>
      <c r="AV24" s="35" t="n">
        <f aca="false">AV23/Assumptions!$D$15</f>
        <v>7374.69666014371</v>
      </c>
      <c r="AW24" s="35" t="n">
        <f aca="false">AW23/Assumptions!$D$15</f>
        <v>7611.94636953592</v>
      </c>
      <c r="AX24" s="35" t="n">
        <f aca="false">AX23/Assumptions!$D$15</f>
        <v>7844.1988421298</v>
      </c>
      <c r="AY24" s="35" t="n">
        <f aca="false">AY23/Assumptions!$D$15</f>
        <v>8072.75210676753</v>
      </c>
      <c r="AZ24" s="35" t="n">
        <f aca="false">AZ23/Assumptions!$D$15</f>
        <v>8296.96115729747</v>
      </c>
      <c r="BA24" s="35" t="n">
        <f aca="false">BA23/Assumptions!$D$15</f>
        <v>8516.45523294447</v>
      </c>
      <c r="BB24" s="35" t="n">
        <f aca="false">BB23/Assumptions!$D$15</f>
        <v>8731.04062009749</v>
      </c>
      <c r="BC24" s="35" t="n">
        <f aca="false">BC23/Assumptions!$D$15</f>
        <v>8940.63750377987</v>
      </c>
      <c r="BD24" s="35" t="n">
        <f aca="false">BD23/Assumptions!$D$15</f>
        <v>9145.2389506555</v>
      </c>
      <c r="BE24" s="35" t="n">
        <f aca="false">BE23/Assumptions!$D$15</f>
        <v>9344.8842767947</v>
      </c>
      <c r="BF24" s="35" t="n">
        <f aca="false">BF23/Assumptions!$D$15</f>
        <v>9539.64176481346</v>
      </c>
      <c r="BG24" s="35" t="n">
        <f aca="false">BG23/Assumptions!$D$15</f>
        <v>9729.59745740323</v>
      </c>
      <c r="BH24" s="35" t="n">
        <f aca="false">BH23/Assumptions!$D$15</f>
        <v>9914.84789982972</v>
      </c>
      <c r="BI24" s="35" t="n">
        <f aca="false">BI23/Assumptions!$D$15</f>
        <v>10095.495448594</v>
      </c>
      <c r="BJ24" s="35" t="n">
        <f aca="false">BJ23/Assumptions!$D$15</f>
        <v>10271.6452474482</v>
      </c>
      <c r="BK24" s="35" t="n">
        <f aca="false">BK23/Assumptions!$D$15</f>
        <v>10443.4032865568</v>
      </c>
    </row>
    <row r="25" customFormat="false" ht="15" hidden="false" customHeight="false" outlineLevel="0" collapsed="false">
      <c r="A25" s="28" t="s">
        <v>567</v>
      </c>
      <c r="B25" s="6" t="s">
        <v>568</v>
      </c>
      <c r="C25" s="32" t="n">
        <v>0</v>
      </c>
      <c r="D25" s="34" t="n">
        <f aca="false">MAX(0,D24-C24)+C24*Assumptions!$D$16</f>
        <v>0</v>
      </c>
      <c r="E25" s="34" t="n">
        <f aca="false">MAX(0,E24-D24)+D24*Assumptions!$D$16</f>
        <v>0</v>
      </c>
      <c r="F25" s="34" t="n">
        <f aca="false">MAX(0,F24-E24)+E24*Assumptions!$D$16</f>
        <v>0</v>
      </c>
      <c r="G25" s="34" t="n">
        <f aca="false">MAX(0,G24-F24)+F24*Assumptions!$D$16</f>
        <v>0</v>
      </c>
      <c r="H25" s="34" t="n">
        <f aca="false">MAX(0,H24-G24)+G24*Assumptions!$D$16</f>
        <v>37.5</v>
      </c>
      <c r="I25" s="34" t="n">
        <f aca="false">MAX(0,I24-H24)+H24*Assumptions!$D$16</f>
        <v>57.9375</v>
      </c>
      <c r="J25" s="34" t="n">
        <f aca="false">MAX(0,J24-I24)+I24*Assumptions!$D$16</f>
        <v>61.2028125</v>
      </c>
      <c r="K25" s="34" t="n">
        <f aca="false">MAX(0,K24-J24)+J24*Assumptions!$D$16</f>
        <v>56.1366796875</v>
      </c>
      <c r="L25" s="34" t="n">
        <f aca="false">MAX(0,L24-K24)+K24*Assumptions!$D$16</f>
        <v>47.0348220703125</v>
      </c>
      <c r="M25" s="34" t="n">
        <f aca="false">MAX(0,M24-L24)+L24*Assumptions!$D$16</f>
        <v>39.7149651123047</v>
      </c>
      <c r="N25" s="34" t="n">
        <f aca="false">MAX(0,N24-M24)+M24*Assumptions!$D$16</f>
        <v>66.5284998204346</v>
      </c>
      <c r="O25" s="34" t="n">
        <f aca="false">MAX(0,O24-N24)+N24*Assumptions!$D$16</f>
        <v>79.9994530682831</v>
      </c>
      <c r="P25" s="34" t="n">
        <f aca="false">MAX(0,P24-O24)+O24*Assumptions!$D$16</f>
        <v>78.7166744747595</v>
      </c>
      <c r="Q25" s="34" t="n">
        <f aca="false">MAX(0,Q24-P24)+P24*Assumptions!$D$16</f>
        <v>108.17494263946</v>
      </c>
      <c r="R25" s="34" t="n">
        <f aca="false">MAX(0,R24-Q24)+Q24*Assumptions!$D$16</f>
        <v>117.557589340744</v>
      </c>
      <c r="S25" s="34" t="n">
        <f aca="false">MAX(0,S24-R24)+R24*Assumptions!$D$16</f>
        <v>112.215212780951</v>
      </c>
      <c r="T25" s="34" t="n">
        <f aca="false">MAX(0,T24-S24)+S24*Assumptions!$D$16</f>
        <v>133.107598524348</v>
      </c>
      <c r="U25" s="34" t="n">
        <f aca="false">MAX(0,U24-T24)+T24*Assumptions!$D$16</f>
        <v>174.403456502139</v>
      </c>
      <c r="V25" s="34" t="n">
        <f aca="false">MAX(0,V24-U24)+U24*Assumptions!$D$16</f>
        <v>185.848676251169</v>
      </c>
      <c r="W25" s="34" t="n">
        <f aca="false">MAX(0,W24-V24)+V24*Assumptions!$D$16</f>
        <v>207.61590834992</v>
      </c>
      <c r="X25" s="34" t="n">
        <f aca="false">MAX(0,X24-W24)+W24*Assumptions!$D$16</f>
        <v>242.274252494442</v>
      </c>
      <c r="Y25" s="34" t="n">
        <f aca="false">MAX(0,Y24-X24)+X24*Assumptions!$D$16</f>
        <v>243.579078386706</v>
      </c>
      <c r="Z25" s="34" t="n">
        <f aca="false">MAX(0,Z24-Y24)+Y24*Assumptions!$D$16</f>
        <v>257.334694860044</v>
      </c>
      <c r="AA25" s="34" t="n">
        <f aca="false">MAX(0,AA24-Z24)+Z24*Assumptions!$D$16</f>
        <v>280.840638219997</v>
      </c>
      <c r="AB25" s="34" t="n">
        <f aca="false">MAX(0,AB24-AA24)+AA24*Assumptions!$D$16</f>
        <v>274.860174239942</v>
      </c>
      <c r="AC25" s="34" t="n">
        <f aca="false">MAX(0,AC24-AB24)+AB24*Assumptions!$D$16</f>
        <v>283.845028667983</v>
      </c>
      <c r="AD25" s="34" t="n">
        <f aca="false">MAX(0,AD24-AC24)+AC24*Assumptions!$D$16</f>
        <v>304.21553616091</v>
      </c>
      <c r="AE25" s="34" t="n">
        <f aca="false">MAX(0,AE24-AD24)+AD24*Assumptions!$D$16</f>
        <v>332.163459343143</v>
      </c>
      <c r="AF25" s="34" t="n">
        <f aca="false">MAX(0,AF24-AE24)+AE24*Assumptions!$D$16</f>
        <v>359.209025390631</v>
      </c>
      <c r="AG25" s="34" t="n">
        <f aca="false">MAX(0,AG24-AF24)+AF24*Assumptions!$D$16</f>
        <v>381.246073901059</v>
      </c>
      <c r="AH25" s="34" t="n">
        <f aca="false">MAX(0,AH24-AG24)+AG24*Assumptions!$D$16</f>
        <v>404.536150247909</v>
      </c>
      <c r="AI25" s="34" t="n">
        <f aca="false">MAX(0,AI24-AH24)+AH24*Assumptions!$D$16</f>
        <v>422.716544818055</v>
      </c>
      <c r="AJ25" s="34" t="n">
        <f aca="false">MAX(0,AJ24-AI24)+AI24*Assumptions!$D$16</f>
        <v>437.559600109727</v>
      </c>
      <c r="AK25" s="34" t="n">
        <f aca="false">MAX(0,AK24-AJ24)+AJ24*Assumptions!$D$16</f>
        <v>448.717739899864</v>
      </c>
      <c r="AL25" s="34" t="n">
        <f aca="false">MAX(0,AL24-AK24)+AK24*Assumptions!$D$16</f>
        <v>458.942930767741</v>
      </c>
      <c r="AM25" s="34" t="n">
        <f aca="false">MAX(0,AM24-AL24)+AL24*Assumptions!$D$16</f>
        <v>468.547394836039</v>
      </c>
      <c r="AN25" s="35" t="n">
        <f aca="false">MAX(0,AN24-AM24)+AM24*Assumptions!$D$16</f>
        <v>476.234434234508</v>
      </c>
      <c r="AO25" s="35" t="n">
        <f aca="false">MAX(0,AO24-AN24)+AN24*Assumptions!$D$16</f>
        <v>484.139044153735</v>
      </c>
      <c r="AP25" s="35" t="n">
        <f aca="false">MAX(0,AP24-AO24)+AO24*Assumptions!$D$16</f>
        <v>492.172374053701</v>
      </c>
      <c r="AQ25" s="35" t="n">
        <f aca="false">MAX(0,AQ24-AP24)+AP24*Assumptions!$D$16</f>
        <v>498.776988604835</v>
      </c>
      <c r="AR25" s="35" t="n">
        <f aca="false">MAX(0,AR24-AQ24)+AQ24*Assumptions!$D$16</f>
        <v>504.418364426322</v>
      </c>
      <c r="AS25" s="35" t="n">
        <f aca="false">MAX(0,AS24-AR24)+AR24*Assumptions!$D$16</f>
        <v>510.89992566446</v>
      </c>
      <c r="AT25" s="35" t="n">
        <f aca="false">MAX(0,AT24-AS24)+AS24*Assumptions!$D$16</f>
        <v>516.417240749566</v>
      </c>
      <c r="AU25" s="35" t="n">
        <f aca="false">MAX(0,AU24-AT24)+AT24*Assumptions!$D$16</f>
        <v>521.275188328193</v>
      </c>
      <c r="AV25" s="35" t="n">
        <f aca="false">MAX(0,AV24-AU24)+AU24*Assumptions!$D$16</f>
        <v>527.172754708276</v>
      </c>
      <c r="AW25" s="35" t="n">
        <f aca="false">MAX(0,AW24-AV24)+AV24*Assumptions!$D$16</f>
        <v>532.237575797957</v>
      </c>
      <c r="AX25" s="35" t="n">
        <f aca="false">MAX(0,AX24-AW24)+AW24*Assumptions!$D$16</f>
        <v>536.730327375309</v>
      </c>
      <c r="AY25" s="35" t="n">
        <f aca="false">MAX(0,AY24-AX24)+AX24*Assumptions!$D$16</f>
        <v>542.321218322922</v>
      </c>
      <c r="AZ25" s="35" t="n">
        <f aca="false">MAX(0,AZ24-AY24)+AY24*Assumptions!$D$16</f>
        <v>547.119134800648</v>
      </c>
      <c r="BA25" s="35" t="n">
        <f aca="false">MAX(0,BA24-AZ24)+AZ24*Assumptions!$D$16</f>
        <v>551.372521938899</v>
      </c>
      <c r="BB25" s="35" t="n">
        <f aca="false">MAX(0,BB24-BA24)+BA24*Assumptions!$D$16</f>
        <v>555.243596470801</v>
      </c>
      <c r="BC25" s="35" t="n">
        <f aca="false">MAX(0,BC24-BB24)+BB24*Assumptions!$D$16</f>
        <v>558.838508486276</v>
      </c>
      <c r="BD25" s="35" t="n">
        <f aca="false">MAX(0,BD24-BC24)+BC24*Assumptions!$D$16</f>
        <v>562.226947026826</v>
      </c>
      <c r="BE25" s="35" t="n">
        <f aca="false">MAX(0,BE24-BD24)+BD24*Assumptions!$D$16</f>
        <v>565.454884165414</v>
      </c>
      <c r="BF25" s="35" t="n">
        <f aca="false">MAX(0,BF24-BE24)+BE24*Assumptions!$D$16</f>
        <v>568.55285909055</v>
      </c>
      <c r="BG25" s="35" t="n">
        <f aca="false">MAX(0,BG24-BF24)+BF24*Assumptions!$D$16</f>
        <v>571.541363182311</v>
      </c>
      <c r="BH25" s="35" t="n">
        <f aca="false">MAX(0,BH24-BG24)+BG24*Assumptions!$D$16</f>
        <v>574.434340722619</v>
      </c>
      <c r="BI25" s="35" t="n">
        <f aca="false">MAX(0,BI24-BH24)+BH24*Assumptions!$D$16</f>
        <v>577.241464757465</v>
      </c>
      <c r="BJ25" s="35" t="n">
        <f aca="false">MAX(0,BJ24-BI24)+BI24*Assumptions!$D$16</f>
        <v>579.969616797923</v>
      </c>
      <c r="BK25" s="35" t="n">
        <f aca="false">MAX(0,BK24-BJ24)+BJ24*Assumptions!$D$16</f>
        <v>582.623849006582</v>
      </c>
    </row>
    <row r="26" customFormat="false" ht="15" hidden="false" customHeight="false" outlineLevel="0" collapsed="false">
      <c r="B26" s="5" t="s">
        <v>569</v>
      </c>
    </row>
    <row r="27" customFormat="false" ht="15" hidden="false" customHeight="false" outlineLevel="0" collapsed="false">
      <c r="A27" s="28" t="s">
        <v>570</v>
      </c>
      <c r="B27" s="6" t="s">
        <v>571</v>
      </c>
      <c r="C27" s="36" t="n">
        <v>0</v>
      </c>
      <c r="D27" s="26" t="n">
        <f aca="false">C27*(1-Assumptions!$D$41)+D16*((1-(1-Assumptions!$D$30)^(1/12))*Assumptions!$D$40)*MAX(0,D13*Assumptions!$D$25-C27)</f>
        <v>0</v>
      </c>
      <c r="E27" s="26" t="n">
        <f aca="false">D27*(1-Assumptions!$D$41)+E16*((1-(1-Assumptions!$D$30)^(1/12))*Assumptions!$D$40)*MAX(0,E13*Assumptions!$D$25-D27)</f>
        <v>0</v>
      </c>
      <c r="F27" s="26" t="n">
        <f aca="false">E27*(1-Assumptions!$D$41)+F16*((1-(1-Assumptions!$D$30)^(1/12))*Assumptions!$D$40)*MAX(0,F13*Assumptions!$D$25-E27)</f>
        <v>0</v>
      </c>
      <c r="G27" s="26" t="n">
        <f aca="false">F27*(1-Assumptions!$D$41)+G16*((1-(1-Assumptions!$D$30)^(1/12))*Assumptions!$D$40)*MAX(0,G13*Assumptions!$D$25-F27)</f>
        <v>0</v>
      </c>
      <c r="H27" s="26" t="n">
        <f aca="false">G27*(1-Assumptions!$D$41)+H16*((1-(1-Assumptions!$D$30)^(1/12))*Assumptions!$D$40)*MAX(0,H13*Assumptions!$D$25-G27)</f>
        <v>0</v>
      </c>
      <c r="I27" s="26" t="n">
        <f aca="false">H27*(1-Assumptions!$D$41)+I16*((1-(1-Assumptions!$D$30)^(1/12))*Assumptions!$D$40)*MAX(0,I13*Assumptions!$D$25-H27)</f>
        <v>0</v>
      </c>
      <c r="J27" s="26" t="n">
        <f aca="false">I27*(1-Assumptions!$D$41)+J16*((1-(1-Assumptions!$D$30)^(1/12))*Assumptions!$D$40)*MAX(0,J13*Assumptions!$D$25-I27)</f>
        <v>0</v>
      </c>
      <c r="K27" s="26" t="n">
        <f aca="false">J27*(1-Assumptions!$D$41)+K16*((1-(1-Assumptions!$D$30)^(1/12))*Assumptions!$D$40)*MAX(0,K13*Assumptions!$D$25-J27)</f>
        <v>0</v>
      </c>
      <c r="L27" s="26" t="n">
        <f aca="false">K27*(1-Assumptions!$D$41)+L16*((1-(1-Assumptions!$D$30)^(1/12))*Assumptions!$D$40)*MAX(0,L13*Assumptions!$D$25-K27)</f>
        <v>0</v>
      </c>
      <c r="M27" s="26" t="n">
        <f aca="false">L27*(1-Assumptions!$D$41)+M16*((1-(1-Assumptions!$D$30)^(1/12))*Assumptions!$D$40)*MAX(0,M13*Assumptions!$D$25-L27)</f>
        <v>0</v>
      </c>
      <c r="N27" s="26" t="n">
        <f aca="false">M27*(1-Assumptions!$D$41)+N16*((1-(1-Assumptions!$D$30)^(1/12))*Assumptions!$D$40)*MAX(0,N13*Assumptions!$D$25-M27)</f>
        <v>0</v>
      </c>
      <c r="O27" s="26" t="n">
        <f aca="false">N27*(1-Assumptions!$D$41)+O16*((1-(1-Assumptions!$D$30)^(1/12))*Assumptions!$D$40)*MAX(0,O13*Assumptions!$D$25-N27)</f>
        <v>0</v>
      </c>
      <c r="P27" s="26" t="n">
        <f aca="false">O27*(1-Assumptions!$D$41)+P16*((1-(1-Assumptions!$D$30)^(1/12))*Assumptions!$D$40)*MAX(0,P13*Assumptions!$D$25-O27)</f>
        <v>0</v>
      </c>
      <c r="Q27" s="26" t="n">
        <f aca="false">P27*(1-Assumptions!$D$41)+Q16*((1-(1-Assumptions!$D$30)^(1/12))*Assumptions!$D$40)*MAX(0,Q13*Assumptions!$D$25-P27)</f>
        <v>0</v>
      </c>
      <c r="R27" s="26" t="n">
        <f aca="false">Q27*(1-Assumptions!$D$41)+R16*((1-(1-Assumptions!$D$30)^(1/12))*Assumptions!$D$40)*MAX(0,R13*Assumptions!$D$25-Q27)</f>
        <v>0</v>
      </c>
      <c r="S27" s="26" t="n">
        <f aca="false">R27*(1-Assumptions!$D$41)+S16*((1-(1-Assumptions!$D$30)^(1/12))*Assumptions!$D$40)*MAX(0,S13*Assumptions!$D$25-R27)</f>
        <v>0</v>
      </c>
      <c r="T27" s="26" t="n">
        <f aca="false">S27*(1-Assumptions!$D$41)+T16*((1-(1-Assumptions!$D$30)^(1/12))*Assumptions!$D$40)*MAX(0,T13*Assumptions!$D$25-S27)</f>
        <v>0</v>
      </c>
      <c r="U27" s="26" t="n">
        <f aca="false">T27*(1-Assumptions!$D$41)+U16*((1-(1-Assumptions!$D$30)^(1/12))*Assumptions!$D$40)*MAX(0,U13*Assumptions!$D$25-T27)</f>
        <v>0</v>
      </c>
      <c r="V27" s="26" t="n">
        <f aca="false">U27*(1-Assumptions!$D$41)+V16*((1-(1-Assumptions!$D$30)^(1/12))*Assumptions!$D$40)*MAX(0,V13*Assumptions!$D$25-U27)</f>
        <v>0</v>
      </c>
      <c r="W27" s="26" t="n">
        <f aca="false">V27*(1-Assumptions!$D$41)+W16*((1-(1-Assumptions!$D$30)^(1/12))*Assumptions!$D$40)*MAX(0,W13*Assumptions!$D$25-V27)</f>
        <v>0</v>
      </c>
      <c r="X27" s="26" t="n">
        <f aca="false">W27*(1-Assumptions!$D$41)+X16*((1-(1-Assumptions!$D$30)^(1/12))*Assumptions!$D$40)*MAX(0,X13*Assumptions!$D$25-W27)</f>
        <v>0</v>
      </c>
      <c r="Y27" s="26" t="n">
        <f aca="false">X27*(1-Assumptions!$D$41)+Y16*((1-(1-Assumptions!$D$30)^(1/12))*Assumptions!$D$40)*MAX(0,Y13*Assumptions!$D$25-X27)</f>
        <v>0</v>
      </c>
      <c r="Z27" s="26" t="n">
        <f aca="false">Y27*(1-Assumptions!$D$41)+Z16*((1-(1-Assumptions!$D$30)^(1/12))*Assumptions!$D$40)*MAX(0,Z13*Assumptions!$D$25-Y27)</f>
        <v>0</v>
      </c>
      <c r="AA27" s="26" t="n">
        <f aca="false">Z27*(1-Assumptions!$D$41)+AA16*((1-(1-Assumptions!$D$30)^(1/12))*Assumptions!$D$40)*MAX(0,AA13*Assumptions!$D$25-Z27)</f>
        <v>0</v>
      </c>
      <c r="AB27" s="26" t="n">
        <f aca="false">AA27*(1-Assumptions!$D$41)+AB16*((1-(1-Assumptions!$D$30)^(1/12))*Assumptions!$D$40)*MAX(0,AB13*Assumptions!$D$25-AA27)</f>
        <v>0</v>
      </c>
      <c r="AC27" s="26" t="n">
        <f aca="false">AB27*(1-Assumptions!$D$41)+AC16*((1-(1-Assumptions!$D$30)^(1/12))*Assumptions!$D$40)*MAX(0,AC13*Assumptions!$D$25-AB27)</f>
        <v>0</v>
      </c>
      <c r="AD27" s="26" t="n">
        <f aca="false">AC27*(1-Assumptions!$D$41)+AD16*((1-(1-Assumptions!$D$30)^(1/12))*Assumptions!$D$40)*MAX(0,AD13*Assumptions!$D$25-AC27)</f>
        <v>0</v>
      </c>
      <c r="AE27" s="26" t="n">
        <f aca="false">AD27*(1-Assumptions!$D$41)+AE16*((1-(1-Assumptions!$D$30)^(1/12))*Assumptions!$D$40)*MAX(0,AE13*Assumptions!$D$25-AD27)</f>
        <v>0</v>
      </c>
      <c r="AF27" s="26" t="n">
        <f aca="false">AE27*(1-Assumptions!$D$41)+AF16*((1-(1-Assumptions!$D$30)^(1/12))*Assumptions!$D$40)*MAX(0,AF13*Assumptions!$D$25-AE27)</f>
        <v>0</v>
      </c>
      <c r="AG27" s="26" t="n">
        <f aca="false">AF27*(1-Assumptions!$D$41)+AG16*((1-(1-Assumptions!$D$30)^(1/12))*Assumptions!$D$40)*MAX(0,AG13*Assumptions!$D$25-AF27)</f>
        <v>0</v>
      </c>
      <c r="AH27" s="26" t="n">
        <f aca="false">AG27*(1-Assumptions!$D$41)+AH16*((1-(1-Assumptions!$D$30)^(1/12))*Assumptions!$D$40)*MAX(0,AH13*Assumptions!$D$25-AG27)</f>
        <v>0</v>
      </c>
      <c r="AI27" s="26" t="n">
        <f aca="false">AH27*(1-Assumptions!$D$41)+AI16*((1-(1-Assumptions!$D$30)^(1/12))*Assumptions!$D$40)*MAX(0,AI13*Assumptions!$D$25-AH27)</f>
        <v>0</v>
      </c>
      <c r="AJ27" s="26" t="n">
        <f aca="false">AI27*(1-Assumptions!$D$41)+AJ16*((1-(1-Assumptions!$D$30)^(1/12))*Assumptions!$D$40)*MAX(0,AJ13*Assumptions!$D$25-AI27)</f>
        <v>0</v>
      </c>
      <c r="AK27" s="26" t="n">
        <f aca="false">AJ27*(1-Assumptions!$D$41)+AK16*((1-(1-Assumptions!$D$30)^(1/12))*Assumptions!$D$40)*MAX(0,AK13*Assumptions!$D$25-AJ27)</f>
        <v>0</v>
      </c>
      <c r="AL27" s="26" t="n">
        <f aca="false">AK27*(1-Assumptions!$D$41)+AL16*((1-(1-Assumptions!$D$30)^(1/12))*Assumptions!$D$40)*MAX(0,AL13*Assumptions!$D$25-AK27)</f>
        <v>0</v>
      </c>
      <c r="AM27" s="26" t="n">
        <f aca="false">AL27*(1-Assumptions!$D$41)+AM16*((1-(1-Assumptions!$D$30)^(1/12))*Assumptions!$D$40)*MAX(0,AM13*Assumptions!$D$25-AL27)</f>
        <v>0.602080162599139</v>
      </c>
      <c r="AN27" s="37" t="n">
        <f aca="false">AM27*(1-Assumptions!$D$41)+AN16*((1-(1-Assumptions!$D$30)^(1/12))*Assumptions!$D$40)*MAX(0,AN13*Assumptions!$D$25-AM27)</f>
        <v>1.19946505776503</v>
      </c>
      <c r="AO27" s="37" t="n">
        <f aca="false">AN27*(1-Assumptions!$D$41)+AO16*((1-(1-Assumptions!$D$30)^(1/12))*Assumptions!$D$40)*MAX(0,AO13*Assumptions!$D$25-AN27)</f>
        <v>1.79215580126548</v>
      </c>
      <c r="AP27" s="37" t="n">
        <f aca="false">AO27*(1-Assumptions!$D$41)+AP16*((1-(1-Assumptions!$D$30)^(1/12))*Assumptions!$D$40)*MAX(0,AP13*Assumptions!$D$25-AO27)</f>
        <v>2.38015999815344</v>
      </c>
      <c r="AQ27" s="37" t="n">
        <f aca="false">AP27*(1-Assumptions!$D$41)+AQ16*((1-(1-Assumptions!$D$30)^(1/12))*Assumptions!$D$40)*MAX(0,AQ13*Assumptions!$D$25-AP27)</f>
        <v>2.96302694377315</v>
      </c>
      <c r="AR27" s="37" t="n">
        <f aca="false">AQ27*(1-Assumptions!$D$41)+AR16*((1-(1-Assumptions!$D$30)^(1/12))*Assumptions!$D$40)*MAX(0,AR13*Assumptions!$D$25-AQ27)</f>
        <v>3.5403490324227</v>
      </c>
      <c r="AS27" s="37" t="n">
        <f aca="false">AR27*(1-Assumptions!$D$41)+AS16*((1-(1-Assumptions!$D$30)^(1/12))*Assumptions!$D$40)*MAX(0,AS13*Assumptions!$D$25-AR27)</f>
        <v>4.11222316705103</v>
      </c>
      <c r="AT27" s="37" t="n">
        <f aca="false">AS27*(1-Assumptions!$D$41)+AT16*((1-(1-Assumptions!$D$30)^(1/12))*Assumptions!$D$40)*MAX(0,AT13*Assumptions!$D$25-AS27)</f>
        <v>4.67828189507696</v>
      </c>
      <c r="AU27" s="37" t="n">
        <f aca="false">AT27*(1-Assumptions!$D$41)+AU16*((1-(1-Assumptions!$D$30)^(1/12))*Assumptions!$D$40)*MAX(0,AU13*Assumptions!$D$25-AT27)</f>
        <v>5.23819518195258</v>
      </c>
      <c r="AV27" s="37" t="n">
        <f aca="false">AU27*(1-Assumptions!$D$41)+AV16*((1-(1-Assumptions!$D$30)^(1/12))*Assumptions!$D$40)*MAX(0,AV13*Assumptions!$D$25-AU27)</f>
        <v>5.79213216465645</v>
      </c>
      <c r="AW27" s="37" t="n">
        <f aca="false">AV27*(1-Assumptions!$D$41)+AW16*((1-(1-Assumptions!$D$30)^(1/12))*Assumptions!$D$40)*MAX(0,AW13*Assumptions!$D$25-AV27)</f>
        <v>6.33979261140395</v>
      </c>
      <c r="AX27" s="37" t="n">
        <f aca="false">AW27*(1-Assumptions!$D$41)+AX16*((1-(1-Assumptions!$D$30)^(1/12))*Assumptions!$D$40)*MAX(0,AX13*Assumptions!$D$25-AW27)</f>
        <v>6.88090900032833</v>
      </c>
      <c r="AY27" s="37" t="n">
        <f aca="false">AX27*(1-Assumptions!$D$41)+AY16*((1-(1-Assumptions!$D$30)^(1/12))*Assumptions!$D$40)*MAX(0,AY13*Assumptions!$D$25-AX27)</f>
        <v>7.41570856038587</v>
      </c>
      <c r="AZ27" s="37" t="n">
        <f aca="false">AY27*(1-Assumptions!$D$41)+AZ16*((1-(1-Assumptions!$D$30)^(1/12))*Assumptions!$D$40)*MAX(0,AZ13*Assumptions!$D$25-AY27)</f>
        <v>7.94394500178007</v>
      </c>
      <c r="BA27" s="37" t="n">
        <f aca="false">AZ27*(1-Assumptions!$D$41)+BA16*((1-(1-Assumptions!$D$30)^(1/12))*Assumptions!$D$40)*MAX(0,BA13*Assumptions!$D$25-AZ27)</f>
        <v>8.46540084960891</v>
      </c>
      <c r="BB27" s="37" t="n">
        <f aca="false">BA27*(1-Assumptions!$D$41)+BB16*((1-(1-Assumptions!$D$30)^(1/12))*Assumptions!$D$40)*MAX(0,BB13*Assumptions!$D$25-BA27)</f>
        <v>8.97988545343872</v>
      </c>
      <c r="BC27" s="37" t="n">
        <f aca="false">BB27*(1-Assumptions!$D$41)+BC16*((1-(1-Assumptions!$D$30)^(1/12))*Assumptions!$D$40)*MAX(0,BC13*Assumptions!$D$25-BB27)</f>
        <v>9.48723311783045</v>
      </c>
      <c r="BD27" s="37" t="n">
        <f aca="false">BC27*(1-Assumptions!$D$41)+BD16*((1-(1-Assumptions!$D$30)^(1/12))*Assumptions!$D$40)*MAX(0,BD13*Assumptions!$D$25-BC27)</f>
        <v>9.98730134680383</v>
      </c>
      <c r="BE27" s="37" t="n">
        <f aca="false">BD27*(1-Assumptions!$D$41)+BE16*((1-(1-Assumptions!$D$30)^(1/12))*Assumptions!$D$40)*MAX(0,BE13*Assumptions!$D$25-BD27)</f>
        <v>10.4799691956242</v>
      </c>
      <c r="BF27" s="37" t="n">
        <f aca="false">BE27*(1-Assumptions!$D$41)+BF16*((1-(1-Assumptions!$D$30)^(1/12))*Assumptions!$D$40)*MAX(0,BF13*Assumptions!$D$25-BE27)</f>
        <v>10.9651357236731</v>
      </c>
      <c r="BG27" s="37" t="n">
        <f aca="false">BF27*(1-Assumptions!$D$41)+BG16*((1-(1-Assumptions!$D$30)^(1/12))*Assumptions!$D$40)*MAX(0,BG13*Assumptions!$D$25-BF27)</f>
        <v>11.4427185425192</v>
      </c>
      <c r="BH27" s="37" t="n">
        <f aca="false">BG27*(1-Assumptions!$D$41)+BH16*((1-(1-Assumptions!$D$30)^(1/12))*Assumptions!$D$40)*MAX(0,BH13*Assumptions!$D$25-BG27)</f>
        <v>11.9126524536411</v>
      </c>
      <c r="BI27" s="37" t="n">
        <f aca="false">BH27*(1-Assumptions!$D$41)+BI16*((1-(1-Assumptions!$D$30)^(1/12))*Assumptions!$D$40)*MAX(0,BI13*Assumptions!$D$25-BH27)</f>
        <v>12.3748881705701</v>
      </c>
      <c r="BJ27" s="37" t="n">
        <f aca="false">BI27*(1-Assumptions!$D$41)+BJ16*((1-(1-Assumptions!$D$30)^(1/12))*Assumptions!$D$40)*MAX(0,BJ13*Assumptions!$D$25-BI27)</f>
        <v>12.8293911205195</v>
      </c>
      <c r="BK27" s="37" t="n">
        <f aca="false">BJ27*(1-Assumptions!$D$41)+BK16*((1-(1-Assumptions!$D$30)^(1/12))*Assumptions!$D$40)*MAX(0,BK13*Assumptions!$D$25-BJ27)</f>
        <v>13.2761403208484</v>
      </c>
    </row>
    <row r="28" customFormat="false" ht="15" hidden="false" customHeight="false" outlineLevel="0" collapsed="false">
      <c r="A28" s="28" t="s">
        <v>572</v>
      </c>
      <c r="B28" s="6" t="s">
        <v>573</v>
      </c>
      <c r="C28" s="36" t="n">
        <v>0</v>
      </c>
      <c r="D28" s="26" t="n">
        <f aca="false">C28*(1-Assumptions!$D$41)+D16*((1-(1-Assumptions!$D$31)^(1/12))*Assumptions!$D$40)*MAX(0,D13*Assumptions!$D$26-C28)</f>
        <v>0</v>
      </c>
      <c r="E28" s="26" t="n">
        <f aca="false">D28*(1-Assumptions!$D$41)+E16*((1-(1-Assumptions!$D$31)^(1/12))*Assumptions!$D$40)*MAX(0,E13*Assumptions!$D$26-D28)</f>
        <v>0</v>
      </c>
      <c r="F28" s="26" t="n">
        <f aca="false">E28*(1-Assumptions!$D$41)+F16*((1-(1-Assumptions!$D$31)^(1/12))*Assumptions!$D$40)*MAX(0,F13*Assumptions!$D$26-E28)</f>
        <v>0</v>
      </c>
      <c r="G28" s="26" t="n">
        <f aca="false">F28*(1-Assumptions!$D$41)+G16*((1-(1-Assumptions!$D$31)^(1/12))*Assumptions!$D$40)*MAX(0,G13*Assumptions!$D$26-F28)</f>
        <v>0</v>
      </c>
      <c r="H28" s="26" t="n">
        <f aca="false">G28*(1-Assumptions!$D$41)+H16*((1-(1-Assumptions!$D$31)^(1/12))*Assumptions!$D$40)*MAX(0,H13*Assumptions!$D$26-G28)</f>
        <v>0</v>
      </c>
      <c r="I28" s="26" t="n">
        <f aca="false">H28*(1-Assumptions!$D$41)+I16*((1-(1-Assumptions!$D$31)^(1/12))*Assumptions!$D$40)*MAX(0,I13*Assumptions!$D$26-H28)</f>
        <v>0</v>
      </c>
      <c r="J28" s="26" t="n">
        <f aca="false">I28*(1-Assumptions!$D$41)+J16*((1-(1-Assumptions!$D$31)^(1/12))*Assumptions!$D$40)*MAX(0,J13*Assumptions!$D$26-I28)</f>
        <v>0</v>
      </c>
      <c r="K28" s="26" t="n">
        <f aca="false">J28*(1-Assumptions!$D$41)+K16*((1-(1-Assumptions!$D$31)^(1/12))*Assumptions!$D$40)*MAX(0,K13*Assumptions!$D$26-J28)</f>
        <v>0</v>
      </c>
      <c r="L28" s="26" t="n">
        <f aca="false">K28*(1-Assumptions!$D$41)+L16*((1-(1-Assumptions!$D$31)^(1/12))*Assumptions!$D$40)*MAX(0,L13*Assumptions!$D$26-K28)</f>
        <v>0</v>
      </c>
      <c r="M28" s="26" t="n">
        <f aca="false">L28*(1-Assumptions!$D$41)+M16*((1-(1-Assumptions!$D$31)^(1/12))*Assumptions!$D$40)*MAX(0,M13*Assumptions!$D$26-L28)</f>
        <v>0</v>
      </c>
      <c r="N28" s="26" t="n">
        <f aca="false">M28*(1-Assumptions!$D$41)+N16*((1-(1-Assumptions!$D$31)^(1/12))*Assumptions!$D$40)*MAX(0,N13*Assumptions!$D$26-M28)</f>
        <v>0</v>
      </c>
      <c r="O28" s="26" t="n">
        <f aca="false">N28*(1-Assumptions!$D$41)+O16*((1-(1-Assumptions!$D$31)^(1/12))*Assumptions!$D$40)*MAX(0,O13*Assumptions!$D$26-N28)</f>
        <v>0</v>
      </c>
      <c r="P28" s="26" t="n">
        <f aca="false">O28*(1-Assumptions!$D$41)+P16*((1-(1-Assumptions!$D$31)^(1/12))*Assumptions!$D$40)*MAX(0,P13*Assumptions!$D$26-O28)</f>
        <v>0</v>
      </c>
      <c r="Q28" s="26" t="n">
        <f aca="false">P28*(1-Assumptions!$D$41)+Q16*((1-(1-Assumptions!$D$31)^(1/12))*Assumptions!$D$40)*MAX(0,Q13*Assumptions!$D$26-P28)</f>
        <v>0</v>
      </c>
      <c r="R28" s="26" t="n">
        <f aca="false">Q28*(1-Assumptions!$D$41)+R16*((1-(1-Assumptions!$D$31)^(1/12))*Assumptions!$D$40)*MAX(0,R13*Assumptions!$D$26-Q28)</f>
        <v>0</v>
      </c>
      <c r="S28" s="26" t="n">
        <f aca="false">R28*(1-Assumptions!$D$41)+S16*((1-(1-Assumptions!$D$31)^(1/12))*Assumptions!$D$40)*MAX(0,S13*Assumptions!$D$26-R28)</f>
        <v>0</v>
      </c>
      <c r="T28" s="26" t="n">
        <f aca="false">S28*(1-Assumptions!$D$41)+T16*((1-(1-Assumptions!$D$31)^(1/12))*Assumptions!$D$40)*MAX(0,T13*Assumptions!$D$26-S28)</f>
        <v>0</v>
      </c>
      <c r="U28" s="26" t="n">
        <f aca="false">T28*(1-Assumptions!$D$41)+U16*((1-(1-Assumptions!$D$31)^(1/12))*Assumptions!$D$40)*MAX(0,U13*Assumptions!$D$26-T28)</f>
        <v>0</v>
      </c>
      <c r="V28" s="26" t="n">
        <f aca="false">U28*(1-Assumptions!$D$41)+V16*((1-(1-Assumptions!$D$31)^(1/12))*Assumptions!$D$40)*MAX(0,V13*Assumptions!$D$26-U28)</f>
        <v>0</v>
      </c>
      <c r="W28" s="26" t="n">
        <f aca="false">V28*(1-Assumptions!$D$41)+W16*((1-(1-Assumptions!$D$31)^(1/12))*Assumptions!$D$40)*MAX(0,W13*Assumptions!$D$26-V28)</f>
        <v>0</v>
      </c>
      <c r="X28" s="26" t="n">
        <f aca="false">W28*(1-Assumptions!$D$41)+X16*((1-(1-Assumptions!$D$31)^(1/12))*Assumptions!$D$40)*MAX(0,X13*Assumptions!$D$26-W28)</f>
        <v>0</v>
      </c>
      <c r="Y28" s="26" t="n">
        <f aca="false">X28*(1-Assumptions!$D$41)+Y16*((1-(1-Assumptions!$D$31)^(1/12))*Assumptions!$D$40)*MAX(0,Y13*Assumptions!$D$26-X28)</f>
        <v>0</v>
      </c>
      <c r="Z28" s="26" t="n">
        <f aca="false">Y28*(1-Assumptions!$D$41)+Z16*((1-(1-Assumptions!$D$31)^(1/12))*Assumptions!$D$40)*MAX(0,Z13*Assumptions!$D$26-Y28)</f>
        <v>0</v>
      </c>
      <c r="AA28" s="26" t="n">
        <f aca="false">Z28*(1-Assumptions!$D$41)+AA16*((1-(1-Assumptions!$D$31)^(1/12))*Assumptions!$D$40)*MAX(0,AA13*Assumptions!$D$26-Z28)</f>
        <v>0</v>
      </c>
      <c r="AB28" s="26" t="n">
        <f aca="false">AA28*(1-Assumptions!$D$41)+AB16*((1-(1-Assumptions!$D$31)^(1/12))*Assumptions!$D$40)*MAX(0,AB13*Assumptions!$D$26-AA28)</f>
        <v>0</v>
      </c>
      <c r="AC28" s="26" t="n">
        <f aca="false">AB28*(1-Assumptions!$D$41)+AC16*((1-(1-Assumptions!$D$31)^(1/12))*Assumptions!$D$40)*MAX(0,AC13*Assumptions!$D$26-AB28)</f>
        <v>0</v>
      </c>
      <c r="AD28" s="26" t="n">
        <f aca="false">AC28*(1-Assumptions!$D$41)+AD16*((1-(1-Assumptions!$D$31)^(1/12))*Assumptions!$D$40)*MAX(0,AD13*Assumptions!$D$26-AC28)</f>
        <v>0</v>
      </c>
      <c r="AE28" s="26" t="n">
        <f aca="false">AD28*(1-Assumptions!$D$41)+AE16*((1-(1-Assumptions!$D$31)^(1/12))*Assumptions!$D$40)*MAX(0,AE13*Assumptions!$D$26-AD28)</f>
        <v>0</v>
      </c>
      <c r="AF28" s="26" t="n">
        <f aca="false">AE28*(1-Assumptions!$D$41)+AF16*((1-(1-Assumptions!$D$31)^(1/12))*Assumptions!$D$40)*MAX(0,AF13*Assumptions!$D$26-AE28)</f>
        <v>0</v>
      </c>
      <c r="AG28" s="26" t="n">
        <f aca="false">AF28*(1-Assumptions!$D$41)+AG16*((1-(1-Assumptions!$D$31)^(1/12))*Assumptions!$D$40)*MAX(0,AG13*Assumptions!$D$26-AF28)</f>
        <v>0</v>
      </c>
      <c r="AH28" s="26" t="n">
        <f aca="false">AG28*(1-Assumptions!$D$41)+AH16*((1-(1-Assumptions!$D$31)^(1/12))*Assumptions!$D$40)*MAX(0,AH13*Assumptions!$D$26-AG28)</f>
        <v>0</v>
      </c>
      <c r="AI28" s="26" t="n">
        <f aca="false">AH28*(1-Assumptions!$D$41)+AI16*((1-(1-Assumptions!$D$31)^(1/12))*Assumptions!$D$40)*MAX(0,AI13*Assumptions!$D$26-AH28)</f>
        <v>0</v>
      </c>
      <c r="AJ28" s="26" t="n">
        <f aca="false">AI28*(1-Assumptions!$D$41)+AJ16*((1-(1-Assumptions!$D$31)^(1/12))*Assumptions!$D$40)*MAX(0,AJ13*Assumptions!$D$26-AI28)</f>
        <v>0</v>
      </c>
      <c r="AK28" s="26" t="n">
        <f aca="false">AJ28*(1-Assumptions!$D$41)+AK16*((1-(1-Assumptions!$D$31)^(1/12))*Assumptions!$D$40)*MAX(0,AK13*Assumptions!$D$26-AJ28)</f>
        <v>0</v>
      </c>
      <c r="AL28" s="26" t="n">
        <f aca="false">AK28*(1-Assumptions!$D$41)+AL16*((1-(1-Assumptions!$D$31)^(1/12))*Assumptions!$D$40)*MAX(0,AL13*Assumptions!$D$26-AK28)</f>
        <v>0</v>
      </c>
      <c r="AM28" s="26" t="n">
        <f aca="false">AL28*(1-Assumptions!$D$41)+AM16*((1-(1-Assumptions!$D$31)^(1/12))*Assumptions!$D$40)*MAX(0,AM13*Assumptions!$D$26-AL28)</f>
        <v>0.247347016827934</v>
      </c>
      <c r="AN28" s="37" t="n">
        <f aca="false">AM28*(1-Assumptions!$D$41)+AN16*((1-(1-Assumptions!$D$31)^(1/12))*Assumptions!$D$40)*MAX(0,AN13*Assumptions!$D$26-AM28)</f>
        <v>0.493926745482502</v>
      </c>
      <c r="AO28" s="37" t="n">
        <f aca="false">AN28*(1-Assumptions!$D$41)+AO16*((1-(1-Assumptions!$D$31)^(1/12))*Assumptions!$D$40)*MAX(0,AO13*Assumptions!$D$26-AN28)</f>
        <v>0.739670927073657</v>
      </c>
      <c r="AP28" s="37" t="n">
        <f aca="false">AO28*(1-Assumptions!$D$41)+AP16*((1-(1-Assumptions!$D$31)^(1/12))*Assumptions!$D$40)*MAX(0,AP13*Assumptions!$D$26-AO28)</f>
        <v>0.984517499960996</v>
      </c>
      <c r="AQ28" s="37" t="n">
        <f aca="false">AP28*(1-Assumptions!$D$41)+AQ16*((1-(1-Assumptions!$D$31)^(1/12))*Assumptions!$D$40)*MAX(0,AQ13*Assumptions!$D$26-AP28)</f>
        <v>1.22821948184769</v>
      </c>
      <c r="AR28" s="37" t="n">
        <f aca="false">AQ28*(1-Assumptions!$D$41)+AR16*((1-(1-Assumptions!$D$31)^(1/12))*Assumptions!$D$40)*MAX(0,AR13*Assumptions!$D$26-AQ28)</f>
        <v>1.47054990192701</v>
      </c>
      <c r="AS28" s="37" t="n">
        <f aca="false">AR28*(1-Assumptions!$D$41)+AS16*((1-(1-Assumptions!$D$31)^(1/12))*Assumptions!$D$40)*MAX(0,AS13*Assumptions!$D$26-AR28)</f>
        <v>1.71149132230009</v>
      </c>
      <c r="AT28" s="37" t="n">
        <f aca="false">AS28*(1-Assumptions!$D$41)+AT16*((1-(1-Assumptions!$D$31)^(1/12))*Assumptions!$D$40)*MAX(0,AT13*Assumptions!$D$26-AS28)</f>
        <v>1.95083866525605</v>
      </c>
      <c r="AU28" s="37" t="n">
        <f aca="false">AT28*(1-Assumptions!$D$41)+AU16*((1-(1-Assumptions!$D$31)^(1/12))*Assumptions!$D$40)*MAX(0,AU13*Assumptions!$D$26-AT28)</f>
        <v>2.18840429575283</v>
      </c>
      <c r="AV28" s="37" t="n">
        <f aca="false">AU28*(1-Assumptions!$D$41)+AV16*((1-(1-Assumptions!$D$31)^(1/12))*Assumptions!$D$40)*MAX(0,AV13*Assumptions!$D$26-AU28)</f>
        <v>2.42420768518111</v>
      </c>
      <c r="AW28" s="37" t="n">
        <f aca="false">AV28*(1-Assumptions!$D$41)+AW16*((1-(1-Assumptions!$D$31)^(1/12))*Assumptions!$D$40)*MAX(0,AW13*Assumptions!$D$26-AV28)</f>
        <v>2.65807837341983</v>
      </c>
      <c r="AX28" s="37" t="n">
        <f aca="false">AW28*(1-Assumptions!$D$41)+AX16*((1-(1-Assumptions!$D$31)^(1/12))*Assumptions!$D$40)*MAX(0,AX13*Assumptions!$D$26-AW28)</f>
        <v>2.88986117891647</v>
      </c>
      <c r="AY28" s="37" t="n">
        <f aca="false">AX28*(1-Assumptions!$D$41)+AY16*((1-(1-Assumptions!$D$31)^(1/12))*Assumptions!$D$40)*MAX(0,AY13*Assumptions!$D$26-AX28)</f>
        <v>3.11960598324985</v>
      </c>
      <c r="AZ28" s="37" t="n">
        <f aca="false">AY28*(1-Assumptions!$D$41)+AZ16*((1-(1-Assumptions!$D$31)^(1/12))*Assumptions!$D$40)*MAX(0,AZ13*Assumptions!$D$26-AY28)</f>
        <v>3.34717080753903</v>
      </c>
      <c r="BA28" s="37" t="n">
        <f aca="false">AZ28*(1-Assumptions!$D$41)+BA16*((1-(1-Assumptions!$D$31)^(1/12))*Assumptions!$D$40)*MAX(0,BA13*Assumptions!$D$26-AZ28)</f>
        <v>3.57242713076879</v>
      </c>
      <c r="BB28" s="37" t="n">
        <f aca="false">BA28*(1-Assumptions!$D$41)+BB16*((1-(1-Assumptions!$D$31)^(1/12))*Assumptions!$D$40)*MAX(0,BB13*Assumptions!$D$26-BA28)</f>
        <v>3.79525904447021</v>
      </c>
      <c r="BC28" s="37" t="n">
        <f aca="false">BB28*(1-Assumptions!$D$41)+BC16*((1-(1-Assumptions!$D$31)^(1/12))*Assumptions!$D$40)*MAX(0,BC13*Assumptions!$D$26-BB28)</f>
        <v>4.01556245466884</v>
      </c>
      <c r="BD28" s="37" t="n">
        <f aca="false">BC28*(1-Assumptions!$D$41)+BD16*((1-(1-Assumptions!$D$31)^(1/12))*Assumptions!$D$40)*MAX(0,BD13*Assumptions!$D$26-BC28)</f>
        <v>4.2332443285765</v>
      </c>
      <c r="BE28" s="37" t="n">
        <f aca="false">BD28*(1-Assumptions!$D$41)+BE16*((1-(1-Assumptions!$D$31)^(1/12))*Assumptions!$D$40)*MAX(0,BE13*Assumptions!$D$26-BD28)</f>
        <v>4.44822198363479</v>
      </c>
      <c r="BF28" s="37" t="n">
        <f aca="false">BE28*(1-Assumptions!$D$41)+BF16*((1-(1-Assumptions!$D$31)^(1/12))*Assumptions!$D$40)*MAX(0,BF13*Assumptions!$D$26-BE28)</f>
        <v>4.66042241664379</v>
      </c>
      <c r="BG28" s="37" t="n">
        <f aca="false">BF28*(1-Assumptions!$D$41)+BG16*((1-(1-Assumptions!$D$31)^(1/12))*Assumptions!$D$40)*MAX(0,BG13*Assumptions!$D$26-BF28)</f>
        <v>4.86978167082782</v>
      </c>
      <c r="BH28" s="37" t="n">
        <f aca="false">BG28*(1-Assumptions!$D$41)+BH16*((1-(1-Assumptions!$D$31)^(1/12))*Assumptions!$D$40)*MAX(0,BH13*Assumptions!$D$26-BG28)</f>
        <v>5.07624423880283</v>
      </c>
      <c r="BI28" s="37" t="n">
        <f aca="false">BH28*(1-Assumptions!$D$41)+BI16*((1-(1-Assumptions!$D$31)^(1/12))*Assumptions!$D$40)*MAX(0,BI13*Assumptions!$D$26-BH28)</f>
        <v>5.27976249951686</v>
      </c>
      <c r="BJ28" s="37" t="n">
        <f aca="false">BI28*(1-Assumptions!$D$41)+BJ16*((1-(1-Assumptions!$D$31)^(1/12))*Assumptions!$D$40)*MAX(0,BJ13*Assumptions!$D$26-BI28)</f>
        <v>5.48029618733584</v>
      </c>
      <c r="BK28" s="37" t="n">
        <f aca="false">BJ28*(1-Assumptions!$D$41)+BK16*((1-(1-Assumptions!$D$31)^(1/12))*Assumptions!$D$40)*MAX(0,BK13*Assumptions!$D$26-BJ28)</f>
        <v>5.67781189154319</v>
      </c>
    </row>
    <row r="29" customFormat="false" ht="15" hidden="false" customHeight="false" outlineLevel="0" collapsed="false">
      <c r="A29" s="28" t="s">
        <v>574</v>
      </c>
      <c r="B29" s="6" t="s">
        <v>575</v>
      </c>
      <c r="C29" s="36" t="n">
        <v>0</v>
      </c>
      <c r="D29" s="26" t="n">
        <f aca="false">C29*(1-Assumptions!$D$41)+D17*((1-(1-Assumptions!$D$32)^(1/12))*Assumptions!$D$40)*MAX(0,D13*Assumptions!$D$27-C29)</f>
        <v>0</v>
      </c>
      <c r="E29" s="26" t="n">
        <f aca="false">D29*(1-Assumptions!$D$41)+E17*((1-(1-Assumptions!$D$32)^(1/12))*Assumptions!$D$40)*MAX(0,E13*Assumptions!$D$27-D29)</f>
        <v>0</v>
      </c>
      <c r="F29" s="26" t="n">
        <f aca="false">E29*(1-Assumptions!$D$41)+F17*((1-(1-Assumptions!$D$32)^(1/12))*Assumptions!$D$40)*MAX(0,F13*Assumptions!$D$27-E29)</f>
        <v>0</v>
      </c>
      <c r="G29" s="26" t="n">
        <f aca="false">F29*(1-Assumptions!$D$41)+G17*((1-(1-Assumptions!$D$32)^(1/12))*Assumptions!$D$40)*MAX(0,G13*Assumptions!$D$27-F29)</f>
        <v>0</v>
      </c>
      <c r="H29" s="26" t="n">
        <f aca="false">G29*(1-Assumptions!$D$41)+H17*((1-(1-Assumptions!$D$32)^(1/12))*Assumptions!$D$40)*MAX(0,H13*Assumptions!$D$27-G29)</f>
        <v>0</v>
      </c>
      <c r="I29" s="26" t="n">
        <f aca="false">H29*(1-Assumptions!$D$41)+I17*((1-(1-Assumptions!$D$32)^(1/12))*Assumptions!$D$40)*MAX(0,I13*Assumptions!$D$27-H29)</f>
        <v>0</v>
      </c>
      <c r="J29" s="26" t="n">
        <f aca="false">I29*(1-Assumptions!$D$41)+J17*((1-(1-Assumptions!$D$32)^(1/12))*Assumptions!$D$40)*MAX(0,J13*Assumptions!$D$27-I29)</f>
        <v>0</v>
      </c>
      <c r="K29" s="26" t="n">
        <f aca="false">J29*(1-Assumptions!$D$41)+K17*((1-(1-Assumptions!$D$32)^(1/12))*Assumptions!$D$40)*MAX(0,K13*Assumptions!$D$27-J29)</f>
        <v>0</v>
      </c>
      <c r="L29" s="26" t="n">
        <f aca="false">K29*(1-Assumptions!$D$41)+L17*((1-(1-Assumptions!$D$32)^(1/12))*Assumptions!$D$40)*MAX(0,L13*Assumptions!$D$27-K29)</f>
        <v>0</v>
      </c>
      <c r="M29" s="26" t="n">
        <f aca="false">L29*(1-Assumptions!$D$41)+M17*((1-(1-Assumptions!$D$32)^(1/12))*Assumptions!$D$40)*MAX(0,M13*Assumptions!$D$27-L29)</f>
        <v>0</v>
      </c>
      <c r="N29" s="26" t="n">
        <f aca="false">M29*(1-Assumptions!$D$41)+N17*((1-(1-Assumptions!$D$32)^(1/12))*Assumptions!$D$40)*MAX(0,N13*Assumptions!$D$27-M29)</f>
        <v>0</v>
      </c>
      <c r="O29" s="26" t="n">
        <f aca="false">N29*(1-Assumptions!$D$41)+O17*((1-(1-Assumptions!$D$32)^(1/12))*Assumptions!$D$40)*MAX(0,O13*Assumptions!$D$27-N29)</f>
        <v>0</v>
      </c>
      <c r="P29" s="26" t="n">
        <f aca="false">O29*(1-Assumptions!$D$41)+P17*((1-(1-Assumptions!$D$32)^(1/12))*Assumptions!$D$40)*MAX(0,P13*Assumptions!$D$27-O29)</f>
        <v>0</v>
      </c>
      <c r="Q29" s="26" t="n">
        <f aca="false">P29*(1-Assumptions!$D$41)+Q17*((1-(1-Assumptions!$D$32)^(1/12))*Assumptions!$D$40)*MAX(0,Q13*Assumptions!$D$27-P29)</f>
        <v>0</v>
      </c>
      <c r="R29" s="26" t="n">
        <f aca="false">Q29*(1-Assumptions!$D$41)+R17*((1-(1-Assumptions!$D$32)^(1/12))*Assumptions!$D$40)*MAX(0,R13*Assumptions!$D$27-Q29)</f>
        <v>0</v>
      </c>
      <c r="S29" s="26" t="n">
        <f aca="false">R29*(1-Assumptions!$D$41)+S17*((1-(1-Assumptions!$D$32)^(1/12))*Assumptions!$D$40)*MAX(0,S13*Assumptions!$D$27-R29)</f>
        <v>0</v>
      </c>
      <c r="T29" s="26" t="n">
        <f aca="false">S29*(1-Assumptions!$D$41)+T17*((1-(1-Assumptions!$D$32)^(1/12))*Assumptions!$D$40)*MAX(0,T13*Assumptions!$D$27-S29)</f>
        <v>0</v>
      </c>
      <c r="U29" s="26" t="n">
        <f aca="false">T29*(1-Assumptions!$D$41)+U17*((1-(1-Assumptions!$D$32)^(1/12))*Assumptions!$D$40)*MAX(0,U13*Assumptions!$D$27-T29)</f>
        <v>0</v>
      </c>
      <c r="V29" s="26" t="n">
        <f aca="false">U29*(1-Assumptions!$D$41)+V17*((1-(1-Assumptions!$D$32)^(1/12))*Assumptions!$D$40)*MAX(0,V13*Assumptions!$D$27-U29)</f>
        <v>0</v>
      </c>
      <c r="W29" s="26" t="n">
        <f aca="false">V29*(1-Assumptions!$D$41)+W17*((1-(1-Assumptions!$D$32)^(1/12))*Assumptions!$D$40)*MAX(0,W13*Assumptions!$D$27-V29)</f>
        <v>0</v>
      </c>
      <c r="X29" s="26" t="n">
        <f aca="false">W29*(1-Assumptions!$D$41)+X17*((1-(1-Assumptions!$D$32)^(1/12))*Assumptions!$D$40)*MAX(0,X13*Assumptions!$D$27-W29)</f>
        <v>0</v>
      </c>
      <c r="Y29" s="26" t="n">
        <f aca="false">X29*(1-Assumptions!$D$41)+Y17*((1-(1-Assumptions!$D$32)^(1/12))*Assumptions!$D$40)*MAX(0,Y13*Assumptions!$D$27-X29)</f>
        <v>0</v>
      </c>
      <c r="Z29" s="26" t="n">
        <f aca="false">Y29*(1-Assumptions!$D$41)+Z17*((1-(1-Assumptions!$D$32)^(1/12))*Assumptions!$D$40)*MAX(0,Z13*Assumptions!$D$27-Y29)</f>
        <v>0</v>
      </c>
      <c r="AA29" s="26" t="n">
        <f aca="false">Z29*(1-Assumptions!$D$41)+AA17*((1-(1-Assumptions!$D$32)^(1/12))*Assumptions!$D$40)*MAX(0,AA13*Assumptions!$D$27-Z29)</f>
        <v>0</v>
      </c>
      <c r="AB29" s="26" t="n">
        <f aca="false">AA29*(1-Assumptions!$D$41)+AB17*((1-(1-Assumptions!$D$32)^(1/12))*Assumptions!$D$40)*MAX(0,AB13*Assumptions!$D$27-AA29)</f>
        <v>0</v>
      </c>
      <c r="AC29" s="26" t="n">
        <f aca="false">AB29*(1-Assumptions!$D$41)+AC17*((1-(1-Assumptions!$D$32)^(1/12))*Assumptions!$D$40)*MAX(0,AC13*Assumptions!$D$27-AB29)</f>
        <v>0</v>
      </c>
      <c r="AD29" s="26" t="n">
        <f aca="false">AC29*(1-Assumptions!$D$41)+AD17*((1-(1-Assumptions!$D$32)^(1/12))*Assumptions!$D$40)*MAX(0,AD13*Assumptions!$D$27-AC29)</f>
        <v>0</v>
      </c>
      <c r="AE29" s="26" t="n">
        <f aca="false">AD29*(1-Assumptions!$D$41)+AE17*((1-(1-Assumptions!$D$32)^(1/12))*Assumptions!$D$40)*MAX(0,AE13*Assumptions!$D$27-AD29)</f>
        <v>0</v>
      </c>
      <c r="AF29" s="26" t="n">
        <f aca="false">AE29*(1-Assumptions!$D$41)+AF17*((1-(1-Assumptions!$D$32)^(1/12))*Assumptions!$D$40)*MAX(0,AF13*Assumptions!$D$27-AE29)</f>
        <v>0</v>
      </c>
      <c r="AG29" s="26" t="n">
        <f aca="false">AF29*(1-Assumptions!$D$41)+AG17*((1-(1-Assumptions!$D$32)^(1/12))*Assumptions!$D$40)*MAX(0,AG13*Assumptions!$D$27-AF29)</f>
        <v>0</v>
      </c>
      <c r="AH29" s="26" t="n">
        <f aca="false">AG29*(1-Assumptions!$D$41)+AH17*((1-(1-Assumptions!$D$32)^(1/12))*Assumptions!$D$40)*MAX(0,AH13*Assumptions!$D$27-AG29)</f>
        <v>0</v>
      </c>
      <c r="AI29" s="26" t="n">
        <f aca="false">AH29*(1-Assumptions!$D$41)+AI17*((1-(1-Assumptions!$D$32)^(1/12))*Assumptions!$D$40)*MAX(0,AI13*Assumptions!$D$27-AH29)</f>
        <v>0</v>
      </c>
      <c r="AJ29" s="26" t="n">
        <f aca="false">AI29*(1-Assumptions!$D$41)+AJ17*((1-(1-Assumptions!$D$32)^(1/12))*Assumptions!$D$40)*MAX(0,AJ13*Assumptions!$D$27-AI29)</f>
        <v>0</v>
      </c>
      <c r="AK29" s="26" t="n">
        <f aca="false">AJ29*(1-Assumptions!$D$41)+AK17*((1-(1-Assumptions!$D$32)^(1/12))*Assumptions!$D$40)*MAX(0,AK13*Assumptions!$D$27-AJ29)</f>
        <v>0</v>
      </c>
      <c r="AL29" s="26" t="n">
        <f aca="false">AK29*(1-Assumptions!$D$41)+AL17*((1-(1-Assumptions!$D$32)^(1/12))*Assumptions!$D$40)*MAX(0,AL13*Assumptions!$D$27-AK29)</f>
        <v>0</v>
      </c>
      <c r="AM29" s="26" t="n">
        <f aca="false">AL29*(1-Assumptions!$D$41)+AM17*((1-(1-Assumptions!$D$32)^(1/12))*Assumptions!$D$40)*MAX(0,AM13*Assumptions!$D$27-AL29)</f>
        <v>0.778261157677608</v>
      </c>
      <c r="AN29" s="37" t="n">
        <f aca="false">AM29*(1-Assumptions!$D$41)+AN17*((1-(1-Assumptions!$D$32)^(1/12))*Assumptions!$D$40)*MAX(0,AN13*Assumptions!$D$27-AM29)</f>
        <v>1.53959543879741</v>
      </c>
      <c r="AO29" s="37" t="n">
        <f aca="false">AN29*(1-Assumptions!$D$41)+AO17*((1-(1-Assumptions!$D$32)^(1/12))*Assumptions!$D$40)*MAX(0,AO13*Assumptions!$D$27-AN29)</f>
        <v>2.28484905303051</v>
      </c>
      <c r="AP29" s="37" t="n">
        <f aca="false">AO29*(1-Assumptions!$D$41)+AP17*((1-(1-Assumptions!$D$32)^(1/12))*Assumptions!$D$40)*MAX(0,AP13*Assumptions!$D$27-AO29)</f>
        <v>3.01481743992844</v>
      </c>
      <c r="AQ29" s="37" t="n">
        <f aca="false">AP29*(1-Assumptions!$D$41)+AQ17*((1-(1-Assumptions!$D$32)^(1/12))*Assumptions!$D$40)*MAX(0,AQ13*Assumptions!$D$27-AP29)</f>
        <v>3.72964848458618</v>
      </c>
      <c r="AR29" s="37" t="n">
        <f aca="false">AQ29*(1-Assumptions!$D$41)+AR17*((1-(1-Assumptions!$D$32)^(1/12))*Assumptions!$D$40)*MAX(0,AR13*Assumptions!$D$27-AQ29)</f>
        <v>4.42950277340004</v>
      </c>
      <c r="AS29" s="37" t="n">
        <f aca="false">AR29*(1-Assumptions!$D$41)+AS17*((1-(1-Assumptions!$D$32)^(1/12))*Assumptions!$D$40)*MAX(0,AS13*Assumptions!$D$27-AR29)</f>
        <v>5.11515225534621</v>
      </c>
      <c r="AT29" s="37" t="n">
        <f aca="false">AS29*(1-Assumptions!$D$41)+AT17*((1-(1-Assumptions!$D$32)^(1/12))*Assumptions!$D$40)*MAX(0,AT13*Assumptions!$D$27-AS29)</f>
        <v>5.78672162468302</v>
      </c>
      <c r="AU29" s="37" t="n">
        <f aca="false">AT29*(1-Assumptions!$D$41)+AU17*((1-(1-Assumptions!$D$32)^(1/12))*Assumptions!$D$40)*MAX(0,AU13*Assumptions!$D$27-AT29)</f>
        <v>6.44434858934356</v>
      </c>
      <c r="AV29" s="37" t="n">
        <f aca="false">AU29*(1-Assumptions!$D$41)+AV17*((1-(1-Assumptions!$D$32)^(1/12))*Assumptions!$D$40)*MAX(0,AV13*Assumptions!$D$27-AU29)</f>
        <v>7.08878254312422</v>
      </c>
      <c r="AW29" s="37" t="n">
        <f aca="false">AV29*(1-Assumptions!$D$41)+AW17*((1-(1-Assumptions!$D$32)^(1/12))*Assumptions!$D$40)*MAX(0,AW13*Assumptions!$D$27-AV29)</f>
        <v>7.72012595771359</v>
      </c>
      <c r="AX29" s="37" t="n">
        <f aca="false">AW29*(1-Assumptions!$D$41)+AX17*((1-(1-Assumptions!$D$32)^(1/12))*Assumptions!$D$40)*MAX(0,AX13*Assumptions!$D$27-AW29)</f>
        <v>8.33849465895997</v>
      </c>
      <c r="AY29" s="37" t="n">
        <f aca="false">AX29*(1-Assumptions!$D$41)+AY17*((1-(1-Assumptions!$D$32)^(1/12))*Assumptions!$D$40)*MAX(0,AY13*Assumptions!$D$27-AX29)</f>
        <v>8.94461650560441</v>
      </c>
      <c r="AZ29" s="37" t="n">
        <f aca="false">AY29*(1-Assumptions!$D$41)+AZ17*((1-(1-Assumptions!$D$32)^(1/12))*Assumptions!$D$40)*MAX(0,AZ13*Assumptions!$D$27-AY29)</f>
        <v>9.53857278663655</v>
      </c>
      <c r="BA29" s="37" t="n">
        <f aca="false">AZ29*(1-Assumptions!$D$41)+BA17*((1-(1-Assumptions!$D$32)^(1/12))*Assumptions!$D$40)*MAX(0,BA13*Assumptions!$D$27-AZ29)</f>
        <v>10.1204585017756</v>
      </c>
      <c r="BB29" s="37" t="n">
        <f aca="false">BA29*(1-Assumptions!$D$41)+BB17*((1-(1-Assumptions!$D$32)^(1/12))*Assumptions!$D$40)*MAX(0,BB13*Assumptions!$D$27-BA29)</f>
        <v>10.6903809166121</v>
      </c>
      <c r="BC29" s="37" t="n">
        <f aca="false">BB29*(1-Assumptions!$D$41)+BC17*((1-(1-Assumptions!$D$32)^(1/12))*Assumptions!$D$40)*MAX(0,BC13*Assumptions!$D$27-BB29)</f>
        <v>11.2484582310234</v>
      </c>
      <c r="BD29" s="37" t="n">
        <f aca="false">BC29*(1-Assumptions!$D$41)+BD17*((1-(1-Assumptions!$D$32)^(1/12))*Assumptions!$D$40)*MAX(0,BD13*Assumptions!$D$27-BC29)</f>
        <v>11.7948183526294</v>
      </c>
      <c r="BE29" s="37" t="n">
        <f aca="false">BD29*(1-Assumptions!$D$41)+BE17*((1-(1-Assumptions!$D$32)^(1/12))*Assumptions!$D$40)*MAX(0,BE13*Assumptions!$D$27-BD29)</f>
        <v>12.3295977676407</v>
      </c>
      <c r="BF29" s="37" t="n">
        <f aca="false">BE29*(1-Assumptions!$D$41)+BF17*((1-(1-Assumptions!$D$32)^(1/12))*Assumptions!$D$40)*MAX(0,BF13*Assumptions!$D$27-BE29)</f>
        <v>12.8529405019917</v>
      </c>
      <c r="BG29" s="37" t="n">
        <f aca="false">BF29*(1-Assumptions!$D$41)+BG17*((1-(1-Assumptions!$D$32)^(1/12))*Assumptions!$D$40)*MAX(0,BG13*Assumptions!$D$27-BF29)</f>
        <v>13.3649971661582</v>
      </c>
      <c r="BH29" s="37" t="n">
        <f aca="false">BG29*(1-Assumptions!$D$41)+BH17*((1-(1-Assumptions!$D$32)^(1/12))*Assumptions!$D$40)*MAX(0,BH13*Assumptions!$D$27-BG29)</f>
        <v>13.8659240775268</v>
      </c>
      <c r="BI29" s="37" t="n">
        <f aca="false">BH29*(1-Assumptions!$D$41)+BI17*((1-(1-Assumptions!$D$32)^(1/12))*Assumptions!$D$40)*MAX(0,BI13*Assumptions!$D$27-BH29)</f>
        <v>14.3558824546198</v>
      </c>
      <c r="BJ29" s="37" t="n">
        <f aca="false">BI29*(1-Assumptions!$D$41)+BJ17*((1-(1-Assumptions!$D$32)^(1/12))*Assumptions!$D$40)*MAX(0,BJ13*Assumptions!$D$27-BI29)</f>
        <v>14.8350376778856</v>
      </c>
      <c r="BK29" s="37" t="n">
        <f aca="false">BJ29*(1-Assumptions!$D$41)+BK17*((1-(1-Assumptions!$D$32)^(1/12))*Assumptions!$D$40)*MAX(0,BK13*Assumptions!$D$27-BJ29)</f>
        <v>15.3035586121401</v>
      </c>
    </row>
    <row r="30" customFormat="false" ht="15" hidden="false" customHeight="false" outlineLevel="0" collapsed="false">
      <c r="A30" s="28" t="s">
        <v>576</v>
      </c>
      <c r="B30" s="6" t="s">
        <v>577</v>
      </c>
      <c r="C30" s="36" t="n">
        <v>0</v>
      </c>
      <c r="D30" s="26" t="n">
        <f aca="false">C30*(1-Assumptions!$D$41)+D16*((1-(1-Assumptions!$D$33)^(1/12))*Assumptions!$D$40)*MAX(0,D13*Assumptions!$D$28-C30)</f>
        <v>0</v>
      </c>
      <c r="E30" s="26" t="n">
        <f aca="false">D30*(1-Assumptions!$D$41)+E16*((1-(1-Assumptions!$D$33)^(1/12))*Assumptions!$D$40)*MAX(0,E13*Assumptions!$D$28-D30)</f>
        <v>0</v>
      </c>
      <c r="F30" s="26" t="n">
        <f aca="false">E30*(1-Assumptions!$D$41)+F16*((1-(1-Assumptions!$D$33)^(1/12))*Assumptions!$D$40)*MAX(0,F13*Assumptions!$D$28-E30)</f>
        <v>0</v>
      </c>
      <c r="G30" s="26" t="n">
        <f aca="false">F30*(1-Assumptions!$D$41)+G16*((1-(1-Assumptions!$D$33)^(1/12))*Assumptions!$D$40)*MAX(0,G13*Assumptions!$D$28-F30)</f>
        <v>0</v>
      </c>
      <c r="H30" s="26" t="n">
        <f aca="false">G30*(1-Assumptions!$D$41)+H16*((1-(1-Assumptions!$D$33)^(1/12))*Assumptions!$D$40)*MAX(0,H13*Assumptions!$D$28-G30)</f>
        <v>0</v>
      </c>
      <c r="I30" s="26" t="n">
        <f aca="false">H30*(1-Assumptions!$D$41)+I16*((1-(1-Assumptions!$D$33)^(1/12))*Assumptions!$D$40)*MAX(0,I13*Assumptions!$D$28-H30)</f>
        <v>0</v>
      </c>
      <c r="J30" s="26" t="n">
        <f aca="false">I30*(1-Assumptions!$D$41)+J16*((1-(1-Assumptions!$D$33)^(1/12))*Assumptions!$D$40)*MAX(0,J13*Assumptions!$D$28-I30)</f>
        <v>0</v>
      </c>
      <c r="K30" s="26" t="n">
        <f aca="false">J30*(1-Assumptions!$D$41)+K16*((1-(1-Assumptions!$D$33)^(1/12))*Assumptions!$D$40)*MAX(0,K13*Assumptions!$D$28-J30)</f>
        <v>0</v>
      </c>
      <c r="L30" s="26" t="n">
        <f aca="false">K30*(1-Assumptions!$D$41)+L16*((1-(1-Assumptions!$D$33)^(1/12))*Assumptions!$D$40)*MAX(0,L13*Assumptions!$D$28-K30)</f>
        <v>0</v>
      </c>
      <c r="M30" s="26" t="n">
        <f aca="false">L30*(1-Assumptions!$D$41)+M16*((1-(1-Assumptions!$D$33)^(1/12))*Assumptions!$D$40)*MAX(0,M13*Assumptions!$D$28-L30)</f>
        <v>0</v>
      </c>
      <c r="N30" s="26" t="n">
        <f aca="false">M30*(1-Assumptions!$D$41)+N16*((1-(1-Assumptions!$D$33)^(1/12))*Assumptions!$D$40)*MAX(0,N13*Assumptions!$D$28-M30)</f>
        <v>0</v>
      </c>
      <c r="O30" s="26" t="n">
        <f aca="false">N30*(1-Assumptions!$D$41)+O16*((1-(1-Assumptions!$D$33)^(1/12))*Assumptions!$D$40)*MAX(0,O13*Assumptions!$D$28-N30)</f>
        <v>0</v>
      </c>
      <c r="P30" s="26" t="n">
        <f aca="false">O30*(1-Assumptions!$D$41)+P16*((1-(1-Assumptions!$D$33)^(1/12))*Assumptions!$D$40)*MAX(0,P13*Assumptions!$D$28-O30)</f>
        <v>0</v>
      </c>
      <c r="Q30" s="26" t="n">
        <f aca="false">P30*(1-Assumptions!$D$41)+Q16*((1-(1-Assumptions!$D$33)^(1/12))*Assumptions!$D$40)*MAX(0,Q13*Assumptions!$D$28-P30)</f>
        <v>0</v>
      </c>
      <c r="R30" s="26" t="n">
        <f aca="false">Q30*(1-Assumptions!$D$41)+R16*((1-(1-Assumptions!$D$33)^(1/12))*Assumptions!$D$40)*MAX(0,R13*Assumptions!$D$28-Q30)</f>
        <v>0</v>
      </c>
      <c r="S30" s="26" t="n">
        <f aca="false">R30*(1-Assumptions!$D$41)+S16*((1-(1-Assumptions!$D$33)^(1/12))*Assumptions!$D$40)*MAX(0,S13*Assumptions!$D$28-R30)</f>
        <v>0</v>
      </c>
      <c r="T30" s="26" t="n">
        <f aca="false">S30*(1-Assumptions!$D$41)+T16*((1-(1-Assumptions!$D$33)^(1/12))*Assumptions!$D$40)*MAX(0,T13*Assumptions!$D$28-S30)</f>
        <v>0</v>
      </c>
      <c r="U30" s="26" t="n">
        <f aca="false">T30*(1-Assumptions!$D$41)+U16*((1-(1-Assumptions!$D$33)^(1/12))*Assumptions!$D$40)*MAX(0,U13*Assumptions!$D$28-T30)</f>
        <v>0</v>
      </c>
      <c r="V30" s="26" t="n">
        <f aca="false">U30*(1-Assumptions!$D$41)+V16*((1-(1-Assumptions!$D$33)^(1/12))*Assumptions!$D$40)*MAX(0,V13*Assumptions!$D$28-U30)</f>
        <v>0</v>
      </c>
      <c r="W30" s="26" t="n">
        <f aca="false">V30*(1-Assumptions!$D$41)+W16*((1-(1-Assumptions!$D$33)^(1/12))*Assumptions!$D$40)*MAX(0,W13*Assumptions!$D$28-V30)</f>
        <v>0</v>
      </c>
      <c r="X30" s="26" t="n">
        <f aca="false">W30*(1-Assumptions!$D$41)+X16*((1-(1-Assumptions!$D$33)^(1/12))*Assumptions!$D$40)*MAX(0,X13*Assumptions!$D$28-W30)</f>
        <v>0</v>
      </c>
      <c r="Y30" s="26" t="n">
        <f aca="false">X30*(1-Assumptions!$D$41)+Y16*((1-(1-Assumptions!$D$33)^(1/12))*Assumptions!$D$40)*MAX(0,Y13*Assumptions!$D$28-X30)</f>
        <v>0</v>
      </c>
      <c r="Z30" s="26" t="n">
        <f aca="false">Y30*(1-Assumptions!$D$41)+Z16*((1-(1-Assumptions!$D$33)^(1/12))*Assumptions!$D$40)*MAX(0,Z13*Assumptions!$D$28-Y30)</f>
        <v>0</v>
      </c>
      <c r="AA30" s="26" t="n">
        <f aca="false">Z30*(1-Assumptions!$D$41)+AA16*((1-(1-Assumptions!$D$33)^(1/12))*Assumptions!$D$40)*MAX(0,AA13*Assumptions!$D$28-Z30)</f>
        <v>0</v>
      </c>
      <c r="AB30" s="26" t="n">
        <f aca="false">AA30*(1-Assumptions!$D$41)+AB16*((1-(1-Assumptions!$D$33)^(1/12))*Assumptions!$D$40)*MAX(0,AB13*Assumptions!$D$28-AA30)</f>
        <v>0</v>
      </c>
      <c r="AC30" s="26" t="n">
        <f aca="false">AB30*(1-Assumptions!$D$41)+AC16*((1-(1-Assumptions!$D$33)^(1/12))*Assumptions!$D$40)*MAX(0,AC13*Assumptions!$D$28-AB30)</f>
        <v>0</v>
      </c>
      <c r="AD30" s="26" t="n">
        <f aca="false">AC30*(1-Assumptions!$D$41)+AD16*((1-(1-Assumptions!$D$33)^(1/12))*Assumptions!$D$40)*MAX(0,AD13*Assumptions!$D$28-AC30)</f>
        <v>0</v>
      </c>
      <c r="AE30" s="26" t="n">
        <f aca="false">AD30*(1-Assumptions!$D$41)+AE16*((1-(1-Assumptions!$D$33)^(1/12))*Assumptions!$D$40)*MAX(0,AE13*Assumptions!$D$28-AD30)</f>
        <v>0</v>
      </c>
      <c r="AF30" s="26" t="n">
        <f aca="false">AE30*(1-Assumptions!$D$41)+AF16*((1-(1-Assumptions!$D$33)^(1/12))*Assumptions!$D$40)*MAX(0,AF13*Assumptions!$D$28-AE30)</f>
        <v>0</v>
      </c>
      <c r="AG30" s="26" t="n">
        <f aca="false">AF30*(1-Assumptions!$D$41)+AG16*((1-(1-Assumptions!$D$33)^(1/12))*Assumptions!$D$40)*MAX(0,AG13*Assumptions!$D$28-AF30)</f>
        <v>0</v>
      </c>
      <c r="AH30" s="26" t="n">
        <f aca="false">AG30*(1-Assumptions!$D$41)+AH16*((1-(1-Assumptions!$D$33)^(1/12))*Assumptions!$D$40)*MAX(0,AH13*Assumptions!$D$28-AG30)</f>
        <v>0</v>
      </c>
      <c r="AI30" s="26" t="n">
        <f aca="false">AH30*(1-Assumptions!$D$41)+AI16*((1-(1-Assumptions!$D$33)^(1/12))*Assumptions!$D$40)*MAX(0,AI13*Assumptions!$D$28-AH30)</f>
        <v>0</v>
      </c>
      <c r="AJ30" s="26" t="n">
        <f aca="false">AI30*(1-Assumptions!$D$41)+AJ16*((1-(1-Assumptions!$D$33)^(1/12))*Assumptions!$D$40)*MAX(0,AJ13*Assumptions!$D$28-AI30)</f>
        <v>0</v>
      </c>
      <c r="AK30" s="26" t="n">
        <f aca="false">AJ30*(1-Assumptions!$D$41)+AK16*((1-(1-Assumptions!$D$33)^(1/12))*Assumptions!$D$40)*MAX(0,AK13*Assumptions!$D$28-AJ30)</f>
        <v>0</v>
      </c>
      <c r="AL30" s="26" t="n">
        <f aca="false">AK30*(1-Assumptions!$D$41)+AL16*((1-(1-Assumptions!$D$33)^(1/12))*Assumptions!$D$40)*MAX(0,AL13*Assumptions!$D$28-AK30)</f>
        <v>0</v>
      </c>
      <c r="AM30" s="26" t="n">
        <f aca="false">AL30*(1-Assumptions!$D$41)+AM16*((1-(1-Assumptions!$D$33)^(1/12))*Assumptions!$D$40)*MAX(0,AM13*Assumptions!$D$28-AL30)</f>
        <v>0.15072359125797</v>
      </c>
      <c r="AN30" s="37" t="n">
        <f aca="false">AM30*(1-Assumptions!$D$41)+AN16*((1-(1-Assumptions!$D$33)^(1/12))*Assumptions!$D$40)*MAX(0,AN13*Assumptions!$D$28-AM30)</f>
        <v>0.300721373777399</v>
      </c>
      <c r="AO30" s="37" t="n">
        <f aca="false">AN30*(1-Assumptions!$D$41)+AO16*((1-(1-Assumptions!$D$33)^(1/12))*Assumptions!$D$40)*MAX(0,AO13*Assumptions!$D$28-AN30)</f>
        <v>0.449966260189973</v>
      </c>
      <c r="AP30" s="37" t="n">
        <f aca="false">AO30*(1-Assumptions!$D$41)+AP16*((1-(1-Assumptions!$D$33)^(1/12))*Assumptions!$D$40)*MAX(0,AP13*Assumptions!$D$28-AO30)</f>
        <v>0.598434240857804</v>
      </c>
      <c r="AQ30" s="37" t="n">
        <f aca="false">AP30*(1-Assumptions!$D$41)+AQ16*((1-(1-Assumptions!$D$33)^(1/12))*Assumptions!$D$40)*MAX(0,AQ13*Assumptions!$D$28-AP30)</f>
        <v>0.745987954708201</v>
      </c>
      <c r="AR30" s="37" t="n">
        <f aca="false">AQ30*(1-Assumptions!$D$41)+AR16*((1-(1-Assumptions!$D$33)^(1/12))*Assumptions!$D$40)*MAX(0,AR13*Assumptions!$D$28-AQ30)</f>
        <v>0.892501795390268</v>
      </c>
      <c r="AS30" s="37" t="n">
        <f aca="false">AR30*(1-Assumptions!$D$41)+AS16*((1-(1-Assumptions!$D$33)^(1/12))*Assumptions!$D$40)*MAX(0,AS13*Assumptions!$D$28-AR30)</f>
        <v>1.03797740064004</v>
      </c>
      <c r="AT30" s="37" t="n">
        <f aca="false">AS30*(1-Assumptions!$D$41)+AT16*((1-(1-Assumptions!$D$33)^(1/12))*Assumptions!$D$40)*MAX(0,AT13*Assumptions!$D$28-AS30)</f>
        <v>1.18230143519351</v>
      </c>
      <c r="AU30" s="37" t="n">
        <f aca="false">AT30*(1-Assumptions!$D$41)+AU16*((1-(1-Assumptions!$D$33)^(1/12))*Assumptions!$D$40)*MAX(0,AU13*Assumptions!$D$28-AT30)</f>
        <v>1.32537078951231</v>
      </c>
      <c r="AV30" s="37" t="n">
        <f aca="false">AU30*(1-Assumptions!$D$41)+AV16*((1-(1-Assumptions!$D$33)^(1/12))*Assumptions!$D$40)*MAX(0,AV13*Assumptions!$D$28-AU30)</f>
        <v>1.4672081566424</v>
      </c>
      <c r="AW30" s="37" t="n">
        <f aca="false">AV30*(1-Assumptions!$D$41)+AW16*((1-(1-Assumptions!$D$33)^(1/12))*Assumptions!$D$40)*MAX(0,AW13*Assumptions!$D$28-AV30)</f>
        <v>1.60771989781861</v>
      </c>
      <c r="AX30" s="37" t="n">
        <f aca="false">AW30*(1-Assumptions!$D$41)+AX16*((1-(1-Assumptions!$D$33)^(1/12))*Assumptions!$D$40)*MAX(0,AX13*Assumptions!$D$28-AW30)</f>
        <v>1.74682131933856</v>
      </c>
      <c r="AY30" s="37" t="n">
        <f aca="false">AX30*(1-Assumptions!$D$41)+AY16*((1-(1-Assumptions!$D$33)^(1/12))*Assumptions!$D$40)*MAX(0,AY13*Assumptions!$D$28-AX30)</f>
        <v>1.88455232327125</v>
      </c>
      <c r="AZ30" s="37" t="n">
        <f aca="false">AY30*(1-Assumptions!$D$41)+AZ16*((1-(1-Assumptions!$D$33)^(1/12))*Assumptions!$D$40)*MAX(0,AZ13*Assumptions!$D$28-AY30)</f>
        <v>2.02083534284517</v>
      </c>
      <c r="BA30" s="37" t="n">
        <f aca="false">AZ30*(1-Assumptions!$D$41)+BA16*((1-(1-Assumptions!$D$33)^(1/12))*Assumptions!$D$40)*MAX(0,BA13*Assumptions!$D$28-AZ30)</f>
        <v>2.15560068525883</v>
      </c>
      <c r="BB30" s="37" t="n">
        <f aca="false">BA30*(1-Assumptions!$D$41)+BB16*((1-(1-Assumptions!$D$33)^(1/12))*Assumptions!$D$40)*MAX(0,BB13*Assumptions!$D$28-BA30)</f>
        <v>2.2887860198647</v>
      </c>
      <c r="BC30" s="37" t="n">
        <f aca="false">BB30*(1-Assumptions!$D$41)+BC16*((1-(1-Assumptions!$D$33)^(1/12))*Assumptions!$D$40)*MAX(0,BC13*Assumptions!$D$28-BB30)</f>
        <v>2.42033589586422</v>
      </c>
      <c r="BD30" s="37" t="n">
        <f aca="false">BC30*(1-Assumptions!$D$41)+BD16*((1-(1-Assumptions!$D$33)^(1/12))*Assumptions!$D$40)*MAX(0,BD13*Assumptions!$D$28-BC30)</f>
        <v>2.55020128788895</v>
      </c>
      <c r="BE30" s="37" t="n">
        <f aca="false">BD30*(1-Assumptions!$D$41)+BE16*((1-(1-Assumptions!$D$33)^(1/12))*Assumptions!$D$40)*MAX(0,BE13*Assumptions!$D$28-BD30)</f>
        <v>2.67833916793071</v>
      </c>
      <c r="BF30" s="37" t="n">
        <f aca="false">BE30*(1-Assumptions!$D$41)+BF16*((1-(1-Assumptions!$D$33)^(1/12))*Assumptions!$D$40)*MAX(0,BF13*Assumptions!$D$28-BE30)</f>
        <v>2.80471210216649</v>
      </c>
      <c r="BG30" s="37" t="n">
        <f aca="false">BF30*(1-Assumptions!$D$41)+BG16*((1-(1-Assumptions!$D$33)^(1/12))*Assumptions!$D$40)*MAX(0,BG13*Assumptions!$D$28-BF30)</f>
        <v>2.92928787130256</v>
      </c>
      <c r="BH30" s="37" t="n">
        <f aca="false">BG30*(1-Assumptions!$D$41)+BH16*((1-(1-Assumptions!$D$33)^(1/12))*Assumptions!$D$40)*MAX(0,BH13*Assumptions!$D$28-BG30)</f>
        <v>3.05203911313645</v>
      </c>
      <c r="BI30" s="37" t="n">
        <f aca="false">BH30*(1-Assumptions!$D$41)+BI16*((1-(1-Assumptions!$D$33)^(1/12))*Assumptions!$D$40)*MAX(0,BI13*Assumptions!$D$28-BH30)</f>
        <v>3.17294298610614</v>
      </c>
      <c r="BJ30" s="37" t="n">
        <f aca="false">BI30*(1-Assumptions!$D$41)+BJ16*((1-(1-Assumptions!$D$33)^(1/12))*Assumptions!$D$40)*MAX(0,BJ13*Assumptions!$D$28-BI30)</f>
        <v>3.29198085266187</v>
      </c>
      <c r="BK30" s="37" t="n">
        <f aca="false">BJ30*(1-Assumptions!$D$41)+BK16*((1-(1-Assumptions!$D$33)^(1/12))*Assumptions!$D$40)*MAX(0,BK13*Assumptions!$D$28-BJ30)</f>
        <v>3.40913798135978</v>
      </c>
    </row>
    <row r="31" customFormat="false" ht="15" hidden="false" customHeight="false" outlineLevel="0" collapsed="false">
      <c r="A31" s="28" t="s">
        <v>578</v>
      </c>
      <c r="B31" s="6" t="s">
        <v>579</v>
      </c>
      <c r="C31" s="36" t="n">
        <v>0</v>
      </c>
      <c r="D31" s="26" t="n">
        <f aca="false">C31*(1-Assumptions!$D$41)+D16*((1-(1-Assumptions!$D$34)^(1/12))*Assumptions!$D$40)*MAX(0,D13*Assumptions!$D$29-C31)</f>
        <v>0</v>
      </c>
      <c r="E31" s="26" t="n">
        <f aca="false">D31*(1-Assumptions!$D$41)+E16*((1-(1-Assumptions!$D$34)^(1/12))*Assumptions!$D$40)*MAX(0,E13*Assumptions!$D$29-D31)</f>
        <v>0</v>
      </c>
      <c r="F31" s="26" t="n">
        <f aca="false">E31*(1-Assumptions!$D$41)+F16*((1-(1-Assumptions!$D$34)^(1/12))*Assumptions!$D$40)*MAX(0,F13*Assumptions!$D$29-E31)</f>
        <v>0</v>
      </c>
      <c r="G31" s="26" t="n">
        <f aca="false">F31*(1-Assumptions!$D$41)+G16*((1-(1-Assumptions!$D$34)^(1/12))*Assumptions!$D$40)*MAX(0,G13*Assumptions!$D$29-F31)</f>
        <v>0</v>
      </c>
      <c r="H31" s="26" t="n">
        <f aca="false">G31*(1-Assumptions!$D$41)+H16*((1-(1-Assumptions!$D$34)^(1/12))*Assumptions!$D$40)*MAX(0,H13*Assumptions!$D$29-G31)</f>
        <v>0</v>
      </c>
      <c r="I31" s="26" t="n">
        <f aca="false">H31*(1-Assumptions!$D$41)+I16*((1-(1-Assumptions!$D$34)^(1/12))*Assumptions!$D$40)*MAX(0,I13*Assumptions!$D$29-H31)</f>
        <v>0</v>
      </c>
      <c r="J31" s="26" t="n">
        <f aca="false">I31*(1-Assumptions!$D$41)+J16*((1-(1-Assumptions!$D$34)^(1/12))*Assumptions!$D$40)*MAX(0,J13*Assumptions!$D$29-I31)</f>
        <v>0</v>
      </c>
      <c r="K31" s="26" t="n">
        <f aca="false">J31*(1-Assumptions!$D$41)+K16*((1-(1-Assumptions!$D$34)^(1/12))*Assumptions!$D$40)*MAX(0,K13*Assumptions!$D$29-J31)</f>
        <v>0</v>
      </c>
      <c r="L31" s="26" t="n">
        <f aca="false">K31*(1-Assumptions!$D$41)+L16*((1-(1-Assumptions!$D$34)^(1/12))*Assumptions!$D$40)*MAX(0,L13*Assumptions!$D$29-K31)</f>
        <v>0</v>
      </c>
      <c r="M31" s="26" t="n">
        <f aca="false">L31*(1-Assumptions!$D$41)+M16*((1-(1-Assumptions!$D$34)^(1/12))*Assumptions!$D$40)*MAX(0,M13*Assumptions!$D$29-L31)</f>
        <v>0</v>
      </c>
      <c r="N31" s="26" t="n">
        <f aca="false">M31*(1-Assumptions!$D$41)+N16*((1-(1-Assumptions!$D$34)^(1/12))*Assumptions!$D$40)*MAX(0,N13*Assumptions!$D$29-M31)</f>
        <v>0</v>
      </c>
      <c r="O31" s="26" t="n">
        <f aca="false">N31*(1-Assumptions!$D$41)+O16*((1-(1-Assumptions!$D$34)^(1/12))*Assumptions!$D$40)*MAX(0,O13*Assumptions!$D$29-N31)</f>
        <v>0</v>
      </c>
      <c r="P31" s="26" t="n">
        <f aca="false">O31*(1-Assumptions!$D$41)+P16*((1-(1-Assumptions!$D$34)^(1/12))*Assumptions!$D$40)*MAX(0,P13*Assumptions!$D$29-O31)</f>
        <v>0</v>
      </c>
      <c r="Q31" s="26" t="n">
        <f aca="false">P31*(1-Assumptions!$D$41)+Q16*((1-(1-Assumptions!$D$34)^(1/12))*Assumptions!$D$40)*MAX(0,Q13*Assumptions!$D$29-P31)</f>
        <v>0</v>
      </c>
      <c r="R31" s="26" t="n">
        <f aca="false">Q31*(1-Assumptions!$D$41)+R16*((1-(1-Assumptions!$D$34)^(1/12))*Assumptions!$D$40)*MAX(0,R13*Assumptions!$D$29-Q31)</f>
        <v>0</v>
      </c>
      <c r="S31" s="26" t="n">
        <f aca="false">R31*(1-Assumptions!$D$41)+S16*((1-(1-Assumptions!$D$34)^(1/12))*Assumptions!$D$40)*MAX(0,S13*Assumptions!$D$29-R31)</f>
        <v>0</v>
      </c>
      <c r="T31" s="26" t="n">
        <f aca="false">S31*(1-Assumptions!$D$41)+T16*((1-(1-Assumptions!$D$34)^(1/12))*Assumptions!$D$40)*MAX(0,T13*Assumptions!$D$29-S31)</f>
        <v>0</v>
      </c>
      <c r="U31" s="26" t="n">
        <f aca="false">T31*(1-Assumptions!$D$41)+U16*((1-(1-Assumptions!$D$34)^(1/12))*Assumptions!$D$40)*MAX(0,U13*Assumptions!$D$29-T31)</f>
        <v>0</v>
      </c>
      <c r="V31" s="26" t="n">
        <f aca="false">U31*(1-Assumptions!$D$41)+V16*((1-(1-Assumptions!$D$34)^(1/12))*Assumptions!$D$40)*MAX(0,V13*Assumptions!$D$29-U31)</f>
        <v>0</v>
      </c>
      <c r="W31" s="26" t="n">
        <f aca="false">V31*(1-Assumptions!$D$41)+W16*((1-(1-Assumptions!$D$34)^(1/12))*Assumptions!$D$40)*MAX(0,W13*Assumptions!$D$29-V31)</f>
        <v>0</v>
      </c>
      <c r="X31" s="26" t="n">
        <f aca="false">W31*(1-Assumptions!$D$41)+X16*((1-(1-Assumptions!$D$34)^(1/12))*Assumptions!$D$40)*MAX(0,X13*Assumptions!$D$29-W31)</f>
        <v>0</v>
      </c>
      <c r="Y31" s="26" t="n">
        <f aca="false">X31*(1-Assumptions!$D$41)+Y16*((1-(1-Assumptions!$D$34)^(1/12))*Assumptions!$D$40)*MAX(0,Y13*Assumptions!$D$29-X31)</f>
        <v>0</v>
      </c>
      <c r="Z31" s="26" t="n">
        <f aca="false">Y31*(1-Assumptions!$D$41)+Z16*((1-(1-Assumptions!$D$34)^(1/12))*Assumptions!$D$40)*MAX(0,Z13*Assumptions!$D$29-Y31)</f>
        <v>0</v>
      </c>
      <c r="AA31" s="26" t="n">
        <f aca="false">Z31*(1-Assumptions!$D$41)+AA16*((1-(1-Assumptions!$D$34)^(1/12))*Assumptions!$D$40)*MAX(0,AA13*Assumptions!$D$29-Z31)</f>
        <v>0</v>
      </c>
      <c r="AB31" s="26" t="n">
        <f aca="false">AA31*(1-Assumptions!$D$41)+AB16*((1-(1-Assumptions!$D$34)^(1/12))*Assumptions!$D$40)*MAX(0,AB13*Assumptions!$D$29-AA31)</f>
        <v>0</v>
      </c>
      <c r="AC31" s="26" t="n">
        <f aca="false">AB31*(1-Assumptions!$D$41)+AC16*((1-(1-Assumptions!$D$34)^(1/12))*Assumptions!$D$40)*MAX(0,AC13*Assumptions!$D$29-AB31)</f>
        <v>0</v>
      </c>
      <c r="AD31" s="26" t="n">
        <f aca="false">AC31*(1-Assumptions!$D$41)+AD16*((1-(1-Assumptions!$D$34)^(1/12))*Assumptions!$D$40)*MAX(0,AD13*Assumptions!$D$29-AC31)</f>
        <v>0</v>
      </c>
      <c r="AE31" s="26" t="n">
        <f aca="false">AD31*(1-Assumptions!$D$41)+AE16*((1-(1-Assumptions!$D$34)^(1/12))*Assumptions!$D$40)*MAX(0,AE13*Assumptions!$D$29-AD31)</f>
        <v>0</v>
      </c>
      <c r="AF31" s="26" t="n">
        <f aca="false">AE31*(1-Assumptions!$D$41)+AF16*((1-(1-Assumptions!$D$34)^(1/12))*Assumptions!$D$40)*MAX(0,AF13*Assumptions!$D$29-AE31)</f>
        <v>0</v>
      </c>
      <c r="AG31" s="26" t="n">
        <f aca="false">AF31*(1-Assumptions!$D$41)+AG16*((1-(1-Assumptions!$D$34)^(1/12))*Assumptions!$D$40)*MAX(0,AG13*Assumptions!$D$29-AF31)</f>
        <v>0</v>
      </c>
      <c r="AH31" s="26" t="n">
        <f aca="false">AG31*(1-Assumptions!$D$41)+AH16*((1-(1-Assumptions!$D$34)^(1/12))*Assumptions!$D$40)*MAX(0,AH13*Assumptions!$D$29-AG31)</f>
        <v>0</v>
      </c>
      <c r="AI31" s="26" t="n">
        <f aca="false">AH31*(1-Assumptions!$D$41)+AI16*((1-(1-Assumptions!$D$34)^(1/12))*Assumptions!$D$40)*MAX(0,AI13*Assumptions!$D$29-AH31)</f>
        <v>0</v>
      </c>
      <c r="AJ31" s="26" t="n">
        <f aca="false">AI31*(1-Assumptions!$D$41)+AJ16*((1-(1-Assumptions!$D$34)^(1/12))*Assumptions!$D$40)*MAX(0,AJ13*Assumptions!$D$29-AI31)</f>
        <v>0</v>
      </c>
      <c r="AK31" s="26" t="n">
        <f aca="false">AJ31*(1-Assumptions!$D$41)+AK16*((1-(1-Assumptions!$D$34)^(1/12))*Assumptions!$D$40)*MAX(0,AK13*Assumptions!$D$29-AJ31)</f>
        <v>0</v>
      </c>
      <c r="AL31" s="26" t="n">
        <f aca="false">AK31*(1-Assumptions!$D$41)+AL16*((1-(1-Assumptions!$D$34)^(1/12))*Assumptions!$D$40)*MAX(0,AL13*Assumptions!$D$29-AK31)</f>
        <v>0</v>
      </c>
      <c r="AM31" s="26" t="n">
        <f aca="false">AL31*(1-Assumptions!$D$41)+AM16*((1-(1-Assumptions!$D$34)^(1/12))*Assumptions!$D$40)*MAX(0,AM13*Assumptions!$D$29-AL31)</f>
        <v>0.0318607739309293</v>
      </c>
      <c r="AN31" s="37" t="n">
        <f aca="false">AM31*(1-Assumptions!$D$41)+AN16*((1-(1-Assumptions!$D$34)^(1/12))*Assumptions!$D$40)*MAX(0,AN13*Assumptions!$D$29-AM31)</f>
        <v>0.0637437383073857</v>
      </c>
      <c r="AO31" s="37" t="n">
        <f aca="false">AN31*(1-Assumptions!$D$41)+AO16*((1-(1-Assumptions!$D$34)^(1/12))*Assumptions!$D$40)*MAX(0,AO13*Assumptions!$D$29-AN31)</f>
        <v>0.0956339694287144</v>
      </c>
      <c r="AP31" s="37" t="n">
        <f aca="false">AO31*(1-Assumptions!$D$41)+AP16*((1-(1-Assumptions!$D$34)^(1/12))*Assumptions!$D$40)*MAX(0,AP13*Assumptions!$D$29-AO31)</f>
        <v>0.12751760006192</v>
      </c>
      <c r="AQ31" s="37" t="n">
        <f aca="false">AP31*(1-Assumptions!$D$41)+AQ16*((1-(1-Assumptions!$D$34)^(1/12))*Assumptions!$D$40)*MAX(0,AQ13*Assumptions!$D$29-AP31)</f>
        <v>0.159357192293047</v>
      </c>
      <c r="AR31" s="37" t="n">
        <f aca="false">AQ31*(1-Assumptions!$D$41)+AR16*((1-(1-Assumptions!$D$34)^(1/12))*Assumptions!$D$40)*MAX(0,AR13*Assumptions!$D$29-AQ31)</f>
        <v>0.191118032520747</v>
      </c>
      <c r="AS31" s="37" t="n">
        <f aca="false">AR31*(1-Assumptions!$D$41)+AS16*((1-(1-Assumptions!$D$34)^(1/12))*Assumptions!$D$40)*MAX(0,AS13*Assumptions!$D$29-AR31)</f>
        <v>0.222792546531436</v>
      </c>
      <c r="AT31" s="37" t="n">
        <f aca="false">AS31*(1-Assumptions!$D$41)+AT16*((1-(1-Assumptions!$D$34)^(1/12))*Assumptions!$D$40)*MAX(0,AT13*Assumptions!$D$29-AS31)</f>
        <v>0.254349235088729</v>
      </c>
      <c r="AU31" s="37" t="n">
        <f aca="false">AT31*(1-Assumptions!$D$41)+AU16*((1-(1-Assumptions!$D$34)^(1/12))*Assumptions!$D$40)*MAX(0,AU13*Assumptions!$D$29-AT31)</f>
        <v>0.285758987155481</v>
      </c>
      <c r="AV31" s="37" t="n">
        <f aca="false">AU31*(1-Assumptions!$D$41)+AV16*((1-(1-Assumptions!$D$34)^(1/12))*Assumptions!$D$40)*MAX(0,AV13*Assumptions!$D$29-AU31)</f>
        <v>0.317019512296101</v>
      </c>
      <c r="AW31" s="37" t="n">
        <f aca="false">AV31*(1-Assumptions!$D$41)+AW16*((1-(1-Assumptions!$D$34)^(1/12))*Assumptions!$D$40)*MAX(0,AW13*Assumptions!$D$29-AV31)</f>
        <v>0.34810429273551</v>
      </c>
      <c r="AX31" s="37" t="n">
        <f aca="false">AW31*(1-Assumptions!$D$41)+AX16*((1-(1-Assumptions!$D$34)^(1/12))*Assumptions!$D$40)*MAX(0,AX13*Assumptions!$D$29-AW31)</f>
        <v>0.378988912234741</v>
      </c>
      <c r="AY31" s="37" t="n">
        <f aca="false">AX31*(1-Assumptions!$D$41)+AY16*((1-(1-Assumptions!$D$34)^(1/12))*Assumptions!$D$40)*MAX(0,AY13*Assumptions!$D$29-AX31)</f>
        <v>0.409675503370435</v>
      </c>
      <c r="AZ31" s="37" t="n">
        <f aca="false">AY31*(1-Assumptions!$D$41)+AZ16*((1-(1-Assumptions!$D$34)^(1/12))*Assumptions!$D$40)*MAX(0,AZ13*Assumptions!$D$29-AY31)</f>
        <v>0.44014171373235</v>
      </c>
      <c r="BA31" s="37" t="n">
        <f aca="false">AZ31*(1-Assumptions!$D$41)+BA16*((1-(1-Assumptions!$D$34)^(1/12))*Assumptions!$D$40)*MAX(0,BA13*Assumptions!$D$29-AZ31)</f>
        <v>0.470367048234773</v>
      </c>
      <c r="BB31" s="37" t="n">
        <f aca="false">BA31*(1-Assumptions!$D$41)+BB16*((1-(1-Assumptions!$D$34)^(1/12))*Assumptions!$D$40)*MAX(0,BB13*Assumptions!$D$29-BA31)</f>
        <v>0.500332760927119</v>
      </c>
      <c r="BC31" s="37" t="n">
        <f aca="false">BB31*(1-Assumptions!$D$41)+BC16*((1-(1-Assumptions!$D$34)^(1/12))*Assumptions!$D$40)*MAX(0,BC13*Assumptions!$D$29-BB31)</f>
        <v>0.530021752446347</v>
      </c>
      <c r="BD31" s="37" t="n">
        <f aca="false">BC31*(1-Assumptions!$D$41)+BD16*((1-(1-Assumptions!$D$34)^(1/12))*Assumptions!$D$40)*MAX(0,BD13*Assumptions!$D$29-BC31)</f>
        <v>0.559418472830449</v>
      </c>
      <c r="BE31" s="37" t="n">
        <f aca="false">BD31*(1-Assumptions!$D$41)+BE16*((1-(1-Assumptions!$D$34)^(1/12))*Assumptions!$D$40)*MAX(0,BE13*Assumptions!$D$29-BD31)</f>
        <v>0.588508829425967</v>
      </c>
      <c r="BF31" s="37" t="n">
        <f aca="false">BE31*(1-Assumptions!$D$41)+BF16*((1-(1-Assumptions!$D$34)^(1/12))*Assumptions!$D$40)*MAX(0,BF13*Assumptions!$D$29-BE31)</f>
        <v>0.61728009963545</v>
      </c>
      <c r="BG31" s="37" t="n">
        <f aca="false">BF31*(1-Assumptions!$D$41)+BG16*((1-(1-Assumptions!$D$34)^(1/12))*Assumptions!$D$40)*MAX(0,BG13*Assumptions!$D$29-BF31)</f>
        <v>0.645720848263178</v>
      </c>
      <c r="BH31" s="37" t="n">
        <f aca="false">BG31*(1-Assumptions!$D$41)+BH16*((1-(1-Assumptions!$D$34)^(1/12))*Assumptions!$D$40)*MAX(0,BH13*Assumptions!$D$29-BG31)</f>
        <v>0.673820849229249</v>
      </c>
      <c r="BI31" s="37" t="n">
        <f aca="false">BH31*(1-Assumptions!$D$41)+BI16*((1-(1-Assumptions!$D$34)^(1/12))*Assumptions!$D$40)*MAX(0,BI13*Assumptions!$D$29-BH31)</f>
        <v>0.701571011433324</v>
      </c>
      <c r="BJ31" s="37" t="n">
        <f aca="false">BI31*(1-Assumptions!$D$41)+BJ16*((1-(1-Assumptions!$D$34)^(1/12))*Assumptions!$D$40)*MAX(0,BJ13*Assumptions!$D$29-BI31)</f>
        <v>0.728963308560034</v>
      </c>
      <c r="BK31" s="37" t="n">
        <f aca="false">BJ31*(1-Assumptions!$D$41)+BK16*((1-(1-Assumptions!$D$34)^(1/12))*Assumptions!$D$40)*MAX(0,BK13*Assumptions!$D$29-BJ31)</f>
        <v>0.755990712628178</v>
      </c>
    </row>
    <row r="32" customFormat="false" ht="15" hidden="false" customHeight="false" outlineLevel="0" collapsed="false">
      <c r="A32" s="28" t="s">
        <v>580</v>
      </c>
      <c r="B32" s="6" t="s">
        <v>581</v>
      </c>
      <c r="C32" s="36" t="n">
        <v>0</v>
      </c>
      <c r="D32" s="26" t="n">
        <f aca="false">D27+D28+D29+D30+D31</f>
        <v>0</v>
      </c>
      <c r="E32" s="26" t="n">
        <f aca="false">E27+E28+E29+E30+E31</f>
        <v>0</v>
      </c>
      <c r="F32" s="26" t="n">
        <f aca="false">F27+F28+F29+F30+F31</f>
        <v>0</v>
      </c>
      <c r="G32" s="26" t="n">
        <f aca="false">G27+G28+G29+G30+G31</f>
        <v>0</v>
      </c>
      <c r="H32" s="26" t="n">
        <f aca="false">H27+H28+H29+H30+H31</f>
        <v>0</v>
      </c>
      <c r="I32" s="26" t="n">
        <f aca="false">I27+I28+I29+I30+I31</f>
        <v>0</v>
      </c>
      <c r="J32" s="26" t="n">
        <f aca="false">J27+J28+J29+J30+J31</f>
        <v>0</v>
      </c>
      <c r="K32" s="26" t="n">
        <f aca="false">K27+K28+K29+K30+K31</f>
        <v>0</v>
      </c>
      <c r="L32" s="26" t="n">
        <f aca="false">L27+L28+L29+L30+L31</f>
        <v>0</v>
      </c>
      <c r="M32" s="26" t="n">
        <f aca="false">M27+M28+M29+M30+M31</f>
        <v>0</v>
      </c>
      <c r="N32" s="26" t="n">
        <f aca="false">N27+N28+N29+N30+N31</f>
        <v>0</v>
      </c>
      <c r="O32" s="26" t="n">
        <f aca="false">O27+O28+O29+O30+O31</f>
        <v>0</v>
      </c>
      <c r="P32" s="26" t="n">
        <f aca="false">P27+P28+P29+P30+P31</f>
        <v>0</v>
      </c>
      <c r="Q32" s="26" t="n">
        <f aca="false">Q27+Q28+Q29+Q30+Q31</f>
        <v>0</v>
      </c>
      <c r="R32" s="26" t="n">
        <f aca="false">R27+R28+R29+R30+R31</f>
        <v>0</v>
      </c>
      <c r="S32" s="26" t="n">
        <f aca="false">S27+S28+S29+S30+S31</f>
        <v>0</v>
      </c>
      <c r="T32" s="26" t="n">
        <f aca="false">T27+T28+T29+T30+T31</f>
        <v>0</v>
      </c>
      <c r="U32" s="26" t="n">
        <f aca="false">U27+U28+U29+U30+U31</f>
        <v>0</v>
      </c>
      <c r="V32" s="26" t="n">
        <f aca="false">V27+V28+V29+V30+V31</f>
        <v>0</v>
      </c>
      <c r="W32" s="26" t="n">
        <f aca="false">W27+W28+W29+W30+W31</f>
        <v>0</v>
      </c>
      <c r="X32" s="26" t="n">
        <f aca="false">X27+X28+X29+X30+X31</f>
        <v>0</v>
      </c>
      <c r="Y32" s="26" t="n">
        <f aca="false">Y27+Y28+Y29+Y30+Y31</f>
        <v>0</v>
      </c>
      <c r="Z32" s="26" t="n">
        <f aca="false">Z27+Z28+Z29+Z30+Z31</f>
        <v>0</v>
      </c>
      <c r="AA32" s="26" t="n">
        <f aca="false">AA27+AA28+AA29+AA30+AA31</f>
        <v>0</v>
      </c>
      <c r="AB32" s="26" t="n">
        <f aca="false">AB27+AB28+AB29+AB30+AB31</f>
        <v>0</v>
      </c>
      <c r="AC32" s="26" t="n">
        <f aca="false">AC27+AC28+AC29+AC30+AC31</f>
        <v>0</v>
      </c>
      <c r="AD32" s="26" t="n">
        <f aca="false">AD27+AD28+AD29+AD30+AD31</f>
        <v>0</v>
      </c>
      <c r="AE32" s="26" t="n">
        <f aca="false">AE27+AE28+AE29+AE30+AE31</f>
        <v>0</v>
      </c>
      <c r="AF32" s="26" t="n">
        <f aca="false">AF27+AF28+AF29+AF30+AF31</f>
        <v>0</v>
      </c>
      <c r="AG32" s="26" t="n">
        <f aca="false">AG27+AG28+AG29+AG30+AG31</f>
        <v>0</v>
      </c>
      <c r="AH32" s="26" t="n">
        <f aca="false">AH27+AH28+AH29+AH30+AH31</f>
        <v>0</v>
      </c>
      <c r="AI32" s="26" t="n">
        <f aca="false">AI27+AI28+AI29+AI30+AI31</f>
        <v>0</v>
      </c>
      <c r="AJ32" s="26" t="n">
        <f aca="false">AJ27+AJ28+AJ29+AJ30+AJ31</f>
        <v>0</v>
      </c>
      <c r="AK32" s="26" t="n">
        <f aca="false">AK27+AK28+AK29+AK30+AK31</f>
        <v>0</v>
      </c>
      <c r="AL32" s="26" t="n">
        <f aca="false">AL27+AL28+AL29+AL30+AL31</f>
        <v>0</v>
      </c>
      <c r="AM32" s="26" t="n">
        <f aca="false">AM27+AM28+AM29+AM30+AM31</f>
        <v>1.81027270229358</v>
      </c>
      <c r="AN32" s="37" t="n">
        <f aca="false">AN27+AN28+AN29+AN30+AN31</f>
        <v>3.59745235412972</v>
      </c>
      <c r="AO32" s="37" t="n">
        <f aca="false">AO27+AO28+AO29+AO30+AO31</f>
        <v>5.36227601098834</v>
      </c>
      <c r="AP32" s="37" t="n">
        <f aca="false">AP27+AP28+AP29+AP30+AP31</f>
        <v>7.1054467789626</v>
      </c>
      <c r="AQ32" s="37" t="n">
        <f aca="false">AQ27+AQ28+AQ29+AQ30+AQ31</f>
        <v>8.82624005720826</v>
      </c>
      <c r="AR32" s="37" t="n">
        <f aca="false">AR27+AR28+AR29+AR30+AR31</f>
        <v>10.5240215356608</v>
      </c>
      <c r="AS32" s="37" t="n">
        <f aca="false">AS27+AS28+AS29+AS30+AS31</f>
        <v>12.1996366918688</v>
      </c>
      <c r="AT32" s="37" t="n">
        <f aca="false">AT27+AT28+AT29+AT30+AT31</f>
        <v>13.8524928552983</v>
      </c>
      <c r="AU32" s="37" t="n">
        <f aca="false">AU27+AU28+AU29+AU30+AU31</f>
        <v>15.4820778437168</v>
      </c>
      <c r="AV32" s="37" t="n">
        <f aca="false">AV27+AV28+AV29+AV30+AV31</f>
        <v>17.0893500619003</v>
      </c>
      <c r="AW32" s="37" t="n">
        <f aca="false">AW27+AW28+AW29+AW30+AW31</f>
        <v>18.6738211330915</v>
      </c>
      <c r="AX32" s="37" t="n">
        <f aca="false">AX27+AX28+AX29+AX30+AX31</f>
        <v>20.2350750697781</v>
      </c>
      <c r="AY32" s="37" t="n">
        <f aca="false">AY27+AY28+AY29+AY30+AY31</f>
        <v>21.7741588758818</v>
      </c>
      <c r="AZ32" s="37" t="n">
        <f aca="false">AZ27+AZ28+AZ29+AZ30+AZ31</f>
        <v>23.2906656525332</v>
      </c>
      <c r="BA32" s="37" t="n">
        <f aca="false">BA27+BA28+BA29+BA30+BA31</f>
        <v>24.7842542156469</v>
      </c>
      <c r="BB32" s="37" t="n">
        <f aca="false">BB27+BB28+BB29+BB30+BB31</f>
        <v>26.2546441953129</v>
      </c>
      <c r="BC32" s="37" t="n">
        <f aca="false">BC27+BC28+BC29+BC30+BC31</f>
        <v>27.7016114518332</v>
      </c>
      <c r="BD32" s="37" t="n">
        <f aca="false">BD27+BD28+BD29+BD30+BD31</f>
        <v>29.1249837887291</v>
      </c>
      <c r="BE32" s="37" t="n">
        <f aca="false">BE27+BE28+BE29+BE30+BE31</f>
        <v>30.5246369442564</v>
      </c>
      <c r="BF32" s="37" t="n">
        <f aca="false">BF27+BF28+BF29+BF30+BF31</f>
        <v>31.9004908441106</v>
      </c>
      <c r="BG32" s="37" t="n">
        <f aca="false">BG27+BG28+BG29+BG30+BG31</f>
        <v>33.252506099071</v>
      </c>
      <c r="BH32" s="37" t="n">
        <f aca="false">BH27+BH28+BH29+BH30+BH31</f>
        <v>34.5806807323364</v>
      </c>
      <c r="BI32" s="37" t="n">
        <f aca="false">BI27+BI28+BI29+BI30+BI31</f>
        <v>35.8850471222462</v>
      </c>
      <c r="BJ32" s="37" t="n">
        <f aca="false">BJ27+BJ28+BJ29+BJ30+BJ31</f>
        <v>37.1656691469629</v>
      </c>
      <c r="BK32" s="37" t="n">
        <f aca="false">BK27+BK28+BK29+BK30+BK31</f>
        <v>38.4226395185196</v>
      </c>
    </row>
    <row r="33" customFormat="false" ht="15" hidden="false" customHeight="false" outlineLevel="0" collapsed="false">
      <c r="A33" s="28" t="s">
        <v>582</v>
      </c>
      <c r="B33" s="6" t="s">
        <v>583</v>
      </c>
      <c r="C33" s="42"/>
      <c r="D33" s="26" t="n">
        <f aca="false">D27*(1-Assumptions!$D$35)+D28*(1-Assumptions!$D$36)+D29*(1-Assumptions!$D$37)+D30*(1-Assumptions!$D$38)+D31*(1-Assumptions!$D$39)</f>
        <v>0</v>
      </c>
      <c r="E33" s="26" t="n">
        <f aca="false">E27*(1-Assumptions!$D$35)+E28*(1-Assumptions!$D$36)+E29*(1-Assumptions!$D$37)+E30*(1-Assumptions!$D$38)+E31*(1-Assumptions!$D$39)</f>
        <v>0</v>
      </c>
      <c r="F33" s="26" t="n">
        <f aca="false">F27*(1-Assumptions!$D$35)+F28*(1-Assumptions!$D$36)+F29*(1-Assumptions!$D$37)+F30*(1-Assumptions!$D$38)+F31*(1-Assumptions!$D$39)</f>
        <v>0</v>
      </c>
      <c r="G33" s="26" t="n">
        <f aca="false">G27*(1-Assumptions!$D$35)+G28*(1-Assumptions!$D$36)+G29*(1-Assumptions!$D$37)+G30*(1-Assumptions!$D$38)+G31*(1-Assumptions!$D$39)</f>
        <v>0</v>
      </c>
      <c r="H33" s="26" t="n">
        <f aca="false">H27*(1-Assumptions!$D$35)+H28*(1-Assumptions!$D$36)+H29*(1-Assumptions!$D$37)+H30*(1-Assumptions!$D$38)+H31*(1-Assumptions!$D$39)</f>
        <v>0</v>
      </c>
      <c r="I33" s="26" t="n">
        <f aca="false">I27*(1-Assumptions!$D$35)+I28*(1-Assumptions!$D$36)+I29*(1-Assumptions!$D$37)+I30*(1-Assumptions!$D$38)+I31*(1-Assumptions!$D$39)</f>
        <v>0</v>
      </c>
      <c r="J33" s="26" t="n">
        <f aca="false">J27*(1-Assumptions!$D$35)+J28*(1-Assumptions!$D$36)+J29*(1-Assumptions!$D$37)+J30*(1-Assumptions!$D$38)+J31*(1-Assumptions!$D$39)</f>
        <v>0</v>
      </c>
      <c r="K33" s="26" t="n">
        <f aca="false">K27*(1-Assumptions!$D$35)+K28*(1-Assumptions!$D$36)+K29*(1-Assumptions!$D$37)+K30*(1-Assumptions!$D$38)+K31*(1-Assumptions!$D$39)</f>
        <v>0</v>
      </c>
      <c r="L33" s="26" t="n">
        <f aca="false">L27*(1-Assumptions!$D$35)+L28*(1-Assumptions!$D$36)+L29*(1-Assumptions!$D$37)+L30*(1-Assumptions!$D$38)+L31*(1-Assumptions!$D$39)</f>
        <v>0</v>
      </c>
      <c r="M33" s="26" t="n">
        <f aca="false">M27*(1-Assumptions!$D$35)+M28*(1-Assumptions!$D$36)+M29*(1-Assumptions!$D$37)+M30*(1-Assumptions!$D$38)+M31*(1-Assumptions!$D$39)</f>
        <v>0</v>
      </c>
      <c r="N33" s="26" t="n">
        <f aca="false">N27*(1-Assumptions!$D$35)+N28*(1-Assumptions!$D$36)+N29*(1-Assumptions!$D$37)+N30*(1-Assumptions!$D$38)+N31*(1-Assumptions!$D$39)</f>
        <v>0</v>
      </c>
      <c r="O33" s="26" t="n">
        <f aca="false">O27*(1-Assumptions!$D$35)+O28*(1-Assumptions!$D$36)+O29*(1-Assumptions!$D$37)+O30*(1-Assumptions!$D$38)+O31*(1-Assumptions!$D$39)</f>
        <v>0</v>
      </c>
      <c r="P33" s="26" t="n">
        <f aca="false">P27*(1-Assumptions!$D$35)+P28*(1-Assumptions!$D$36)+P29*(1-Assumptions!$D$37)+P30*(1-Assumptions!$D$38)+P31*(1-Assumptions!$D$39)</f>
        <v>0</v>
      </c>
      <c r="Q33" s="26" t="n">
        <f aca="false">Q27*(1-Assumptions!$D$35)+Q28*(1-Assumptions!$D$36)+Q29*(1-Assumptions!$D$37)+Q30*(1-Assumptions!$D$38)+Q31*(1-Assumptions!$D$39)</f>
        <v>0</v>
      </c>
      <c r="R33" s="26" t="n">
        <f aca="false">R27*(1-Assumptions!$D$35)+R28*(1-Assumptions!$D$36)+R29*(1-Assumptions!$D$37)+R30*(1-Assumptions!$D$38)+R31*(1-Assumptions!$D$39)</f>
        <v>0</v>
      </c>
      <c r="S33" s="26" t="n">
        <f aca="false">S27*(1-Assumptions!$D$35)+S28*(1-Assumptions!$D$36)+S29*(1-Assumptions!$D$37)+S30*(1-Assumptions!$D$38)+S31*(1-Assumptions!$D$39)</f>
        <v>0</v>
      </c>
      <c r="T33" s="26" t="n">
        <f aca="false">T27*(1-Assumptions!$D$35)+T28*(1-Assumptions!$D$36)+T29*(1-Assumptions!$D$37)+T30*(1-Assumptions!$D$38)+T31*(1-Assumptions!$D$39)</f>
        <v>0</v>
      </c>
      <c r="U33" s="26" t="n">
        <f aca="false">U27*(1-Assumptions!$D$35)+U28*(1-Assumptions!$D$36)+U29*(1-Assumptions!$D$37)+U30*(1-Assumptions!$D$38)+U31*(1-Assumptions!$D$39)</f>
        <v>0</v>
      </c>
      <c r="V33" s="26" t="n">
        <f aca="false">V27*(1-Assumptions!$D$35)+V28*(1-Assumptions!$D$36)+V29*(1-Assumptions!$D$37)+V30*(1-Assumptions!$D$38)+V31*(1-Assumptions!$D$39)</f>
        <v>0</v>
      </c>
      <c r="W33" s="26" t="n">
        <f aca="false">W27*(1-Assumptions!$D$35)+W28*(1-Assumptions!$D$36)+W29*(1-Assumptions!$D$37)+W30*(1-Assumptions!$D$38)+W31*(1-Assumptions!$D$39)</f>
        <v>0</v>
      </c>
      <c r="X33" s="26" t="n">
        <f aca="false">X27*(1-Assumptions!$D$35)+X28*(1-Assumptions!$D$36)+X29*(1-Assumptions!$D$37)+X30*(1-Assumptions!$D$38)+X31*(1-Assumptions!$D$39)</f>
        <v>0</v>
      </c>
      <c r="Y33" s="26" t="n">
        <f aca="false">Y27*(1-Assumptions!$D$35)+Y28*(1-Assumptions!$D$36)+Y29*(1-Assumptions!$D$37)+Y30*(1-Assumptions!$D$38)+Y31*(1-Assumptions!$D$39)</f>
        <v>0</v>
      </c>
      <c r="Z33" s="26" t="n">
        <f aca="false">Z27*(1-Assumptions!$D$35)+Z28*(1-Assumptions!$D$36)+Z29*(1-Assumptions!$D$37)+Z30*(1-Assumptions!$D$38)+Z31*(1-Assumptions!$D$39)</f>
        <v>0</v>
      </c>
      <c r="AA33" s="26" t="n">
        <f aca="false">AA27*(1-Assumptions!$D$35)+AA28*(1-Assumptions!$D$36)+AA29*(1-Assumptions!$D$37)+AA30*(1-Assumptions!$D$38)+AA31*(1-Assumptions!$D$39)</f>
        <v>0</v>
      </c>
      <c r="AB33" s="26" t="n">
        <f aca="false">AB27*(1-Assumptions!$D$35)+AB28*(1-Assumptions!$D$36)+AB29*(1-Assumptions!$D$37)+AB30*(1-Assumptions!$D$38)+AB31*(1-Assumptions!$D$39)</f>
        <v>0</v>
      </c>
      <c r="AC33" s="26" t="n">
        <f aca="false">AC27*(1-Assumptions!$D$35)+AC28*(1-Assumptions!$D$36)+AC29*(1-Assumptions!$D$37)+AC30*(1-Assumptions!$D$38)+AC31*(1-Assumptions!$D$39)</f>
        <v>0</v>
      </c>
      <c r="AD33" s="26" t="n">
        <f aca="false">AD27*(1-Assumptions!$D$35)+AD28*(1-Assumptions!$D$36)+AD29*(1-Assumptions!$D$37)+AD30*(1-Assumptions!$D$38)+AD31*(1-Assumptions!$D$39)</f>
        <v>0</v>
      </c>
      <c r="AE33" s="26" t="n">
        <f aca="false">AE27*(1-Assumptions!$D$35)+AE28*(1-Assumptions!$D$36)+AE29*(1-Assumptions!$D$37)+AE30*(1-Assumptions!$D$38)+AE31*(1-Assumptions!$D$39)</f>
        <v>0</v>
      </c>
      <c r="AF33" s="26" t="n">
        <f aca="false">AF27*(1-Assumptions!$D$35)+AF28*(1-Assumptions!$D$36)+AF29*(1-Assumptions!$D$37)+AF30*(1-Assumptions!$D$38)+AF31*(1-Assumptions!$D$39)</f>
        <v>0</v>
      </c>
      <c r="AG33" s="26" t="n">
        <f aca="false">AG27*(1-Assumptions!$D$35)+AG28*(1-Assumptions!$D$36)+AG29*(1-Assumptions!$D$37)+AG30*(1-Assumptions!$D$38)+AG31*(1-Assumptions!$D$39)</f>
        <v>0</v>
      </c>
      <c r="AH33" s="26" t="n">
        <f aca="false">AH27*(1-Assumptions!$D$35)+AH28*(1-Assumptions!$D$36)+AH29*(1-Assumptions!$D$37)+AH30*(1-Assumptions!$D$38)+AH31*(1-Assumptions!$D$39)</f>
        <v>0</v>
      </c>
      <c r="AI33" s="26" t="n">
        <f aca="false">AI27*(1-Assumptions!$D$35)+AI28*(1-Assumptions!$D$36)+AI29*(1-Assumptions!$D$37)+AI30*(1-Assumptions!$D$38)+AI31*(1-Assumptions!$D$39)</f>
        <v>0</v>
      </c>
      <c r="AJ33" s="26" t="n">
        <f aca="false">AJ27*(1-Assumptions!$D$35)+AJ28*(1-Assumptions!$D$36)+AJ29*(1-Assumptions!$D$37)+AJ30*(1-Assumptions!$D$38)+AJ31*(1-Assumptions!$D$39)</f>
        <v>0</v>
      </c>
      <c r="AK33" s="26" t="n">
        <f aca="false">AK27*(1-Assumptions!$D$35)+AK28*(1-Assumptions!$D$36)+AK29*(1-Assumptions!$D$37)+AK30*(1-Assumptions!$D$38)+AK31*(1-Assumptions!$D$39)</f>
        <v>0</v>
      </c>
      <c r="AL33" s="26" t="n">
        <f aca="false">AL27*(1-Assumptions!$D$35)+AL28*(1-Assumptions!$D$36)+AL29*(1-Assumptions!$D$37)+AL30*(1-Assumptions!$D$38)+AL31*(1-Assumptions!$D$39)</f>
        <v>0</v>
      </c>
      <c r="AM33" s="26" t="n">
        <f aca="false">AM27*(1-Assumptions!$D$35)+AM28*(1-Assumptions!$D$36)+AM29*(1-Assumptions!$D$37)+AM30*(1-Assumptions!$D$38)+AM31*(1-Assumptions!$D$39)</f>
        <v>1.06106228191887</v>
      </c>
      <c r="AN33" s="37" t="n">
        <f aca="false">AN27*(1-Assumptions!$D$35)+AN28*(1-Assumptions!$D$36)+AN29*(1-Assumptions!$D$37)+AN30*(1-Assumptions!$D$38)+AN31*(1-Assumptions!$D$39)</f>
        <v>2.11391022885633</v>
      </c>
      <c r="AO33" s="37" t="n">
        <f aca="false">AO27*(1-Assumptions!$D$35)+AO28*(1-Assumptions!$D$36)+AO29*(1-Assumptions!$D$37)+AO30*(1-Assumptions!$D$38)+AO31*(1-Assumptions!$D$39)</f>
        <v>3.15857310143845</v>
      </c>
      <c r="AP33" s="37" t="n">
        <f aca="false">AP27*(1-Assumptions!$D$35)+AP28*(1-Assumptions!$D$36)+AP29*(1-Assumptions!$D$37)+AP30*(1-Assumptions!$D$38)+AP31*(1-Assumptions!$D$39)</f>
        <v>4.19508780786036</v>
      </c>
      <c r="AQ33" s="37" t="n">
        <f aca="false">AQ27*(1-Assumptions!$D$35)+AQ28*(1-Assumptions!$D$36)+AQ29*(1-Assumptions!$D$37)+AQ30*(1-Assumptions!$D$38)+AQ31*(1-Assumptions!$D$39)</f>
        <v>5.22268013761651</v>
      </c>
      <c r="AR33" s="37" t="n">
        <f aca="false">AR27*(1-Assumptions!$D$35)+AR28*(1-Assumptions!$D$36)+AR29*(1-Assumptions!$D$37)+AR30*(1-Assumptions!$D$38)+AR31*(1-Assumptions!$D$39)</f>
        <v>6.24064869293617</v>
      </c>
      <c r="AS33" s="37" t="n">
        <f aca="false">AS27*(1-Assumptions!$D$35)+AS28*(1-Assumptions!$D$36)+AS29*(1-Assumptions!$D$37)+AS30*(1-Assumptions!$D$38)+AS31*(1-Assumptions!$D$39)</f>
        <v>7.24917833016496</v>
      </c>
      <c r="AT33" s="37" t="n">
        <f aca="false">AT27*(1-Assumptions!$D$35)+AT28*(1-Assumptions!$D$36)+AT29*(1-Assumptions!$D$37)+AT30*(1-Assumptions!$D$38)+AT31*(1-Assumptions!$D$39)</f>
        <v>8.24763301574301</v>
      </c>
      <c r="AU33" s="37" t="n">
        <f aca="false">AU27*(1-Assumptions!$D$35)+AU28*(1-Assumptions!$D$36)+AU29*(1-Assumptions!$D$37)+AU30*(1-Assumptions!$D$38)+AU31*(1-Assumptions!$D$39)</f>
        <v>9.23544033203577</v>
      </c>
      <c r="AV33" s="37" t="n">
        <f aca="false">AV27*(1-Assumptions!$D$35)+AV28*(1-Assumptions!$D$36)+AV29*(1-Assumptions!$D$37)+AV30*(1-Assumptions!$D$38)+AV31*(1-Assumptions!$D$39)</f>
        <v>10.2129054607601</v>
      </c>
      <c r="AW33" s="37" t="n">
        <f aca="false">AW27*(1-Assumptions!$D$35)+AW28*(1-Assumptions!$D$36)+AW29*(1-Assumptions!$D$37)+AW30*(1-Assumptions!$D$38)+AW31*(1-Assumptions!$D$39)</f>
        <v>11.1795045504482</v>
      </c>
      <c r="AX33" s="37" t="n">
        <f aca="false">AX27*(1-Assumptions!$D$35)+AX28*(1-Assumptions!$D$36)+AX29*(1-Assumptions!$D$37)+AX30*(1-Assumptions!$D$38)+AX31*(1-Assumptions!$D$39)</f>
        <v>12.1347697048983</v>
      </c>
      <c r="AY33" s="37" t="n">
        <f aca="false">AY27*(1-Assumptions!$D$35)+AY28*(1-Assumptions!$D$36)+AY29*(1-Assumptions!$D$37)+AY30*(1-Assumptions!$D$38)+AY31*(1-Assumptions!$D$39)</f>
        <v>13.0791034219549</v>
      </c>
      <c r="AZ33" s="37" t="n">
        <f aca="false">AZ27*(1-Assumptions!$D$35)+AZ28*(1-Assumptions!$D$36)+AZ29*(1-Assumptions!$D$37)+AZ30*(1-Assumptions!$D$38)+AZ31*(1-Assumptions!$D$39)</f>
        <v>14.0120723905726</v>
      </c>
      <c r="BA33" s="37" t="n">
        <f aca="false">BA27*(1-Assumptions!$D$35)+BA28*(1-Assumptions!$D$36)+BA29*(1-Assumptions!$D$37)+BA30*(1-Assumptions!$D$38)+BA31*(1-Assumptions!$D$39)</f>
        <v>14.9332928845411</v>
      </c>
      <c r="BB33" s="37" t="n">
        <f aca="false">BB27*(1-Assumptions!$D$35)+BB28*(1-Assumptions!$D$36)+BB29*(1-Assumptions!$D$37)+BB30*(1-Assumptions!$D$38)+BB31*(1-Assumptions!$D$39)</f>
        <v>15.8424273853377</v>
      </c>
      <c r="BC33" s="37" t="n">
        <f aca="false">BC27*(1-Assumptions!$D$35)+BC28*(1-Assumptions!$D$36)+BC29*(1-Assumptions!$D$37)+BC30*(1-Assumptions!$D$38)+BC31*(1-Assumptions!$D$39)</f>
        <v>16.7391814080791</v>
      </c>
      <c r="BD33" s="37" t="n">
        <f aca="false">BD27*(1-Assumptions!$D$35)+BD28*(1-Assumptions!$D$36)+BD29*(1-Assumptions!$D$37)+BD30*(1-Assumptions!$D$38)+BD31*(1-Assumptions!$D$39)</f>
        <v>17.6233005188584</v>
      </c>
      <c r="BE33" s="37" t="n">
        <f aca="false">BE27*(1-Assumptions!$D$35)+BE28*(1-Assumptions!$D$36)+BE29*(1-Assumptions!$D$37)+BE30*(1-Assumptions!$D$38)+BE31*(1-Assumptions!$D$39)</f>
        <v>18.4945675324196</v>
      </c>
      <c r="BF33" s="37" t="n">
        <f aca="false">BF27*(1-Assumptions!$D$35)+BF28*(1-Assumptions!$D$36)+BF29*(1-Assumptions!$D$37)+BF30*(1-Assumptions!$D$38)+BF31*(1-Assumptions!$D$39)</f>
        <v>19.3527998797518</v>
      </c>
      <c r="BG33" s="37" t="n">
        <f aca="false">BG27*(1-Assumptions!$D$35)+BG28*(1-Assumptions!$D$36)+BG29*(1-Assumptions!$D$37)+BG30*(1-Assumptions!$D$38)+BG31*(1-Assumptions!$D$39)</f>
        <v>20.1978471357784</v>
      </c>
      <c r="BH33" s="37" t="n">
        <f aca="false">BH27*(1-Assumptions!$D$35)+BH28*(1-Assumptions!$D$36)+BH29*(1-Assumptions!$D$37)+BH30*(1-Assumptions!$D$38)+BH31*(1-Assumptions!$D$39)</f>
        <v>21.0295886978755</v>
      </c>
      <c r="BI33" s="37" t="n">
        <f aca="false">BI27*(1-Assumptions!$D$35)+BI28*(1-Assumptions!$D$36)+BI29*(1-Assumptions!$D$37)+BI30*(1-Assumptions!$D$38)+BI31*(1-Assumptions!$D$39)</f>
        <v>21.8479316064832</v>
      </c>
      <c r="BJ33" s="37" t="n">
        <f aca="false">BJ27*(1-Assumptions!$D$35)+BJ28*(1-Assumptions!$D$36)+BJ29*(1-Assumptions!$D$37)+BJ30*(1-Assumptions!$D$38)+BJ31*(1-Assumptions!$D$39)</f>
        <v>22.6528084995688</v>
      </c>
      <c r="BK33" s="37" t="n">
        <f aca="false">BK27*(1-Assumptions!$D$35)+BK28*(1-Assumptions!$D$36)+BK29*(1-Assumptions!$D$37)+BK30*(1-Assumptions!$D$38)+BK31*(1-Assumptions!$D$39)</f>
        <v>23.4441756931731</v>
      </c>
    </row>
    <row r="34" customFormat="false" ht="15" hidden="false" customHeight="false" outlineLevel="0" collapsed="false">
      <c r="A34" s="28" t="s">
        <v>584</v>
      </c>
      <c r="B34" s="6" t="s">
        <v>585</v>
      </c>
      <c r="C34" s="42"/>
      <c r="D34" s="26" t="n">
        <f aca="false">D27*Assumptions!$D$35+D28*Assumptions!$D$36+D29*Assumptions!$D$37+D30*Assumptions!$D$38+D31*Assumptions!$D$39</f>
        <v>0</v>
      </c>
      <c r="E34" s="26" t="n">
        <f aca="false">E27*Assumptions!$D$35+E28*Assumptions!$D$36+E29*Assumptions!$D$37+E30*Assumptions!$D$38+E31*Assumptions!$D$39</f>
        <v>0</v>
      </c>
      <c r="F34" s="26" t="n">
        <f aca="false">F27*Assumptions!$D$35+F28*Assumptions!$D$36+F29*Assumptions!$D$37+F30*Assumptions!$D$38+F31*Assumptions!$D$39</f>
        <v>0</v>
      </c>
      <c r="G34" s="26" t="n">
        <f aca="false">G27*Assumptions!$D$35+G28*Assumptions!$D$36+G29*Assumptions!$D$37+G30*Assumptions!$D$38+G31*Assumptions!$D$39</f>
        <v>0</v>
      </c>
      <c r="H34" s="26" t="n">
        <f aca="false">H27*Assumptions!$D$35+H28*Assumptions!$D$36+H29*Assumptions!$D$37+H30*Assumptions!$D$38+H31*Assumptions!$D$39</f>
        <v>0</v>
      </c>
      <c r="I34" s="26" t="n">
        <f aca="false">I27*Assumptions!$D$35+I28*Assumptions!$D$36+I29*Assumptions!$D$37+I30*Assumptions!$D$38+I31*Assumptions!$D$39</f>
        <v>0</v>
      </c>
      <c r="J34" s="26" t="n">
        <f aca="false">J27*Assumptions!$D$35+J28*Assumptions!$D$36+J29*Assumptions!$D$37+J30*Assumptions!$D$38+J31*Assumptions!$D$39</f>
        <v>0</v>
      </c>
      <c r="K34" s="26" t="n">
        <f aca="false">K27*Assumptions!$D$35+K28*Assumptions!$D$36+K29*Assumptions!$D$37+K30*Assumptions!$D$38+K31*Assumptions!$D$39</f>
        <v>0</v>
      </c>
      <c r="L34" s="26" t="n">
        <f aca="false">L27*Assumptions!$D$35+L28*Assumptions!$D$36+L29*Assumptions!$D$37+L30*Assumptions!$D$38+L31*Assumptions!$D$39</f>
        <v>0</v>
      </c>
      <c r="M34" s="26" t="n">
        <f aca="false">M27*Assumptions!$D$35+M28*Assumptions!$D$36+M29*Assumptions!$D$37+M30*Assumptions!$D$38+M31*Assumptions!$D$39</f>
        <v>0</v>
      </c>
      <c r="N34" s="26" t="n">
        <f aca="false">N27*Assumptions!$D$35+N28*Assumptions!$D$36+N29*Assumptions!$D$37+N30*Assumptions!$D$38+N31*Assumptions!$D$39</f>
        <v>0</v>
      </c>
      <c r="O34" s="26" t="n">
        <f aca="false">O27*Assumptions!$D$35+O28*Assumptions!$D$36+O29*Assumptions!$D$37+O30*Assumptions!$D$38+O31*Assumptions!$D$39</f>
        <v>0</v>
      </c>
      <c r="P34" s="26" t="n">
        <f aca="false">P27*Assumptions!$D$35+P28*Assumptions!$D$36+P29*Assumptions!$D$37+P30*Assumptions!$D$38+P31*Assumptions!$D$39</f>
        <v>0</v>
      </c>
      <c r="Q34" s="26" t="n">
        <f aca="false">Q27*Assumptions!$D$35+Q28*Assumptions!$D$36+Q29*Assumptions!$D$37+Q30*Assumptions!$D$38+Q31*Assumptions!$D$39</f>
        <v>0</v>
      </c>
      <c r="R34" s="26" t="n">
        <f aca="false">R27*Assumptions!$D$35+R28*Assumptions!$D$36+R29*Assumptions!$D$37+R30*Assumptions!$D$38+R31*Assumptions!$D$39</f>
        <v>0</v>
      </c>
      <c r="S34" s="26" t="n">
        <f aca="false">S27*Assumptions!$D$35+S28*Assumptions!$D$36+S29*Assumptions!$D$37+S30*Assumptions!$D$38+S31*Assumptions!$D$39</f>
        <v>0</v>
      </c>
      <c r="T34" s="26" t="n">
        <f aca="false">T27*Assumptions!$D$35+T28*Assumptions!$D$36+T29*Assumptions!$D$37+T30*Assumptions!$D$38+T31*Assumptions!$D$39</f>
        <v>0</v>
      </c>
      <c r="U34" s="26" t="n">
        <f aca="false">U27*Assumptions!$D$35+U28*Assumptions!$D$36+U29*Assumptions!$D$37+U30*Assumptions!$D$38+U31*Assumptions!$D$39</f>
        <v>0</v>
      </c>
      <c r="V34" s="26" t="n">
        <f aca="false">V27*Assumptions!$D$35+V28*Assumptions!$D$36+V29*Assumptions!$D$37+V30*Assumptions!$D$38+V31*Assumptions!$D$39</f>
        <v>0</v>
      </c>
      <c r="W34" s="26" t="n">
        <f aca="false">W27*Assumptions!$D$35+W28*Assumptions!$D$36+W29*Assumptions!$D$37+W30*Assumptions!$D$38+W31*Assumptions!$D$39</f>
        <v>0</v>
      </c>
      <c r="X34" s="26" t="n">
        <f aca="false">X27*Assumptions!$D$35+X28*Assumptions!$D$36+X29*Assumptions!$D$37+X30*Assumptions!$D$38+X31*Assumptions!$D$39</f>
        <v>0</v>
      </c>
      <c r="Y34" s="26" t="n">
        <f aca="false">Y27*Assumptions!$D$35+Y28*Assumptions!$D$36+Y29*Assumptions!$D$37+Y30*Assumptions!$D$38+Y31*Assumptions!$D$39</f>
        <v>0</v>
      </c>
      <c r="Z34" s="26" t="n">
        <f aca="false">Z27*Assumptions!$D$35+Z28*Assumptions!$D$36+Z29*Assumptions!$D$37+Z30*Assumptions!$D$38+Z31*Assumptions!$D$39</f>
        <v>0</v>
      </c>
      <c r="AA34" s="26" t="n">
        <f aca="false">AA27*Assumptions!$D$35+AA28*Assumptions!$D$36+AA29*Assumptions!$D$37+AA30*Assumptions!$D$38+AA31*Assumptions!$D$39</f>
        <v>0</v>
      </c>
      <c r="AB34" s="26" t="n">
        <f aca="false">AB27*Assumptions!$D$35+AB28*Assumptions!$D$36+AB29*Assumptions!$D$37+AB30*Assumptions!$D$38+AB31*Assumptions!$D$39</f>
        <v>0</v>
      </c>
      <c r="AC34" s="26" t="n">
        <f aca="false">AC27*Assumptions!$D$35+AC28*Assumptions!$D$36+AC29*Assumptions!$D$37+AC30*Assumptions!$D$38+AC31*Assumptions!$D$39</f>
        <v>0</v>
      </c>
      <c r="AD34" s="26" t="n">
        <f aca="false">AD27*Assumptions!$D$35+AD28*Assumptions!$D$36+AD29*Assumptions!$D$37+AD30*Assumptions!$D$38+AD31*Assumptions!$D$39</f>
        <v>0</v>
      </c>
      <c r="AE34" s="26" t="n">
        <f aca="false">AE27*Assumptions!$D$35+AE28*Assumptions!$D$36+AE29*Assumptions!$D$37+AE30*Assumptions!$D$38+AE31*Assumptions!$D$39</f>
        <v>0</v>
      </c>
      <c r="AF34" s="26" t="n">
        <f aca="false">AF27*Assumptions!$D$35+AF28*Assumptions!$D$36+AF29*Assumptions!$D$37+AF30*Assumptions!$D$38+AF31*Assumptions!$D$39</f>
        <v>0</v>
      </c>
      <c r="AG34" s="26" t="n">
        <f aca="false">AG27*Assumptions!$D$35+AG28*Assumptions!$D$36+AG29*Assumptions!$D$37+AG30*Assumptions!$D$38+AG31*Assumptions!$D$39</f>
        <v>0</v>
      </c>
      <c r="AH34" s="26" t="n">
        <f aca="false">AH27*Assumptions!$D$35+AH28*Assumptions!$D$36+AH29*Assumptions!$D$37+AH30*Assumptions!$D$38+AH31*Assumptions!$D$39</f>
        <v>0</v>
      </c>
      <c r="AI34" s="26" t="n">
        <f aca="false">AI27*Assumptions!$D$35+AI28*Assumptions!$D$36+AI29*Assumptions!$D$37+AI30*Assumptions!$D$38+AI31*Assumptions!$D$39</f>
        <v>0</v>
      </c>
      <c r="AJ34" s="26" t="n">
        <f aca="false">AJ27*Assumptions!$D$35+AJ28*Assumptions!$D$36+AJ29*Assumptions!$D$37+AJ30*Assumptions!$D$38+AJ31*Assumptions!$D$39</f>
        <v>0</v>
      </c>
      <c r="AK34" s="26" t="n">
        <f aca="false">AK27*Assumptions!$D$35+AK28*Assumptions!$D$36+AK29*Assumptions!$D$37+AK30*Assumptions!$D$38+AK31*Assumptions!$D$39</f>
        <v>0</v>
      </c>
      <c r="AL34" s="26" t="n">
        <f aca="false">AL27*Assumptions!$D$35+AL28*Assumptions!$D$36+AL29*Assumptions!$D$37+AL30*Assumptions!$D$38+AL31*Assumptions!$D$39</f>
        <v>0</v>
      </c>
      <c r="AM34" s="26" t="n">
        <f aca="false">AM27*Assumptions!$D$35+AM28*Assumptions!$D$36+AM29*Assumptions!$D$37+AM30*Assumptions!$D$38+AM31*Assumptions!$D$39</f>
        <v>0.749210420374711</v>
      </c>
      <c r="AN34" s="37" t="n">
        <f aca="false">AN27*Assumptions!$D$35+AN28*Assumptions!$D$36+AN29*Assumptions!$D$37+AN30*Assumptions!$D$38+AN31*Assumptions!$D$39</f>
        <v>1.48354212527339</v>
      </c>
      <c r="AO34" s="37" t="n">
        <f aca="false">AO27*Assumptions!$D$35+AO28*Assumptions!$D$36+AO29*Assumptions!$D$37+AO30*Assumptions!$D$38+AO31*Assumptions!$D$39</f>
        <v>2.20370290954989</v>
      </c>
      <c r="AP34" s="37" t="n">
        <f aca="false">AP27*Assumptions!$D$35+AP28*Assumptions!$D$36+AP29*Assumptions!$D$37+AP30*Assumptions!$D$38+AP31*Assumptions!$D$39</f>
        <v>2.91035897110223</v>
      </c>
      <c r="AQ34" s="37" t="n">
        <f aca="false">AQ27*Assumptions!$D$35+AQ28*Assumptions!$D$36+AQ29*Assumptions!$D$37+AQ30*Assumptions!$D$38+AQ31*Assumptions!$D$39</f>
        <v>3.60355991959175</v>
      </c>
      <c r="AR34" s="37" t="n">
        <f aca="false">AR27*Assumptions!$D$35+AR28*Assumptions!$D$36+AR29*Assumptions!$D$37+AR30*Assumptions!$D$38+AR31*Assumptions!$D$39</f>
        <v>4.2833728427246</v>
      </c>
      <c r="AS34" s="37" t="n">
        <f aca="false">AS27*Assumptions!$D$35+AS28*Assumptions!$D$36+AS29*Assumptions!$D$37+AS30*Assumptions!$D$38+AS31*Assumptions!$D$39</f>
        <v>4.95045836170385</v>
      </c>
      <c r="AT34" s="37" t="n">
        <f aca="false">AT27*Assumptions!$D$35+AT28*Assumptions!$D$36+AT29*Assumptions!$D$37+AT30*Assumptions!$D$38+AT31*Assumptions!$D$39</f>
        <v>5.60485983955527</v>
      </c>
      <c r="AU34" s="37" t="n">
        <f aca="false">AU27*Assumptions!$D$35+AU28*Assumptions!$D$36+AU29*Assumptions!$D$37+AU30*Assumptions!$D$38+AU31*Assumptions!$D$39</f>
        <v>6.24663751168099</v>
      </c>
      <c r="AV34" s="37" t="n">
        <f aca="false">AV27*Assumptions!$D$35+AV28*Assumptions!$D$36+AV29*Assumptions!$D$37+AV30*Assumptions!$D$38+AV31*Assumptions!$D$39</f>
        <v>6.87644460114019</v>
      </c>
      <c r="AW34" s="37" t="n">
        <f aca="false">AW27*Assumptions!$D$35+AW28*Assumptions!$D$36+AW29*Assumptions!$D$37+AW30*Assumptions!$D$38+AW31*Assumptions!$D$39</f>
        <v>7.49431658264333</v>
      </c>
      <c r="AX34" s="37" t="n">
        <f aca="false">AX27*Assumptions!$D$35+AX28*Assumptions!$D$36+AX29*Assumptions!$D$37+AX30*Assumptions!$D$38+AX31*Assumptions!$D$39</f>
        <v>8.10030536487978</v>
      </c>
      <c r="AY34" s="37" t="n">
        <f aca="false">AY27*Assumptions!$D$35+AY28*Assumptions!$D$36+AY29*Assumptions!$D$37+AY30*Assumptions!$D$38+AY31*Assumptions!$D$39</f>
        <v>8.69505545392691</v>
      </c>
      <c r="AZ34" s="37" t="n">
        <f aca="false">AZ27*Assumptions!$D$35+AZ28*Assumptions!$D$36+AZ29*Assumptions!$D$37+AZ30*Assumptions!$D$38+AZ31*Assumptions!$D$39</f>
        <v>9.27859326196057</v>
      </c>
      <c r="BA34" s="37" t="n">
        <f aca="false">BA27*Assumptions!$D$35+BA28*Assumptions!$D$36+BA29*Assumptions!$D$37+BA30*Assumptions!$D$38+BA31*Assumptions!$D$39</f>
        <v>9.8509613311058</v>
      </c>
      <c r="BB34" s="37" t="n">
        <f aca="false">BB27*Assumptions!$D$35+BB28*Assumptions!$D$36+BB29*Assumptions!$D$37+BB30*Assumptions!$D$38+BB31*Assumptions!$D$39</f>
        <v>10.4122168099752</v>
      </c>
      <c r="BC34" s="37" t="n">
        <f aca="false">BC27*Assumptions!$D$35+BC28*Assumptions!$D$36+BC29*Assumptions!$D$37+BC30*Assumptions!$D$38+BC31*Assumptions!$D$39</f>
        <v>10.9624300437541</v>
      </c>
      <c r="BD34" s="37" t="n">
        <f aca="false">BD27*Assumptions!$D$35+BD28*Assumptions!$D$36+BD29*Assumptions!$D$37+BD30*Assumptions!$D$38+BD31*Assumptions!$D$39</f>
        <v>11.5016832698707</v>
      </c>
      <c r="BE34" s="37" t="n">
        <f aca="false">BE27*Assumptions!$D$35+BE28*Assumptions!$D$36+BE29*Assumptions!$D$37+BE30*Assumptions!$D$38+BE31*Assumptions!$D$39</f>
        <v>12.0300694118368</v>
      </c>
      <c r="BF34" s="37" t="n">
        <f aca="false">BF27*Assumptions!$D$35+BF28*Assumptions!$D$36+BF29*Assumptions!$D$37+BF30*Assumptions!$D$38+BF31*Assumptions!$D$39</f>
        <v>12.5476909643587</v>
      </c>
      <c r="BG34" s="37" t="n">
        <f aca="false">BG27*Assumptions!$D$35+BG28*Assumptions!$D$36+BG29*Assumptions!$D$37+BG30*Assumptions!$D$38+BG31*Assumptions!$D$39</f>
        <v>13.0546589632926</v>
      </c>
      <c r="BH34" s="37" t="n">
        <f aca="false">BH27*Assumptions!$D$35+BH28*Assumptions!$D$36+BH29*Assumptions!$D$37+BH30*Assumptions!$D$38+BH31*Assumptions!$D$39</f>
        <v>13.5510920344609</v>
      </c>
      <c r="BI34" s="37" t="n">
        <f aca="false">BI27*Assumptions!$D$35+BI28*Assumptions!$D$36+BI29*Assumptions!$D$37+BI30*Assumptions!$D$38+BI31*Assumptions!$D$39</f>
        <v>14.037115515763</v>
      </c>
      <c r="BJ34" s="37" t="n">
        <f aca="false">BJ27*Assumptions!$D$35+BJ28*Assumptions!$D$36+BJ29*Assumptions!$D$37+BJ30*Assumptions!$D$38+BJ31*Assumptions!$D$39</f>
        <v>14.5128606473941</v>
      </c>
      <c r="BK34" s="37" t="n">
        <f aca="false">BK27*Assumptions!$D$35+BK28*Assumptions!$D$36+BK29*Assumptions!$D$37+BK30*Assumptions!$D$38+BK31*Assumptions!$D$39</f>
        <v>14.9784638253466</v>
      </c>
    </row>
    <row r="35" customFormat="false" ht="15" hidden="false" customHeight="false" outlineLevel="0" collapsed="false">
      <c r="A35" s="28" t="s">
        <v>586</v>
      </c>
      <c r="B35" s="6" t="s">
        <v>587</v>
      </c>
      <c r="C35" s="42"/>
      <c r="D35" s="26" t="n">
        <f aca="false">MAX(0,D32-C32*(1-Assumptions!$D$41))</f>
        <v>0</v>
      </c>
      <c r="E35" s="26" t="n">
        <f aca="false">MAX(0,E32-D32*(1-Assumptions!$D$41))</f>
        <v>0</v>
      </c>
      <c r="F35" s="26" t="n">
        <f aca="false">MAX(0,F32-E32*(1-Assumptions!$D$41))</f>
        <v>0</v>
      </c>
      <c r="G35" s="26" t="n">
        <f aca="false">MAX(0,G32-F32*(1-Assumptions!$D$41))</f>
        <v>0</v>
      </c>
      <c r="H35" s="26" t="n">
        <f aca="false">MAX(0,H32-G32*(1-Assumptions!$D$41))</f>
        <v>0</v>
      </c>
      <c r="I35" s="26" t="n">
        <f aca="false">MAX(0,I32-H32*(1-Assumptions!$D$41))</f>
        <v>0</v>
      </c>
      <c r="J35" s="26" t="n">
        <f aca="false">MAX(0,J32-I32*(1-Assumptions!$D$41))</f>
        <v>0</v>
      </c>
      <c r="K35" s="26" t="n">
        <f aca="false">MAX(0,K32-J32*(1-Assumptions!$D$41))</f>
        <v>0</v>
      </c>
      <c r="L35" s="26" t="n">
        <f aca="false">MAX(0,L32-K32*(1-Assumptions!$D$41))</f>
        <v>0</v>
      </c>
      <c r="M35" s="26" t="n">
        <f aca="false">MAX(0,M32-L32*(1-Assumptions!$D$41))</f>
        <v>0</v>
      </c>
      <c r="N35" s="26" t="n">
        <f aca="false">MAX(0,N32-M32*(1-Assumptions!$D$41))</f>
        <v>0</v>
      </c>
      <c r="O35" s="26" t="n">
        <f aca="false">MAX(0,O32-N32*(1-Assumptions!$D$41))</f>
        <v>0</v>
      </c>
      <c r="P35" s="26" t="n">
        <f aca="false">MAX(0,P32-O32*(1-Assumptions!$D$41))</f>
        <v>0</v>
      </c>
      <c r="Q35" s="26" t="n">
        <f aca="false">MAX(0,Q32-P32*(1-Assumptions!$D$41))</f>
        <v>0</v>
      </c>
      <c r="R35" s="26" t="n">
        <f aca="false">MAX(0,R32-Q32*(1-Assumptions!$D$41))</f>
        <v>0</v>
      </c>
      <c r="S35" s="26" t="n">
        <f aca="false">MAX(0,S32-R32*(1-Assumptions!$D$41))</f>
        <v>0</v>
      </c>
      <c r="T35" s="26" t="n">
        <f aca="false">MAX(0,T32-S32*(1-Assumptions!$D$41))</f>
        <v>0</v>
      </c>
      <c r="U35" s="26" t="n">
        <f aca="false">MAX(0,U32-T32*(1-Assumptions!$D$41))</f>
        <v>0</v>
      </c>
      <c r="V35" s="26" t="n">
        <f aca="false">MAX(0,V32-U32*(1-Assumptions!$D$41))</f>
        <v>0</v>
      </c>
      <c r="W35" s="26" t="n">
        <f aca="false">MAX(0,W32-V32*(1-Assumptions!$D$41))</f>
        <v>0</v>
      </c>
      <c r="X35" s="26" t="n">
        <f aca="false">MAX(0,X32-W32*(1-Assumptions!$D$41))</f>
        <v>0</v>
      </c>
      <c r="Y35" s="26" t="n">
        <f aca="false">MAX(0,Y32-X32*(1-Assumptions!$D$41))</f>
        <v>0</v>
      </c>
      <c r="Z35" s="26" t="n">
        <f aca="false">MAX(0,Z32-Y32*(1-Assumptions!$D$41))</f>
        <v>0</v>
      </c>
      <c r="AA35" s="26" t="n">
        <f aca="false">MAX(0,AA32-Z32*(1-Assumptions!$D$41))</f>
        <v>0</v>
      </c>
      <c r="AB35" s="26" t="n">
        <f aca="false">MAX(0,AB32-AA32*(1-Assumptions!$D$41))</f>
        <v>0</v>
      </c>
      <c r="AC35" s="26" t="n">
        <f aca="false">MAX(0,AC32-AB32*(1-Assumptions!$D$41))</f>
        <v>0</v>
      </c>
      <c r="AD35" s="26" t="n">
        <f aca="false">MAX(0,AD32-AC32*(1-Assumptions!$D$41))</f>
        <v>0</v>
      </c>
      <c r="AE35" s="26" t="n">
        <f aca="false">MAX(0,AE32-AD32*(1-Assumptions!$D$41))</f>
        <v>0</v>
      </c>
      <c r="AF35" s="26" t="n">
        <f aca="false">MAX(0,AF32-AE32*(1-Assumptions!$D$41))</f>
        <v>0</v>
      </c>
      <c r="AG35" s="26" t="n">
        <f aca="false">MAX(0,AG32-AF32*(1-Assumptions!$D$41))</f>
        <v>0</v>
      </c>
      <c r="AH35" s="26" t="n">
        <f aca="false">MAX(0,AH32-AG32*(1-Assumptions!$D$41))</f>
        <v>0</v>
      </c>
      <c r="AI35" s="26" t="n">
        <f aca="false">MAX(0,AI32-AH32*(1-Assumptions!$D$41))</f>
        <v>0</v>
      </c>
      <c r="AJ35" s="26" t="n">
        <f aca="false">MAX(0,AJ32-AI32*(1-Assumptions!$D$41))</f>
        <v>0</v>
      </c>
      <c r="AK35" s="26" t="n">
        <f aca="false">MAX(0,AK32-AJ32*(1-Assumptions!$D$41))</f>
        <v>0</v>
      </c>
      <c r="AL35" s="26" t="n">
        <f aca="false">MAX(0,AL32-AK32*(1-Assumptions!$D$41))</f>
        <v>0</v>
      </c>
      <c r="AM35" s="26" t="n">
        <f aca="false">MAX(0,AM32-AL32*(1-Assumptions!$D$41))</f>
        <v>1.81027270229358</v>
      </c>
      <c r="AN35" s="37" t="n">
        <f aca="false">MAX(0,AN32-AM32*(1-Assumptions!$D$41))</f>
        <v>1.86864192343935</v>
      </c>
      <c r="AO35" s="37" t="n">
        <f aca="false">MAX(0,AO32-AN32*(1-Assumptions!$D$41))</f>
        <v>1.92670901279446</v>
      </c>
      <c r="AP35" s="37" t="n">
        <f aca="false">MAX(0,AP32-AO32*(1-Assumptions!$D$41))</f>
        <v>1.98447318846873</v>
      </c>
      <c r="AQ35" s="37" t="n">
        <f aca="false">MAX(0,AQ32-AP32*(1-Assumptions!$D$41))</f>
        <v>2.04053838329898</v>
      </c>
      <c r="AR35" s="37" t="n">
        <f aca="false">MAX(0,AR32-AQ32*(1-Assumptions!$D$41))</f>
        <v>2.09496228102688</v>
      </c>
      <c r="AS35" s="37" t="n">
        <f aca="false">MAX(0,AS32-AR32*(1-Assumptions!$D$41))</f>
        <v>2.14919612531277</v>
      </c>
      <c r="AT35" s="37" t="n">
        <f aca="false">MAX(0,AT32-AS32*(1-Assumptions!$D$41))</f>
        <v>2.20183981456357</v>
      </c>
      <c r="AU35" s="37" t="n">
        <f aca="false">MAX(0,AU32-AT32*(1-Assumptions!$D$41))</f>
        <v>2.25294716690691</v>
      </c>
      <c r="AV35" s="37" t="n">
        <f aca="false">MAX(0,AV32-AU32*(1-Assumptions!$D$41))</f>
        <v>2.30396572115077</v>
      </c>
      <c r="AW35" s="37" t="n">
        <f aca="false">MAX(0,AW32-AV32*(1-Assumptions!$D$41))</f>
        <v>2.35349182397673</v>
      </c>
      <c r="AX35" s="37" t="n">
        <f aca="false">MAX(0,AX32-AW32*(1-Assumptions!$D$41))</f>
        <v>2.40157588767569</v>
      </c>
      <c r="AY35" s="37" t="n">
        <f aca="false">MAX(0,AY32-AX32*(1-Assumptions!$D$41))</f>
        <v>2.44966218424375</v>
      </c>
      <c r="AZ35" s="37" t="n">
        <f aca="false">MAX(0,AZ32-AY32*(1-Assumptions!$D$41))</f>
        <v>2.49634392606604</v>
      </c>
      <c r="BA35" s="37" t="n">
        <f aca="false">MAX(0,BA32-AZ32*(1-Assumptions!$D$41))</f>
        <v>2.54166851747774</v>
      </c>
      <c r="BB35" s="37" t="n">
        <f aca="false">MAX(0,BB32-BA32*(1-Assumptions!$D$41))</f>
        <v>2.58568141937008</v>
      </c>
      <c r="BC35" s="37" t="n">
        <f aca="false">MAX(0,BC32-BB32*(1-Assumptions!$D$41))</f>
        <v>2.62842624530945</v>
      </c>
      <c r="BD35" s="37" t="n">
        <f aca="false">MAX(0,BD32-BC32*(1-Assumptions!$D$41))</f>
        <v>2.66994485222836</v>
      </c>
      <c r="BE35" s="37" t="n">
        <f aca="false">MAX(0,BE32-BD32*(1-Assumptions!$D$41))</f>
        <v>2.71027742602006</v>
      </c>
      <c r="BF35" s="37" t="n">
        <f aca="false">MAX(0,BF32-BE32*(1-Assumptions!$D$41))</f>
        <v>2.74946256234574</v>
      </c>
      <c r="BG35" s="37" t="n">
        <f aca="false">MAX(0,BG32-BF32*(1-Assumptions!$D$41))</f>
        <v>2.78753734294542</v>
      </c>
      <c r="BH35" s="37" t="n">
        <f aca="false">MAX(0,BH32-BG32*(1-Assumptions!$D$41))</f>
        <v>2.82453740772361</v>
      </c>
      <c r="BI35" s="37" t="n">
        <f aca="false">MAX(0,BI32-BH32*(1-Assumptions!$D$41))</f>
        <v>2.86049702286491</v>
      </c>
      <c r="BJ35" s="37" t="n">
        <f aca="false">MAX(0,BJ32-BI32*(1-Assumptions!$D$41))</f>
        <v>2.89544914521777</v>
      </c>
      <c r="BK35" s="37" t="n">
        <f aca="false">MAX(0,BK32-BJ32*(1-Assumptions!$D$41))</f>
        <v>2.92942548317008</v>
      </c>
    </row>
    <row r="36" customFormat="false" ht="15" hidden="false" customHeight="false" outlineLevel="0" collapsed="false">
      <c r="B36" s="5" t="s">
        <v>588</v>
      </c>
    </row>
    <row r="37" customFormat="false" ht="15" hidden="false" customHeight="false" outlineLevel="0" collapsed="false">
      <c r="A37" s="28" t="s">
        <v>589</v>
      </c>
      <c r="B37" s="6" t="s">
        <v>590</v>
      </c>
      <c r="C37" s="43"/>
      <c r="D37" s="17" t="n">
        <f aca="false">D33*Assumptions!$D$42</f>
        <v>0</v>
      </c>
      <c r="E37" s="17" t="n">
        <f aca="false">E33*Assumptions!$D$42</f>
        <v>0</v>
      </c>
      <c r="F37" s="17" t="n">
        <f aca="false">F33*Assumptions!$D$42</f>
        <v>0</v>
      </c>
      <c r="G37" s="17" t="n">
        <f aca="false">G33*Assumptions!$D$42</f>
        <v>0</v>
      </c>
      <c r="H37" s="17" t="n">
        <f aca="false">H33*Assumptions!$D$42</f>
        <v>0</v>
      </c>
      <c r="I37" s="17" t="n">
        <f aca="false">I33*Assumptions!$D$42</f>
        <v>0</v>
      </c>
      <c r="J37" s="17" t="n">
        <f aca="false">J33*Assumptions!$D$42</f>
        <v>0</v>
      </c>
      <c r="K37" s="17" t="n">
        <f aca="false">K33*Assumptions!$D$42</f>
        <v>0</v>
      </c>
      <c r="L37" s="17" t="n">
        <f aca="false">L33*Assumptions!$D$42</f>
        <v>0</v>
      </c>
      <c r="M37" s="17" t="n">
        <f aca="false">M33*Assumptions!$D$42</f>
        <v>0</v>
      </c>
      <c r="N37" s="17" t="n">
        <f aca="false">N33*Assumptions!$D$42</f>
        <v>0</v>
      </c>
      <c r="O37" s="17" t="n">
        <f aca="false">O33*Assumptions!$D$42</f>
        <v>0</v>
      </c>
      <c r="P37" s="17" t="n">
        <f aca="false">P33*Assumptions!$D$42</f>
        <v>0</v>
      </c>
      <c r="Q37" s="17" t="n">
        <f aca="false">Q33*Assumptions!$D$42</f>
        <v>0</v>
      </c>
      <c r="R37" s="17" t="n">
        <f aca="false">R33*Assumptions!$D$42</f>
        <v>0</v>
      </c>
      <c r="S37" s="17" t="n">
        <f aca="false">S33*Assumptions!$D$42</f>
        <v>0</v>
      </c>
      <c r="T37" s="17" t="n">
        <f aca="false">T33*Assumptions!$D$42</f>
        <v>0</v>
      </c>
      <c r="U37" s="17" t="n">
        <f aca="false">U33*Assumptions!$D$42</f>
        <v>0</v>
      </c>
      <c r="V37" s="17" t="n">
        <f aca="false">V33*Assumptions!$D$42</f>
        <v>0</v>
      </c>
      <c r="W37" s="17" t="n">
        <f aca="false">W33*Assumptions!$D$42</f>
        <v>0</v>
      </c>
      <c r="X37" s="17" t="n">
        <f aca="false">X33*Assumptions!$D$42</f>
        <v>0</v>
      </c>
      <c r="Y37" s="17" t="n">
        <f aca="false">Y33*Assumptions!$D$42</f>
        <v>0</v>
      </c>
      <c r="Z37" s="17" t="n">
        <f aca="false">Z33*Assumptions!$D$42</f>
        <v>0</v>
      </c>
      <c r="AA37" s="17" t="n">
        <f aca="false">AA33*Assumptions!$D$42</f>
        <v>0</v>
      </c>
      <c r="AB37" s="17" t="n">
        <f aca="false">AB33*Assumptions!$D$42</f>
        <v>0</v>
      </c>
      <c r="AC37" s="17" t="n">
        <f aca="false">AC33*Assumptions!$D$42</f>
        <v>0</v>
      </c>
      <c r="AD37" s="17" t="n">
        <f aca="false">AD33*Assumptions!$D$42</f>
        <v>0</v>
      </c>
      <c r="AE37" s="17" t="n">
        <f aca="false">AE33*Assumptions!$D$42</f>
        <v>0</v>
      </c>
      <c r="AF37" s="17" t="n">
        <f aca="false">AF33*Assumptions!$D$42</f>
        <v>0</v>
      </c>
      <c r="AG37" s="17" t="n">
        <f aca="false">AG33*Assumptions!$D$42</f>
        <v>0</v>
      </c>
      <c r="AH37" s="17" t="n">
        <f aca="false">AH33*Assumptions!$D$42</f>
        <v>0</v>
      </c>
      <c r="AI37" s="17" t="n">
        <f aca="false">AI33*Assumptions!$D$42</f>
        <v>0</v>
      </c>
      <c r="AJ37" s="17" t="n">
        <f aca="false">AJ33*Assumptions!$D$42</f>
        <v>0</v>
      </c>
      <c r="AK37" s="17" t="n">
        <f aca="false">AK33*Assumptions!$D$42</f>
        <v>0</v>
      </c>
      <c r="AL37" s="17" t="n">
        <f aca="false">AL33*Assumptions!$D$42</f>
        <v>0</v>
      </c>
      <c r="AM37" s="17" t="n">
        <f aca="false">AM33*Assumptions!$D$42</f>
        <v>41.3814289948359</v>
      </c>
      <c r="AN37" s="44" t="n">
        <f aca="false">AN33*Assumptions!$D$42</f>
        <v>82.4424989253968</v>
      </c>
      <c r="AO37" s="44" t="n">
        <f aca="false">AO33*Assumptions!$D$42</f>
        <v>123.1843509561</v>
      </c>
      <c r="AP37" s="44" t="n">
        <f aca="false">AP33*Assumptions!$D$42</f>
        <v>163.608424506554</v>
      </c>
      <c r="AQ37" s="44" t="n">
        <f aca="false">AQ33*Assumptions!$D$42</f>
        <v>203.684525367044</v>
      </c>
      <c r="AR37" s="44" t="n">
        <f aca="false">AR33*Assumptions!$D$42</f>
        <v>243.385299024511</v>
      </c>
      <c r="AS37" s="44" t="n">
        <f aca="false">AS33*Assumptions!$D$42</f>
        <v>282.717954876433</v>
      </c>
      <c r="AT37" s="44" t="n">
        <f aca="false">AT33*Assumptions!$D$42</f>
        <v>321.657687613977</v>
      </c>
      <c r="AU37" s="44" t="n">
        <f aca="false">AU33*Assumptions!$D$42</f>
        <v>360.182172949395</v>
      </c>
      <c r="AV37" s="44" t="n">
        <f aca="false">AV33*Assumptions!$D$42</f>
        <v>398.303312969644</v>
      </c>
      <c r="AW37" s="44" t="n">
        <f aca="false">AW33*Assumptions!$D$42</f>
        <v>436.000677467479</v>
      </c>
      <c r="AX37" s="44" t="n">
        <f aca="false">AX33*Assumptions!$D$42</f>
        <v>473.256018491033</v>
      </c>
      <c r="AY37" s="44" t="n">
        <f aca="false">AY33*Assumptions!$D$42</f>
        <v>510.085033456241</v>
      </c>
      <c r="AZ37" s="44" t="n">
        <f aca="false">AZ33*Assumptions!$D$42</f>
        <v>546.470823232331</v>
      </c>
      <c r="BA37" s="44" t="n">
        <f aca="false">BA33*Assumptions!$D$42</f>
        <v>582.398422497103</v>
      </c>
      <c r="BB37" s="44" t="n">
        <f aca="false">BB33*Assumptions!$D$42</f>
        <v>617.854668028171</v>
      </c>
      <c r="BC37" s="44" t="n">
        <f aca="false">BC33*Assumptions!$D$42</f>
        <v>652.828074915086</v>
      </c>
      <c r="BD37" s="44" t="n">
        <f aca="false">BD33*Assumptions!$D$42</f>
        <v>687.308720235479</v>
      </c>
      <c r="BE37" s="44" t="n">
        <f aca="false">BE33*Assumptions!$D$42</f>
        <v>721.288133764365</v>
      </c>
      <c r="BF37" s="44" t="n">
        <f aca="false">BF33*Assumptions!$D$42</f>
        <v>754.759195310321</v>
      </c>
      <c r="BG37" s="44" t="n">
        <f aca="false">BG33*Assumptions!$D$42</f>
        <v>787.716038295358</v>
      </c>
      <c r="BH37" s="44" t="n">
        <f aca="false">BH33*Assumptions!$D$42</f>
        <v>820.153959217146</v>
      </c>
      <c r="BI37" s="44" t="n">
        <f aca="false">BI33*Assumptions!$D$42</f>
        <v>852.069332652845</v>
      </c>
      <c r="BJ37" s="44" t="n">
        <f aca="false">BJ33*Assumptions!$D$42</f>
        <v>883.459531483182</v>
      </c>
      <c r="BK37" s="44" t="n">
        <f aca="false">BK33*Assumptions!$D$42</f>
        <v>914.322852033749</v>
      </c>
    </row>
    <row r="38" customFormat="false" ht="15" hidden="false" customHeight="false" outlineLevel="0" collapsed="false">
      <c r="A38" s="28" t="s">
        <v>591</v>
      </c>
      <c r="B38" s="6" t="s">
        <v>592</v>
      </c>
      <c r="C38" s="43"/>
      <c r="D38" s="17" t="n">
        <f aca="false">D34*Assumptions!$D$43</f>
        <v>0</v>
      </c>
      <c r="E38" s="17" t="n">
        <f aca="false">E34*Assumptions!$D$43</f>
        <v>0</v>
      </c>
      <c r="F38" s="17" t="n">
        <f aca="false">F34*Assumptions!$D$43</f>
        <v>0</v>
      </c>
      <c r="G38" s="17" t="n">
        <f aca="false">G34*Assumptions!$D$43</f>
        <v>0</v>
      </c>
      <c r="H38" s="17" t="n">
        <f aca="false">H34*Assumptions!$D$43</f>
        <v>0</v>
      </c>
      <c r="I38" s="17" t="n">
        <f aca="false">I34*Assumptions!$D$43</f>
        <v>0</v>
      </c>
      <c r="J38" s="17" t="n">
        <f aca="false">J34*Assumptions!$D$43</f>
        <v>0</v>
      </c>
      <c r="K38" s="17" t="n">
        <f aca="false">K34*Assumptions!$D$43</f>
        <v>0</v>
      </c>
      <c r="L38" s="17" t="n">
        <f aca="false">L34*Assumptions!$D$43</f>
        <v>0</v>
      </c>
      <c r="M38" s="17" t="n">
        <f aca="false">M34*Assumptions!$D$43</f>
        <v>0</v>
      </c>
      <c r="N38" s="17" t="n">
        <f aca="false">N34*Assumptions!$D$43</f>
        <v>0</v>
      </c>
      <c r="O38" s="17" t="n">
        <f aca="false">O34*Assumptions!$D$43</f>
        <v>0</v>
      </c>
      <c r="P38" s="17" t="n">
        <f aca="false">P34*Assumptions!$D$43</f>
        <v>0</v>
      </c>
      <c r="Q38" s="17" t="n">
        <f aca="false">Q34*Assumptions!$D$43</f>
        <v>0</v>
      </c>
      <c r="R38" s="17" t="n">
        <f aca="false">R34*Assumptions!$D$43</f>
        <v>0</v>
      </c>
      <c r="S38" s="17" t="n">
        <f aca="false">S34*Assumptions!$D$43</f>
        <v>0</v>
      </c>
      <c r="T38" s="17" t="n">
        <f aca="false">T34*Assumptions!$D$43</f>
        <v>0</v>
      </c>
      <c r="U38" s="17" t="n">
        <f aca="false">U34*Assumptions!$D$43</f>
        <v>0</v>
      </c>
      <c r="V38" s="17" t="n">
        <f aca="false">V34*Assumptions!$D$43</f>
        <v>0</v>
      </c>
      <c r="W38" s="17" t="n">
        <f aca="false">W34*Assumptions!$D$43</f>
        <v>0</v>
      </c>
      <c r="X38" s="17" t="n">
        <f aca="false">X34*Assumptions!$D$43</f>
        <v>0</v>
      </c>
      <c r="Y38" s="17" t="n">
        <f aca="false">Y34*Assumptions!$D$43</f>
        <v>0</v>
      </c>
      <c r="Z38" s="17" t="n">
        <f aca="false">Z34*Assumptions!$D$43</f>
        <v>0</v>
      </c>
      <c r="AA38" s="17" t="n">
        <f aca="false">AA34*Assumptions!$D$43</f>
        <v>0</v>
      </c>
      <c r="AB38" s="17" t="n">
        <f aca="false">AB34*Assumptions!$D$43</f>
        <v>0</v>
      </c>
      <c r="AC38" s="17" t="n">
        <f aca="false">AC34*Assumptions!$D$43</f>
        <v>0</v>
      </c>
      <c r="AD38" s="17" t="n">
        <f aca="false">AD34*Assumptions!$D$43</f>
        <v>0</v>
      </c>
      <c r="AE38" s="17" t="n">
        <f aca="false">AE34*Assumptions!$D$43</f>
        <v>0</v>
      </c>
      <c r="AF38" s="17" t="n">
        <f aca="false">AF34*Assumptions!$D$43</f>
        <v>0</v>
      </c>
      <c r="AG38" s="17" t="n">
        <f aca="false">AG34*Assumptions!$D$43</f>
        <v>0</v>
      </c>
      <c r="AH38" s="17" t="n">
        <f aca="false">AH34*Assumptions!$D$43</f>
        <v>0</v>
      </c>
      <c r="AI38" s="17" t="n">
        <f aca="false">AI34*Assumptions!$D$43</f>
        <v>0</v>
      </c>
      <c r="AJ38" s="17" t="n">
        <f aca="false">AJ34*Assumptions!$D$43</f>
        <v>0</v>
      </c>
      <c r="AK38" s="17" t="n">
        <f aca="false">AK34*Assumptions!$D$43</f>
        <v>0</v>
      </c>
      <c r="AL38" s="17" t="n">
        <f aca="false">AL34*Assumptions!$D$43</f>
        <v>0</v>
      </c>
      <c r="AM38" s="17" t="n">
        <f aca="false">AM34*Assumptions!$D$43</f>
        <v>59.1876232096022</v>
      </c>
      <c r="AN38" s="44" t="n">
        <f aca="false">AN34*Assumptions!$D$43</f>
        <v>117.199827896598</v>
      </c>
      <c r="AO38" s="44" t="n">
        <f aca="false">AO34*Assumptions!$D$43</f>
        <v>174.092529854441</v>
      </c>
      <c r="AP38" s="44" t="n">
        <f aca="false">AP34*Assumptions!$D$43</f>
        <v>229.918358717076</v>
      </c>
      <c r="AQ38" s="44" t="n">
        <f aca="false">AQ34*Assumptions!$D$43</f>
        <v>284.681233647749</v>
      </c>
      <c r="AR38" s="44" t="n">
        <f aca="false">AR34*Assumptions!$D$43</f>
        <v>338.386454575244</v>
      </c>
      <c r="AS38" s="44" t="n">
        <f aca="false">AS34*Assumptions!$D$43</f>
        <v>391.086210574604</v>
      </c>
      <c r="AT38" s="44" t="n">
        <f aca="false">AT34*Assumptions!$D$43</f>
        <v>442.783927324866</v>
      </c>
      <c r="AU38" s="44" t="n">
        <f aca="false">AU34*Assumptions!$D$43</f>
        <v>493.484363422798</v>
      </c>
      <c r="AV38" s="44" t="n">
        <f aca="false">AV34*Assumptions!$D$43</f>
        <v>543.239123490075</v>
      </c>
      <c r="AW38" s="44" t="n">
        <f aca="false">AW34*Assumptions!$D$43</f>
        <v>592.051010028823</v>
      </c>
      <c r="AX38" s="44" t="n">
        <f aca="false">AX34*Assumptions!$D$43</f>
        <v>639.924123825503</v>
      </c>
      <c r="AY38" s="44" t="n">
        <f aca="false">AY34*Assumptions!$D$43</f>
        <v>686.909380860226</v>
      </c>
      <c r="AZ38" s="44" t="n">
        <f aca="false">AZ34*Assumptions!$D$43</f>
        <v>733.008867694885</v>
      </c>
      <c r="BA38" s="44" t="n">
        <f aca="false">BA34*Assumptions!$D$43</f>
        <v>778.225945157358</v>
      </c>
      <c r="BB38" s="44" t="n">
        <f aca="false">BB34*Assumptions!$D$43</f>
        <v>822.565127988038</v>
      </c>
      <c r="BC38" s="44" t="n">
        <f aca="false">BC34*Assumptions!$D$43</f>
        <v>866.031973456575</v>
      </c>
      <c r="BD38" s="44" t="n">
        <f aca="false">BD34*Assumptions!$D$43</f>
        <v>908.632978319784</v>
      </c>
      <c r="BE38" s="44" t="n">
        <f aca="false">BE34*Assumptions!$D$43</f>
        <v>950.375483535104</v>
      </c>
      <c r="BF38" s="44" t="n">
        <f aca="false">BF34*Assumptions!$D$43</f>
        <v>991.267586184341</v>
      </c>
      <c r="BG38" s="44" t="n">
        <f aca="false">BG34*Assumptions!$D$43</f>
        <v>1031.31805810012</v>
      </c>
      <c r="BH38" s="44" t="n">
        <f aca="false">BH34*Assumptions!$D$43</f>
        <v>1070.53627072241</v>
      </c>
      <c r="BI38" s="44" t="n">
        <f aca="false">BI34*Assumptions!$D$43</f>
        <v>1108.93212574528</v>
      </c>
      <c r="BJ38" s="44" t="n">
        <f aca="false">BJ34*Assumptions!$D$43</f>
        <v>1146.51599114413</v>
      </c>
      <c r="BK38" s="44" t="n">
        <f aca="false">BK34*Assumptions!$D$43</f>
        <v>1183.29864220238</v>
      </c>
    </row>
    <row r="39" customFormat="false" ht="15" hidden="false" customHeight="false" outlineLevel="0" collapsed="false">
      <c r="A39" s="28" t="s">
        <v>593</v>
      </c>
      <c r="B39" s="6" t="s">
        <v>594</v>
      </c>
      <c r="C39" s="43"/>
      <c r="D39" s="17" t="n">
        <f aca="false">(D33*Assumptions!$D$46+D34*Assumptions!$D$47)*Assumptions!$D$45</f>
        <v>0</v>
      </c>
      <c r="E39" s="17" t="n">
        <f aca="false">(E33*Assumptions!$D$46+E34*Assumptions!$D$47)*Assumptions!$D$45</f>
        <v>0</v>
      </c>
      <c r="F39" s="17" t="n">
        <f aca="false">(F33*Assumptions!$D$46+F34*Assumptions!$D$47)*Assumptions!$D$45</f>
        <v>0</v>
      </c>
      <c r="G39" s="17" t="n">
        <f aca="false">(G33*Assumptions!$D$46+G34*Assumptions!$D$47)*Assumptions!$D$45</f>
        <v>0</v>
      </c>
      <c r="H39" s="17" t="n">
        <f aca="false">(H33*Assumptions!$D$46+H34*Assumptions!$D$47)*Assumptions!$D$45</f>
        <v>0</v>
      </c>
      <c r="I39" s="17" t="n">
        <f aca="false">(I33*Assumptions!$D$46+I34*Assumptions!$D$47)*Assumptions!$D$45</f>
        <v>0</v>
      </c>
      <c r="J39" s="17" t="n">
        <f aca="false">(J33*Assumptions!$D$46+J34*Assumptions!$D$47)*Assumptions!$D$45</f>
        <v>0</v>
      </c>
      <c r="K39" s="17" t="n">
        <f aca="false">(K33*Assumptions!$D$46+K34*Assumptions!$D$47)*Assumptions!$D$45</f>
        <v>0</v>
      </c>
      <c r="L39" s="17" t="n">
        <f aca="false">(L33*Assumptions!$D$46+L34*Assumptions!$D$47)*Assumptions!$D$45</f>
        <v>0</v>
      </c>
      <c r="M39" s="17" t="n">
        <f aca="false">(M33*Assumptions!$D$46+M34*Assumptions!$D$47)*Assumptions!$D$45</f>
        <v>0</v>
      </c>
      <c r="N39" s="17" t="n">
        <f aca="false">(N33*Assumptions!$D$46+N34*Assumptions!$D$47)*Assumptions!$D$45</f>
        <v>0</v>
      </c>
      <c r="O39" s="17" t="n">
        <f aca="false">(O33*Assumptions!$D$46+O34*Assumptions!$D$47)*Assumptions!$D$45</f>
        <v>0</v>
      </c>
      <c r="P39" s="17" t="n">
        <f aca="false">(P33*Assumptions!$D$46+P34*Assumptions!$D$47)*Assumptions!$D$45</f>
        <v>0</v>
      </c>
      <c r="Q39" s="17" t="n">
        <f aca="false">(Q33*Assumptions!$D$46+Q34*Assumptions!$D$47)*Assumptions!$D$45</f>
        <v>0</v>
      </c>
      <c r="R39" s="17" t="n">
        <f aca="false">(R33*Assumptions!$D$46+R34*Assumptions!$D$47)*Assumptions!$D$45</f>
        <v>0</v>
      </c>
      <c r="S39" s="17" t="n">
        <f aca="false">(S33*Assumptions!$D$46+S34*Assumptions!$D$47)*Assumptions!$D$45</f>
        <v>0</v>
      </c>
      <c r="T39" s="17" t="n">
        <f aca="false">(T33*Assumptions!$D$46+T34*Assumptions!$D$47)*Assumptions!$D$45</f>
        <v>0</v>
      </c>
      <c r="U39" s="17" t="n">
        <f aca="false">(U33*Assumptions!$D$46+U34*Assumptions!$D$47)*Assumptions!$D$45</f>
        <v>0</v>
      </c>
      <c r="V39" s="17" t="n">
        <f aca="false">(V33*Assumptions!$D$46+V34*Assumptions!$D$47)*Assumptions!$D$45</f>
        <v>0</v>
      </c>
      <c r="W39" s="17" t="n">
        <f aca="false">(W33*Assumptions!$D$46+W34*Assumptions!$D$47)*Assumptions!$D$45</f>
        <v>0</v>
      </c>
      <c r="X39" s="17" t="n">
        <f aca="false">(X33*Assumptions!$D$46+X34*Assumptions!$D$47)*Assumptions!$D$45</f>
        <v>0</v>
      </c>
      <c r="Y39" s="17" t="n">
        <f aca="false">(Y33*Assumptions!$D$46+Y34*Assumptions!$D$47)*Assumptions!$D$45</f>
        <v>0</v>
      </c>
      <c r="Z39" s="17" t="n">
        <f aca="false">(Z33*Assumptions!$D$46+Z34*Assumptions!$D$47)*Assumptions!$D$45</f>
        <v>0</v>
      </c>
      <c r="AA39" s="17" t="n">
        <f aca="false">(AA33*Assumptions!$D$46+AA34*Assumptions!$D$47)*Assumptions!$D$45</f>
        <v>0</v>
      </c>
      <c r="AB39" s="17" t="n">
        <f aca="false">(AB33*Assumptions!$D$46+AB34*Assumptions!$D$47)*Assumptions!$D$45</f>
        <v>0</v>
      </c>
      <c r="AC39" s="17" t="n">
        <f aca="false">(AC33*Assumptions!$D$46+AC34*Assumptions!$D$47)*Assumptions!$D$45</f>
        <v>0</v>
      </c>
      <c r="AD39" s="17" t="n">
        <f aca="false">(AD33*Assumptions!$D$46+AD34*Assumptions!$D$47)*Assumptions!$D$45</f>
        <v>0</v>
      </c>
      <c r="AE39" s="17" t="n">
        <f aca="false">(AE33*Assumptions!$D$46+AE34*Assumptions!$D$47)*Assumptions!$D$45</f>
        <v>0</v>
      </c>
      <c r="AF39" s="17" t="n">
        <f aca="false">(AF33*Assumptions!$D$46+AF34*Assumptions!$D$47)*Assumptions!$D$45</f>
        <v>0</v>
      </c>
      <c r="AG39" s="17" t="n">
        <f aca="false">(AG33*Assumptions!$D$46+AG34*Assumptions!$D$47)*Assumptions!$D$45</f>
        <v>0</v>
      </c>
      <c r="AH39" s="17" t="n">
        <f aca="false">(AH33*Assumptions!$D$46+AH34*Assumptions!$D$47)*Assumptions!$D$45</f>
        <v>0</v>
      </c>
      <c r="AI39" s="17" t="n">
        <f aca="false">(AI33*Assumptions!$D$46+AI34*Assumptions!$D$47)*Assumptions!$D$45</f>
        <v>0</v>
      </c>
      <c r="AJ39" s="17" t="n">
        <f aca="false">(AJ33*Assumptions!$D$46+AJ34*Assumptions!$D$47)*Assumptions!$D$45</f>
        <v>0</v>
      </c>
      <c r="AK39" s="17" t="n">
        <f aca="false">(AK33*Assumptions!$D$46+AK34*Assumptions!$D$47)*Assumptions!$D$45</f>
        <v>0</v>
      </c>
      <c r="AL39" s="17" t="n">
        <f aca="false">(AL33*Assumptions!$D$46+AL34*Assumptions!$D$47)*Assumptions!$D$45</f>
        <v>0</v>
      </c>
      <c r="AM39" s="17" t="n">
        <f aca="false">(AM33*Assumptions!$D$46+AM34*Assumptions!$D$47)*Assumptions!$D$45</f>
        <v>2859.16729081818</v>
      </c>
      <c r="AN39" s="44" t="n">
        <f aca="false">(AN33*Assumptions!$D$46+AN34*Assumptions!$D$47)*Assumptions!$D$45</f>
        <v>5674.41132951247</v>
      </c>
      <c r="AO39" s="44" t="n">
        <f aca="false">(AO33*Assumptions!$D$46+AO34*Assumptions!$D$47)*Assumptions!$D$45</f>
        <v>8447.46008435818</v>
      </c>
      <c r="AP39" s="44" t="n">
        <f aca="false">(AP33*Assumptions!$D$46+AP34*Assumptions!$D$47)*Assumptions!$D$45</f>
        <v>11179.9493385057</v>
      </c>
      <c r="AQ39" s="44" t="n">
        <f aca="false">(AQ33*Assumptions!$D$46+AQ34*Assumptions!$D$47)*Assumptions!$D$45</f>
        <v>13871.2239446367</v>
      </c>
      <c r="AR39" s="44" t="n">
        <f aca="false">(AR33*Assumptions!$D$46+AR34*Assumptions!$D$47)*Assumptions!$D$45</f>
        <v>16520.7435154752</v>
      </c>
      <c r="AS39" s="44" t="n">
        <f aca="false">(AS33*Assumptions!$D$46+AS34*Assumptions!$D$47)*Assumptions!$D$45</f>
        <v>19130.2783982542</v>
      </c>
      <c r="AT39" s="44" t="n">
        <f aca="false">(AT33*Assumptions!$D$46+AT34*Assumptions!$D$47)*Assumptions!$D$45</f>
        <v>21699.2966306757</v>
      </c>
      <c r="AU39" s="44" t="n">
        <f aca="false">(AU33*Assumptions!$D$46+AU34*Assumptions!$D$47)*Assumptions!$D$45</f>
        <v>24227.3703600702</v>
      </c>
      <c r="AV39" s="44" t="n">
        <f aca="false">(AV33*Assumptions!$D$46+AV34*Assumptions!$D$47)*Assumptions!$D$45</f>
        <v>26716.3725034965</v>
      </c>
      <c r="AW39" s="44" t="n">
        <f aca="false">(AW33*Assumptions!$D$46+AW34*Assumptions!$D$47)*Assumptions!$D$45</f>
        <v>29165.8643487922</v>
      </c>
      <c r="AX39" s="44" t="n">
        <f aca="false">(AX33*Assumptions!$D$46+AX34*Assumptions!$D$47)*Assumptions!$D$45</f>
        <v>31575.5025806098</v>
      </c>
      <c r="AY39" s="44" t="n">
        <f aca="false">(AY33*Assumptions!$D$46+AY34*Assumptions!$D$47)*Assumptions!$D$45</f>
        <v>33947.2365113795</v>
      </c>
      <c r="AZ39" s="44" t="n">
        <f aca="false">(AZ33*Assumptions!$D$46+AZ34*Assumptions!$D$47)*Assumptions!$D$45</f>
        <v>36280.696219278</v>
      </c>
      <c r="BA39" s="44" t="n">
        <f aca="false">(BA33*Assumptions!$D$46+BA34*Assumptions!$D$47)*Assumptions!$D$45</f>
        <v>38575.600079195</v>
      </c>
      <c r="BB39" s="44" t="n">
        <f aca="false">(BB33*Assumptions!$D$46+BB34*Assumptions!$D$47)*Assumptions!$D$45</f>
        <v>40831.7477292781</v>
      </c>
      <c r="BC39" s="44" t="n">
        <f aca="false">(BC33*Assumptions!$D$46+BC34*Assumptions!$D$47)*Assumptions!$D$45</f>
        <v>43049.013513089</v>
      </c>
      <c r="BD39" s="44" t="n">
        <f aca="false">(BD33*Assumptions!$D$46+BD34*Assumptions!$D$47)*Assumptions!$D$45</f>
        <v>45227.3403665481</v>
      </c>
      <c r="BE39" s="44" t="n">
        <f aca="false">(BE33*Assumptions!$D$46+BE34*Assumptions!$D$47)*Assumptions!$D$45</f>
        <v>47366.7341208278</v>
      </c>
      <c r="BF39" s="44" t="n">
        <f aca="false">(BF33*Assumptions!$D$46+BF34*Assumptions!$D$47)*Assumptions!$D$45</f>
        <v>49467.2581942128</v>
      </c>
      <c r="BG39" s="44" t="n">
        <f aca="false">(BG33*Assumptions!$D$46+BG34*Assumptions!$D$47)*Assumptions!$D$45</f>
        <v>51529.0286476806</v>
      </c>
      <c r="BH39" s="44" t="n">
        <f aca="false">(BH33*Assumptions!$D$46+BH34*Assumptions!$D$47)*Assumptions!$D$45</f>
        <v>53552.2095805816</v>
      </c>
      <c r="BI39" s="44" t="n">
        <f aca="false">(BI33*Assumptions!$D$46+BI34*Assumptions!$D$47)*Assumptions!$D$45</f>
        <v>55537.0088443144</v>
      </c>
      <c r="BJ39" s="44" t="n">
        <f aca="false">(BJ33*Assumptions!$D$46+BJ34*Assumptions!$D$47)*Assumptions!$D$45</f>
        <v>57483.6740533146</v>
      </c>
      <c r="BK39" s="44" t="n">
        <f aca="false">(BK33*Assumptions!$D$46+BK34*Assumptions!$D$47)*Assumptions!$D$45</f>
        <v>59392.4888740048</v>
      </c>
    </row>
    <row r="40" customFormat="false" ht="15" hidden="false" customHeight="false" outlineLevel="0" collapsed="false">
      <c r="A40" s="28" t="s">
        <v>595</v>
      </c>
      <c r="B40" s="6" t="s">
        <v>596</v>
      </c>
      <c r="C40" s="43"/>
      <c r="D40" s="17" t="n">
        <f aca="false">D39*Assumptions!$D$44</f>
        <v>0</v>
      </c>
      <c r="E40" s="17" t="n">
        <f aca="false">E39*Assumptions!$D$44</f>
        <v>0</v>
      </c>
      <c r="F40" s="17" t="n">
        <f aca="false">F39*Assumptions!$D$44</f>
        <v>0</v>
      </c>
      <c r="G40" s="17" t="n">
        <f aca="false">G39*Assumptions!$D$44</f>
        <v>0</v>
      </c>
      <c r="H40" s="17" t="n">
        <f aca="false">H39*Assumptions!$D$44</f>
        <v>0</v>
      </c>
      <c r="I40" s="17" t="n">
        <f aca="false">I39*Assumptions!$D$44</f>
        <v>0</v>
      </c>
      <c r="J40" s="17" t="n">
        <f aca="false">J39*Assumptions!$D$44</f>
        <v>0</v>
      </c>
      <c r="K40" s="17" t="n">
        <f aca="false">K39*Assumptions!$D$44</f>
        <v>0</v>
      </c>
      <c r="L40" s="17" t="n">
        <f aca="false">L39*Assumptions!$D$44</f>
        <v>0</v>
      </c>
      <c r="M40" s="17" t="n">
        <f aca="false">M39*Assumptions!$D$44</f>
        <v>0</v>
      </c>
      <c r="N40" s="17" t="n">
        <f aca="false">N39*Assumptions!$D$44</f>
        <v>0</v>
      </c>
      <c r="O40" s="17" t="n">
        <f aca="false">O39*Assumptions!$D$44</f>
        <v>0</v>
      </c>
      <c r="P40" s="17" t="n">
        <f aca="false">P39*Assumptions!$D$44</f>
        <v>0</v>
      </c>
      <c r="Q40" s="17" t="n">
        <f aca="false">Q39*Assumptions!$D$44</f>
        <v>0</v>
      </c>
      <c r="R40" s="17" t="n">
        <f aca="false">R39*Assumptions!$D$44</f>
        <v>0</v>
      </c>
      <c r="S40" s="17" t="n">
        <f aca="false">S39*Assumptions!$D$44</f>
        <v>0</v>
      </c>
      <c r="T40" s="17" t="n">
        <f aca="false">T39*Assumptions!$D$44</f>
        <v>0</v>
      </c>
      <c r="U40" s="17" t="n">
        <f aca="false">U39*Assumptions!$D$44</f>
        <v>0</v>
      </c>
      <c r="V40" s="17" t="n">
        <f aca="false">V39*Assumptions!$D$44</f>
        <v>0</v>
      </c>
      <c r="W40" s="17" t="n">
        <f aca="false">W39*Assumptions!$D$44</f>
        <v>0</v>
      </c>
      <c r="X40" s="17" t="n">
        <f aca="false">X39*Assumptions!$D$44</f>
        <v>0</v>
      </c>
      <c r="Y40" s="17" t="n">
        <f aca="false">Y39*Assumptions!$D$44</f>
        <v>0</v>
      </c>
      <c r="Z40" s="17" t="n">
        <f aca="false">Z39*Assumptions!$D$44</f>
        <v>0</v>
      </c>
      <c r="AA40" s="17" t="n">
        <f aca="false">AA39*Assumptions!$D$44</f>
        <v>0</v>
      </c>
      <c r="AB40" s="17" t="n">
        <f aca="false">AB39*Assumptions!$D$44</f>
        <v>0</v>
      </c>
      <c r="AC40" s="17" t="n">
        <f aca="false">AC39*Assumptions!$D$44</f>
        <v>0</v>
      </c>
      <c r="AD40" s="17" t="n">
        <f aca="false">AD39*Assumptions!$D$44</f>
        <v>0</v>
      </c>
      <c r="AE40" s="17" t="n">
        <f aca="false">AE39*Assumptions!$D$44</f>
        <v>0</v>
      </c>
      <c r="AF40" s="17" t="n">
        <f aca="false">AF39*Assumptions!$D$44</f>
        <v>0</v>
      </c>
      <c r="AG40" s="17" t="n">
        <f aca="false">AG39*Assumptions!$D$44</f>
        <v>0</v>
      </c>
      <c r="AH40" s="17" t="n">
        <f aca="false">AH39*Assumptions!$D$44</f>
        <v>0</v>
      </c>
      <c r="AI40" s="17" t="n">
        <f aca="false">AI39*Assumptions!$D$44</f>
        <v>0</v>
      </c>
      <c r="AJ40" s="17" t="n">
        <f aca="false">AJ39*Assumptions!$D$44</f>
        <v>0</v>
      </c>
      <c r="AK40" s="17" t="n">
        <f aca="false">AK39*Assumptions!$D$44</f>
        <v>0</v>
      </c>
      <c r="AL40" s="17" t="n">
        <f aca="false">AL39*Assumptions!$D$44</f>
        <v>0</v>
      </c>
      <c r="AM40" s="17" t="n">
        <f aca="false">AM39*Assumptions!$D$44</f>
        <v>21.4437546811363</v>
      </c>
      <c r="AN40" s="44" t="n">
        <f aca="false">AN39*Assumptions!$D$44</f>
        <v>42.5580849713435</v>
      </c>
      <c r="AO40" s="44" t="n">
        <f aca="false">AO39*Assumptions!$D$44</f>
        <v>63.3559506326864</v>
      </c>
      <c r="AP40" s="44" t="n">
        <f aca="false">AP39*Assumptions!$D$44</f>
        <v>83.849620038793</v>
      </c>
      <c r="AQ40" s="44" t="n">
        <f aca="false">AQ39*Assumptions!$D$44</f>
        <v>104.034179584775</v>
      </c>
      <c r="AR40" s="44" t="n">
        <f aca="false">AR39*Assumptions!$D$44</f>
        <v>123.905576366064</v>
      </c>
      <c r="AS40" s="44" t="n">
        <f aca="false">AS39*Assumptions!$D$44</f>
        <v>143.477087986906</v>
      </c>
      <c r="AT40" s="44" t="n">
        <f aca="false">AT39*Assumptions!$D$44</f>
        <v>162.744724730067</v>
      </c>
      <c r="AU40" s="44" t="n">
        <f aca="false">AU39*Assumptions!$D$44</f>
        <v>181.705277700526</v>
      </c>
      <c r="AV40" s="44" t="n">
        <f aca="false">AV39*Assumptions!$D$44</f>
        <v>200.372793776224</v>
      </c>
      <c r="AW40" s="44" t="n">
        <f aca="false">AW39*Assumptions!$D$44</f>
        <v>218.743982615941</v>
      </c>
      <c r="AX40" s="44" t="n">
        <f aca="false">AX39*Assumptions!$D$44</f>
        <v>236.816269354573</v>
      </c>
      <c r="AY40" s="44" t="n">
        <f aca="false">AY39*Assumptions!$D$44</f>
        <v>254.604273835346</v>
      </c>
      <c r="AZ40" s="44" t="n">
        <f aca="false">AZ39*Assumptions!$D$44</f>
        <v>272.105221644585</v>
      </c>
      <c r="BA40" s="44" t="n">
        <f aca="false">BA39*Assumptions!$D$44</f>
        <v>289.317000593963</v>
      </c>
      <c r="BB40" s="44" t="n">
        <f aca="false">BB39*Assumptions!$D$44</f>
        <v>306.238107969586</v>
      </c>
      <c r="BC40" s="44" t="n">
        <f aca="false">BC39*Assumptions!$D$44</f>
        <v>322.867601348168</v>
      </c>
      <c r="BD40" s="44" t="n">
        <f aca="false">BD39*Assumptions!$D$44</f>
        <v>339.205052749111</v>
      </c>
      <c r="BE40" s="44" t="n">
        <f aca="false">BE39*Assumptions!$D$44</f>
        <v>355.250505906209</v>
      </c>
      <c r="BF40" s="44" t="n">
        <f aca="false">BF39*Assumptions!$D$44</f>
        <v>371.004436456596</v>
      </c>
      <c r="BG40" s="44" t="n">
        <f aca="false">BG39*Assumptions!$D$44</f>
        <v>386.467714857605</v>
      </c>
      <c r="BH40" s="44" t="n">
        <f aca="false">BH39*Assumptions!$D$44</f>
        <v>401.641571854362</v>
      </c>
      <c r="BI40" s="44" t="n">
        <f aca="false">BI39*Assumptions!$D$44</f>
        <v>416.527566332358</v>
      </c>
      <c r="BJ40" s="44" t="n">
        <f aca="false">BJ39*Assumptions!$D$44</f>
        <v>431.12755539986</v>
      </c>
      <c r="BK40" s="44" t="n">
        <f aca="false">BK39*Assumptions!$D$44</f>
        <v>445.443666555036</v>
      </c>
    </row>
    <row r="41" customFormat="false" ht="15" hidden="false" customHeight="false" outlineLevel="0" collapsed="false">
      <c r="A41" s="28" t="s">
        <v>597</v>
      </c>
      <c r="B41" s="6" t="s">
        <v>598</v>
      </c>
      <c r="C41" s="43"/>
      <c r="D41" s="17" t="n">
        <f aca="false">D24*Assumptions!$D$17*Assumptions!$D$68*Assumptions!$D$69*Assumptions!$D$70*Assumptions!$D$71/1000*D21</f>
        <v>0</v>
      </c>
      <c r="E41" s="17" t="n">
        <f aca="false">E24*Assumptions!$D$17*Assumptions!$D$68*Assumptions!$D$69*Assumptions!$D$70*Assumptions!$D$71/1000*E21</f>
        <v>0</v>
      </c>
      <c r="F41" s="17" t="n">
        <f aca="false">F24*Assumptions!$D$17*Assumptions!$D$68*Assumptions!$D$69*Assumptions!$D$70*Assumptions!$D$71/1000*F21</f>
        <v>0</v>
      </c>
      <c r="G41" s="17" t="n">
        <f aca="false">G24*Assumptions!$D$17*Assumptions!$D$68*Assumptions!$D$69*Assumptions!$D$70*Assumptions!$D$71/1000*G21</f>
        <v>0</v>
      </c>
      <c r="H41" s="17" t="n">
        <f aca="false">H24*Assumptions!$D$17*Assumptions!$D$68*Assumptions!$D$69*Assumptions!$D$70*Assumptions!$D$71/1000*H21</f>
        <v>0</v>
      </c>
      <c r="I41" s="17" t="n">
        <f aca="false">I24*Assumptions!$D$17*Assumptions!$D$68*Assumptions!$D$69*Assumptions!$D$70*Assumptions!$D$71/1000*I21</f>
        <v>0</v>
      </c>
      <c r="J41" s="17" t="n">
        <f aca="false">J24*Assumptions!$D$17*Assumptions!$D$68*Assumptions!$D$69*Assumptions!$D$70*Assumptions!$D$71/1000*J21</f>
        <v>0</v>
      </c>
      <c r="K41" s="17" t="n">
        <f aca="false">K24*Assumptions!$D$17*Assumptions!$D$68*Assumptions!$D$69*Assumptions!$D$70*Assumptions!$D$71/1000*K21</f>
        <v>0</v>
      </c>
      <c r="L41" s="17" t="n">
        <f aca="false">L24*Assumptions!$D$17*Assumptions!$D$68*Assumptions!$D$69*Assumptions!$D$70*Assumptions!$D$71/1000*L21</f>
        <v>0</v>
      </c>
      <c r="M41" s="17" t="n">
        <f aca="false">M24*Assumptions!$D$17*Assumptions!$D$68*Assumptions!$D$69*Assumptions!$D$70*Assumptions!$D$71/1000*M21</f>
        <v>0</v>
      </c>
      <c r="N41" s="17" t="n">
        <f aca="false">N24*Assumptions!$D$17*Assumptions!$D$68*Assumptions!$D$69*Assumptions!$D$70*Assumptions!$D$71/1000*N21</f>
        <v>0</v>
      </c>
      <c r="O41" s="17" t="n">
        <f aca="false">O24*Assumptions!$D$17*Assumptions!$D$68*Assumptions!$D$69*Assumptions!$D$70*Assumptions!$D$71/1000*O21</f>
        <v>0</v>
      </c>
      <c r="P41" s="17" t="n">
        <f aca="false">P24*Assumptions!$D$17*Assumptions!$D$68*Assumptions!$D$69*Assumptions!$D$70*Assumptions!$D$71/1000*P21</f>
        <v>0</v>
      </c>
      <c r="Q41" s="17" t="n">
        <f aca="false">Q24*Assumptions!$D$17*Assumptions!$D$68*Assumptions!$D$69*Assumptions!$D$70*Assumptions!$D$71/1000*Q21</f>
        <v>0</v>
      </c>
      <c r="R41" s="17" t="n">
        <f aca="false">R24*Assumptions!$D$17*Assumptions!$D$68*Assumptions!$D$69*Assumptions!$D$70*Assumptions!$D$71/1000*R21</f>
        <v>0</v>
      </c>
      <c r="S41" s="17" t="n">
        <f aca="false">S24*Assumptions!$D$17*Assumptions!$D$68*Assumptions!$D$69*Assumptions!$D$70*Assumptions!$D$71/1000*S21</f>
        <v>0</v>
      </c>
      <c r="T41" s="17" t="n">
        <f aca="false">T24*Assumptions!$D$17*Assumptions!$D$68*Assumptions!$D$69*Assumptions!$D$70*Assumptions!$D$71/1000*T21</f>
        <v>0</v>
      </c>
      <c r="U41" s="17" t="n">
        <f aca="false">U24*Assumptions!$D$17*Assumptions!$D$68*Assumptions!$D$69*Assumptions!$D$70*Assumptions!$D$71/1000*U21</f>
        <v>0</v>
      </c>
      <c r="V41" s="17" t="n">
        <f aca="false">V24*Assumptions!$D$17*Assumptions!$D$68*Assumptions!$D$69*Assumptions!$D$70*Assumptions!$D$71/1000*V21</f>
        <v>0</v>
      </c>
      <c r="W41" s="17" t="n">
        <f aca="false">W24*Assumptions!$D$17*Assumptions!$D$68*Assumptions!$D$69*Assumptions!$D$70*Assumptions!$D$71/1000*W21</f>
        <v>0</v>
      </c>
      <c r="X41" s="17" t="n">
        <f aca="false">X24*Assumptions!$D$17*Assumptions!$D$68*Assumptions!$D$69*Assumptions!$D$70*Assumptions!$D$71/1000*X21</f>
        <v>0</v>
      </c>
      <c r="Y41" s="17" t="n">
        <f aca="false">Y24*Assumptions!$D$17*Assumptions!$D$68*Assumptions!$D$69*Assumptions!$D$70*Assumptions!$D$71/1000*Y21</f>
        <v>0</v>
      </c>
      <c r="Z41" s="17" t="n">
        <f aca="false">Z24*Assumptions!$D$17*Assumptions!$D$68*Assumptions!$D$69*Assumptions!$D$70*Assumptions!$D$71/1000*Z21</f>
        <v>0</v>
      </c>
      <c r="AA41" s="17" t="n">
        <f aca="false">AA24*Assumptions!$D$17*Assumptions!$D$68*Assumptions!$D$69*Assumptions!$D$70*Assumptions!$D$71/1000*AA21</f>
        <v>0</v>
      </c>
      <c r="AB41" s="17" t="n">
        <f aca="false">AB24*Assumptions!$D$17*Assumptions!$D$68*Assumptions!$D$69*Assumptions!$D$70*Assumptions!$D$71/1000*AB21</f>
        <v>0</v>
      </c>
      <c r="AC41" s="17" t="n">
        <f aca="false">AC24*Assumptions!$D$17*Assumptions!$D$68*Assumptions!$D$69*Assumptions!$D$70*Assumptions!$D$71/1000*AC21</f>
        <v>0</v>
      </c>
      <c r="AD41" s="17" t="n">
        <f aca="false">AD24*Assumptions!$D$17*Assumptions!$D$68*Assumptions!$D$69*Assumptions!$D$70*Assumptions!$D$71/1000*AD21</f>
        <v>0</v>
      </c>
      <c r="AE41" s="17" t="n">
        <f aca="false">AE24*Assumptions!$D$17*Assumptions!$D$68*Assumptions!$D$69*Assumptions!$D$70*Assumptions!$D$71/1000*AE21</f>
        <v>0</v>
      </c>
      <c r="AF41" s="17" t="n">
        <f aca="false">AF24*Assumptions!$D$17*Assumptions!$D$68*Assumptions!$D$69*Assumptions!$D$70*Assumptions!$D$71/1000*AF21</f>
        <v>0</v>
      </c>
      <c r="AG41" s="17" t="n">
        <f aca="false">AG24*Assumptions!$D$17*Assumptions!$D$68*Assumptions!$D$69*Assumptions!$D$70*Assumptions!$D$71/1000*AG21</f>
        <v>0</v>
      </c>
      <c r="AH41" s="17" t="n">
        <f aca="false">AH24*Assumptions!$D$17*Assumptions!$D$68*Assumptions!$D$69*Assumptions!$D$70*Assumptions!$D$71/1000*AH21</f>
        <v>0</v>
      </c>
      <c r="AI41" s="17" t="n">
        <f aca="false">AI24*Assumptions!$D$17*Assumptions!$D$68*Assumptions!$D$69*Assumptions!$D$70*Assumptions!$D$71/1000*AI21</f>
        <v>0</v>
      </c>
      <c r="AJ41" s="17" t="n">
        <f aca="false">AJ24*Assumptions!$D$17*Assumptions!$D$68*Assumptions!$D$69*Assumptions!$D$70*Assumptions!$D$71/1000*AJ21</f>
        <v>0</v>
      </c>
      <c r="AK41" s="17" t="n">
        <f aca="false">AK24*Assumptions!$D$17*Assumptions!$D$68*Assumptions!$D$69*Assumptions!$D$70*Assumptions!$D$71/1000*AK21</f>
        <v>0</v>
      </c>
      <c r="AL41" s="17" t="n">
        <f aca="false">AL24*Assumptions!$D$17*Assumptions!$D$68*Assumptions!$D$69*Assumptions!$D$70*Assumptions!$D$71/1000*AL21</f>
        <v>0</v>
      </c>
      <c r="AM41" s="17" t="n">
        <f aca="false">AM24*Assumptions!$D$17*Assumptions!$D$68*Assumptions!$D$69*Assumptions!$D$70*Assumptions!$D$71/1000*AM21</f>
        <v>0</v>
      </c>
      <c r="AN41" s="44" t="n">
        <f aca="false">AN24*Assumptions!$D$17*Assumptions!$D$68*Assumptions!$D$69*Assumptions!$D$70*Assumptions!$D$71/1000*AN21</f>
        <v>0</v>
      </c>
      <c r="AO41" s="44" t="n">
        <f aca="false">AO24*Assumptions!$D$17*Assumptions!$D$68*Assumptions!$D$69*Assumptions!$D$70*Assumptions!$D$71/1000*AO21</f>
        <v>0</v>
      </c>
      <c r="AP41" s="44" t="n">
        <f aca="false">AP24*Assumptions!$D$17*Assumptions!$D$68*Assumptions!$D$69*Assumptions!$D$70*Assumptions!$D$71/1000*AP21</f>
        <v>0</v>
      </c>
      <c r="AQ41" s="44" t="n">
        <f aca="false">AQ24*Assumptions!$D$17*Assumptions!$D$68*Assumptions!$D$69*Assumptions!$D$70*Assumptions!$D$71/1000*AQ21</f>
        <v>0</v>
      </c>
      <c r="AR41" s="44" t="n">
        <f aca="false">AR24*Assumptions!$D$17*Assumptions!$D$68*Assumptions!$D$69*Assumptions!$D$70*Assumptions!$D$71/1000*AR21</f>
        <v>0</v>
      </c>
      <c r="AS41" s="44" t="n">
        <f aca="false">AS24*Assumptions!$D$17*Assumptions!$D$68*Assumptions!$D$69*Assumptions!$D$70*Assumptions!$D$71/1000*AS21</f>
        <v>0</v>
      </c>
      <c r="AT41" s="44" t="n">
        <f aca="false">AT24*Assumptions!$D$17*Assumptions!$D$68*Assumptions!$D$69*Assumptions!$D$70*Assumptions!$D$71/1000*AT21</f>
        <v>0</v>
      </c>
      <c r="AU41" s="44" t="n">
        <f aca="false">AU24*Assumptions!$D$17*Assumptions!$D$68*Assumptions!$D$69*Assumptions!$D$70*Assumptions!$D$71/1000*AU21</f>
        <v>0</v>
      </c>
      <c r="AV41" s="44" t="n">
        <f aca="false">AV24*Assumptions!$D$17*Assumptions!$D$68*Assumptions!$D$69*Assumptions!$D$70*Assumptions!$D$71/1000*AV21</f>
        <v>0</v>
      </c>
      <c r="AW41" s="44" t="n">
        <f aca="false">AW24*Assumptions!$D$17*Assumptions!$D$68*Assumptions!$D$69*Assumptions!$D$70*Assumptions!$D$71/1000*AW21</f>
        <v>0</v>
      </c>
      <c r="AX41" s="44" t="n">
        <f aca="false">AX24*Assumptions!$D$17*Assumptions!$D$68*Assumptions!$D$69*Assumptions!$D$70*Assumptions!$D$71/1000*AX21</f>
        <v>0</v>
      </c>
      <c r="AY41" s="44" t="n">
        <f aca="false">AY24*Assumptions!$D$17*Assumptions!$D$68*Assumptions!$D$69*Assumptions!$D$70*Assumptions!$D$71/1000*AY21</f>
        <v>0</v>
      </c>
      <c r="AZ41" s="44" t="n">
        <f aca="false">AZ24*Assumptions!$D$17*Assumptions!$D$68*Assumptions!$D$69*Assumptions!$D$70*Assumptions!$D$71/1000*AZ21</f>
        <v>0</v>
      </c>
      <c r="BA41" s="44" t="n">
        <f aca="false">BA24*Assumptions!$D$17*Assumptions!$D$68*Assumptions!$D$69*Assumptions!$D$70*Assumptions!$D$71/1000*BA21</f>
        <v>0</v>
      </c>
      <c r="BB41" s="44" t="n">
        <f aca="false">BB24*Assumptions!$D$17*Assumptions!$D$68*Assumptions!$D$69*Assumptions!$D$70*Assumptions!$D$71/1000*BB21</f>
        <v>0</v>
      </c>
      <c r="BC41" s="44" t="n">
        <f aca="false">BC24*Assumptions!$D$17*Assumptions!$D$68*Assumptions!$D$69*Assumptions!$D$70*Assumptions!$D$71/1000*BC21</f>
        <v>0</v>
      </c>
      <c r="BD41" s="44" t="n">
        <f aca="false">BD24*Assumptions!$D$17*Assumptions!$D$68*Assumptions!$D$69*Assumptions!$D$70*Assumptions!$D$71/1000*BD21</f>
        <v>0</v>
      </c>
      <c r="BE41" s="44" t="n">
        <f aca="false">BE24*Assumptions!$D$17*Assumptions!$D$68*Assumptions!$D$69*Assumptions!$D$70*Assumptions!$D$71/1000*BE21</f>
        <v>0</v>
      </c>
      <c r="BF41" s="44" t="n">
        <f aca="false">BF24*Assumptions!$D$17*Assumptions!$D$68*Assumptions!$D$69*Assumptions!$D$70*Assumptions!$D$71/1000*BF21</f>
        <v>0</v>
      </c>
      <c r="BG41" s="44" t="n">
        <f aca="false">BG24*Assumptions!$D$17*Assumptions!$D$68*Assumptions!$D$69*Assumptions!$D$70*Assumptions!$D$71/1000*BG21</f>
        <v>0</v>
      </c>
      <c r="BH41" s="44" t="n">
        <f aca="false">BH24*Assumptions!$D$17*Assumptions!$D$68*Assumptions!$D$69*Assumptions!$D$70*Assumptions!$D$71/1000*BH21</f>
        <v>0</v>
      </c>
      <c r="BI41" s="44" t="n">
        <f aca="false">BI24*Assumptions!$D$17*Assumptions!$D$68*Assumptions!$D$69*Assumptions!$D$70*Assumptions!$D$71/1000*BI21</f>
        <v>0</v>
      </c>
      <c r="BJ41" s="44" t="n">
        <f aca="false">BJ24*Assumptions!$D$17*Assumptions!$D$68*Assumptions!$D$69*Assumptions!$D$70*Assumptions!$D$71/1000*BJ21</f>
        <v>0</v>
      </c>
      <c r="BK41" s="44" t="n">
        <f aca="false">BK24*Assumptions!$D$17*Assumptions!$D$68*Assumptions!$D$69*Assumptions!$D$70*Assumptions!$D$71/1000*BK21</f>
        <v>0</v>
      </c>
    </row>
    <row r="42" customFormat="false" ht="15" hidden="false" customHeight="false" outlineLevel="0" collapsed="false">
      <c r="A42" s="28" t="s">
        <v>599</v>
      </c>
      <c r="B42" s="6" t="s">
        <v>600</v>
      </c>
      <c r="C42" s="43"/>
      <c r="D42" s="17" t="n">
        <f aca="false">D13*Assumptions!$D$72*Assumptions!$D$73*D21</f>
        <v>0</v>
      </c>
      <c r="E42" s="17" t="n">
        <f aca="false">E13*Assumptions!$D$72*Assumptions!$D$73*E21</f>
        <v>0</v>
      </c>
      <c r="F42" s="17" t="n">
        <f aca="false">F13*Assumptions!$D$72*Assumptions!$D$73*F21</f>
        <v>0</v>
      </c>
      <c r="G42" s="17" t="n">
        <f aca="false">G13*Assumptions!$D$72*Assumptions!$D$73*G21</f>
        <v>0</v>
      </c>
      <c r="H42" s="17" t="n">
        <f aca="false">H13*Assumptions!$D$72*Assumptions!$D$73*H21</f>
        <v>0</v>
      </c>
      <c r="I42" s="17" t="n">
        <f aca="false">I13*Assumptions!$D$72*Assumptions!$D$73*I21</f>
        <v>0</v>
      </c>
      <c r="J42" s="17" t="n">
        <f aca="false">J13*Assumptions!$D$72*Assumptions!$D$73*J21</f>
        <v>0</v>
      </c>
      <c r="K42" s="17" t="n">
        <f aca="false">K13*Assumptions!$D$72*Assumptions!$D$73*K21</f>
        <v>0</v>
      </c>
      <c r="L42" s="17" t="n">
        <f aca="false">L13*Assumptions!$D$72*Assumptions!$D$73*L21</f>
        <v>0</v>
      </c>
      <c r="M42" s="17" t="n">
        <f aca="false">M13*Assumptions!$D$72*Assumptions!$D$73*M21</f>
        <v>0</v>
      </c>
      <c r="N42" s="17" t="n">
        <f aca="false">N13*Assumptions!$D$72*Assumptions!$D$73*N21</f>
        <v>0</v>
      </c>
      <c r="O42" s="17" t="n">
        <f aca="false">O13*Assumptions!$D$72*Assumptions!$D$73*O21</f>
        <v>0</v>
      </c>
      <c r="P42" s="17" t="n">
        <f aca="false">P13*Assumptions!$D$72*Assumptions!$D$73*P21</f>
        <v>0</v>
      </c>
      <c r="Q42" s="17" t="n">
        <f aca="false">Q13*Assumptions!$D$72*Assumptions!$D$73*Q21</f>
        <v>0</v>
      </c>
      <c r="R42" s="17" t="n">
        <f aca="false">R13*Assumptions!$D$72*Assumptions!$D$73*R21</f>
        <v>0</v>
      </c>
      <c r="S42" s="17" t="n">
        <f aca="false">S13*Assumptions!$D$72*Assumptions!$D$73*S21</f>
        <v>0</v>
      </c>
      <c r="T42" s="17" t="n">
        <f aca="false">T13*Assumptions!$D$72*Assumptions!$D$73*T21</f>
        <v>0</v>
      </c>
      <c r="U42" s="17" t="n">
        <f aca="false">U13*Assumptions!$D$72*Assumptions!$D$73*U21</f>
        <v>0</v>
      </c>
      <c r="V42" s="17" t="n">
        <f aca="false">V13*Assumptions!$D$72*Assumptions!$D$73*V21</f>
        <v>0</v>
      </c>
      <c r="W42" s="17" t="n">
        <f aca="false">W13*Assumptions!$D$72*Assumptions!$D$73*W21</f>
        <v>0</v>
      </c>
      <c r="X42" s="17" t="n">
        <f aca="false">X13*Assumptions!$D$72*Assumptions!$D$73*X21</f>
        <v>0</v>
      </c>
      <c r="Y42" s="17" t="n">
        <f aca="false">Y13*Assumptions!$D$72*Assumptions!$D$73*Y21</f>
        <v>0</v>
      </c>
      <c r="Z42" s="17" t="n">
        <f aca="false">Z13*Assumptions!$D$72*Assumptions!$D$73*Z21</f>
        <v>0</v>
      </c>
      <c r="AA42" s="17" t="n">
        <f aca="false">AA13*Assumptions!$D$72*Assumptions!$D$73*AA21</f>
        <v>0</v>
      </c>
      <c r="AB42" s="17" t="n">
        <f aca="false">AB13*Assumptions!$D$72*Assumptions!$D$73*AB21</f>
        <v>0</v>
      </c>
      <c r="AC42" s="17" t="n">
        <f aca="false">AC13*Assumptions!$D$72*Assumptions!$D$73*AC21</f>
        <v>0</v>
      </c>
      <c r="AD42" s="17" t="n">
        <f aca="false">AD13*Assumptions!$D$72*Assumptions!$D$73*AD21</f>
        <v>0</v>
      </c>
      <c r="AE42" s="17" t="n">
        <f aca="false">AE13*Assumptions!$D$72*Assumptions!$D$73*AE21</f>
        <v>0</v>
      </c>
      <c r="AF42" s="17" t="n">
        <f aca="false">AF13*Assumptions!$D$72*Assumptions!$D$73*AF21</f>
        <v>0</v>
      </c>
      <c r="AG42" s="17" t="n">
        <f aca="false">AG13*Assumptions!$D$72*Assumptions!$D$73*AG21</f>
        <v>0</v>
      </c>
      <c r="AH42" s="17" t="n">
        <f aca="false">AH13*Assumptions!$D$72*Assumptions!$D$73*AH21</f>
        <v>0</v>
      </c>
      <c r="AI42" s="17" t="n">
        <f aca="false">AI13*Assumptions!$D$72*Assumptions!$D$73*AI21</f>
        <v>0</v>
      </c>
      <c r="AJ42" s="17" t="n">
        <f aca="false">AJ13*Assumptions!$D$72*Assumptions!$D$73*AJ21</f>
        <v>0</v>
      </c>
      <c r="AK42" s="17" t="n">
        <f aca="false">AK13*Assumptions!$D$72*Assumptions!$D$73*AK21</f>
        <v>0</v>
      </c>
      <c r="AL42" s="17" t="n">
        <f aca="false">AL13*Assumptions!$D$72*Assumptions!$D$73*AL21</f>
        <v>0</v>
      </c>
      <c r="AM42" s="17" t="n">
        <f aca="false">AM13*Assumptions!$D$72*Assumptions!$D$73*AM21</f>
        <v>0</v>
      </c>
      <c r="AN42" s="44" t="n">
        <f aca="false">AN13*Assumptions!$D$72*Assumptions!$D$73*AN21</f>
        <v>0</v>
      </c>
      <c r="AO42" s="44" t="n">
        <f aca="false">AO13*Assumptions!$D$72*Assumptions!$D$73*AO21</f>
        <v>0</v>
      </c>
      <c r="AP42" s="44" t="n">
        <f aca="false">AP13*Assumptions!$D$72*Assumptions!$D$73*AP21</f>
        <v>0</v>
      </c>
      <c r="AQ42" s="44" t="n">
        <f aca="false">AQ13*Assumptions!$D$72*Assumptions!$D$73*AQ21</f>
        <v>0</v>
      </c>
      <c r="AR42" s="44" t="n">
        <f aca="false">AR13*Assumptions!$D$72*Assumptions!$D$73*AR21</f>
        <v>0</v>
      </c>
      <c r="AS42" s="44" t="n">
        <f aca="false">AS13*Assumptions!$D$72*Assumptions!$D$73*AS21</f>
        <v>0</v>
      </c>
      <c r="AT42" s="44" t="n">
        <f aca="false">AT13*Assumptions!$D$72*Assumptions!$D$73*AT21</f>
        <v>0</v>
      </c>
      <c r="AU42" s="44" t="n">
        <f aca="false">AU13*Assumptions!$D$72*Assumptions!$D$73*AU21</f>
        <v>0</v>
      </c>
      <c r="AV42" s="44" t="n">
        <f aca="false">AV13*Assumptions!$D$72*Assumptions!$D$73*AV21</f>
        <v>0</v>
      </c>
      <c r="AW42" s="44" t="n">
        <f aca="false">AW13*Assumptions!$D$72*Assumptions!$D$73*AW21</f>
        <v>0</v>
      </c>
      <c r="AX42" s="44" t="n">
        <f aca="false">AX13*Assumptions!$D$72*Assumptions!$D$73*AX21</f>
        <v>0</v>
      </c>
      <c r="AY42" s="44" t="n">
        <f aca="false">AY13*Assumptions!$D$72*Assumptions!$D$73*AY21</f>
        <v>0</v>
      </c>
      <c r="AZ42" s="44" t="n">
        <f aca="false">AZ13*Assumptions!$D$72*Assumptions!$D$73*AZ21</f>
        <v>0</v>
      </c>
      <c r="BA42" s="44" t="n">
        <f aca="false">BA13*Assumptions!$D$72*Assumptions!$D$73*BA21</f>
        <v>0</v>
      </c>
      <c r="BB42" s="44" t="n">
        <f aca="false">BB13*Assumptions!$D$72*Assumptions!$D$73*BB21</f>
        <v>0</v>
      </c>
      <c r="BC42" s="44" t="n">
        <f aca="false">BC13*Assumptions!$D$72*Assumptions!$D$73*BC21</f>
        <v>0</v>
      </c>
      <c r="BD42" s="44" t="n">
        <f aca="false">BD13*Assumptions!$D$72*Assumptions!$D$73*BD21</f>
        <v>0</v>
      </c>
      <c r="BE42" s="44" t="n">
        <f aca="false">BE13*Assumptions!$D$72*Assumptions!$D$73*BE21</f>
        <v>0</v>
      </c>
      <c r="BF42" s="44" t="n">
        <f aca="false">BF13*Assumptions!$D$72*Assumptions!$D$73*BF21</f>
        <v>0</v>
      </c>
      <c r="BG42" s="44" t="n">
        <f aca="false">BG13*Assumptions!$D$72*Assumptions!$D$73*BG21</f>
        <v>0</v>
      </c>
      <c r="BH42" s="44" t="n">
        <f aca="false">BH13*Assumptions!$D$72*Assumptions!$D$73*BH21</f>
        <v>0</v>
      </c>
      <c r="BI42" s="44" t="n">
        <f aca="false">BI13*Assumptions!$D$72*Assumptions!$D$73*BI21</f>
        <v>0</v>
      </c>
      <c r="BJ42" s="44" t="n">
        <f aca="false">BJ13*Assumptions!$D$72*Assumptions!$D$73*BJ21</f>
        <v>0</v>
      </c>
      <c r="BK42" s="44" t="n">
        <f aca="false">BK13*Assumptions!$D$72*Assumptions!$D$73*BK21</f>
        <v>0</v>
      </c>
    </row>
    <row r="43" customFormat="false" ht="15" hidden="false" customHeight="false" outlineLevel="0" collapsed="false">
      <c r="A43" s="28" t="s">
        <v>601</v>
      </c>
      <c r="B43" s="6" t="s">
        <v>602</v>
      </c>
      <c r="C43" s="43"/>
      <c r="D43" s="17" t="n">
        <f aca="false">D13*Assumptions!$D$74*Assumptions!$D$75*Assumptions!$D$76*D21</f>
        <v>0</v>
      </c>
      <c r="E43" s="17" t="n">
        <f aca="false">E13*Assumptions!$D$74*Assumptions!$D$75*Assumptions!$D$76*E21</f>
        <v>0</v>
      </c>
      <c r="F43" s="17" t="n">
        <f aca="false">F13*Assumptions!$D$74*Assumptions!$D$75*Assumptions!$D$76*F21</f>
        <v>0</v>
      </c>
      <c r="G43" s="17" t="n">
        <f aca="false">G13*Assumptions!$D$74*Assumptions!$D$75*Assumptions!$D$76*G21</f>
        <v>0</v>
      </c>
      <c r="H43" s="17" t="n">
        <f aca="false">H13*Assumptions!$D$74*Assumptions!$D$75*Assumptions!$D$76*H21</f>
        <v>0</v>
      </c>
      <c r="I43" s="17" t="n">
        <f aca="false">I13*Assumptions!$D$74*Assumptions!$D$75*Assumptions!$D$76*I21</f>
        <v>0</v>
      </c>
      <c r="J43" s="17" t="n">
        <f aca="false">J13*Assumptions!$D$74*Assumptions!$D$75*Assumptions!$D$76*J21</f>
        <v>0</v>
      </c>
      <c r="K43" s="17" t="n">
        <f aca="false">K13*Assumptions!$D$74*Assumptions!$D$75*Assumptions!$D$76*K21</f>
        <v>0</v>
      </c>
      <c r="L43" s="17" t="n">
        <f aca="false">L13*Assumptions!$D$74*Assumptions!$D$75*Assumptions!$D$76*L21</f>
        <v>0</v>
      </c>
      <c r="M43" s="17" t="n">
        <f aca="false">M13*Assumptions!$D$74*Assumptions!$D$75*Assumptions!$D$76*M21</f>
        <v>0</v>
      </c>
      <c r="N43" s="17" t="n">
        <f aca="false">N13*Assumptions!$D$74*Assumptions!$D$75*Assumptions!$D$76*N21</f>
        <v>0</v>
      </c>
      <c r="O43" s="17" t="n">
        <f aca="false">O13*Assumptions!$D$74*Assumptions!$D$75*Assumptions!$D$76*O21</f>
        <v>0</v>
      </c>
      <c r="P43" s="17" t="n">
        <f aca="false">P13*Assumptions!$D$74*Assumptions!$D$75*Assumptions!$D$76*P21</f>
        <v>0</v>
      </c>
      <c r="Q43" s="17" t="n">
        <f aca="false">Q13*Assumptions!$D$74*Assumptions!$D$75*Assumptions!$D$76*Q21</f>
        <v>0</v>
      </c>
      <c r="R43" s="17" t="n">
        <f aca="false">R13*Assumptions!$D$74*Assumptions!$D$75*Assumptions!$D$76*R21</f>
        <v>0</v>
      </c>
      <c r="S43" s="17" t="n">
        <f aca="false">S13*Assumptions!$D$74*Assumptions!$D$75*Assumptions!$D$76*S21</f>
        <v>0</v>
      </c>
      <c r="T43" s="17" t="n">
        <f aca="false">T13*Assumptions!$D$74*Assumptions!$D$75*Assumptions!$D$76*T21</f>
        <v>0</v>
      </c>
      <c r="U43" s="17" t="n">
        <f aca="false">U13*Assumptions!$D$74*Assumptions!$D$75*Assumptions!$D$76*U21</f>
        <v>0</v>
      </c>
      <c r="V43" s="17" t="n">
        <f aca="false">V13*Assumptions!$D$74*Assumptions!$D$75*Assumptions!$D$76*V21</f>
        <v>0</v>
      </c>
      <c r="W43" s="17" t="n">
        <f aca="false">W13*Assumptions!$D$74*Assumptions!$D$75*Assumptions!$D$76*W21</f>
        <v>0</v>
      </c>
      <c r="X43" s="17" t="n">
        <f aca="false">X13*Assumptions!$D$74*Assumptions!$D$75*Assumptions!$D$76*X21</f>
        <v>0</v>
      </c>
      <c r="Y43" s="17" t="n">
        <f aca="false">Y13*Assumptions!$D$74*Assumptions!$D$75*Assumptions!$D$76*Y21</f>
        <v>0</v>
      </c>
      <c r="Z43" s="17" t="n">
        <f aca="false">Z13*Assumptions!$D$74*Assumptions!$D$75*Assumptions!$D$76*Z21</f>
        <v>0</v>
      </c>
      <c r="AA43" s="17" t="n">
        <f aca="false">AA13*Assumptions!$D$74*Assumptions!$D$75*Assumptions!$D$76*AA21</f>
        <v>0</v>
      </c>
      <c r="AB43" s="17" t="n">
        <f aca="false">AB13*Assumptions!$D$74*Assumptions!$D$75*Assumptions!$D$76*AB21</f>
        <v>0</v>
      </c>
      <c r="AC43" s="17" t="n">
        <f aca="false">AC13*Assumptions!$D$74*Assumptions!$D$75*Assumptions!$D$76*AC21</f>
        <v>0</v>
      </c>
      <c r="AD43" s="17" t="n">
        <f aca="false">AD13*Assumptions!$D$74*Assumptions!$D$75*Assumptions!$D$76*AD21</f>
        <v>0</v>
      </c>
      <c r="AE43" s="17" t="n">
        <f aca="false">AE13*Assumptions!$D$74*Assumptions!$D$75*Assumptions!$D$76*AE21</f>
        <v>0</v>
      </c>
      <c r="AF43" s="17" t="n">
        <f aca="false">AF13*Assumptions!$D$74*Assumptions!$D$75*Assumptions!$D$76*AF21</f>
        <v>0</v>
      </c>
      <c r="AG43" s="17" t="n">
        <f aca="false">AG13*Assumptions!$D$74*Assumptions!$D$75*Assumptions!$D$76*AG21</f>
        <v>0</v>
      </c>
      <c r="AH43" s="17" t="n">
        <f aca="false">AH13*Assumptions!$D$74*Assumptions!$D$75*Assumptions!$D$76*AH21</f>
        <v>0</v>
      </c>
      <c r="AI43" s="17" t="n">
        <f aca="false">AI13*Assumptions!$D$74*Assumptions!$D$75*Assumptions!$D$76*AI21</f>
        <v>0</v>
      </c>
      <c r="AJ43" s="17" t="n">
        <f aca="false">AJ13*Assumptions!$D$74*Assumptions!$D$75*Assumptions!$D$76*AJ21</f>
        <v>0</v>
      </c>
      <c r="AK43" s="17" t="n">
        <f aca="false">AK13*Assumptions!$D$74*Assumptions!$D$75*Assumptions!$D$76*AK21</f>
        <v>0</v>
      </c>
      <c r="AL43" s="17" t="n">
        <f aca="false">AL13*Assumptions!$D$74*Assumptions!$D$75*Assumptions!$D$76*AL21</f>
        <v>0</v>
      </c>
      <c r="AM43" s="17" t="n">
        <f aca="false">AM13*Assumptions!$D$74*Assumptions!$D$75*Assumptions!$D$76*AM21</f>
        <v>0</v>
      </c>
      <c r="AN43" s="44" t="n">
        <f aca="false">AN13*Assumptions!$D$74*Assumptions!$D$75*Assumptions!$D$76*AN21</f>
        <v>0</v>
      </c>
      <c r="AO43" s="44" t="n">
        <f aca="false">AO13*Assumptions!$D$74*Assumptions!$D$75*Assumptions!$D$76*AO21</f>
        <v>0</v>
      </c>
      <c r="AP43" s="44" t="n">
        <f aca="false">AP13*Assumptions!$D$74*Assumptions!$D$75*Assumptions!$D$76*AP21</f>
        <v>0</v>
      </c>
      <c r="AQ43" s="44" t="n">
        <f aca="false">AQ13*Assumptions!$D$74*Assumptions!$D$75*Assumptions!$D$76*AQ21</f>
        <v>0</v>
      </c>
      <c r="AR43" s="44" t="n">
        <f aca="false">AR13*Assumptions!$D$74*Assumptions!$D$75*Assumptions!$D$76*AR21</f>
        <v>0</v>
      </c>
      <c r="AS43" s="44" t="n">
        <f aca="false">AS13*Assumptions!$D$74*Assumptions!$D$75*Assumptions!$D$76*AS21</f>
        <v>0</v>
      </c>
      <c r="AT43" s="44" t="n">
        <f aca="false">AT13*Assumptions!$D$74*Assumptions!$D$75*Assumptions!$D$76*AT21</f>
        <v>0</v>
      </c>
      <c r="AU43" s="44" t="n">
        <f aca="false">AU13*Assumptions!$D$74*Assumptions!$D$75*Assumptions!$D$76*AU21</f>
        <v>0</v>
      </c>
      <c r="AV43" s="44" t="n">
        <f aca="false">AV13*Assumptions!$D$74*Assumptions!$D$75*Assumptions!$D$76*AV21</f>
        <v>0</v>
      </c>
      <c r="AW43" s="44" t="n">
        <f aca="false">AW13*Assumptions!$D$74*Assumptions!$D$75*Assumptions!$D$76*AW21</f>
        <v>0</v>
      </c>
      <c r="AX43" s="44" t="n">
        <f aca="false">AX13*Assumptions!$D$74*Assumptions!$D$75*Assumptions!$D$76*AX21</f>
        <v>0</v>
      </c>
      <c r="AY43" s="44" t="n">
        <f aca="false">AY13*Assumptions!$D$74*Assumptions!$D$75*Assumptions!$D$76*AY21</f>
        <v>0</v>
      </c>
      <c r="AZ43" s="44" t="n">
        <f aca="false">AZ13*Assumptions!$D$74*Assumptions!$D$75*Assumptions!$D$76*AZ21</f>
        <v>0</v>
      </c>
      <c r="BA43" s="44" t="n">
        <f aca="false">BA13*Assumptions!$D$74*Assumptions!$D$75*Assumptions!$D$76*BA21</f>
        <v>0</v>
      </c>
      <c r="BB43" s="44" t="n">
        <f aca="false">BB13*Assumptions!$D$74*Assumptions!$D$75*Assumptions!$D$76*BB21</f>
        <v>0</v>
      </c>
      <c r="BC43" s="44" t="n">
        <f aca="false">BC13*Assumptions!$D$74*Assumptions!$D$75*Assumptions!$D$76*BC21</f>
        <v>0</v>
      </c>
      <c r="BD43" s="44" t="n">
        <f aca="false">BD13*Assumptions!$D$74*Assumptions!$D$75*Assumptions!$D$76*BD21</f>
        <v>0</v>
      </c>
      <c r="BE43" s="44" t="n">
        <f aca="false">BE13*Assumptions!$D$74*Assumptions!$D$75*Assumptions!$D$76*BE21</f>
        <v>0</v>
      </c>
      <c r="BF43" s="44" t="n">
        <f aca="false">BF13*Assumptions!$D$74*Assumptions!$D$75*Assumptions!$D$76*BF21</f>
        <v>0</v>
      </c>
      <c r="BG43" s="44" t="n">
        <f aca="false">BG13*Assumptions!$D$74*Assumptions!$D$75*Assumptions!$D$76*BG21</f>
        <v>0</v>
      </c>
      <c r="BH43" s="44" t="n">
        <f aca="false">BH13*Assumptions!$D$74*Assumptions!$D$75*Assumptions!$D$76*BH21</f>
        <v>0</v>
      </c>
      <c r="BI43" s="44" t="n">
        <f aca="false">BI13*Assumptions!$D$74*Assumptions!$D$75*Assumptions!$D$76*BI21</f>
        <v>0</v>
      </c>
      <c r="BJ43" s="44" t="n">
        <f aca="false">BJ13*Assumptions!$D$74*Assumptions!$D$75*Assumptions!$D$76*BJ21</f>
        <v>0</v>
      </c>
      <c r="BK43" s="44" t="n">
        <f aca="false">BK13*Assumptions!$D$74*Assumptions!$D$75*Assumptions!$D$76*BK21</f>
        <v>0</v>
      </c>
    </row>
    <row r="44" customFormat="false" ht="15" hidden="false" customHeight="false" outlineLevel="0" collapsed="false">
      <c r="A44" s="28" t="s">
        <v>603</v>
      </c>
      <c r="B44" s="6" t="s">
        <v>604</v>
      </c>
      <c r="C44" s="42"/>
      <c r="D44" s="26" t="n">
        <f aca="false">D10*Assumptions!$D$80/12*D18</f>
        <v>0</v>
      </c>
      <c r="E44" s="26" t="n">
        <f aca="false">E10*Assumptions!$D$80/12*E18</f>
        <v>0</v>
      </c>
      <c r="F44" s="26" t="n">
        <f aca="false">F10*Assumptions!$D$80/12*F18</f>
        <v>0</v>
      </c>
      <c r="G44" s="26" t="n">
        <f aca="false">G10*Assumptions!$D$80/12*G18</f>
        <v>0</v>
      </c>
      <c r="H44" s="26" t="n">
        <f aca="false">H10*Assumptions!$D$80/12*H18</f>
        <v>0</v>
      </c>
      <c r="I44" s="26" t="n">
        <f aca="false">I10*Assumptions!$D$80/12*I18</f>
        <v>0</v>
      </c>
      <c r="J44" s="26" t="n">
        <f aca="false">J10*Assumptions!$D$80/12*J18</f>
        <v>0</v>
      </c>
      <c r="K44" s="26" t="n">
        <f aca="false">K10*Assumptions!$D$80/12*K18</f>
        <v>0</v>
      </c>
      <c r="L44" s="26" t="n">
        <f aca="false">L10*Assumptions!$D$80/12*L18</f>
        <v>0</v>
      </c>
      <c r="M44" s="26" t="n">
        <f aca="false">M10*Assumptions!$D$80/12*M18</f>
        <v>0</v>
      </c>
      <c r="N44" s="26" t="n">
        <f aca="false">N10*Assumptions!$D$80/12*N18</f>
        <v>0</v>
      </c>
      <c r="O44" s="26" t="n">
        <f aca="false">O10*Assumptions!$D$80/12*O18</f>
        <v>0</v>
      </c>
      <c r="P44" s="26" t="n">
        <f aca="false">P10*Assumptions!$D$80/12*P18</f>
        <v>0</v>
      </c>
      <c r="Q44" s="26" t="n">
        <f aca="false">Q10*Assumptions!$D$80/12*Q18</f>
        <v>0</v>
      </c>
      <c r="R44" s="26" t="n">
        <f aca="false">R10*Assumptions!$D$80/12*R18</f>
        <v>0</v>
      </c>
      <c r="S44" s="26" t="n">
        <f aca="false">S10*Assumptions!$D$80/12*S18</f>
        <v>0</v>
      </c>
      <c r="T44" s="26" t="n">
        <f aca="false">T10*Assumptions!$D$80/12*T18</f>
        <v>0</v>
      </c>
      <c r="U44" s="26" t="n">
        <f aca="false">U10*Assumptions!$D$80/12*U18</f>
        <v>0</v>
      </c>
      <c r="V44" s="26" t="n">
        <f aca="false">V10*Assumptions!$D$80/12*V18</f>
        <v>0</v>
      </c>
      <c r="W44" s="26" t="n">
        <f aca="false">W10*Assumptions!$D$80/12*W18</f>
        <v>0</v>
      </c>
      <c r="X44" s="26" t="n">
        <f aca="false">X10*Assumptions!$D$80/12*X18</f>
        <v>0</v>
      </c>
      <c r="Y44" s="26" t="n">
        <f aca="false">Y10*Assumptions!$D$80/12*Y18</f>
        <v>0</v>
      </c>
      <c r="Z44" s="26" t="n">
        <f aca="false">Z10*Assumptions!$D$80/12*Z18</f>
        <v>0</v>
      </c>
      <c r="AA44" s="26" t="n">
        <f aca="false">AA10*Assumptions!$D$80/12*AA18</f>
        <v>0</v>
      </c>
      <c r="AB44" s="26" t="n">
        <f aca="false">AB10*Assumptions!$D$80/12*AB18</f>
        <v>0</v>
      </c>
      <c r="AC44" s="26" t="n">
        <f aca="false">AC10*Assumptions!$D$80/12*AC18</f>
        <v>0</v>
      </c>
      <c r="AD44" s="26" t="n">
        <f aca="false">AD10*Assumptions!$D$80/12*AD18</f>
        <v>0</v>
      </c>
      <c r="AE44" s="26" t="n">
        <f aca="false">AE10*Assumptions!$D$80/12*AE18</f>
        <v>0</v>
      </c>
      <c r="AF44" s="26" t="n">
        <f aca="false">AF10*Assumptions!$D$80/12*AF18</f>
        <v>0.333333333333333</v>
      </c>
      <c r="AG44" s="26" t="n">
        <f aca="false">AG10*Assumptions!$D$80/12*AG18</f>
        <v>0.375</v>
      </c>
      <c r="AH44" s="26" t="n">
        <f aca="false">AH10*Assumptions!$D$80/12*AH18</f>
        <v>0.375</v>
      </c>
      <c r="AI44" s="26" t="n">
        <f aca="false">AI10*Assumptions!$D$80/12*AI18</f>
        <v>0.416666666666667</v>
      </c>
      <c r="AJ44" s="26" t="n">
        <f aca="false">AJ10*Assumptions!$D$80/12*AJ18</f>
        <v>0.458333333333333</v>
      </c>
      <c r="AK44" s="26" t="n">
        <f aca="false">AK10*Assumptions!$D$80/12*AK18</f>
        <v>0.5</v>
      </c>
      <c r="AL44" s="26" t="n">
        <f aca="false">AL10*Assumptions!$D$80/12*AL18</f>
        <v>0.541666666666667</v>
      </c>
      <c r="AM44" s="26" t="n">
        <f aca="false">AM10*Assumptions!$D$80/12*AM18</f>
        <v>0.583333333333333</v>
      </c>
      <c r="AN44" s="37" t="n">
        <f aca="false">AN10*Assumptions!$D$80/12*AN18</f>
        <v>0.625</v>
      </c>
      <c r="AO44" s="37" t="n">
        <f aca="false">AO10*Assumptions!$D$80/12*AO18</f>
        <v>0.666666666666667</v>
      </c>
      <c r="AP44" s="37" t="n">
        <f aca="false">AP10*Assumptions!$D$80/12*AP18</f>
        <v>0.708333333333333</v>
      </c>
      <c r="AQ44" s="37" t="n">
        <f aca="false">AQ10*Assumptions!$D$80/12*AQ18</f>
        <v>0.75</v>
      </c>
      <c r="AR44" s="37" t="n">
        <f aca="false">AR10*Assumptions!$D$80/12*AR18</f>
        <v>0.791666666666667</v>
      </c>
      <c r="AS44" s="37" t="n">
        <f aca="false">AS10*Assumptions!$D$80/12*AS18</f>
        <v>0.833333333333333</v>
      </c>
      <c r="AT44" s="37" t="n">
        <f aca="false">AT10*Assumptions!$D$80/12*AT18</f>
        <v>0.875</v>
      </c>
      <c r="AU44" s="37" t="n">
        <f aca="false">AU10*Assumptions!$D$80/12*AU18</f>
        <v>0.916666666666667</v>
      </c>
      <c r="AV44" s="37" t="n">
        <f aca="false">AV10*Assumptions!$D$80/12*AV18</f>
        <v>0.958333333333333</v>
      </c>
      <c r="AW44" s="37" t="n">
        <f aca="false">AW10*Assumptions!$D$80/12*AW18</f>
        <v>1</v>
      </c>
      <c r="AX44" s="37" t="n">
        <f aca="false">AX10*Assumptions!$D$80/12*AX18</f>
        <v>1.04166666666667</v>
      </c>
      <c r="AY44" s="37" t="n">
        <f aca="false">AY10*Assumptions!$D$80/12*AY18</f>
        <v>1.08333333333333</v>
      </c>
      <c r="AZ44" s="37" t="n">
        <f aca="false">AZ10*Assumptions!$D$80/12*AZ18</f>
        <v>1.125</v>
      </c>
      <c r="BA44" s="37" t="n">
        <f aca="false">BA10*Assumptions!$D$80/12*BA18</f>
        <v>1.16666666666667</v>
      </c>
      <c r="BB44" s="37" t="n">
        <f aca="false">BB10*Assumptions!$D$80/12*BB18</f>
        <v>1.20833333333333</v>
      </c>
      <c r="BC44" s="37" t="n">
        <f aca="false">BC10*Assumptions!$D$80/12*BC18</f>
        <v>1.25</v>
      </c>
      <c r="BD44" s="37" t="n">
        <f aca="false">BD10*Assumptions!$D$80/12*BD18</f>
        <v>1.29166666666667</v>
      </c>
      <c r="BE44" s="37" t="n">
        <f aca="false">BE10*Assumptions!$D$80/12*BE18</f>
        <v>1.33333333333333</v>
      </c>
      <c r="BF44" s="37" t="n">
        <f aca="false">BF10*Assumptions!$D$80/12*BF18</f>
        <v>1.375</v>
      </c>
      <c r="BG44" s="37" t="n">
        <f aca="false">BG10*Assumptions!$D$80/12*BG18</f>
        <v>1.41666666666667</v>
      </c>
      <c r="BH44" s="37" t="n">
        <f aca="false">BH10*Assumptions!$D$80/12*BH18</f>
        <v>1.45833333333333</v>
      </c>
      <c r="BI44" s="37" t="n">
        <f aca="false">BI10*Assumptions!$D$80/12*BI18</f>
        <v>1.5</v>
      </c>
      <c r="BJ44" s="37" t="n">
        <f aca="false">BJ10*Assumptions!$D$80/12*BJ18</f>
        <v>1.54166666666667</v>
      </c>
      <c r="BK44" s="37" t="n">
        <f aca="false">BK10*Assumptions!$D$80/12*BK18</f>
        <v>1.58333333333333</v>
      </c>
    </row>
    <row r="45" customFormat="false" ht="15" hidden="false" customHeight="false" outlineLevel="0" collapsed="false">
      <c r="A45" s="28" t="s">
        <v>605</v>
      </c>
      <c r="B45" s="6" t="s">
        <v>606</v>
      </c>
      <c r="C45" s="43"/>
      <c r="D45" s="17" t="n">
        <f aca="false">D44*Assumptions!$D$81</f>
        <v>0</v>
      </c>
      <c r="E45" s="17" t="n">
        <f aca="false">E44*Assumptions!$D$81</f>
        <v>0</v>
      </c>
      <c r="F45" s="17" t="n">
        <f aca="false">F44*Assumptions!$D$81</f>
        <v>0</v>
      </c>
      <c r="G45" s="17" t="n">
        <f aca="false">G44*Assumptions!$D$81</f>
        <v>0</v>
      </c>
      <c r="H45" s="17" t="n">
        <f aca="false">H44*Assumptions!$D$81</f>
        <v>0</v>
      </c>
      <c r="I45" s="17" t="n">
        <f aca="false">I44*Assumptions!$D$81</f>
        <v>0</v>
      </c>
      <c r="J45" s="17" t="n">
        <f aca="false">J44*Assumptions!$D$81</f>
        <v>0</v>
      </c>
      <c r="K45" s="17" t="n">
        <f aca="false">K44*Assumptions!$D$81</f>
        <v>0</v>
      </c>
      <c r="L45" s="17" t="n">
        <f aca="false">L44*Assumptions!$D$81</f>
        <v>0</v>
      </c>
      <c r="M45" s="17" t="n">
        <f aca="false">M44*Assumptions!$D$81</f>
        <v>0</v>
      </c>
      <c r="N45" s="17" t="n">
        <f aca="false">N44*Assumptions!$D$81</f>
        <v>0</v>
      </c>
      <c r="O45" s="17" t="n">
        <f aca="false">O44*Assumptions!$D$81</f>
        <v>0</v>
      </c>
      <c r="P45" s="17" t="n">
        <f aca="false">P44*Assumptions!$D$81</f>
        <v>0</v>
      </c>
      <c r="Q45" s="17" t="n">
        <f aca="false">Q44*Assumptions!$D$81</f>
        <v>0</v>
      </c>
      <c r="R45" s="17" t="n">
        <f aca="false">R44*Assumptions!$D$81</f>
        <v>0</v>
      </c>
      <c r="S45" s="17" t="n">
        <f aca="false">S44*Assumptions!$D$81</f>
        <v>0</v>
      </c>
      <c r="T45" s="17" t="n">
        <f aca="false">T44*Assumptions!$D$81</f>
        <v>0</v>
      </c>
      <c r="U45" s="17" t="n">
        <f aca="false">U44*Assumptions!$D$81</f>
        <v>0</v>
      </c>
      <c r="V45" s="17" t="n">
        <f aca="false">V44*Assumptions!$D$81</f>
        <v>0</v>
      </c>
      <c r="W45" s="17" t="n">
        <f aca="false">W44*Assumptions!$D$81</f>
        <v>0</v>
      </c>
      <c r="X45" s="17" t="n">
        <f aca="false">X44*Assumptions!$D$81</f>
        <v>0</v>
      </c>
      <c r="Y45" s="17" t="n">
        <f aca="false">Y44*Assumptions!$D$81</f>
        <v>0</v>
      </c>
      <c r="Z45" s="17" t="n">
        <f aca="false">Z44*Assumptions!$D$81</f>
        <v>0</v>
      </c>
      <c r="AA45" s="17" t="n">
        <f aca="false">AA44*Assumptions!$D$81</f>
        <v>0</v>
      </c>
      <c r="AB45" s="17" t="n">
        <f aca="false">AB44*Assumptions!$D$81</f>
        <v>0</v>
      </c>
      <c r="AC45" s="17" t="n">
        <f aca="false">AC44*Assumptions!$D$81</f>
        <v>0</v>
      </c>
      <c r="AD45" s="17" t="n">
        <f aca="false">AD44*Assumptions!$D$81</f>
        <v>0</v>
      </c>
      <c r="AE45" s="17" t="n">
        <f aca="false">AE44*Assumptions!$D$81</f>
        <v>0</v>
      </c>
      <c r="AF45" s="17" t="n">
        <f aca="false">AF44*Assumptions!$D$81</f>
        <v>750</v>
      </c>
      <c r="AG45" s="17" t="n">
        <f aca="false">AG44*Assumptions!$D$81</f>
        <v>843.75</v>
      </c>
      <c r="AH45" s="17" t="n">
        <f aca="false">AH44*Assumptions!$D$81</f>
        <v>843.75</v>
      </c>
      <c r="AI45" s="17" t="n">
        <f aca="false">AI44*Assumptions!$D$81</f>
        <v>937.5</v>
      </c>
      <c r="AJ45" s="17" t="n">
        <f aca="false">AJ44*Assumptions!$D$81</f>
        <v>1031.25</v>
      </c>
      <c r="AK45" s="17" t="n">
        <f aca="false">AK44*Assumptions!$D$81</f>
        <v>1125</v>
      </c>
      <c r="AL45" s="17" t="n">
        <f aca="false">AL44*Assumptions!$D$81</f>
        <v>1218.75</v>
      </c>
      <c r="AM45" s="17" t="n">
        <f aca="false">AM44*Assumptions!$D$81</f>
        <v>1312.5</v>
      </c>
      <c r="AN45" s="44" t="n">
        <f aca="false">AN44*Assumptions!$D$81</f>
        <v>1406.25</v>
      </c>
      <c r="AO45" s="44" t="n">
        <f aca="false">AO44*Assumptions!$D$81</f>
        <v>1500</v>
      </c>
      <c r="AP45" s="44" t="n">
        <f aca="false">AP44*Assumptions!$D$81</f>
        <v>1593.75</v>
      </c>
      <c r="AQ45" s="44" t="n">
        <f aca="false">AQ44*Assumptions!$D$81</f>
        <v>1687.5</v>
      </c>
      <c r="AR45" s="44" t="n">
        <f aca="false">AR44*Assumptions!$D$81</f>
        <v>1781.25</v>
      </c>
      <c r="AS45" s="44" t="n">
        <f aca="false">AS44*Assumptions!$D$81</f>
        <v>1875</v>
      </c>
      <c r="AT45" s="44" t="n">
        <f aca="false">AT44*Assumptions!$D$81</f>
        <v>1968.75</v>
      </c>
      <c r="AU45" s="44" t="n">
        <f aca="false">AU44*Assumptions!$D$81</f>
        <v>2062.5</v>
      </c>
      <c r="AV45" s="44" t="n">
        <f aca="false">AV44*Assumptions!$D$81</f>
        <v>2156.25</v>
      </c>
      <c r="AW45" s="44" t="n">
        <f aca="false">AW44*Assumptions!$D$81</f>
        <v>2250</v>
      </c>
      <c r="AX45" s="44" t="n">
        <f aca="false">AX44*Assumptions!$D$81</f>
        <v>2343.75</v>
      </c>
      <c r="AY45" s="44" t="n">
        <f aca="false">AY44*Assumptions!$D$81</f>
        <v>2437.5</v>
      </c>
      <c r="AZ45" s="44" t="n">
        <f aca="false">AZ44*Assumptions!$D$81</f>
        <v>2531.25</v>
      </c>
      <c r="BA45" s="44" t="n">
        <f aca="false">BA44*Assumptions!$D$81</f>
        <v>2625</v>
      </c>
      <c r="BB45" s="44" t="n">
        <f aca="false">BB44*Assumptions!$D$81</f>
        <v>2718.75</v>
      </c>
      <c r="BC45" s="44" t="n">
        <f aca="false">BC44*Assumptions!$D$81</f>
        <v>2812.5</v>
      </c>
      <c r="BD45" s="44" t="n">
        <f aca="false">BD44*Assumptions!$D$81</f>
        <v>2906.25</v>
      </c>
      <c r="BE45" s="44" t="n">
        <f aca="false">BE44*Assumptions!$D$81</f>
        <v>3000</v>
      </c>
      <c r="BF45" s="44" t="n">
        <f aca="false">BF44*Assumptions!$D$81</f>
        <v>3093.75</v>
      </c>
      <c r="BG45" s="44" t="n">
        <f aca="false">BG44*Assumptions!$D$81</f>
        <v>3187.5</v>
      </c>
      <c r="BH45" s="44" t="n">
        <f aca="false">BH44*Assumptions!$D$81</f>
        <v>3281.25</v>
      </c>
      <c r="BI45" s="44" t="n">
        <f aca="false">BI44*Assumptions!$D$81</f>
        <v>3375</v>
      </c>
      <c r="BJ45" s="44" t="n">
        <f aca="false">BJ44*Assumptions!$D$81</f>
        <v>3468.75</v>
      </c>
      <c r="BK45" s="44" t="n">
        <f aca="false">BK44*Assumptions!$D$81</f>
        <v>3562.5</v>
      </c>
    </row>
    <row r="46" customFormat="false" ht="15" hidden="false" customHeight="false" outlineLevel="0" collapsed="false">
      <c r="A46" s="28" t="s">
        <v>607</v>
      </c>
      <c r="B46" s="5" t="s">
        <v>608</v>
      </c>
      <c r="C46" s="43"/>
      <c r="D46" s="45" t="n">
        <f aca="false">D37+D38+D40+D41+D42+D43+D45</f>
        <v>0</v>
      </c>
      <c r="E46" s="45" t="n">
        <f aca="false">E37+E38+E40+E41+E42+E43+E45</f>
        <v>0</v>
      </c>
      <c r="F46" s="45" t="n">
        <f aca="false">F37+F38+F40+F41+F42+F43+F45</f>
        <v>0</v>
      </c>
      <c r="G46" s="45" t="n">
        <f aca="false">G37+G38+G40+G41+G42+G43+G45</f>
        <v>0</v>
      </c>
      <c r="H46" s="45" t="n">
        <f aca="false">H37+H38+H40+H41+H42+H43+H45</f>
        <v>0</v>
      </c>
      <c r="I46" s="45" t="n">
        <f aca="false">I37+I38+I40+I41+I42+I43+I45</f>
        <v>0</v>
      </c>
      <c r="J46" s="45" t="n">
        <f aca="false">J37+J38+J40+J41+J42+J43+J45</f>
        <v>0</v>
      </c>
      <c r="K46" s="45" t="n">
        <f aca="false">K37+K38+K40+K41+K42+K43+K45</f>
        <v>0</v>
      </c>
      <c r="L46" s="45" t="n">
        <f aca="false">L37+L38+L40+L41+L42+L43+L45</f>
        <v>0</v>
      </c>
      <c r="M46" s="45" t="n">
        <f aca="false">M37+M38+M40+M41+M42+M43+M45</f>
        <v>0</v>
      </c>
      <c r="N46" s="45" t="n">
        <f aca="false">N37+N38+N40+N41+N42+N43+N45</f>
        <v>0</v>
      </c>
      <c r="O46" s="45" t="n">
        <f aca="false">O37+O38+O40+O41+O42+O43+O45</f>
        <v>0</v>
      </c>
      <c r="P46" s="45" t="n">
        <f aca="false">P37+P38+P40+P41+P42+P43+P45</f>
        <v>0</v>
      </c>
      <c r="Q46" s="45" t="n">
        <f aca="false">Q37+Q38+Q40+Q41+Q42+Q43+Q45</f>
        <v>0</v>
      </c>
      <c r="R46" s="45" t="n">
        <f aca="false">R37+R38+R40+R41+R42+R43+R45</f>
        <v>0</v>
      </c>
      <c r="S46" s="45" t="n">
        <f aca="false">S37+S38+S40+S41+S42+S43+S45</f>
        <v>0</v>
      </c>
      <c r="T46" s="45" t="n">
        <f aca="false">T37+T38+T40+T41+T42+T43+T45</f>
        <v>0</v>
      </c>
      <c r="U46" s="45" t="n">
        <f aca="false">U37+U38+U40+U41+U42+U43+U45</f>
        <v>0</v>
      </c>
      <c r="V46" s="45" t="n">
        <f aca="false">V37+V38+V40+V41+V42+V43+V45</f>
        <v>0</v>
      </c>
      <c r="W46" s="45" t="n">
        <f aca="false">W37+W38+W40+W41+W42+W43+W45</f>
        <v>0</v>
      </c>
      <c r="X46" s="45" t="n">
        <f aca="false">X37+X38+X40+X41+X42+X43+X45</f>
        <v>0</v>
      </c>
      <c r="Y46" s="45" t="n">
        <f aca="false">Y37+Y38+Y40+Y41+Y42+Y43+Y45</f>
        <v>0</v>
      </c>
      <c r="Z46" s="45" t="n">
        <f aca="false">Z37+Z38+Z40+Z41+Z42+Z43+Z45</f>
        <v>0</v>
      </c>
      <c r="AA46" s="45" t="n">
        <f aca="false">AA37+AA38+AA40+AA41+AA42+AA43+AA45</f>
        <v>0</v>
      </c>
      <c r="AB46" s="45" t="n">
        <f aca="false">AB37+AB38+AB40+AB41+AB42+AB43+AB45</f>
        <v>0</v>
      </c>
      <c r="AC46" s="45" t="n">
        <f aca="false">AC37+AC38+AC40+AC41+AC42+AC43+AC45</f>
        <v>0</v>
      </c>
      <c r="AD46" s="45" t="n">
        <f aca="false">AD37+AD38+AD40+AD41+AD42+AD43+AD45</f>
        <v>0</v>
      </c>
      <c r="AE46" s="45" t="n">
        <f aca="false">AE37+AE38+AE40+AE41+AE42+AE43+AE45</f>
        <v>0</v>
      </c>
      <c r="AF46" s="45" t="n">
        <f aca="false">AF37+AF38+AF40+AF41+AF42+AF43+AF45</f>
        <v>750</v>
      </c>
      <c r="AG46" s="45" t="n">
        <f aca="false">AG37+AG38+AG40+AG41+AG42+AG43+AG45</f>
        <v>843.75</v>
      </c>
      <c r="AH46" s="45" t="n">
        <f aca="false">AH37+AH38+AH40+AH41+AH42+AH43+AH45</f>
        <v>843.75</v>
      </c>
      <c r="AI46" s="45" t="n">
        <f aca="false">AI37+AI38+AI40+AI41+AI42+AI43+AI45</f>
        <v>937.5</v>
      </c>
      <c r="AJ46" s="45" t="n">
        <f aca="false">AJ37+AJ38+AJ40+AJ41+AJ42+AJ43+AJ45</f>
        <v>1031.25</v>
      </c>
      <c r="AK46" s="45" t="n">
        <f aca="false">AK37+AK38+AK40+AK41+AK42+AK43+AK45</f>
        <v>1125</v>
      </c>
      <c r="AL46" s="45" t="n">
        <f aca="false">AL37+AL38+AL40+AL41+AL42+AL43+AL45</f>
        <v>1218.75</v>
      </c>
      <c r="AM46" s="45" t="n">
        <f aca="false">AM37+AM38+AM40+AM41+AM42+AM43+AM45</f>
        <v>1434.51280688557</v>
      </c>
      <c r="AN46" s="46" t="n">
        <f aca="false">AN37+AN38+AN40+AN41+AN42+AN43+AN45</f>
        <v>1648.45041179334</v>
      </c>
      <c r="AO46" s="46" t="n">
        <f aca="false">AO37+AO38+AO40+AO41+AO42+AO43+AO45</f>
        <v>1860.63283144323</v>
      </c>
      <c r="AP46" s="46" t="n">
        <f aca="false">AP37+AP38+AP40+AP41+AP42+AP43+AP45</f>
        <v>2071.12640326242</v>
      </c>
      <c r="AQ46" s="46" t="n">
        <f aca="false">AQ37+AQ38+AQ40+AQ41+AQ42+AQ43+AQ45</f>
        <v>2279.89993859957</v>
      </c>
      <c r="AR46" s="46" t="n">
        <f aca="false">AR37+AR38+AR40+AR41+AR42+AR43+AR45</f>
        <v>2486.92732996582</v>
      </c>
      <c r="AS46" s="46" t="n">
        <f aca="false">AS37+AS38+AS40+AS41+AS42+AS43+AS45</f>
        <v>2692.28125343794</v>
      </c>
      <c r="AT46" s="46" t="n">
        <f aca="false">AT37+AT38+AT40+AT41+AT42+AT43+AT45</f>
        <v>2895.93633966891</v>
      </c>
      <c r="AU46" s="46" t="n">
        <f aca="false">AU37+AU38+AU40+AU41+AU42+AU43+AU45</f>
        <v>3097.87181407272</v>
      </c>
      <c r="AV46" s="46" t="n">
        <f aca="false">AV37+AV38+AV40+AV41+AV42+AV43+AV45</f>
        <v>3298.16523023594</v>
      </c>
      <c r="AW46" s="46" t="n">
        <f aca="false">AW37+AW38+AW40+AW41+AW42+AW43+AW45</f>
        <v>3496.79567011224</v>
      </c>
      <c r="AX46" s="46" t="n">
        <f aca="false">AX37+AX38+AX40+AX41+AX42+AX43+AX45</f>
        <v>3693.74641167111</v>
      </c>
      <c r="AY46" s="46" t="n">
        <f aca="false">AY37+AY38+AY40+AY41+AY42+AY43+AY45</f>
        <v>3889.09868815181</v>
      </c>
      <c r="AZ46" s="46" t="n">
        <f aca="false">AZ37+AZ38+AZ40+AZ41+AZ42+AZ43+AZ45</f>
        <v>4082.8349125718</v>
      </c>
      <c r="BA46" s="46" t="n">
        <f aca="false">BA37+BA38+BA40+BA41+BA42+BA43+BA45</f>
        <v>4274.94136824843</v>
      </c>
      <c r="BB46" s="46" t="n">
        <f aca="false">BB37+BB38+BB40+BB41+BB42+BB43+BB45</f>
        <v>4465.4079039858</v>
      </c>
      <c r="BC46" s="46" t="n">
        <f aca="false">BC37+BC38+BC40+BC41+BC42+BC43+BC45</f>
        <v>4654.22764971983</v>
      </c>
      <c r="BD46" s="46" t="n">
        <f aca="false">BD37+BD38+BD40+BD41+BD42+BD43+BD45</f>
        <v>4841.39675130437</v>
      </c>
      <c r="BE46" s="46" t="n">
        <f aca="false">BE37+BE38+BE40+BE41+BE42+BE43+BE45</f>
        <v>5026.91412320568</v>
      </c>
      <c r="BF46" s="46" t="n">
        <f aca="false">BF37+BF38+BF40+BF41+BF42+BF43+BF45</f>
        <v>5210.78121795126</v>
      </c>
      <c r="BG46" s="46" t="n">
        <f aca="false">BG37+BG38+BG40+BG41+BG42+BG43+BG45</f>
        <v>5393.00181125308</v>
      </c>
      <c r="BH46" s="46" t="n">
        <f aca="false">BH37+BH38+BH40+BH41+BH42+BH43+BH45</f>
        <v>5573.58180179392</v>
      </c>
      <c r="BI46" s="46" t="n">
        <f aca="false">BI37+BI38+BI40+BI41+BI42+BI43+BI45</f>
        <v>5752.52902473048</v>
      </c>
      <c r="BJ46" s="46" t="n">
        <f aca="false">BJ37+BJ38+BJ40+BJ41+BJ42+BJ43+BJ45</f>
        <v>5929.85307802718</v>
      </c>
      <c r="BK46" s="46" t="n">
        <f aca="false">BK37+BK38+BK40+BK41+BK42+BK43+BK45</f>
        <v>6105.56516079116</v>
      </c>
    </row>
    <row r="47" customFormat="false" ht="15" hidden="false" customHeight="false" outlineLevel="0" collapsed="false">
      <c r="A47" s="28" t="s">
        <v>609</v>
      </c>
      <c r="B47" s="6" t="s">
        <v>610</v>
      </c>
      <c r="C47" s="43"/>
      <c r="D47" s="17" t="n">
        <f aca="false">D37+D38</f>
        <v>0</v>
      </c>
      <c r="E47" s="17" t="n">
        <f aca="false">E37+E38</f>
        <v>0</v>
      </c>
      <c r="F47" s="17" t="n">
        <f aca="false">F37+F38</f>
        <v>0</v>
      </c>
      <c r="G47" s="17" t="n">
        <f aca="false">G37+G38</f>
        <v>0</v>
      </c>
      <c r="H47" s="17" t="n">
        <f aca="false">H37+H38</f>
        <v>0</v>
      </c>
      <c r="I47" s="17" t="n">
        <f aca="false">I37+I38</f>
        <v>0</v>
      </c>
      <c r="J47" s="17" t="n">
        <f aca="false">J37+J38</f>
        <v>0</v>
      </c>
      <c r="K47" s="17" t="n">
        <f aca="false">K37+K38</f>
        <v>0</v>
      </c>
      <c r="L47" s="17" t="n">
        <f aca="false">L37+L38</f>
        <v>0</v>
      </c>
      <c r="M47" s="17" t="n">
        <f aca="false">M37+M38</f>
        <v>0</v>
      </c>
      <c r="N47" s="17" t="n">
        <f aca="false">N37+N38</f>
        <v>0</v>
      </c>
      <c r="O47" s="17" t="n">
        <f aca="false">O37+O38</f>
        <v>0</v>
      </c>
      <c r="P47" s="17" t="n">
        <f aca="false">P37+P38</f>
        <v>0</v>
      </c>
      <c r="Q47" s="17" t="n">
        <f aca="false">Q37+Q38</f>
        <v>0</v>
      </c>
      <c r="R47" s="17" t="n">
        <f aca="false">R37+R38</f>
        <v>0</v>
      </c>
      <c r="S47" s="17" t="n">
        <f aca="false">S37+S38</f>
        <v>0</v>
      </c>
      <c r="T47" s="17" t="n">
        <f aca="false">T37+T38</f>
        <v>0</v>
      </c>
      <c r="U47" s="17" t="n">
        <f aca="false">U37+U38</f>
        <v>0</v>
      </c>
      <c r="V47" s="17" t="n">
        <f aca="false">V37+V38</f>
        <v>0</v>
      </c>
      <c r="W47" s="17" t="n">
        <f aca="false">W37+W38</f>
        <v>0</v>
      </c>
      <c r="X47" s="17" t="n">
        <f aca="false">X37+X38</f>
        <v>0</v>
      </c>
      <c r="Y47" s="17" t="n">
        <f aca="false">Y37+Y38</f>
        <v>0</v>
      </c>
      <c r="Z47" s="17" t="n">
        <f aca="false">Z37+Z38</f>
        <v>0</v>
      </c>
      <c r="AA47" s="17" t="n">
        <f aca="false">AA37+AA38</f>
        <v>0</v>
      </c>
      <c r="AB47" s="17" t="n">
        <f aca="false">AB37+AB38</f>
        <v>0</v>
      </c>
      <c r="AC47" s="17" t="n">
        <f aca="false">AC37+AC38</f>
        <v>0</v>
      </c>
      <c r="AD47" s="17" t="n">
        <f aca="false">AD37+AD38</f>
        <v>0</v>
      </c>
      <c r="AE47" s="17" t="n">
        <f aca="false">AE37+AE38</f>
        <v>0</v>
      </c>
      <c r="AF47" s="17" t="n">
        <f aca="false">AF37+AF38</f>
        <v>0</v>
      </c>
      <c r="AG47" s="17" t="n">
        <f aca="false">AG37+AG38</f>
        <v>0</v>
      </c>
      <c r="AH47" s="17" t="n">
        <f aca="false">AH37+AH38</f>
        <v>0</v>
      </c>
      <c r="AI47" s="17" t="n">
        <f aca="false">AI37+AI38</f>
        <v>0</v>
      </c>
      <c r="AJ47" s="17" t="n">
        <f aca="false">AJ37+AJ38</f>
        <v>0</v>
      </c>
      <c r="AK47" s="17" t="n">
        <f aca="false">AK37+AK38</f>
        <v>0</v>
      </c>
      <c r="AL47" s="17" t="n">
        <f aca="false">AL37+AL38</f>
        <v>0</v>
      </c>
      <c r="AM47" s="17" t="n">
        <f aca="false">AM37+AM38</f>
        <v>100.569052204438</v>
      </c>
      <c r="AN47" s="44" t="n">
        <f aca="false">AN37+AN38</f>
        <v>199.642326821995</v>
      </c>
      <c r="AO47" s="44" t="n">
        <f aca="false">AO37+AO38</f>
        <v>297.276880810541</v>
      </c>
      <c r="AP47" s="44" t="n">
        <f aca="false">AP37+AP38</f>
        <v>393.526783223631</v>
      </c>
      <c r="AQ47" s="44" t="n">
        <f aca="false">AQ37+AQ38</f>
        <v>488.365759014792</v>
      </c>
      <c r="AR47" s="44" t="n">
        <f aca="false">AR37+AR38</f>
        <v>581.771753599754</v>
      </c>
      <c r="AS47" s="44" t="n">
        <f aca="false">AS37+AS38</f>
        <v>673.804165451037</v>
      </c>
      <c r="AT47" s="44" t="n">
        <f aca="false">AT37+AT38</f>
        <v>764.441614938844</v>
      </c>
      <c r="AU47" s="44" t="n">
        <f aca="false">AU37+AU38</f>
        <v>853.666536372193</v>
      </c>
      <c r="AV47" s="44" t="n">
        <f aca="false">AV37+AV38</f>
        <v>941.542436459718</v>
      </c>
      <c r="AW47" s="44" t="n">
        <f aca="false">AW37+AW38</f>
        <v>1028.0516874963</v>
      </c>
      <c r="AX47" s="44" t="n">
        <f aca="false">AX37+AX38</f>
        <v>1113.18014231654</v>
      </c>
      <c r="AY47" s="44" t="n">
        <f aca="false">AY37+AY38</f>
        <v>1196.99441431647</v>
      </c>
      <c r="AZ47" s="44" t="n">
        <f aca="false">AZ37+AZ38</f>
        <v>1279.47969092722</v>
      </c>
      <c r="BA47" s="44" t="n">
        <f aca="false">BA37+BA38</f>
        <v>1360.62436765446</v>
      </c>
      <c r="BB47" s="44" t="n">
        <f aca="false">BB37+BB38</f>
        <v>1440.41979601621</v>
      </c>
      <c r="BC47" s="44" t="n">
        <f aca="false">BC37+BC38</f>
        <v>1518.86004837166</v>
      </c>
      <c r="BD47" s="44" t="n">
        <f aca="false">BD37+BD38</f>
        <v>1595.94169855526</v>
      </c>
      <c r="BE47" s="44" t="n">
        <f aca="false">BE37+BE38</f>
        <v>1671.66361729947</v>
      </c>
      <c r="BF47" s="44" t="n">
        <f aca="false">BF37+BF38</f>
        <v>1746.02678149466</v>
      </c>
      <c r="BG47" s="44" t="n">
        <f aca="false">BG37+BG38</f>
        <v>1819.03409639547</v>
      </c>
      <c r="BH47" s="44" t="n">
        <f aca="false">BH37+BH38</f>
        <v>1890.69022993956</v>
      </c>
      <c r="BI47" s="44" t="n">
        <f aca="false">BI37+BI38</f>
        <v>1961.00145839812</v>
      </c>
      <c r="BJ47" s="44" t="n">
        <f aca="false">BJ37+BJ38</f>
        <v>2029.97552262732</v>
      </c>
      <c r="BK47" s="44" t="n">
        <f aca="false">BK37+BK38</f>
        <v>2097.62149423613</v>
      </c>
    </row>
    <row r="48" customFormat="false" ht="15" hidden="false" customHeight="false" outlineLevel="0" collapsed="false">
      <c r="B48" s="5" t="s">
        <v>611</v>
      </c>
    </row>
    <row r="49" customFormat="false" ht="15" hidden="false" customHeight="false" outlineLevel="0" collapsed="false">
      <c r="A49" s="28" t="s">
        <v>612</v>
      </c>
      <c r="B49" s="6" t="s">
        <v>613</v>
      </c>
      <c r="C49" s="43"/>
      <c r="D49" s="17" t="n">
        <f aca="false">D12*(Assumptions!$D$60+Assumptions!$D$63/60*Assumptions!$D$62)</f>
        <v>0</v>
      </c>
      <c r="E49" s="17" t="n">
        <f aca="false">E12*(Assumptions!$D$60+Assumptions!$D$63/60*Assumptions!$D$62)</f>
        <v>0</v>
      </c>
      <c r="F49" s="17" t="n">
        <f aca="false">F12*(Assumptions!$D$60+Assumptions!$D$63/60*Assumptions!$D$62)</f>
        <v>0</v>
      </c>
      <c r="G49" s="17" t="n">
        <f aca="false">G12*(Assumptions!$D$60+Assumptions!$D$63/60*Assumptions!$D$62)</f>
        <v>0</v>
      </c>
      <c r="H49" s="17" t="n">
        <f aca="false">H12*(Assumptions!$D$60+Assumptions!$D$63/60*Assumptions!$D$62)</f>
        <v>18.5</v>
      </c>
      <c r="I49" s="17" t="n">
        <f aca="false">I12*(Assumptions!$D$60+Assumptions!$D$63/60*Assumptions!$D$62)</f>
        <v>34.3175</v>
      </c>
      <c r="J49" s="17" t="n">
        <f aca="false">J12*(Assumptions!$D$60+Assumptions!$D$63/60*Assumptions!$D$62)</f>
        <v>44.5595625</v>
      </c>
      <c r="K49" s="17" t="n">
        <f aca="false">K12*(Assumptions!$D$60+Assumptions!$D$63/60*Assumptions!$D$62)</f>
        <v>50.8455734375</v>
      </c>
      <c r="L49" s="17" t="n">
        <f aca="false">L12*(Assumptions!$D$60+Assumptions!$D$63/60*Assumptions!$D$62)</f>
        <v>54.0144341015625</v>
      </c>
      <c r="M49" s="17" t="n">
        <f aca="false">M12*(Assumptions!$D$60+Assumptions!$D$63/60*Assumptions!$D$62)</f>
        <v>56.3640732490234</v>
      </c>
      <c r="N49" s="17" t="n">
        <f aca="false">N12*(Assumptions!$D$60+Assumptions!$D$63/60*Assumptions!$D$62)</f>
        <v>74.1949714177978</v>
      </c>
      <c r="O49" s="17" t="n">
        <f aca="false">O12*(Assumptions!$D$60+Assumptions!$D$63/60*Assumptions!$D$62)</f>
        <v>89.3600971323529</v>
      </c>
      <c r="P49" s="17" t="n">
        <f aca="false">P12*(Assumptions!$D$60+Assumptions!$D$63/60*Assumptions!$D$62)</f>
        <v>98.9660947040441</v>
      </c>
      <c r="Q49" s="17" t="n">
        <f aca="false">Q12*(Assumptions!$D$60+Assumptions!$D$63/60*Assumptions!$D$62)</f>
        <v>123.131942336443</v>
      </c>
      <c r="R49" s="17" t="n">
        <f aca="false">R12*(Assumptions!$D$60+Assumptions!$D$63/60*Assumptions!$D$62)</f>
        <v>141.513643778032</v>
      </c>
      <c r="S49" s="17" t="n">
        <f aca="false">S12*(Assumptions!$D$60+Assumptions!$D$63/60*Assumptions!$D$62)</f>
        <v>153.515802683581</v>
      </c>
      <c r="T49" s="17" t="n">
        <f aca="false">T12*(Assumptions!$D$60+Assumptions!$D$63/60*Assumptions!$D$62)</f>
        <v>177.057907616492</v>
      </c>
      <c r="U49" s="17" t="n">
        <f aca="false">U12*(Assumptions!$D$60+Assumptions!$D$63/60*Assumptions!$D$62)</f>
        <v>213.331459926079</v>
      </c>
      <c r="V49" s="17" t="n">
        <f aca="false">V12*(Assumptions!$D$60+Assumptions!$D$63/60*Assumptions!$D$62)</f>
        <v>240.558173427927</v>
      </c>
      <c r="W49" s="17" t="n">
        <f aca="false">W12*(Assumptions!$D$60+Assumptions!$D$63/60*Assumptions!$D$62)</f>
        <v>273.764219092229</v>
      </c>
      <c r="X49" s="17" t="n">
        <f aca="false">X12*(Assumptions!$D$60+Assumptions!$D$63/60*Assumptions!$D$62)</f>
        <v>315.760113614923</v>
      </c>
      <c r="Y49" s="17" t="n">
        <f aca="false">Y12*(Assumptions!$D$60+Assumptions!$D$63/60*Assumptions!$D$62)</f>
        <v>345.60611077455</v>
      </c>
      <c r="Z49" s="17" t="n">
        <f aca="false">Z12*(Assumptions!$D$60+Assumptions!$D$63/60*Assumptions!$D$62)</f>
        <v>380.625958005187</v>
      </c>
      <c r="AA49" s="17" t="n">
        <f aca="false">AA12*(Assumptions!$D$60+Assumptions!$D$63/60*Assumptions!$D$62)</f>
        <v>421.430309055057</v>
      </c>
      <c r="AB49" s="17" t="n">
        <f aca="false">AB12*(Assumptions!$D$60+Assumptions!$D$63/60*Assumptions!$D$62)</f>
        <v>450.11455132868</v>
      </c>
      <c r="AC49" s="17" t="n">
        <f aca="false">AC12*(Assumptions!$D$60+Assumptions!$D$63/60*Assumptions!$D$62)</f>
        <v>484.001687545463</v>
      </c>
      <c r="AD49" s="17" t="n">
        <f aca="false">AD12*(Assumptions!$D$60+Assumptions!$D$63/60*Assumptions!$D$62)</f>
        <v>523.701645356827</v>
      </c>
      <c r="AE49" s="17" t="n">
        <f aca="false">AE12*(Assumptions!$D$60+Assumptions!$D$63/60*Assumptions!$D$62)</f>
        <v>569.069104222906</v>
      </c>
      <c r="AF49" s="17" t="n">
        <f aca="false">AF12*(Assumptions!$D$60+Assumptions!$D$63/60*Assumptions!$D$62)</f>
        <v>617.002376617333</v>
      </c>
      <c r="AG49" s="17" t="n">
        <f aca="false">AG12*(Assumptions!$D$60+Assumptions!$D$63/60*Assumptions!$D$62)</f>
        <v>665.2173172019</v>
      </c>
      <c r="AH49" s="17" t="n">
        <f aca="false">AH12*(Assumptions!$D$60+Assumptions!$D$63/60*Assumptions!$D$62)</f>
        <v>715.926884271853</v>
      </c>
      <c r="AI49" s="17" t="n">
        <f aca="false">AI12*(Assumptions!$D$60+Assumptions!$D$63/60*Assumptions!$D$62)</f>
        <v>766.108712165056</v>
      </c>
      <c r="AJ49" s="17" t="n">
        <f aca="false">AJ12*(Assumptions!$D$60+Assumptions!$D$63/60*Assumptions!$D$62)</f>
        <v>815.77599436093</v>
      </c>
      <c r="AK49" s="17" t="n">
        <f aca="false">AK12*(Assumptions!$D$60+Assumptions!$D$63/60*Assumptions!$D$62)</f>
        <v>864.201594501907</v>
      </c>
      <c r="AL49" s="17" t="n">
        <f aca="false">AL12*(Assumptions!$D$60+Assumptions!$D$63/60*Assumptions!$D$62)</f>
        <v>912.156554639359</v>
      </c>
      <c r="AM49" s="17" t="n">
        <f aca="false">AM12*(Assumptions!$D$60+Assumptions!$D$63/60*Assumptions!$D$62)</f>
        <v>959.652640773375</v>
      </c>
      <c r="AN49" s="44" t="n">
        <f aca="false">AN12*(Assumptions!$D$60+Assumptions!$D$63/60*Assumptions!$D$62)</f>
        <v>1005.96132475404</v>
      </c>
      <c r="AO49" s="44" t="n">
        <f aca="false">AO12*(Assumptions!$D$60+Assumptions!$D$63/60*Assumptions!$D$62)</f>
        <v>1051.85229163519</v>
      </c>
      <c r="AP49" s="44" t="n">
        <f aca="false">AP12*(Assumptions!$D$60+Assumptions!$D$63/60*Assumptions!$D$62)</f>
        <v>1097.33598434431</v>
      </c>
      <c r="AQ49" s="44" t="n">
        <f aca="false">AQ12*(Assumptions!$D$60+Assumptions!$D$63/60*Assumptions!$D$62)</f>
        <v>1141.6825847357</v>
      </c>
      <c r="AR49" s="44" t="n">
        <f aca="false">AR12*(Assumptions!$D$60+Assumptions!$D$63/60*Assumptions!$D$62)</f>
        <v>1184.92052011731</v>
      </c>
      <c r="AS49" s="44" t="n">
        <f aca="false">AS12*(Assumptions!$D$60+Assumptions!$D$63/60*Assumptions!$D$62)</f>
        <v>1227.81750711438</v>
      </c>
      <c r="AT49" s="44" t="n">
        <f aca="false">AT12*(Assumptions!$D$60+Assumptions!$D$63/60*Assumptions!$D$62)</f>
        <v>1269.64206943652</v>
      </c>
      <c r="AU49" s="44" t="n">
        <f aca="false">AU12*(Assumptions!$D$60+Assumptions!$D$63/60*Assumptions!$D$62)</f>
        <v>1310.4210177006</v>
      </c>
      <c r="AV49" s="44" t="n">
        <f aca="false">AV12*(Assumptions!$D$60+Assumptions!$D$63/60*Assumptions!$D$62)</f>
        <v>1350.92049225809</v>
      </c>
      <c r="AW49" s="44" t="n">
        <f aca="false">AW12*(Assumptions!$D$60+Assumptions!$D$63/60*Assumptions!$D$62)</f>
        <v>1390.40747995164</v>
      </c>
      <c r="AX49" s="44" t="n">
        <f aca="false">AX12*(Assumptions!$D$60+Assumptions!$D$63/60*Assumptions!$D$62)</f>
        <v>1428.90729295285</v>
      </c>
      <c r="AY49" s="44" t="n">
        <f aca="false">AY12*(Assumptions!$D$60+Assumptions!$D$63/60*Assumptions!$D$62)</f>
        <v>1467.18461062903</v>
      </c>
      <c r="AZ49" s="44" t="n">
        <f aca="false">AZ12*(Assumptions!$D$60+Assumptions!$D$63/60*Assumptions!$D$62)</f>
        <v>1504.5049953633</v>
      </c>
      <c r="BA49" s="44" t="n">
        <f aca="false">BA12*(Assumptions!$D$60+Assumptions!$D$63/60*Assumptions!$D$62)</f>
        <v>1540.89237047922</v>
      </c>
      <c r="BB49" s="44" t="n">
        <f aca="false">BB12*(Assumptions!$D$60+Assumptions!$D$63/60*Assumptions!$D$62)</f>
        <v>1576.37006121724</v>
      </c>
      <c r="BC49" s="44" t="n">
        <f aca="false">BC12*(Assumptions!$D$60+Assumptions!$D$63/60*Assumptions!$D$62)</f>
        <v>1610.96080968681</v>
      </c>
      <c r="BD49" s="44" t="n">
        <f aca="false">BD12*(Assumptions!$D$60+Assumptions!$D$63/60*Assumptions!$D$62)</f>
        <v>1644.68678944464</v>
      </c>
      <c r="BE49" s="44" t="n">
        <f aca="false">BE12*(Assumptions!$D$60+Assumptions!$D$63/60*Assumptions!$D$62)</f>
        <v>1677.56961970852</v>
      </c>
      <c r="BF49" s="44" t="n">
        <f aca="false">BF12*(Assumptions!$D$60+Assumptions!$D$63/60*Assumptions!$D$62)</f>
        <v>1709.63037921581</v>
      </c>
      <c r="BG49" s="44" t="n">
        <f aca="false">BG12*(Assumptions!$D$60+Assumptions!$D$63/60*Assumptions!$D$62)</f>
        <v>1740.88961973541</v>
      </c>
      <c r="BH49" s="44" t="n">
        <f aca="false">BH12*(Assumptions!$D$60+Assumptions!$D$63/60*Assumptions!$D$62)</f>
        <v>1771.36737924203</v>
      </c>
      <c r="BI49" s="44" t="n">
        <f aca="false">BI12*(Assumptions!$D$60+Assumptions!$D$63/60*Assumptions!$D$62)</f>
        <v>1801.08319476097</v>
      </c>
      <c r="BJ49" s="44" t="n">
        <f aca="false">BJ12*(Assumptions!$D$60+Assumptions!$D$63/60*Assumptions!$D$62)</f>
        <v>1830.05611489195</v>
      </c>
      <c r="BK49" s="44" t="n">
        <f aca="false">BK12*(Assumptions!$D$60+Assumptions!$D$63/60*Assumptions!$D$62)</f>
        <v>1858.30471201965</v>
      </c>
    </row>
    <row r="50" customFormat="false" ht="15" hidden="false" customHeight="false" outlineLevel="0" collapsed="false">
      <c r="A50" s="28" t="s">
        <v>614</v>
      </c>
      <c r="B50" s="6" t="s">
        <v>615</v>
      </c>
      <c r="C50" s="43"/>
      <c r="D50" s="17" t="n">
        <f aca="false">D32*Assumptions!$D$64/60*Assumptions!$D$62</f>
        <v>0</v>
      </c>
      <c r="E50" s="17" t="n">
        <f aca="false">E32*Assumptions!$D$64/60*Assumptions!$D$62</f>
        <v>0</v>
      </c>
      <c r="F50" s="17" t="n">
        <f aca="false">F32*Assumptions!$D$64/60*Assumptions!$D$62</f>
        <v>0</v>
      </c>
      <c r="G50" s="17" t="n">
        <f aca="false">G32*Assumptions!$D$64/60*Assumptions!$D$62</f>
        <v>0</v>
      </c>
      <c r="H50" s="17" t="n">
        <f aca="false">H32*Assumptions!$D$64/60*Assumptions!$D$62</f>
        <v>0</v>
      </c>
      <c r="I50" s="17" t="n">
        <f aca="false">I32*Assumptions!$D$64/60*Assumptions!$D$62</f>
        <v>0</v>
      </c>
      <c r="J50" s="17" t="n">
        <f aca="false">J32*Assumptions!$D$64/60*Assumptions!$D$62</f>
        <v>0</v>
      </c>
      <c r="K50" s="17" t="n">
        <f aca="false">K32*Assumptions!$D$64/60*Assumptions!$D$62</f>
        <v>0</v>
      </c>
      <c r="L50" s="17" t="n">
        <f aca="false">L32*Assumptions!$D$64/60*Assumptions!$D$62</f>
        <v>0</v>
      </c>
      <c r="M50" s="17" t="n">
        <f aca="false">M32*Assumptions!$D$64/60*Assumptions!$D$62</f>
        <v>0</v>
      </c>
      <c r="N50" s="17" t="n">
        <f aca="false">N32*Assumptions!$D$64/60*Assumptions!$D$62</f>
        <v>0</v>
      </c>
      <c r="O50" s="17" t="n">
        <f aca="false">O32*Assumptions!$D$64/60*Assumptions!$D$62</f>
        <v>0</v>
      </c>
      <c r="P50" s="17" t="n">
        <f aca="false">P32*Assumptions!$D$64/60*Assumptions!$D$62</f>
        <v>0</v>
      </c>
      <c r="Q50" s="17" t="n">
        <f aca="false">Q32*Assumptions!$D$64/60*Assumptions!$D$62</f>
        <v>0</v>
      </c>
      <c r="R50" s="17" t="n">
        <f aca="false">R32*Assumptions!$D$64/60*Assumptions!$D$62</f>
        <v>0</v>
      </c>
      <c r="S50" s="17" t="n">
        <f aca="false">S32*Assumptions!$D$64/60*Assumptions!$D$62</f>
        <v>0</v>
      </c>
      <c r="T50" s="17" t="n">
        <f aca="false">T32*Assumptions!$D$64/60*Assumptions!$D$62</f>
        <v>0</v>
      </c>
      <c r="U50" s="17" t="n">
        <f aca="false">U32*Assumptions!$D$64/60*Assumptions!$D$62</f>
        <v>0</v>
      </c>
      <c r="V50" s="17" t="n">
        <f aca="false">V32*Assumptions!$D$64/60*Assumptions!$D$62</f>
        <v>0</v>
      </c>
      <c r="W50" s="17" t="n">
        <f aca="false">W32*Assumptions!$D$64/60*Assumptions!$D$62</f>
        <v>0</v>
      </c>
      <c r="X50" s="17" t="n">
        <f aca="false">X32*Assumptions!$D$64/60*Assumptions!$D$62</f>
        <v>0</v>
      </c>
      <c r="Y50" s="17" t="n">
        <f aca="false">Y32*Assumptions!$D$64/60*Assumptions!$D$62</f>
        <v>0</v>
      </c>
      <c r="Z50" s="17" t="n">
        <f aca="false">Z32*Assumptions!$D$64/60*Assumptions!$D$62</f>
        <v>0</v>
      </c>
      <c r="AA50" s="17" t="n">
        <f aca="false">AA32*Assumptions!$D$64/60*Assumptions!$D$62</f>
        <v>0</v>
      </c>
      <c r="AB50" s="17" t="n">
        <f aca="false">AB32*Assumptions!$D$64/60*Assumptions!$D$62</f>
        <v>0</v>
      </c>
      <c r="AC50" s="17" t="n">
        <f aca="false">AC32*Assumptions!$D$64/60*Assumptions!$D$62</f>
        <v>0</v>
      </c>
      <c r="AD50" s="17" t="n">
        <f aca="false">AD32*Assumptions!$D$64/60*Assumptions!$D$62</f>
        <v>0</v>
      </c>
      <c r="AE50" s="17" t="n">
        <f aca="false">AE32*Assumptions!$D$64/60*Assumptions!$D$62</f>
        <v>0</v>
      </c>
      <c r="AF50" s="17" t="n">
        <f aca="false">AF32*Assumptions!$D$64/60*Assumptions!$D$62</f>
        <v>0</v>
      </c>
      <c r="AG50" s="17" t="n">
        <f aca="false">AG32*Assumptions!$D$64/60*Assumptions!$D$62</f>
        <v>0</v>
      </c>
      <c r="AH50" s="17" t="n">
        <f aca="false">AH32*Assumptions!$D$64/60*Assumptions!$D$62</f>
        <v>0</v>
      </c>
      <c r="AI50" s="17" t="n">
        <f aca="false">AI32*Assumptions!$D$64/60*Assumptions!$D$62</f>
        <v>0</v>
      </c>
      <c r="AJ50" s="17" t="n">
        <f aca="false">AJ32*Assumptions!$D$64/60*Assumptions!$D$62</f>
        <v>0</v>
      </c>
      <c r="AK50" s="17" t="n">
        <f aca="false">AK32*Assumptions!$D$64/60*Assumptions!$D$62</f>
        <v>0</v>
      </c>
      <c r="AL50" s="17" t="n">
        <f aca="false">AL32*Assumptions!$D$64/60*Assumptions!$D$62</f>
        <v>0</v>
      </c>
      <c r="AM50" s="17" t="n">
        <f aca="false">AM32*Assumptions!$D$64/60*Assumptions!$D$62</f>
        <v>11.3142043893349</v>
      </c>
      <c r="AN50" s="44" t="n">
        <f aca="false">AN32*Assumptions!$D$64/60*Assumptions!$D$62</f>
        <v>22.4840772133107</v>
      </c>
      <c r="AO50" s="44" t="n">
        <f aca="false">AO32*Assumptions!$D$64/60*Assumptions!$D$62</f>
        <v>33.5142250686771</v>
      </c>
      <c r="AP50" s="44" t="n">
        <f aca="false">AP32*Assumptions!$D$64/60*Assumptions!$D$62</f>
        <v>44.4090423685162</v>
      </c>
      <c r="AQ50" s="44" t="n">
        <f aca="false">AQ32*Assumptions!$D$64/60*Assumptions!$D$62</f>
        <v>55.1640003575516</v>
      </c>
      <c r="AR50" s="44" t="n">
        <f aca="false">AR32*Assumptions!$D$64/60*Assumptions!$D$62</f>
        <v>65.7751345978798</v>
      </c>
      <c r="AS50" s="44" t="n">
        <f aca="false">AS32*Assumptions!$D$64/60*Assumptions!$D$62</f>
        <v>76.24772932418</v>
      </c>
      <c r="AT50" s="44" t="n">
        <f aca="false">AT32*Assumptions!$D$64/60*Assumptions!$D$62</f>
        <v>86.5780803456142</v>
      </c>
      <c r="AU50" s="44" t="n">
        <f aca="false">AU32*Assumptions!$D$64/60*Assumptions!$D$62</f>
        <v>96.7629865232298</v>
      </c>
      <c r="AV50" s="44" t="n">
        <f aca="false">AV32*Assumptions!$D$64/60*Assumptions!$D$62</f>
        <v>106.808437886877</v>
      </c>
      <c r="AW50" s="44" t="n">
        <f aca="false">AW32*Assumptions!$D$64/60*Assumptions!$D$62</f>
        <v>116.711382081822</v>
      </c>
      <c r="AX50" s="44" t="n">
        <f aca="false">AX32*Assumptions!$D$64/60*Assumptions!$D$62</f>
        <v>126.469219186113</v>
      </c>
      <c r="AY50" s="44" t="n">
        <f aca="false">AY32*Assumptions!$D$64/60*Assumptions!$D$62</f>
        <v>136.088492974261</v>
      </c>
      <c r="AZ50" s="44" t="n">
        <f aca="false">AZ32*Assumptions!$D$64/60*Assumptions!$D$62</f>
        <v>145.566660328332</v>
      </c>
      <c r="BA50" s="44" t="n">
        <f aca="false">BA32*Assumptions!$D$64/60*Assumptions!$D$62</f>
        <v>154.901588847793</v>
      </c>
      <c r="BB50" s="44" t="n">
        <f aca="false">BB32*Assumptions!$D$64/60*Assumptions!$D$62</f>
        <v>164.091526220706</v>
      </c>
      <c r="BC50" s="44" t="n">
        <f aca="false">BC32*Assumptions!$D$64/60*Assumptions!$D$62</f>
        <v>173.135071573958</v>
      </c>
      <c r="BD50" s="44" t="n">
        <f aca="false">BD32*Assumptions!$D$64/60*Assumptions!$D$62</f>
        <v>182.031148679557</v>
      </c>
      <c r="BE50" s="44" t="n">
        <f aca="false">BE32*Assumptions!$D$64/60*Assumptions!$D$62</f>
        <v>190.778980901602</v>
      </c>
      <c r="BF50" s="44" t="n">
        <f aca="false">BF32*Assumptions!$D$64/60*Assumptions!$D$62</f>
        <v>199.378067775691</v>
      </c>
      <c r="BG50" s="44" t="n">
        <f aca="false">BG32*Assumptions!$D$64/60*Assumptions!$D$62</f>
        <v>207.828163119194</v>
      </c>
      <c r="BH50" s="44" t="n">
        <f aca="false">BH32*Assumptions!$D$64/60*Assumptions!$D$62</f>
        <v>216.129254577103</v>
      </c>
      <c r="BI50" s="44" t="n">
        <f aca="false">BI32*Assumptions!$D$64/60*Assumptions!$D$62</f>
        <v>224.281544514039</v>
      </c>
      <c r="BJ50" s="44" t="n">
        <f aca="false">BJ32*Assumptions!$D$64/60*Assumptions!$D$62</f>
        <v>232.285432168518</v>
      </c>
      <c r="BK50" s="44" t="n">
        <f aca="false">BK32*Assumptions!$D$64/60*Assumptions!$D$62</f>
        <v>240.141496990748</v>
      </c>
    </row>
    <row r="51" customFormat="false" ht="15" hidden="false" customHeight="false" outlineLevel="0" collapsed="false">
      <c r="A51" s="28" t="s">
        <v>616</v>
      </c>
      <c r="B51" s="6" t="s">
        <v>617</v>
      </c>
      <c r="C51" s="43"/>
      <c r="D51" s="17" t="n">
        <f aca="false">D24*Assumptions!$D$61</f>
        <v>0</v>
      </c>
      <c r="E51" s="17" t="n">
        <f aca="false">E24*Assumptions!$D$61</f>
        <v>0</v>
      </c>
      <c r="F51" s="17" t="n">
        <f aca="false">F24*Assumptions!$D$61</f>
        <v>0</v>
      </c>
      <c r="G51" s="17" t="n">
        <f aca="false">G24*Assumptions!$D$61</f>
        <v>0</v>
      </c>
      <c r="H51" s="17" t="n">
        <f aca="false">H24*Assumptions!$D$61</f>
        <v>0.375</v>
      </c>
      <c r="I51" s="17" t="n">
        <f aca="false">I24*Assumptions!$D$61</f>
        <v>0.939375</v>
      </c>
      <c r="J51" s="17" t="n">
        <f aca="false">J24*Assumptions!$D$61</f>
        <v>1.513828125</v>
      </c>
      <c r="K51" s="17" t="n">
        <f aca="false">K24*Assumptions!$D$61</f>
        <v>2.014641796875</v>
      </c>
      <c r="L51" s="17" t="n">
        <f aca="false">L24*Assumptions!$D$61</f>
        <v>2.40440434570313</v>
      </c>
      <c r="M51" s="17" t="n">
        <f aca="false">M24*Assumptions!$D$61</f>
        <v>2.70537782299805</v>
      </c>
      <c r="N51" s="17" t="n">
        <f aca="false">N24*Assumptions!$D$61</f>
        <v>3.26244770828247</v>
      </c>
      <c r="O51" s="17" t="n">
        <f aca="false">O24*Assumptions!$D$61</f>
        <v>3.931944330634</v>
      </c>
      <c r="P51" s="17" t="n">
        <f aca="false">P24*Assumptions!$D$61</f>
        <v>4.56183330215624</v>
      </c>
      <c r="Q51" s="17" t="n">
        <f aca="false">Q24*Assumptions!$D$61</f>
        <v>5.46110939646459</v>
      </c>
      <c r="R51" s="17" t="n">
        <f aca="false">R24*Assumptions!$D$61</f>
        <v>6.41824091401344</v>
      </c>
      <c r="S51" s="17" t="n">
        <f aca="false">S24*Assumptions!$D$61</f>
        <v>7.28366340526241</v>
      </c>
      <c r="T51" s="17" t="n">
        <f aca="false">T24*Assumptions!$D$61</f>
        <v>8.3233928542954</v>
      </c>
      <c r="U51" s="17" t="n">
        <f aca="false">U24*Assumptions!$D$61</f>
        <v>9.73449170514497</v>
      </c>
      <c r="V51" s="17" t="n">
        <f aca="false">V24*Assumptions!$D$61</f>
        <v>11.2035987994509</v>
      </c>
      <c r="W51" s="17" t="n">
        <f aca="false">W24*Assumptions!$D$61</f>
        <v>12.831613930972</v>
      </c>
      <c r="X51" s="17" t="n">
        <f aca="false">X24*Assumptions!$D$61</f>
        <v>14.7410918986776</v>
      </c>
      <c r="Y51" s="17" t="n">
        <f aca="false">Y24*Assumptions!$D$61</f>
        <v>16.5872390065975</v>
      </c>
      <c r="Z51" s="17" t="n">
        <f aca="false">Z24*Assumptions!$D$61</f>
        <v>18.4970963949341</v>
      </c>
      <c r="AA51" s="17" t="n">
        <f aca="false">AA24*Assumptions!$D$61</f>
        <v>20.5656189213367</v>
      </c>
      <c r="AB51" s="17" t="n">
        <f aca="false">AB24*Assumptions!$D$61</f>
        <v>22.4915959068826</v>
      </c>
      <c r="AC51" s="17" t="n">
        <f aca="false">AC24*Assumptions!$D$61</f>
        <v>24.4303823572872</v>
      </c>
      <c r="AD51" s="17" t="n">
        <f aca="false">AD24*Assumptions!$D$61</f>
        <v>26.4953224246048</v>
      </c>
      <c r="AE51" s="17" t="n">
        <f aca="false">AE24*Assumptions!$D$61</f>
        <v>28.757144121052</v>
      </c>
      <c r="AF51" s="17" t="n">
        <f aca="false">AF24*Assumptions!$D$61</f>
        <v>31.1989486101162</v>
      </c>
      <c r="AG51" s="17" t="n">
        <f aca="false">AG24*Assumptions!$D$61</f>
        <v>33.7634514047222</v>
      </c>
      <c r="AH51" s="17" t="n">
        <f aca="false">AH24*Assumptions!$D$61</f>
        <v>36.4582748510124</v>
      </c>
      <c r="AI51" s="17" t="n">
        <f aca="false">AI24*Assumptions!$D$61</f>
        <v>39.2271093051524</v>
      </c>
      <c r="AJ51" s="17" t="n">
        <f aca="false">AJ24*Assumptions!$D$61</f>
        <v>42.0336209340436</v>
      </c>
      <c r="AK51" s="17" t="n">
        <f aca="false">AK24*Assumptions!$D$61</f>
        <v>44.8394534956805</v>
      </c>
      <c r="AL51" s="17" t="n">
        <f aca="false">AL24*Assumptions!$D$61</f>
        <v>47.6353046635307</v>
      </c>
      <c r="AM51" s="17" t="n">
        <f aca="false">AM24*Assumptions!$D$61</f>
        <v>50.4153664253499</v>
      </c>
      <c r="AN51" s="44" t="n">
        <f aca="false">AN24*Assumptions!$D$61</f>
        <v>53.1610961106809</v>
      </c>
      <c r="AO51" s="44" t="n">
        <f aca="false">AO24*Assumptions!$D$61</f>
        <v>55.8760427077911</v>
      </c>
      <c r="AP51" s="44" t="n">
        <f aca="false">AP24*Assumptions!$D$61</f>
        <v>58.5627247400164</v>
      </c>
      <c r="AQ51" s="44" t="n">
        <f aca="false">AQ24*Assumptions!$D$61</f>
        <v>61.2079856364641</v>
      </c>
      <c r="AR51" s="44" t="n">
        <f aca="false">AR24*Assumptions!$D$61</f>
        <v>63.8038498552688</v>
      </c>
      <c r="AS51" s="44" t="n">
        <f aca="false">AS24*Assumptions!$D$61</f>
        <v>66.3606951177026</v>
      </c>
      <c r="AT51" s="44" t="n">
        <f aca="false">AT24*Assumptions!$D$61</f>
        <v>68.8704397204902</v>
      </c>
      <c r="AU51" s="44" t="n">
        <f aca="false">AU24*Assumptions!$D$61</f>
        <v>71.3283740149525</v>
      </c>
      <c r="AV51" s="44" t="n">
        <f aca="false">AV24*Assumptions!$D$61</f>
        <v>73.7469666014372</v>
      </c>
      <c r="AW51" s="44" t="n">
        <f aca="false">AW24*Assumptions!$D$61</f>
        <v>76.1194636953592</v>
      </c>
      <c r="AX51" s="44" t="n">
        <f aca="false">AX24*Assumptions!$D$61</f>
        <v>78.441988421298</v>
      </c>
      <c r="AY51" s="44" t="n">
        <f aca="false">AY24*Assumptions!$D$61</f>
        <v>80.7275210676753</v>
      </c>
      <c r="AZ51" s="44" t="n">
        <f aca="false">AZ24*Assumptions!$D$61</f>
        <v>82.9696115729747</v>
      </c>
      <c r="BA51" s="44" t="n">
        <f aca="false">BA24*Assumptions!$D$61</f>
        <v>85.1645523294447</v>
      </c>
      <c r="BB51" s="44" t="n">
        <f aca="false">BB24*Assumptions!$D$61</f>
        <v>87.3104062009749</v>
      </c>
      <c r="BC51" s="44" t="n">
        <f aca="false">BC24*Assumptions!$D$61</f>
        <v>89.4063750377987</v>
      </c>
      <c r="BD51" s="44" t="n">
        <f aca="false">BD24*Assumptions!$D$61</f>
        <v>91.452389506555</v>
      </c>
      <c r="BE51" s="44" t="n">
        <f aca="false">BE24*Assumptions!$D$61</f>
        <v>93.448842767947</v>
      </c>
      <c r="BF51" s="44" t="n">
        <f aca="false">BF24*Assumptions!$D$61</f>
        <v>95.3964176481346</v>
      </c>
      <c r="BG51" s="44" t="n">
        <f aca="false">BG24*Assumptions!$D$61</f>
        <v>97.2959745740323</v>
      </c>
      <c r="BH51" s="44" t="n">
        <f aca="false">BH24*Assumptions!$D$61</f>
        <v>99.1484789982972</v>
      </c>
      <c r="BI51" s="44" t="n">
        <f aca="false">BI24*Assumptions!$D$61</f>
        <v>100.95495448594</v>
      </c>
      <c r="BJ51" s="44" t="n">
        <f aca="false">BJ24*Assumptions!$D$61</f>
        <v>102.716452474482</v>
      </c>
      <c r="BK51" s="44" t="n">
        <f aca="false">BK24*Assumptions!$D$61</f>
        <v>104.434032865568</v>
      </c>
    </row>
    <row r="52" customFormat="false" ht="15" hidden="false" customHeight="false" outlineLevel="0" collapsed="false">
      <c r="A52" s="28" t="s">
        <v>618</v>
      </c>
      <c r="B52" s="6" t="s">
        <v>619</v>
      </c>
      <c r="C52" s="43"/>
      <c r="D52" s="17" t="n">
        <f aca="false">(D33*Assumptions!$D$56+D34*Assumptions!$D$57+D25*Assumptions!$D$58+D24*Assumptions!$D$59)*Assumptions!$D$55</f>
        <v>0</v>
      </c>
      <c r="E52" s="17" t="n">
        <f aca="false">(E33*Assumptions!$D$56+E34*Assumptions!$D$57+E25*Assumptions!$D$58+E24*Assumptions!$D$59)*Assumptions!$D$55</f>
        <v>0</v>
      </c>
      <c r="F52" s="17" t="n">
        <f aca="false">(F33*Assumptions!$D$56+F34*Assumptions!$D$57+F25*Assumptions!$D$58+F24*Assumptions!$D$59)*Assumptions!$D$55</f>
        <v>0</v>
      </c>
      <c r="G52" s="17" t="n">
        <f aca="false">(G33*Assumptions!$D$56+G34*Assumptions!$D$57+G25*Assumptions!$D$58+G24*Assumptions!$D$59)*Assumptions!$D$55</f>
        <v>0</v>
      </c>
      <c r="H52" s="17" t="n">
        <f aca="false">(H33*Assumptions!$D$56+H34*Assumptions!$D$57+H25*Assumptions!$D$58+H24*Assumptions!$D$59)*Assumptions!$D$55</f>
        <v>1.485</v>
      </c>
      <c r="I52" s="17" t="n">
        <f aca="false">(I33*Assumptions!$D$56+I34*Assumptions!$D$57+I25*Assumptions!$D$58+I24*Assumptions!$D$59)*Assumptions!$D$55</f>
        <v>2.531925</v>
      </c>
      <c r="J52" s="17" t="n">
        <f aca="false">(J33*Assumptions!$D$56+J34*Assumptions!$D$57+J25*Assumptions!$D$58+J24*Assumptions!$D$59)*Assumptions!$D$55</f>
        <v>3.018819375</v>
      </c>
      <c r="K52" s="17" t="n">
        <f aca="false">(K33*Assumptions!$D$56+K34*Assumptions!$D$57+K25*Assumptions!$D$58+K24*Assumptions!$D$59)*Assumptions!$D$55</f>
        <v>3.182174015625</v>
      </c>
      <c r="L52" s="17" t="n">
        <f aca="false">(L33*Assumptions!$D$56+L34*Assumptions!$D$57+L25*Assumptions!$D$58+L24*Assumptions!$D$59)*Assumptions!$D$55</f>
        <v>3.13905599648438</v>
      </c>
      <c r="M52" s="17" t="n">
        <f aca="false">(M33*Assumptions!$D$56+M34*Assumptions!$D$57+M25*Assumptions!$D$58+M24*Assumptions!$D$59)*Assumptions!$D$55</f>
        <v>3.09614321188476</v>
      </c>
      <c r="N52" s="17" t="n">
        <f aca="false">(N33*Assumptions!$D$56+N34*Assumptions!$D$57+N25*Assumptions!$D$58+N24*Assumptions!$D$59)*Assumptions!$D$55</f>
        <v>4.34865598154077</v>
      </c>
      <c r="O52" s="17" t="n">
        <f aca="false">(O33*Assumptions!$D$56+O34*Assumptions!$D$57+O25*Assumptions!$D$58+O24*Assumptions!$D$59)*Assumptions!$D$55</f>
        <v>5.23506520947178</v>
      </c>
      <c r="P52" s="17" t="n">
        <f aca="false">(P33*Assumptions!$D$56+P34*Assumptions!$D$57+P25*Assumptions!$D$58+P24*Assumptions!$D$59)*Assumptions!$D$55</f>
        <v>5.60846023709018</v>
      </c>
      <c r="Q52" s="17" t="n">
        <f aca="false">(Q33*Assumptions!$D$56+Q34*Assumptions!$D$57+Q25*Assumptions!$D$58+Q24*Assumptions!$D$59)*Assumptions!$D$55</f>
        <v>7.17410530876881</v>
      </c>
      <c r="R52" s="17" t="n">
        <f aca="false">(R33*Assumptions!$D$56+R34*Assumptions!$D$57+R25*Assumptions!$D$58+R24*Assumptions!$D$59)*Assumptions!$D$55</f>
        <v>8.11543945149341</v>
      </c>
      <c r="S52" s="17" t="n">
        <f aca="false">(S33*Assumptions!$D$56+S34*Assumptions!$D$57+S25*Assumptions!$D$58+S24*Assumptions!$D$59)*Assumptions!$D$55</f>
        <v>8.51031986924456</v>
      </c>
      <c r="T52" s="17" t="n">
        <f aca="false">(T33*Assumptions!$D$56+T34*Assumptions!$D$57+T25*Assumptions!$D$58+T24*Assumptions!$D$59)*Assumptions!$D$55</f>
        <v>9.88599003513845</v>
      </c>
      <c r="U52" s="17" t="n">
        <f aca="false">(U33*Assumptions!$D$56+U34*Assumptions!$D$57+U25*Assumptions!$D$58+U24*Assumptions!$D$59)*Assumptions!$D$55</f>
        <v>12.1800785899662</v>
      </c>
      <c r="V52" s="17" t="n">
        <f aca="false">(V33*Assumptions!$D$56+V34*Assumptions!$D$57+V25*Assumptions!$D$58+V24*Assumptions!$D$59)*Assumptions!$D$55</f>
        <v>13.5273815239262</v>
      </c>
      <c r="W52" s="17" t="n">
        <f aca="false">(W33*Assumptions!$D$56+W34*Assumptions!$D$57+W25*Assumptions!$D$58+W24*Assumptions!$D$59)*Assumptions!$D$55</f>
        <v>15.3201901699889</v>
      </c>
      <c r="X52" s="17" t="n">
        <f aca="false">(X33*Assumptions!$D$56+X34*Assumptions!$D$57+X25*Assumptions!$D$58+X24*Assumptions!$D$59)*Assumptions!$D$55</f>
        <v>17.7241709854438</v>
      </c>
      <c r="Y52" s="17" t="n">
        <f aca="false">(Y33*Assumptions!$D$56+Y34*Assumptions!$D$57+Y25*Assumptions!$D$58+Y24*Assumptions!$D$59)*Assumptions!$D$55</f>
        <v>18.9856873311156</v>
      </c>
      <c r="Z52" s="17" t="n">
        <f aca="false">(Z33*Assumptions!$D$56+Z34*Assumptions!$D$57+Z25*Assumptions!$D$58+Z24*Assumptions!$D$59)*Assumptions!$D$55</f>
        <v>20.7001285510379</v>
      </c>
      <c r="AA52" s="17" t="n">
        <f aca="false">(AA33*Assumptions!$D$56+AA34*Assumptions!$D$57+AA25*Assumptions!$D$58+AA24*Assumptions!$D$59)*Assumptions!$D$55</f>
        <v>22.8410495493421</v>
      </c>
      <c r="AB52" s="17" t="n">
        <f aca="false">(AB33*Assumptions!$D$56+AB34*Assumptions!$D$57+AB25*Assumptions!$D$58+AB24*Assumptions!$D$59)*Assumptions!$D$55</f>
        <v>23.9148390484606</v>
      </c>
      <c r="AC52" s="17" t="n">
        <f aca="false">(AC33*Assumptions!$D$56+AC34*Assumptions!$D$57+AC25*Assumptions!$D$58+AC24*Assumptions!$D$59)*Assumptions!$D$55</f>
        <v>25.490938301853</v>
      </c>
      <c r="AD52" s="17" t="n">
        <f aca="false">(AD33*Assumptions!$D$56+AD34*Assumptions!$D$57+AD25*Assumptions!$D$58+AD24*Assumptions!$D$59)*Assumptions!$D$55</f>
        <v>27.5260254935492</v>
      </c>
      <c r="AE52" s="17" t="n">
        <f aca="false">(AE33*Assumptions!$D$56+AE34*Assumptions!$D$57+AE25*Assumptions!$D$58+AE24*Assumptions!$D$59)*Assumptions!$D$55</f>
        <v>29.9411092782181</v>
      </c>
      <c r="AF52" s="17" t="n">
        <f aca="false">(AF33*Assumptions!$D$56+AF34*Assumptions!$D$57+AF25*Assumptions!$D$58+AF24*Assumptions!$D$59)*Assumptions!$D$55</f>
        <v>32.4452039205676</v>
      </c>
      <c r="AG52" s="17" t="n">
        <f aca="false">(AG33*Assumptions!$D$56+AG34*Assumptions!$D$57+AG25*Assumptions!$D$58+AG24*Assumptions!$D$59)*Assumptions!$D$55</f>
        <v>34.8649983658516</v>
      </c>
      <c r="AH52" s="17" t="n">
        <f aca="false">(AH33*Assumptions!$D$56+AH34*Assumptions!$D$57+AH25*Assumptions!$D$58+AH24*Assumptions!$D$59)*Assumptions!$D$55</f>
        <v>37.4121543598492</v>
      </c>
      <c r="AI52" s="17" t="n">
        <f aca="false">(AI33*Assumptions!$D$56+AI34*Assumptions!$D$57+AI25*Assumptions!$D$58+AI24*Assumptions!$D$59)*Assumptions!$D$55</f>
        <v>39.8395381203964</v>
      </c>
      <c r="AJ52" s="17" t="n">
        <f aca="false">(AJ33*Assumptions!$D$56+AJ34*Assumptions!$D$57+AJ25*Assumptions!$D$58+AJ24*Assumptions!$D$59)*Assumptions!$D$55</f>
        <v>42.1816566200898</v>
      </c>
      <c r="AK52" s="17" t="n">
        <f aca="false">(AK33*Assumptions!$D$56+AK34*Assumptions!$D$57+AK25*Assumptions!$D$58+AK24*Assumptions!$D$59)*Assumptions!$D$55</f>
        <v>44.4017247238446</v>
      </c>
      <c r="AL52" s="17" t="n">
        <f aca="false">(AL33*Assumptions!$D$56+AL34*Assumptions!$D$57+AL25*Assumptions!$D$58+AL24*Assumptions!$D$59)*Assumptions!$D$55</f>
        <v>46.5844177932657</v>
      </c>
      <c r="AM52" s="17" t="n">
        <f aca="false">(AM33*Assumptions!$D$56+AM34*Assumptions!$D$57+AM25*Assumptions!$D$58+AM24*Assumptions!$D$59)*Assumptions!$D$55</f>
        <v>70.573583254404</v>
      </c>
      <c r="AN52" s="44" t="n">
        <f aca="false">(AN33*Assumptions!$D$56+AN34*Assumptions!$D$57+AN25*Assumptions!$D$58+AN24*Assumptions!$D$59)*Assumptions!$D$55</f>
        <v>94.1280013536531</v>
      </c>
      <c r="AO52" s="44" t="n">
        <f aca="false">(AO33*Assumptions!$D$56+AO34*Assumptions!$D$57+AO25*Assumptions!$D$58+AO24*Assumptions!$D$59)*Assumptions!$D$55</f>
        <v>117.334676722797</v>
      </c>
      <c r="AP52" s="44" t="n">
        <f aca="false">(AP33*Assumptions!$D$56+AP34*Assumptions!$D$57+AP25*Assumptions!$D$58+AP24*Assumptions!$D$59)*Assumptions!$D$55</f>
        <v>140.205773831886</v>
      </c>
      <c r="AQ52" s="44" t="n">
        <f aca="false">(AQ33*Assumptions!$D$56+AQ34*Assumptions!$D$57+AQ25*Assumptions!$D$58+AQ24*Assumptions!$D$59)*Assumptions!$D$55</f>
        <v>162.677086460212</v>
      </c>
      <c r="AR52" s="44" t="n">
        <f aca="false">(AR33*Assumptions!$D$56+AR34*Assumptions!$D$57+AR25*Assumptions!$D$58+AR24*Assumptions!$D$59)*Assumptions!$D$55</f>
        <v>184.755410589872</v>
      </c>
      <c r="AS52" s="44" t="n">
        <f aca="false">(AS33*Assumptions!$D$56+AS34*Assumptions!$D$57+AS25*Assumptions!$D$58+AS24*Assumptions!$D$59)*Assumptions!$D$55</f>
        <v>206.521408865436</v>
      </c>
      <c r="AT52" s="44" t="n">
        <f aca="false">(AT33*Assumptions!$D$56+AT34*Assumptions!$D$57+AT25*Assumptions!$D$58+AT24*Assumptions!$D$59)*Assumptions!$D$55</f>
        <v>227.906861887357</v>
      </c>
      <c r="AU52" s="44" t="n">
        <f aca="false">(AU33*Assumptions!$D$56+AU34*Assumptions!$D$57+AU25*Assumptions!$D$58+AU24*Assumptions!$D$59)*Assumptions!$D$55</f>
        <v>248.916136987419</v>
      </c>
      <c r="AV52" s="44" t="n">
        <f aca="false">(AV33*Assumptions!$D$56+AV34*Assumptions!$D$57+AV25*Assumptions!$D$58+AV24*Assumptions!$D$59)*Assumptions!$D$55</f>
        <v>269.628478005914</v>
      </c>
      <c r="AW52" s="44" t="n">
        <f aca="false">(AW33*Assumptions!$D$56+AW34*Assumptions!$D$57+AW25*Assumptions!$D$58+AW24*Assumptions!$D$59)*Assumptions!$D$55</f>
        <v>289.974884409565</v>
      </c>
      <c r="AX52" s="44" t="n">
        <f aca="false">(AX33*Assumptions!$D$56+AX34*Assumptions!$D$57+AX25*Assumptions!$D$58+AX24*Assumptions!$D$59)*Assumptions!$D$55</f>
        <v>309.95933943839</v>
      </c>
      <c r="AY52" s="44" t="n">
        <f aca="false">(AY33*Assumptions!$D$56+AY34*Assumptions!$D$57+AY25*Assumptions!$D$58+AY24*Assumptions!$D$59)*Assumptions!$D$55</f>
        <v>329.660944681977</v>
      </c>
      <c r="AZ52" s="44" t="n">
        <f aca="false">(AZ33*Assumptions!$D$56+AZ34*Assumptions!$D$57+AZ25*Assumptions!$D$58+AZ24*Assumptions!$D$59)*Assumptions!$D$55</f>
        <v>349.010699451183</v>
      </c>
      <c r="BA52" s="44" t="n">
        <f aca="false">(BA33*Assumptions!$D$56+BA34*Assumptions!$D$57+BA25*Assumptions!$D$58+BA24*Assumptions!$D$59)*Assumptions!$D$55</f>
        <v>368.012665155283</v>
      </c>
      <c r="BB52" s="44" t="n">
        <f aca="false">(BB33*Assumptions!$D$56+BB34*Assumptions!$D$57+BB25*Assumptions!$D$58+BB24*Assumptions!$D$59)*Assumptions!$D$55</f>
        <v>386.669820356917</v>
      </c>
      <c r="BC52" s="44" t="n">
        <f aca="false">(BC33*Assumptions!$D$56+BC34*Assumptions!$D$57+BC25*Assumptions!$D$58+BC24*Assumptions!$D$59)*Assumptions!$D$55</f>
        <v>404.984590464648</v>
      </c>
      <c r="BD52" s="44" t="n">
        <f aca="false">(BD33*Assumptions!$D$56+BD34*Assumptions!$D$57+BD25*Assumptions!$D$58+BD24*Assumptions!$D$59)*Assumptions!$D$55</f>
        <v>422.959178494117</v>
      </c>
      <c r="BE52" s="44" t="n">
        <f aca="false">(BE33*Assumptions!$D$56+BE34*Assumptions!$D$57+BE25*Assumptions!$D$58+BE24*Assumptions!$D$59)*Assumptions!$D$55</f>
        <v>440.595767472641</v>
      </c>
      <c r="BF52" s="44" t="n">
        <f aca="false">(BF33*Assumptions!$D$56+BF34*Assumptions!$D$57+BF25*Assumptions!$D$58+BF24*Assumptions!$D$59)*Assumptions!$D$55</f>
        <v>457.896640298422</v>
      </c>
      <c r="BG52" s="44" t="n">
        <f aca="false">(BG33*Assumptions!$D$56+BG34*Assumptions!$D$57+BG25*Assumptions!$D$58+BG24*Assumptions!$D$59)*Assumptions!$D$55</f>
        <v>474.864246773208</v>
      </c>
      <c r="BH52" s="44" t="n">
        <f aca="false">(BH33*Assumptions!$D$56+BH34*Assumptions!$D$57+BH25*Assumptions!$D$58+BH24*Assumptions!$D$59)*Assumptions!$D$55</f>
        <v>491.501237071026</v>
      </c>
      <c r="BI52" s="44" t="n">
        <f aca="false">(BI33*Assumptions!$D$56+BI34*Assumptions!$D$57+BI25*Assumptions!$D$58+BI24*Assumptions!$D$59)*Assumptions!$D$55</f>
        <v>507.810474112613</v>
      </c>
      <c r="BJ52" s="44" t="n">
        <f aca="false">(BJ33*Assumptions!$D$56+BJ34*Assumptions!$D$57+BJ25*Assumptions!$D$58+BJ24*Assumptions!$D$59)*Assumptions!$D$55</f>
        <v>523.795032903046</v>
      </c>
      <c r="BK52" s="44" t="n">
        <f aca="false">(BK33*Assumptions!$D$56+BK34*Assumptions!$D$57+BK25*Assumptions!$D$58+BK24*Assumptions!$D$59)*Assumptions!$D$55</f>
        <v>539.458192025296</v>
      </c>
    </row>
    <row r="53" customFormat="false" ht="15" hidden="false" customHeight="false" outlineLevel="0" collapsed="false">
      <c r="A53" s="28" t="s">
        <v>620</v>
      </c>
      <c r="B53" s="6" t="s">
        <v>621</v>
      </c>
      <c r="C53" s="43"/>
      <c r="D53" s="17" t="n">
        <f aca="false">D39*Assumptions!$D$51+D32*Assumptions!$D$45*Assumptions!$D$52</f>
        <v>0</v>
      </c>
      <c r="E53" s="17" t="n">
        <f aca="false">E39*Assumptions!$D$51+E32*Assumptions!$D$45*Assumptions!$D$52</f>
        <v>0</v>
      </c>
      <c r="F53" s="17" t="n">
        <f aca="false">F39*Assumptions!$D$51+F32*Assumptions!$D$45*Assumptions!$D$52</f>
        <v>0</v>
      </c>
      <c r="G53" s="17" t="n">
        <f aca="false">G39*Assumptions!$D$51+G32*Assumptions!$D$45*Assumptions!$D$52</f>
        <v>0</v>
      </c>
      <c r="H53" s="17" t="n">
        <f aca="false">H39*Assumptions!$D$51+H32*Assumptions!$D$45*Assumptions!$D$52</f>
        <v>0</v>
      </c>
      <c r="I53" s="17" t="n">
        <f aca="false">I39*Assumptions!$D$51+I32*Assumptions!$D$45*Assumptions!$D$52</f>
        <v>0</v>
      </c>
      <c r="J53" s="17" t="n">
        <f aca="false">J39*Assumptions!$D$51+J32*Assumptions!$D$45*Assumptions!$D$52</f>
        <v>0</v>
      </c>
      <c r="K53" s="17" t="n">
        <f aca="false">K39*Assumptions!$D$51+K32*Assumptions!$D$45*Assumptions!$D$52</f>
        <v>0</v>
      </c>
      <c r="L53" s="17" t="n">
        <f aca="false">L39*Assumptions!$D$51+L32*Assumptions!$D$45*Assumptions!$D$52</f>
        <v>0</v>
      </c>
      <c r="M53" s="17" t="n">
        <f aca="false">M39*Assumptions!$D$51+M32*Assumptions!$D$45*Assumptions!$D$52</f>
        <v>0</v>
      </c>
      <c r="N53" s="17" t="n">
        <f aca="false">N39*Assumptions!$D$51+N32*Assumptions!$D$45*Assumptions!$D$52</f>
        <v>0</v>
      </c>
      <c r="O53" s="17" t="n">
        <f aca="false">O39*Assumptions!$D$51+O32*Assumptions!$D$45*Assumptions!$D$52</f>
        <v>0</v>
      </c>
      <c r="P53" s="17" t="n">
        <f aca="false">P39*Assumptions!$D$51+P32*Assumptions!$D$45*Assumptions!$D$52</f>
        <v>0</v>
      </c>
      <c r="Q53" s="17" t="n">
        <f aca="false">Q39*Assumptions!$D$51+Q32*Assumptions!$D$45*Assumptions!$D$52</f>
        <v>0</v>
      </c>
      <c r="R53" s="17" t="n">
        <f aca="false">R39*Assumptions!$D$51+R32*Assumptions!$D$45*Assumptions!$D$52</f>
        <v>0</v>
      </c>
      <c r="S53" s="17" t="n">
        <f aca="false">S39*Assumptions!$D$51+S32*Assumptions!$D$45*Assumptions!$D$52</f>
        <v>0</v>
      </c>
      <c r="T53" s="17" t="n">
        <f aca="false">T39*Assumptions!$D$51+T32*Assumptions!$D$45*Assumptions!$D$52</f>
        <v>0</v>
      </c>
      <c r="U53" s="17" t="n">
        <f aca="false">U39*Assumptions!$D$51+U32*Assumptions!$D$45*Assumptions!$D$52</f>
        <v>0</v>
      </c>
      <c r="V53" s="17" t="n">
        <f aca="false">V39*Assumptions!$D$51+V32*Assumptions!$D$45*Assumptions!$D$52</f>
        <v>0</v>
      </c>
      <c r="W53" s="17" t="n">
        <f aca="false">W39*Assumptions!$D$51+W32*Assumptions!$D$45*Assumptions!$D$52</f>
        <v>0</v>
      </c>
      <c r="X53" s="17" t="n">
        <f aca="false">X39*Assumptions!$D$51+X32*Assumptions!$D$45*Assumptions!$D$52</f>
        <v>0</v>
      </c>
      <c r="Y53" s="17" t="n">
        <f aca="false">Y39*Assumptions!$D$51+Y32*Assumptions!$D$45*Assumptions!$D$52</f>
        <v>0</v>
      </c>
      <c r="Z53" s="17" t="n">
        <f aca="false">Z39*Assumptions!$D$51+Z32*Assumptions!$D$45*Assumptions!$D$52</f>
        <v>0</v>
      </c>
      <c r="AA53" s="17" t="n">
        <f aca="false">AA39*Assumptions!$D$51+AA32*Assumptions!$D$45*Assumptions!$D$52</f>
        <v>0</v>
      </c>
      <c r="AB53" s="17" t="n">
        <f aca="false">AB39*Assumptions!$D$51+AB32*Assumptions!$D$45*Assumptions!$D$52</f>
        <v>0</v>
      </c>
      <c r="AC53" s="17" t="n">
        <f aca="false">AC39*Assumptions!$D$51+AC32*Assumptions!$D$45*Assumptions!$D$52</f>
        <v>0</v>
      </c>
      <c r="AD53" s="17" t="n">
        <f aca="false">AD39*Assumptions!$D$51+AD32*Assumptions!$D$45*Assumptions!$D$52</f>
        <v>0</v>
      </c>
      <c r="AE53" s="17" t="n">
        <f aca="false">AE39*Assumptions!$D$51+AE32*Assumptions!$D$45*Assumptions!$D$52</f>
        <v>0</v>
      </c>
      <c r="AF53" s="17" t="n">
        <f aca="false">AF39*Assumptions!$D$51+AF32*Assumptions!$D$45*Assumptions!$D$52</f>
        <v>0</v>
      </c>
      <c r="AG53" s="17" t="n">
        <f aca="false">AG39*Assumptions!$D$51+AG32*Assumptions!$D$45*Assumptions!$D$52</f>
        <v>0</v>
      </c>
      <c r="AH53" s="17" t="n">
        <f aca="false">AH39*Assumptions!$D$51+AH32*Assumptions!$D$45*Assumptions!$D$52</f>
        <v>0</v>
      </c>
      <c r="AI53" s="17" t="n">
        <f aca="false">AI39*Assumptions!$D$51+AI32*Assumptions!$D$45*Assumptions!$D$52</f>
        <v>0</v>
      </c>
      <c r="AJ53" s="17" t="n">
        <f aca="false">AJ39*Assumptions!$D$51+AJ32*Assumptions!$D$45*Assumptions!$D$52</f>
        <v>0</v>
      </c>
      <c r="AK53" s="17" t="n">
        <f aca="false">AK39*Assumptions!$D$51+AK32*Assumptions!$D$45*Assumptions!$D$52</f>
        <v>0</v>
      </c>
      <c r="AL53" s="17" t="n">
        <f aca="false">AL39*Assumptions!$D$51+AL32*Assumptions!$D$45*Assumptions!$D$52</f>
        <v>0</v>
      </c>
      <c r="AM53" s="17" t="n">
        <f aca="false">AM39*Assumptions!$D$51+AM32*Assumptions!$D$45*Assumptions!$D$52</f>
        <v>8.5961363888803</v>
      </c>
      <c r="AN53" s="44" t="n">
        <f aca="false">AN39*Assumptions!$D$51+AN32*Assumptions!$D$45*Assumptions!$D$52</f>
        <v>17.0639902070849</v>
      </c>
      <c r="AO53" s="44" t="n">
        <f aca="false">AO39*Assumptions!$D$51+AO32*Assumptions!$D$45*Assumptions!$D$52</f>
        <v>25.4084710196861</v>
      </c>
      <c r="AP53" s="44" t="n">
        <f aca="false">AP39*Assumptions!$D$51+AP32*Assumptions!$D$45*Assumptions!$D$52</f>
        <v>33.6342307694344</v>
      </c>
      <c r="AQ53" s="44" t="n">
        <f aca="false">AQ39*Assumptions!$D$51+AQ32*Assumptions!$D$45*Assumptions!$D$52</f>
        <v>41.7390519073584</v>
      </c>
      <c r="AR53" s="44" t="n">
        <f aca="false">AR39*Assumptions!$D$51+AR32*Assumptions!$D$45*Assumptions!$D$52</f>
        <v>49.7210760172166</v>
      </c>
      <c r="AS53" s="44" t="n">
        <f aca="false">AS39*Assumptions!$D$51+AS32*Assumptions!$D$45*Assumptions!$D$52</f>
        <v>57.5854053491305</v>
      </c>
      <c r="AT53" s="44" t="n">
        <f aca="false">AT39*Assumptions!$D$51+AT32*Assumptions!$D$45*Assumptions!$D$52</f>
        <v>65.3302358609278</v>
      </c>
      <c r="AU53" s="44" t="n">
        <f aca="false">AU39*Assumptions!$D$51+AU32*Assumptions!$D$45*Assumptions!$D$52</f>
        <v>72.9540881751488</v>
      </c>
      <c r="AV53" s="44" t="n">
        <f aca="false">AV39*Assumptions!$D$51+AV32*Assumptions!$D$45*Assumptions!$D$52</f>
        <v>80.4624113082616</v>
      </c>
      <c r="AW53" s="44" t="n">
        <f aca="false">AW39*Assumptions!$D$51+AW32*Assumptions!$D$45*Assumptions!$D$52</f>
        <v>87.8537177784536</v>
      </c>
      <c r="AX53" s="44" t="n">
        <f aca="false">AX39*Assumptions!$D$51+AX32*Assumptions!$D$45*Assumptions!$D$52</f>
        <v>95.1268165073469</v>
      </c>
      <c r="AY53" s="44" t="n">
        <f aca="false">AY39*Assumptions!$D$51+AY32*Assumptions!$D$45*Assumptions!$D$52</f>
        <v>102.287418379154</v>
      </c>
      <c r="AZ53" s="44" t="n">
        <f aca="false">AZ39*Assumptions!$D$51+AZ32*Assumptions!$D$45*Assumptions!$D$52</f>
        <v>109.334273070221</v>
      </c>
      <c r="BA53" s="44" t="n">
        <f aca="false">BA39*Assumptions!$D$51+BA32*Assumptions!$D$45*Assumptions!$D$52</f>
        <v>116.266403570505</v>
      </c>
      <c r="BB53" s="44" t="n">
        <f aca="false">BB39*Assumptions!$D$51+BB32*Assumptions!$D$45*Assumptions!$D$52</f>
        <v>123.083084679446</v>
      </c>
      <c r="BC53" s="44" t="n">
        <f aca="false">BC39*Assumptions!$D$51+BC32*Assumptions!$D$45*Assumptions!$D$52</f>
        <v>129.783822944189</v>
      </c>
      <c r="BD53" s="44" t="n">
        <f aca="false">BD39*Assumptions!$D$51+BD32*Assumptions!$D$45*Assumptions!$D$52</f>
        <v>136.368337947354</v>
      </c>
      <c r="BE53" s="44" t="n">
        <f aca="false">BE39*Assumptions!$D$51+BE32*Assumptions!$D$45*Assumptions!$D$52</f>
        <v>142.836544857475</v>
      </c>
      <c r="BF53" s="44" t="n">
        <f aca="false">BF39*Assumptions!$D$51+BF32*Assumptions!$D$45*Assumptions!$D$52</f>
        <v>149.18853816082</v>
      </c>
      <c r="BG53" s="44" t="n">
        <f aca="false">BG39*Assumptions!$D$51+BG32*Assumptions!$D$45*Assumptions!$D$52</f>
        <v>155.424576498458</v>
      </c>
      <c r="BH53" s="44" t="n">
        <f aca="false">BH39*Assumptions!$D$51+BH32*Assumptions!$D$45*Assumptions!$D$52</f>
        <v>161.545068537323</v>
      </c>
      <c r="BI53" s="44" t="n">
        <f aca="false">BI39*Assumptions!$D$51+BI32*Assumptions!$D$45*Assumptions!$D$52</f>
        <v>167.550559808583</v>
      </c>
      <c r="BJ53" s="44" t="n">
        <f aca="false">BJ39*Assumptions!$D$51+BJ32*Assumptions!$D$45*Assumptions!$D$52</f>
        <v>173.441720450857</v>
      </c>
      <c r="BK53" s="44" t="n">
        <f aca="false">BK39*Assumptions!$D$51+BK32*Assumptions!$D$45*Assumptions!$D$52</f>
        <v>179.219333799828</v>
      </c>
    </row>
    <row r="54" customFormat="false" ht="15" hidden="false" customHeight="false" outlineLevel="0" collapsed="false">
      <c r="A54" s="28" t="s">
        <v>622</v>
      </c>
      <c r="B54" s="6" t="s">
        <v>516</v>
      </c>
      <c r="C54" s="43"/>
      <c r="D54" s="17" t="n">
        <f aca="false">(D37+D38)*Assumptions!$D$53+D32*Assumptions!$D$54</f>
        <v>0</v>
      </c>
      <c r="E54" s="17" t="n">
        <f aca="false">(E37+E38)*Assumptions!$D$53+E32*Assumptions!$D$54</f>
        <v>0</v>
      </c>
      <c r="F54" s="17" t="n">
        <f aca="false">(F37+F38)*Assumptions!$D$53+F32*Assumptions!$D$54</f>
        <v>0</v>
      </c>
      <c r="G54" s="17" t="n">
        <f aca="false">(G37+G38)*Assumptions!$D$53+G32*Assumptions!$D$54</f>
        <v>0</v>
      </c>
      <c r="H54" s="17" t="n">
        <f aca="false">(H37+H38)*Assumptions!$D$53+H32*Assumptions!$D$54</f>
        <v>0</v>
      </c>
      <c r="I54" s="17" t="n">
        <f aca="false">(I37+I38)*Assumptions!$D$53+I32*Assumptions!$D$54</f>
        <v>0</v>
      </c>
      <c r="J54" s="17" t="n">
        <f aca="false">(J37+J38)*Assumptions!$D$53+J32*Assumptions!$D$54</f>
        <v>0</v>
      </c>
      <c r="K54" s="17" t="n">
        <f aca="false">(K37+K38)*Assumptions!$D$53+K32*Assumptions!$D$54</f>
        <v>0</v>
      </c>
      <c r="L54" s="17" t="n">
        <f aca="false">(L37+L38)*Assumptions!$D$53+L32*Assumptions!$D$54</f>
        <v>0</v>
      </c>
      <c r="M54" s="17" t="n">
        <f aca="false">(M37+M38)*Assumptions!$D$53+M32*Assumptions!$D$54</f>
        <v>0</v>
      </c>
      <c r="N54" s="17" t="n">
        <f aca="false">(N37+N38)*Assumptions!$D$53+N32*Assumptions!$D$54</f>
        <v>0</v>
      </c>
      <c r="O54" s="17" t="n">
        <f aca="false">(O37+O38)*Assumptions!$D$53+O32*Assumptions!$D$54</f>
        <v>0</v>
      </c>
      <c r="P54" s="17" t="n">
        <f aca="false">(P37+P38)*Assumptions!$D$53+P32*Assumptions!$D$54</f>
        <v>0</v>
      </c>
      <c r="Q54" s="17" t="n">
        <f aca="false">(Q37+Q38)*Assumptions!$D$53+Q32*Assumptions!$D$54</f>
        <v>0</v>
      </c>
      <c r="R54" s="17" t="n">
        <f aca="false">(R37+R38)*Assumptions!$D$53+R32*Assumptions!$D$54</f>
        <v>0</v>
      </c>
      <c r="S54" s="17" t="n">
        <f aca="false">(S37+S38)*Assumptions!$D$53+S32*Assumptions!$D$54</f>
        <v>0</v>
      </c>
      <c r="T54" s="17" t="n">
        <f aca="false">(T37+T38)*Assumptions!$D$53+T32*Assumptions!$D$54</f>
        <v>0</v>
      </c>
      <c r="U54" s="17" t="n">
        <f aca="false">(U37+U38)*Assumptions!$D$53+U32*Assumptions!$D$54</f>
        <v>0</v>
      </c>
      <c r="V54" s="17" t="n">
        <f aca="false">(V37+V38)*Assumptions!$D$53+V32*Assumptions!$D$54</f>
        <v>0</v>
      </c>
      <c r="W54" s="17" t="n">
        <f aca="false">(W37+W38)*Assumptions!$D$53+W32*Assumptions!$D$54</f>
        <v>0</v>
      </c>
      <c r="X54" s="17" t="n">
        <f aca="false">(X37+X38)*Assumptions!$D$53+X32*Assumptions!$D$54</f>
        <v>0</v>
      </c>
      <c r="Y54" s="17" t="n">
        <f aca="false">(Y37+Y38)*Assumptions!$D$53+Y32*Assumptions!$D$54</f>
        <v>0</v>
      </c>
      <c r="Z54" s="17" t="n">
        <f aca="false">(Z37+Z38)*Assumptions!$D$53+Z32*Assumptions!$D$54</f>
        <v>0</v>
      </c>
      <c r="AA54" s="17" t="n">
        <f aca="false">(AA37+AA38)*Assumptions!$D$53+AA32*Assumptions!$D$54</f>
        <v>0</v>
      </c>
      <c r="AB54" s="17" t="n">
        <f aca="false">(AB37+AB38)*Assumptions!$D$53+AB32*Assumptions!$D$54</f>
        <v>0</v>
      </c>
      <c r="AC54" s="17" t="n">
        <f aca="false">(AC37+AC38)*Assumptions!$D$53+AC32*Assumptions!$D$54</f>
        <v>0</v>
      </c>
      <c r="AD54" s="17" t="n">
        <f aca="false">(AD37+AD38)*Assumptions!$D$53+AD32*Assumptions!$D$54</f>
        <v>0</v>
      </c>
      <c r="AE54" s="17" t="n">
        <f aca="false">(AE37+AE38)*Assumptions!$D$53+AE32*Assumptions!$D$54</f>
        <v>0</v>
      </c>
      <c r="AF54" s="17" t="n">
        <f aca="false">(AF37+AF38)*Assumptions!$D$53+AF32*Assumptions!$D$54</f>
        <v>0</v>
      </c>
      <c r="AG54" s="17" t="n">
        <f aca="false">(AG37+AG38)*Assumptions!$D$53+AG32*Assumptions!$D$54</f>
        <v>0</v>
      </c>
      <c r="AH54" s="17" t="n">
        <f aca="false">(AH37+AH38)*Assumptions!$D$53+AH32*Assumptions!$D$54</f>
        <v>0</v>
      </c>
      <c r="AI54" s="17" t="n">
        <f aca="false">(AI37+AI38)*Assumptions!$D$53+AI32*Assumptions!$D$54</f>
        <v>0</v>
      </c>
      <c r="AJ54" s="17" t="n">
        <f aca="false">(AJ37+AJ38)*Assumptions!$D$53+AJ32*Assumptions!$D$54</f>
        <v>0</v>
      </c>
      <c r="AK54" s="17" t="n">
        <f aca="false">(AK37+AK38)*Assumptions!$D$53+AK32*Assumptions!$D$54</f>
        <v>0</v>
      </c>
      <c r="AL54" s="17" t="n">
        <f aca="false">(AL37+AL38)*Assumptions!$D$53+AL32*Assumptions!$D$54</f>
        <v>0</v>
      </c>
      <c r="AM54" s="17" t="n">
        <f aca="false">(AM37+AM38)*Assumptions!$D$53+AM32*Assumptions!$D$54</f>
        <v>3.96242958563897</v>
      </c>
      <c r="AN54" s="44" t="n">
        <f aca="false">(AN37+AN38)*Assumptions!$D$53+AN32*Assumptions!$D$54</f>
        <v>7.86707481818674</v>
      </c>
      <c r="AO54" s="44" t="n">
        <f aca="false">(AO37+AO38)*Assumptions!$D$53+AO32*Assumptions!$D$54</f>
        <v>11.7160967508549</v>
      </c>
      <c r="AP54" s="44" t="n">
        <f aca="false">(AP37+AP38)*Assumptions!$D$53+AP32*Assumptions!$D$54</f>
        <v>15.5115446632922</v>
      </c>
      <c r="AQ54" s="44" t="n">
        <f aca="false">(AQ37+AQ38)*Assumptions!$D$53+AQ32*Assumptions!$D$54</f>
        <v>19.2523078236654</v>
      </c>
      <c r="AR54" s="44" t="n">
        <f aca="false">(AR37+AR38)*Assumptions!$D$53+AR32*Assumptions!$D$54</f>
        <v>22.9374460830899</v>
      </c>
      <c r="AS54" s="44" t="n">
        <f aca="false">(AS37+AS38)*Assumptions!$D$53+AS32*Assumptions!$D$54</f>
        <v>26.5692326328959</v>
      </c>
      <c r="AT54" s="44" t="n">
        <f aca="false">(AT37+AT38)*Assumptions!$D$53+AT32*Assumptions!$D$54</f>
        <v>30.1467627645102</v>
      </c>
      <c r="AU54" s="44" t="n">
        <f aca="false">(AU37+AU38)*Assumptions!$D$53+AU32*Assumptions!$D$54</f>
        <v>33.6692855897696</v>
      </c>
      <c r="AV54" s="44" t="n">
        <f aca="false">(AV37+AV38)*Assumptions!$D$53+AV32*Assumptions!$D$54</f>
        <v>37.1392478582005</v>
      </c>
      <c r="AW54" s="44" t="n">
        <f aca="false">(AW37+AW38)*Assumptions!$D$53+AW32*Assumptions!$D$54</f>
        <v>40.5559037148017</v>
      </c>
      <c r="AX54" s="44" t="n">
        <f aca="false">(AX37+AX38)*Assumptions!$D$53+AX32*Assumptions!$D$54</f>
        <v>43.9186473596956</v>
      </c>
      <c r="AY54" s="44" t="n">
        <f aca="false">(AY37+AY38)*Assumptions!$D$53+AY32*Assumptions!$D$54</f>
        <v>47.2300577495244</v>
      </c>
      <c r="AZ54" s="44" t="n">
        <f aca="false">(AZ37+AZ38)*Assumptions!$D$53+AZ32*Assumptions!$D$54</f>
        <v>50.4895091872853</v>
      </c>
      <c r="BA54" s="44" t="n">
        <f aca="false">(BA37+BA38)*Assumptions!$D$53+BA32*Assumptions!$D$54</f>
        <v>53.6965047649458</v>
      </c>
      <c r="BB54" s="44" t="n">
        <f aca="false">(BB37+BB38)*Assumptions!$D$53+BB32*Assumptions!$D$54</f>
        <v>56.850666323145</v>
      </c>
      <c r="BC54" s="44" t="n">
        <f aca="false">(BC37+BC38)*Assumptions!$D$53+BC32*Assumptions!$D$54</f>
        <v>59.9517250801865</v>
      </c>
      <c r="BD54" s="44" t="n">
        <f aca="false">(BD37+BD38)*Assumptions!$D$53+BD32*Assumptions!$D$54</f>
        <v>62.9995128874977</v>
      </c>
      <c r="BE54" s="44" t="n">
        <f aca="false">(BE37+BE38)*Assumptions!$D$53+BE32*Assumptions!$D$54</f>
        <v>65.9939540714588</v>
      </c>
      <c r="BF54" s="44" t="n">
        <f aca="false">(BF37+BF38)*Assumptions!$D$53+BF32*Assumptions!$D$54</f>
        <v>68.9350578240517</v>
      </c>
      <c r="BG54" s="44" t="n">
        <f aca="false">(BG37+BG38)*Assumptions!$D$53+BG32*Assumptions!$D$54</f>
        <v>71.8229111071674</v>
      </c>
      <c r="BH54" s="44" t="n">
        <f aca="false">(BH37+BH38)*Assumptions!$D$53+BH32*Assumptions!$D$54</f>
        <v>74.6576720376458</v>
      </c>
      <c r="BI54" s="44" t="n">
        <f aca="false">(BI37+BI38)*Assumptions!$D$53+BI32*Assumptions!$D$54</f>
        <v>77.43956372221</v>
      </c>
      <c r="BJ54" s="44" t="n">
        <f aca="false">(BJ37+BJ38)*Assumptions!$D$53+BJ32*Assumptions!$D$54</f>
        <v>80.1688685134176</v>
      </c>
      <c r="BK54" s="44" t="n">
        <f aca="false">(BK37+BK38)*Assumptions!$D$53+BK32*Assumptions!$D$54</f>
        <v>82.8459226595843</v>
      </c>
    </row>
    <row r="55" customFormat="false" ht="15" hidden="false" customHeight="false" outlineLevel="0" collapsed="false">
      <c r="A55" s="28" t="s">
        <v>623</v>
      </c>
      <c r="B55" s="6" t="s">
        <v>624</v>
      </c>
      <c r="C55" s="43"/>
      <c r="D55" s="17" t="n">
        <f aca="false">D25*Assumptions!$D$65*Assumptions!$D$66*Assumptions!$D$67</f>
        <v>0</v>
      </c>
      <c r="E55" s="17" t="n">
        <f aca="false">E25*Assumptions!$D$65*Assumptions!$D$66*Assumptions!$D$67</f>
        <v>0</v>
      </c>
      <c r="F55" s="17" t="n">
        <f aca="false">F25*Assumptions!$D$65*Assumptions!$D$66*Assumptions!$D$67</f>
        <v>0</v>
      </c>
      <c r="G55" s="17" t="n">
        <f aca="false">G25*Assumptions!$D$65*Assumptions!$D$66*Assumptions!$D$67</f>
        <v>0</v>
      </c>
      <c r="H55" s="17" t="n">
        <f aca="false">H25*Assumptions!$D$65*Assumptions!$D$66*Assumptions!$D$67</f>
        <v>10.125</v>
      </c>
      <c r="I55" s="17" t="n">
        <f aca="false">I25*Assumptions!$D$65*Assumptions!$D$66*Assumptions!$D$67</f>
        <v>15.643125</v>
      </c>
      <c r="J55" s="17" t="n">
        <f aca="false">J25*Assumptions!$D$65*Assumptions!$D$66*Assumptions!$D$67</f>
        <v>16.524759375</v>
      </c>
      <c r="K55" s="17" t="n">
        <f aca="false">K25*Assumptions!$D$65*Assumptions!$D$66*Assumptions!$D$67</f>
        <v>15.156903515625</v>
      </c>
      <c r="L55" s="17" t="n">
        <f aca="false">L25*Assumptions!$D$65*Assumptions!$D$66*Assumptions!$D$67</f>
        <v>12.6994019589844</v>
      </c>
      <c r="M55" s="17" t="n">
        <f aca="false">M25*Assumptions!$D$65*Assumptions!$D$66*Assumptions!$D$67</f>
        <v>10.7230405803223</v>
      </c>
      <c r="N55" s="17" t="n">
        <f aca="false">N25*Assumptions!$D$65*Assumptions!$D$66*Assumptions!$D$67</f>
        <v>17.9626949515173</v>
      </c>
      <c r="O55" s="17" t="n">
        <f aca="false">O25*Assumptions!$D$65*Assumptions!$D$66*Assumptions!$D$67</f>
        <v>21.5998523284364</v>
      </c>
      <c r="P55" s="17" t="n">
        <f aca="false">P25*Assumptions!$D$65*Assumptions!$D$66*Assumptions!$D$67</f>
        <v>21.2535021081851</v>
      </c>
      <c r="Q55" s="17" t="n">
        <f aca="false">Q25*Assumptions!$D$65*Assumptions!$D$66*Assumptions!$D$67</f>
        <v>29.2072345126542</v>
      </c>
      <c r="R55" s="17" t="n">
        <f aca="false">R25*Assumptions!$D$65*Assumptions!$D$66*Assumptions!$D$67</f>
        <v>31.7405491220008</v>
      </c>
      <c r="S55" s="17" t="n">
        <f aca="false">S25*Assumptions!$D$65*Assumptions!$D$66*Assumptions!$D$67</f>
        <v>30.2981074508566</v>
      </c>
      <c r="T55" s="17" t="n">
        <f aca="false">T25*Assumptions!$D$65*Assumptions!$D$66*Assumptions!$D$67</f>
        <v>35.939051601574</v>
      </c>
      <c r="U55" s="17" t="n">
        <f aca="false">U25*Assumptions!$D$65*Assumptions!$D$66*Assumptions!$D$67</f>
        <v>47.0889332555774</v>
      </c>
      <c r="V55" s="17" t="n">
        <f aca="false">V25*Assumptions!$D$65*Assumptions!$D$66*Assumptions!$D$67</f>
        <v>50.1791425878157</v>
      </c>
      <c r="W55" s="17" t="n">
        <f aca="false">W25*Assumptions!$D$65*Assumptions!$D$66*Assumptions!$D$67</f>
        <v>56.0562952544784</v>
      </c>
      <c r="X55" s="17" t="n">
        <f aca="false">X25*Assumptions!$D$65*Assumptions!$D$66*Assumptions!$D$67</f>
        <v>65.4140481734992</v>
      </c>
      <c r="Y55" s="17" t="n">
        <f aca="false">Y25*Assumptions!$D$65*Assumptions!$D$66*Assumptions!$D$67</f>
        <v>65.7663511644105</v>
      </c>
      <c r="Z55" s="17" t="n">
        <f aca="false">Z25*Assumptions!$D$65*Assumptions!$D$66*Assumptions!$D$67</f>
        <v>69.480367612212</v>
      </c>
      <c r="AA55" s="17" t="n">
        <f aca="false">AA25*Assumptions!$D$65*Assumptions!$D$66*Assumptions!$D$67</f>
        <v>75.8269723193993</v>
      </c>
      <c r="AB55" s="17" t="n">
        <f aca="false">AB25*Assumptions!$D$65*Assumptions!$D$66*Assumptions!$D$67</f>
        <v>74.2122470447845</v>
      </c>
      <c r="AC55" s="17" t="n">
        <f aca="false">AC25*Assumptions!$D$65*Assumptions!$D$66*Assumptions!$D$67</f>
        <v>76.6381577403555</v>
      </c>
      <c r="AD55" s="17" t="n">
        <f aca="false">AD25*Assumptions!$D$65*Assumptions!$D$66*Assumptions!$D$67</f>
        <v>82.1381947634456</v>
      </c>
      <c r="AE55" s="17" t="n">
        <f aca="false">AE25*Assumptions!$D$65*Assumptions!$D$66*Assumptions!$D$67</f>
        <v>89.6841340226487</v>
      </c>
      <c r="AF55" s="17" t="n">
        <f aca="false">AF25*Assumptions!$D$65*Assumptions!$D$66*Assumptions!$D$67</f>
        <v>96.9864368554705</v>
      </c>
      <c r="AG55" s="17" t="n">
        <f aca="false">AG25*Assumptions!$D$65*Assumptions!$D$66*Assumptions!$D$67</f>
        <v>102.936439953286</v>
      </c>
      <c r="AH55" s="17" t="n">
        <f aca="false">AH25*Assumptions!$D$65*Assumptions!$D$66*Assumptions!$D$67</f>
        <v>109.224760566935</v>
      </c>
      <c r="AI55" s="17" t="n">
        <f aca="false">AI25*Assumptions!$D$65*Assumptions!$D$66*Assumptions!$D$67</f>
        <v>114.133467100875</v>
      </c>
      <c r="AJ55" s="17" t="n">
        <f aca="false">AJ25*Assumptions!$D$65*Assumptions!$D$66*Assumptions!$D$67</f>
        <v>118.141092029626</v>
      </c>
      <c r="AK55" s="17" t="n">
        <f aca="false">AK25*Assumptions!$D$65*Assumptions!$D$66*Assumptions!$D$67</f>
        <v>121.153789772963</v>
      </c>
      <c r="AL55" s="17" t="n">
        <f aca="false">AL25*Assumptions!$D$65*Assumptions!$D$66*Assumptions!$D$67</f>
        <v>123.91459130729</v>
      </c>
      <c r="AM55" s="17" t="n">
        <f aca="false">AM25*Assumptions!$D$65*Assumptions!$D$66*Assumptions!$D$67</f>
        <v>126.50779660573</v>
      </c>
      <c r="AN55" s="44" t="n">
        <f aca="false">AN25*Assumptions!$D$65*Assumptions!$D$66*Assumptions!$D$67</f>
        <v>128.583297243317</v>
      </c>
      <c r="AO55" s="44" t="n">
        <f aca="false">AO25*Assumptions!$D$65*Assumptions!$D$66*Assumptions!$D$67</f>
        <v>130.717541921508</v>
      </c>
      <c r="AP55" s="44" t="n">
        <f aca="false">AP25*Assumptions!$D$65*Assumptions!$D$66*Assumptions!$D$67</f>
        <v>132.886540994499</v>
      </c>
      <c r="AQ55" s="44" t="n">
        <f aca="false">AQ25*Assumptions!$D$65*Assumptions!$D$66*Assumptions!$D$67</f>
        <v>134.669786923305</v>
      </c>
      <c r="AR55" s="44" t="n">
        <f aca="false">AR25*Assumptions!$D$65*Assumptions!$D$66*Assumptions!$D$67</f>
        <v>136.192958395107</v>
      </c>
      <c r="AS55" s="44" t="n">
        <f aca="false">AS25*Assumptions!$D$65*Assumptions!$D$66*Assumptions!$D$67</f>
        <v>137.942979929404</v>
      </c>
      <c r="AT55" s="44" t="n">
        <f aca="false">AT25*Assumptions!$D$65*Assumptions!$D$66*Assumptions!$D$67</f>
        <v>139.432655002383</v>
      </c>
      <c r="AU55" s="44" t="n">
        <f aca="false">AU25*Assumptions!$D$65*Assumptions!$D$66*Assumptions!$D$67</f>
        <v>140.744300848612</v>
      </c>
      <c r="AV55" s="44" t="n">
        <f aca="false">AV25*Assumptions!$D$65*Assumptions!$D$66*Assumptions!$D$67</f>
        <v>142.336643771234</v>
      </c>
      <c r="AW55" s="44" t="n">
        <f aca="false">AW25*Assumptions!$D$65*Assumptions!$D$66*Assumptions!$D$67</f>
        <v>143.704145465448</v>
      </c>
      <c r="AX55" s="44" t="n">
        <f aca="false">AX25*Assumptions!$D$65*Assumptions!$D$66*Assumptions!$D$67</f>
        <v>144.917188391333</v>
      </c>
      <c r="AY55" s="44" t="n">
        <f aca="false">AY25*Assumptions!$D$65*Assumptions!$D$66*Assumptions!$D$67</f>
        <v>146.426728947189</v>
      </c>
      <c r="AZ55" s="44" t="n">
        <f aca="false">AZ25*Assumptions!$D$65*Assumptions!$D$66*Assumptions!$D$67</f>
        <v>147.722166396175</v>
      </c>
      <c r="BA55" s="44" t="n">
        <f aca="false">BA25*Assumptions!$D$65*Assumptions!$D$66*Assumptions!$D$67</f>
        <v>148.870580923503</v>
      </c>
      <c r="BB55" s="44" t="n">
        <f aca="false">BB25*Assumptions!$D$65*Assumptions!$D$66*Assumptions!$D$67</f>
        <v>149.915771047116</v>
      </c>
      <c r="BC55" s="44" t="n">
        <f aca="false">BC25*Assumptions!$D$65*Assumptions!$D$66*Assumptions!$D$67</f>
        <v>150.886397291294</v>
      </c>
      <c r="BD55" s="44" t="n">
        <f aca="false">BD25*Assumptions!$D$65*Assumptions!$D$66*Assumptions!$D$67</f>
        <v>151.801275697243</v>
      </c>
      <c r="BE55" s="44" t="n">
        <f aca="false">BE25*Assumptions!$D$65*Assumptions!$D$66*Assumptions!$D$67</f>
        <v>152.672818724662</v>
      </c>
      <c r="BF55" s="44" t="n">
        <f aca="false">BF25*Assumptions!$D$65*Assumptions!$D$66*Assumptions!$D$67</f>
        <v>153.509271954448</v>
      </c>
      <c r="BG55" s="44" t="n">
        <f aca="false">BG25*Assumptions!$D$65*Assumptions!$D$66*Assumptions!$D$67</f>
        <v>154.316168059224</v>
      </c>
      <c r="BH55" s="44" t="n">
        <f aca="false">BH25*Assumptions!$D$65*Assumptions!$D$66*Assumptions!$D$67</f>
        <v>155.097271995107</v>
      </c>
      <c r="BI55" s="44" t="n">
        <f aca="false">BI25*Assumptions!$D$65*Assumptions!$D$66*Assumptions!$D$67</f>
        <v>155.855195484516</v>
      </c>
      <c r="BJ55" s="44" t="n">
        <f aca="false">BJ25*Assumptions!$D$65*Assumptions!$D$66*Assumptions!$D$67</f>
        <v>156.591796535439</v>
      </c>
      <c r="BK55" s="44" t="n">
        <f aca="false">BK25*Assumptions!$D$65*Assumptions!$D$66*Assumptions!$D$67</f>
        <v>157.308439231777</v>
      </c>
    </row>
    <row r="56" customFormat="false" ht="15" hidden="false" customHeight="false" outlineLevel="0" collapsed="false">
      <c r="A56" s="28" t="s">
        <v>625</v>
      </c>
      <c r="B56" s="6" t="s">
        <v>626</v>
      </c>
      <c r="C56" s="43"/>
      <c r="D56" s="17" t="n">
        <f aca="false">(D41+D42+D43)*Assumptions!$D$78</f>
        <v>0</v>
      </c>
      <c r="E56" s="17" t="n">
        <f aca="false">(E41+E42+E43)*Assumptions!$D$78</f>
        <v>0</v>
      </c>
      <c r="F56" s="17" t="n">
        <f aca="false">(F41+F42+F43)*Assumptions!$D$78</f>
        <v>0</v>
      </c>
      <c r="G56" s="17" t="n">
        <f aca="false">(G41+G42+G43)*Assumptions!$D$78</f>
        <v>0</v>
      </c>
      <c r="H56" s="17" t="n">
        <f aca="false">(H41+H42+H43)*Assumptions!$D$78</f>
        <v>0</v>
      </c>
      <c r="I56" s="17" t="n">
        <f aca="false">(I41+I42+I43)*Assumptions!$D$78</f>
        <v>0</v>
      </c>
      <c r="J56" s="17" t="n">
        <f aca="false">(J41+J42+J43)*Assumptions!$D$78</f>
        <v>0</v>
      </c>
      <c r="K56" s="17" t="n">
        <f aca="false">(K41+K42+K43)*Assumptions!$D$78</f>
        <v>0</v>
      </c>
      <c r="L56" s="17" t="n">
        <f aca="false">(L41+L42+L43)*Assumptions!$D$78</f>
        <v>0</v>
      </c>
      <c r="M56" s="17" t="n">
        <f aca="false">(M41+M42+M43)*Assumptions!$D$78</f>
        <v>0</v>
      </c>
      <c r="N56" s="17" t="n">
        <f aca="false">(N41+N42+N43)*Assumptions!$D$78</f>
        <v>0</v>
      </c>
      <c r="O56" s="17" t="n">
        <f aca="false">(O41+O42+O43)*Assumptions!$D$78</f>
        <v>0</v>
      </c>
      <c r="P56" s="17" t="n">
        <f aca="false">(P41+P42+P43)*Assumptions!$D$78</f>
        <v>0</v>
      </c>
      <c r="Q56" s="17" t="n">
        <f aca="false">(Q41+Q42+Q43)*Assumptions!$D$78</f>
        <v>0</v>
      </c>
      <c r="R56" s="17" t="n">
        <f aca="false">(R41+R42+R43)*Assumptions!$D$78</f>
        <v>0</v>
      </c>
      <c r="S56" s="17" t="n">
        <f aca="false">(S41+S42+S43)*Assumptions!$D$78</f>
        <v>0</v>
      </c>
      <c r="T56" s="17" t="n">
        <f aca="false">(T41+T42+T43)*Assumptions!$D$78</f>
        <v>0</v>
      </c>
      <c r="U56" s="17" t="n">
        <f aca="false">(U41+U42+U43)*Assumptions!$D$78</f>
        <v>0</v>
      </c>
      <c r="V56" s="17" t="n">
        <f aca="false">(V41+V42+V43)*Assumptions!$D$78</f>
        <v>0</v>
      </c>
      <c r="W56" s="17" t="n">
        <f aca="false">(W41+W42+W43)*Assumptions!$D$78</f>
        <v>0</v>
      </c>
      <c r="X56" s="17" t="n">
        <f aca="false">(X41+X42+X43)*Assumptions!$D$78</f>
        <v>0</v>
      </c>
      <c r="Y56" s="17" t="n">
        <f aca="false">(Y41+Y42+Y43)*Assumptions!$D$78</f>
        <v>0</v>
      </c>
      <c r="Z56" s="17" t="n">
        <f aca="false">(Z41+Z42+Z43)*Assumptions!$D$78</f>
        <v>0</v>
      </c>
      <c r="AA56" s="17" t="n">
        <f aca="false">(AA41+AA42+AA43)*Assumptions!$D$78</f>
        <v>0</v>
      </c>
      <c r="AB56" s="17" t="n">
        <f aca="false">(AB41+AB42+AB43)*Assumptions!$D$78</f>
        <v>0</v>
      </c>
      <c r="AC56" s="17" t="n">
        <f aca="false">(AC41+AC42+AC43)*Assumptions!$D$78</f>
        <v>0</v>
      </c>
      <c r="AD56" s="17" t="n">
        <f aca="false">(AD41+AD42+AD43)*Assumptions!$D$78</f>
        <v>0</v>
      </c>
      <c r="AE56" s="17" t="n">
        <f aca="false">(AE41+AE42+AE43)*Assumptions!$D$78</f>
        <v>0</v>
      </c>
      <c r="AF56" s="17" t="n">
        <f aca="false">(AF41+AF42+AF43)*Assumptions!$D$78</f>
        <v>0</v>
      </c>
      <c r="AG56" s="17" t="n">
        <f aca="false">(AG41+AG42+AG43)*Assumptions!$D$78</f>
        <v>0</v>
      </c>
      <c r="AH56" s="17" t="n">
        <f aca="false">(AH41+AH42+AH43)*Assumptions!$D$78</f>
        <v>0</v>
      </c>
      <c r="AI56" s="17" t="n">
        <f aca="false">(AI41+AI42+AI43)*Assumptions!$D$78</f>
        <v>0</v>
      </c>
      <c r="AJ56" s="17" t="n">
        <f aca="false">(AJ41+AJ42+AJ43)*Assumptions!$D$78</f>
        <v>0</v>
      </c>
      <c r="AK56" s="17" t="n">
        <f aca="false">(AK41+AK42+AK43)*Assumptions!$D$78</f>
        <v>0</v>
      </c>
      <c r="AL56" s="17" t="n">
        <f aca="false">(AL41+AL42+AL43)*Assumptions!$D$78</f>
        <v>0</v>
      </c>
      <c r="AM56" s="17" t="n">
        <f aca="false">(AM41+AM42+AM43)*Assumptions!$D$78</f>
        <v>0</v>
      </c>
      <c r="AN56" s="44" t="n">
        <f aca="false">(AN41+AN42+AN43)*Assumptions!$D$78</f>
        <v>0</v>
      </c>
      <c r="AO56" s="44" t="n">
        <f aca="false">(AO41+AO42+AO43)*Assumptions!$D$78</f>
        <v>0</v>
      </c>
      <c r="AP56" s="44" t="n">
        <f aca="false">(AP41+AP42+AP43)*Assumptions!$D$78</f>
        <v>0</v>
      </c>
      <c r="AQ56" s="44" t="n">
        <f aca="false">(AQ41+AQ42+AQ43)*Assumptions!$D$78</f>
        <v>0</v>
      </c>
      <c r="AR56" s="44" t="n">
        <f aca="false">(AR41+AR42+AR43)*Assumptions!$D$78</f>
        <v>0</v>
      </c>
      <c r="AS56" s="44" t="n">
        <f aca="false">(AS41+AS42+AS43)*Assumptions!$D$78</f>
        <v>0</v>
      </c>
      <c r="AT56" s="44" t="n">
        <f aca="false">(AT41+AT42+AT43)*Assumptions!$D$78</f>
        <v>0</v>
      </c>
      <c r="AU56" s="44" t="n">
        <f aca="false">(AU41+AU42+AU43)*Assumptions!$D$78</f>
        <v>0</v>
      </c>
      <c r="AV56" s="44" t="n">
        <f aca="false">(AV41+AV42+AV43)*Assumptions!$D$78</f>
        <v>0</v>
      </c>
      <c r="AW56" s="44" t="n">
        <f aca="false">(AW41+AW42+AW43)*Assumptions!$D$78</f>
        <v>0</v>
      </c>
      <c r="AX56" s="44" t="n">
        <f aca="false">(AX41+AX42+AX43)*Assumptions!$D$78</f>
        <v>0</v>
      </c>
      <c r="AY56" s="44" t="n">
        <f aca="false">(AY41+AY42+AY43)*Assumptions!$D$78</f>
        <v>0</v>
      </c>
      <c r="AZ56" s="44" t="n">
        <f aca="false">(AZ41+AZ42+AZ43)*Assumptions!$D$78</f>
        <v>0</v>
      </c>
      <c r="BA56" s="44" t="n">
        <f aca="false">(BA41+BA42+BA43)*Assumptions!$D$78</f>
        <v>0</v>
      </c>
      <c r="BB56" s="44" t="n">
        <f aca="false">(BB41+BB42+BB43)*Assumptions!$D$78</f>
        <v>0</v>
      </c>
      <c r="BC56" s="44" t="n">
        <f aca="false">(BC41+BC42+BC43)*Assumptions!$D$78</f>
        <v>0</v>
      </c>
      <c r="BD56" s="44" t="n">
        <f aca="false">(BD41+BD42+BD43)*Assumptions!$D$78</f>
        <v>0</v>
      </c>
      <c r="BE56" s="44" t="n">
        <f aca="false">(BE41+BE42+BE43)*Assumptions!$D$78</f>
        <v>0</v>
      </c>
      <c r="BF56" s="44" t="n">
        <f aca="false">(BF41+BF42+BF43)*Assumptions!$D$78</f>
        <v>0</v>
      </c>
      <c r="BG56" s="44" t="n">
        <f aca="false">(BG41+BG42+BG43)*Assumptions!$D$78</f>
        <v>0</v>
      </c>
      <c r="BH56" s="44" t="n">
        <f aca="false">(BH41+BH42+BH43)*Assumptions!$D$78</f>
        <v>0</v>
      </c>
      <c r="BI56" s="44" t="n">
        <f aca="false">(BI41+BI42+BI43)*Assumptions!$D$78</f>
        <v>0</v>
      </c>
      <c r="BJ56" s="44" t="n">
        <f aca="false">(BJ41+BJ42+BJ43)*Assumptions!$D$78</f>
        <v>0</v>
      </c>
      <c r="BK56" s="44" t="n">
        <f aca="false">(BK41+BK42+BK43)*Assumptions!$D$78</f>
        <v>0</v>
      </c>
    </row>
    <row r="57" customFormat="false" ht="15" hidden="false" customHeight="false" outlineLevel="0" collapsed="false">
      <c r="A57" s="28" t="s">
        <v>627</v>
      </c>
      <c r="B57" s="6" t="s">
        <v>628</v>
      </c>
      <c r="C57" s="43"/>
      <c r="D57" s="17" t="n">
        <f aca="false">D45*Assumptions!$D$82</f>
        <v>0</v>
      </c>
      <c r="E57" s="17" t="n">
        <f aca="false">E45*Assumptions!$D$82</f>
        <v>0</v>
      </c>
      <c r="F57" s="17" t="n">
        <f aca="false">F45*Assumptions!$D$82</f>
        <v>0</v>
      </c>
      <c r="G57" s="17" t="n">
        <f aca="false">G45*Assumptions!$D$82</f>
        <v>0</v>
      </c>
      <c r="H57" s="17" t="n">
        <f aca="false">H45*Assumptions!$D$82</f>
        <v>0</v>
      </c>
      <c r="I57" s="17" t="n">
        <f aca="false">I45*Assumptions!$D$82</f>
        <v>0</v>
      </c>
      <c r="J57" s="17" t="n">
        <f aca="false">J45*Assumptions!$D$82</f>
        <v>0</v>
      </c>
      <c r="K57" s="17" t="n">
        <f aca="false">K45*Assumptions!$D$82</f>
        <v>0</v>
      </c>
      <c r="L57" s="17" t="n">
        <f aca="false">L45*Assumptions!$D$82</f>
        <v>0</v>
      </c>
      <c r="M57" s="17" t="n">
        <f aca="false">M45*Assumptions!$D$82</f>
        <v>0</v>
      </c>
      <c r="N57" s="17" t="n">
        <f aca="false">N45*Assumptions!$D$82</f>
        <v>0</v>
      </c>
      <c r="O57" s="17" t="n">
        <f aca="false">O45*Assumptions!$D$82</f>
        <v>0</v>
      </c>
      <c r="P57" s="17" t="n">
        <f aca="false">P45*Assumptions!$D$82</f>
        <v>0</v>
      </c>
      <c r="Q57" s="17" t="n">
        <f aca="false">Q45*Assumptions!$D$82</f>
        <v>0</v>
      </c>
      <c r="R57" s="17" t="n">
        <f aca="false">R45*Assumptions!$D$82</f>
        <v>0</v>
      </c>
      <c r="S57" s="17" t="n">
        <f aca="false">S45*Assumptions!$D$82</f>
        <v>0</v>
      </c>
      <c r="T57" s="17" t="n">
        <f aca="false">T45*Assumptions!$D$82</f>
        <v>0</v>
      </c>
      <c r="U57" s="17" t="n">
        <f aca="false">U45*Assumptions!$D$82</f>
        <v>0</v>
      </c>
      <c r="V57" s="17" t="n">
        <f aca="false">V45*Assumptions!$D$82</f>
        <v>0</v>
      </c>
      <c r="W57" s="17" t="n">
        <f aca="false">W45*Assumptions!$D$82</f>
        <v>0</v>
      </c>
      <c r="X57" s="17" t="n">
        <f aca="false">X45*Assumptions!$D$82</f>
        <v>0</v>
      </c>
      <c r="Y57" s="17" t="n">
        <f aca="false">Y45*Assumptions!$D$82</f>
        <v>0</v>
      </c>
      <c r="Z57" s="17" t="n">
        <f aca="false">Z45*Assumptions!$D$82</f>
        <v>0</v>
      </c>
      <c r="AA57" s="17" t="n">
        <f aca="false">AA45*Assumptions!$D$82</f>
        <v>0</v>
      </c>
      <c r="AB57" s="17" t="n">
        <f aca="false">AB45*Assumptions!$D$82</f>
        <v>0</v>
      </c>
      <c r="AC57" s="17" t="n">
        <f aca="false">AC45*Assumptions!$D$82</f>
        <v>0</v>
      </c>
      <c r="AD57" s="17" t="n">
        <f aca="false">AD45*Assumptions!$D$82</f>
        <v>0</v>
      </c>
      <c r="AE57" s="17" t="n">
        <f aca="false">AE45*Assumptions!$D$82</f>
        <v>0</v>
      </c>
      <c r="AF57" s="17" t="n">
        <f aca="false">AF45*Assumptions!$D$82</f>
        <v>225</v>
      </c>
      <c r="AG57" s="17" t="n">
        <f aca="false">AG45*Assumptions!$D$82</f>
        <v>253.125</v>
      </c>
      <c r="AH57" s="17" t="n">
        <f aca="false">AH45*Assumptions!$D$82</f>
        <v>253.125</v>
      </c>
      <c r="AI57" s="17" t="n">
        <f aca="false">AI45*Assumptions!$D$82</f>
        <v>281.25</v>
      </c>
      <c r="AJ57" s="17" t="n">
        <f aca="false">AJ45*Assumptions!$D$82</f>
        <v>309.375</v>
      </c>
      <c r="AK57" s="17" t="n">
        <f aca="false">AK45*Assumptions!$D$82</f>
        <v>337.5</v>
      </c>
      <c r="AL57" s="17" t="n">
        <f aca="false">AL45*Assumptions!$D$82</f>
        <v>365.625</v>
      </c>
      <c r="AM57" s="17" t="n">
        <f aca="false">AM45*Assumptions!$D$82</f>
        <v>393.75</v>
      </c>
      <c r="AN57" s="44" t="n">
        <f aca="false">AN45*Assumptions!$D$82</f>
        <v>421.875</v>
      </c>
      <c r="AO57" s="44" t="n">
        <f aca="false">AO45*Assumptions!$D$82</f>
        <v>450</v>
      </c>
      <c r="AP57" s="44" t="n">
        <f aca="false">AP45*Assumptions!$D$82</f>
        <v>478.125</v>
      </c>
      <c r="AQ57" s="44" t="n">
        <f aca="false">AQ45*Assumptions!$D$82</f>
        <v>506.25</v>
      </c>
      <c r="AR57" s="44" t="n">
        <f aca="false">AR45*Assumptions!$D$82</f>
        <v>534.375</v>
      </c>
      <c r="AS57" s="44" t="n">
        <f aca="false">AS45*Assumptions!$D$82</f>
        <v>562.5</v>
      </c>
      <c r="AT57" s="44" t="n">
        <f aca="false">AT45*Assumptions!$D$82</f>
        <v>590.625</v>
      </c>
      <c r="AU57" s="44" t="n">
        <f aca="false">AU45*Assumptions!$D$82</f>
        <v>618.75</v>
      </c>
      <c r="AV57" s="44" t="n">
        <f aca="false">AV45*Assumptions!$D$82</f>
        <v>646.875</v>
      </c>
      <c r="AW57" s="44" t="n">
        <f aca="false">AW45*Assumptions!$D$82</f>
        <v>675</v>
      </c>
      <c r="AX57" s="44" t="n">
        <f aca="false">AX45*Assumptions!$D$82</f>
        <v>703.125</v>
      </c>
      <c r="AY57" s="44" t="n">
        <f aca="false">AY45*Assumptions!$D$82</f>
        <v>731.25</v>
      </c>
      <c r="AZ57" s="44" t="n">
        <f aca="false">AZ45*Assumptions!$D$82</f>
        <v>759.375</v>
      </c>
      <c r="BA57" s="44" t="n">
        <f aca="false">BA45*Assumptions!$D$82</f>
        <v>787.5</v>
      </c>
      <c r="BB57" s="44" t="n">
        <f aca="false">BB45*Assumptions!$D$82</f>
        <v>815.625</v>
      </c>
      <c r="BC57" s="44" t="n">
        <f aca="false">BC45*Assumptions!$D$82</f>
        <v>843.75</v>
      </c>
      <c r="BD57" s="44" t="n">
        <f aca="false">BD45*Assumptions!$D$82</f>
        <v>871.875</v>
      </c>
      <c r="BE57" s="44" t="n">
        <f aca="false">BE45*Assumptions!$D$82</f>
        <v>900</v>
      </c>
      <c r="BF57" s="44" t="n">
        <f aca="false">BF45*Assumptions!$D$82</f>
        <v>928.125</v>
      </c>
      <c r="BG57" s="44" t="n">
        <f aca="false">BG45*Assumptions!$D$82</f>
        <v>956.25</v>
      </c>
      <c r="BH57" s="44" t="n">
        <f aca="false">BH45*Assumptions!$D$82</f>
        <v>984.375</v>
      </c>
      <c r="BI57" s="44" t="n">
        <f aca="false">BI45*Assumptions!$D$82</f>
        <v>1012.5</v>
      </c>
      <c r="BJ57" s="44" t="n">
        <f aca="false">BJ45*Assumptions!$D$82</f>
        <v>1040.625</v>
      </c>
      <c r="BK57" s="44" t="n">
        <f aca="false">BK45*Assumptions!$D$82</f>
        <v>1068.75</v>
      </c>
    </row>
    <row r="58" customFormat="false" ht="15" hidden="false" customHeight="false" outlineLevel="0" collapsed="false">
      <c r="A58" s="28" t="s">
        <v>629</v>
      </c>
      <c r="B58" s="5" t="s">
        <v>630</v>
      </c>
      <c r="C58" s="43"/>
      <c r="D58" s="45" t="n">
        <f aca="false">D49+D50+D51+D52+D53+D54+D55+D56+D57</f>
        <v>0</v>
      </c>
      <c r="E58" s="45" t="n">
        <f aca="false">E49+E50+E51+E52+E53+E54+E55+E56+E57</f>
        <v>0</v>
      </c>
      <c r="F58" s="45" t="n">
        <f aca="false">F49+F50+F51+F52+F53+F54+F55+F56+F57</f>
        <v>0</v>
      </c>
      <c r="G58" s="45" t="n">
        <f aca="false">G49+G50+G51+G52+G53+G54+G55+G56+G57</f>
        <v>0</v>
      </c>
      <c r="H58" s="45" t="n">
        <f aca="false">H49+H50+H51+H52+H53+H54+H55+H56+H57</f>
        <v>30.485</v>
      </c>
      <c r="I58" s="45" t="n">
        <f aca="false">I49+I50+I51+I52+I53+I54+I55+I56+I57</f>
        <v>53.431925</v>
      </c>
      <c r="J58" s="45" t="n">
        <f aca="false">J49+J50+J51+J52+J53+J54+J55+J56+J57</f>
        <v>65.616969375</v>
      </c>
      <c r="K58" s="45" t="n">
        <f aca="false">K49+K50+K51+K52+K53+K54+K55+K56+K57</f>
        <v>71.199292765625</v>
      </c>
      <c r="L58" s="45" t="n">
        <f aca="false">L49+L50+L51+L52+L53+L54+L55+L56+L57</f>
        <v>72.2572964027344</v>
      </c>
      <c r="M58" s="45" t="n">
        <f aca="false">M49+M50+M51+M52+M53+M54+M55+M56+M57</f>
        <v>72.8886348642285</v>
      </c>
      <c r="N58" s="45" t="n">
        <f aca="false">N49+N50+N51+N52+N53+N54+N55+N56+N57</f>
        <v>99.7687700591384</v>
      </c>
      <c r="O58" s="45" t="n">
        <f aca="false">O49+O50+O51+O52+O53+O54+O55+O56+O57</f>
        <v>120.126959000895</v>
      </c>
      <c r="P58" s="45" t="n">
        <f aca="false">P49+P50+P51+P52+P53+P54+P55+P56+P57</f>
        <v>130.389890351476</v>
      </c>
      <c r="Q58" s="45" t="n">
        <f aca="false">Q49+Q50+Q51+Q52+Q53+Q54+Q55+Q56+Q57</f>
        <v>164.974391554331</v>
      </c>
      <c r="R58" s="45" t="n">
        <f aca="false">R49+R50+R51+R52+R53+R54+R55+R56+R57</f>
        <v>187.78787326554</v>
      </c>
      <c r="S58" s="45" t="n">
        <f aca="false">S49+S50+S51+S52+S53+S54+S55+S56+S57</f>
        <v>199.607893408945</v>
      </c>
      <c r="T58" s="45" t="n">
        <f aca="false">T49+T50+T51+T52+T53+T54+T55+T56+T57</f>
        <v>231.206342107499</v>
      </c>
      <c r="U58" s="45" t="n">
        <f aca="false">U49+U50+U51+U52+U53+U54+U55+U56+U57</f>
        <v>282.334963476768</v>
      </c>
      <c r="V58" s="45" t="n">
        <f aca="false">V49+V50+V51+V52+V53+V54+V55+V56+V57</f>
        <v>315.46829633912</v>
      </c>
      <c r="W58" s="45" t="n">
        <f aca="false">W49+W50+W51+W52+W53+W54+W55+W56+W57</f>
        <v>357.972318447668</v>
      </c>
      <c r="X58" s="45" t="n">
        <f aca="false">X49+X50+X51+X52+X53+X54+X55+X56+X57</f>
        <v>413.639424672544</v>
      </c>
      <c r="Y58" s="45" t="n">
        <f aca="false">Y49+Y50+Y51+Y52+Y53+Y54+Y55+Y56+Y57</f>
        <v>446.945388276674</v>
      </c>
      <c r="Z58" s="45" t="n">
        <f aca="false">Z49+Z50+Z51+Z52+Z53+Z54+Z55+Z56+Z57</f>
        <v>489.30355056337</v>
      </c>
      <c r="AA58" s="45" t="n">
        <f aca="false">AA49+AA50+AA51+AA52+AA53+AA54+AA55+AA56+AA57</f>
        <v>540.663949845135</v>
      </c>
      <c r="AB58" s="45" t="n">
        <f aca="false">AB49+AB50+AB51+AB52+AB53+AB54+AB55+AB56+AB57</f>
        <v>570.733233328808</v>
      </c>
      <c r="AC58" s="45" t="n">
        <f aca="false">AC49+AC50+AC51+AC52+AC53+AC54+AC55+AC56+AC57</f>
        <v>610.561165944959</v>
      </c>
      <c r="AD58" s="45" t="n">
        <f aca="false">AD49+AD50+AD51+AD52+AD53+AD54+AD55+AD56+AD57</f>
        <v>659.861188038426</v>
      </c>
      <c r="AE58" s="45" t="n">
        <f aca="false">AE49+AE50+AE51+AE52+AE53+AE54+AE55+AE56+AE57</f>
        <v>717.451491644825</v>
      </c>
      <c r="AF58" s="45" t="n">
        <f aca="false">AF49+AF50+AF51+AF52+AF53+AF54+AF55+AF56+AF57</f>
        <v>1002.63296600349</v>
      </c>
      <c r="AG58" s="45" t="n">
        <f aca="false">AG49+AG50+AG51+AG52+AG53+AG54+AG55+AG56+AG57</f>
        <v>1089.90720692576</v>
      </c>
      <c r="AH58" s="45" t="n">
        <f aca="false">AH49+AH50+AH51+AH52+AH53+AH54+AH55+AH56+AH57</f>
        <v>1152.14707404965</v>
      </c>
      <c r="AI58" s="45" t="n">
        <f aca="false">AI49+AI50+AI51+AI52+AI53+AI54+AI55+AI56+AI57</f>
        <v>1240.55882669148</v>
      </c>
      <c r="AJ58" s="45" t="n">
        <f aca="false">AJ49+AJ50+AJ51+AJ52+AJ53+AJ54+AJ55+AJ56+AJ57</f>
        <v>1327.50736394469</v>
      </c>
      <c r="AK58" s="45" t="n">
        <f aca="false">AK49+AK50+AK51+AK52+AK53+AK54+AK55+AK56+AK57</f>
        <v>1412.0965624944</v>
      </c>
      <c r="AL58" s="45" t="n">
        <f aca="false">AL49+AL50+AL51+AL52+AL53+AL54+AL55+AL56+AL57</f>
        <v>1495.91586840345</v>
      </c>
      <c r="AM58" s="45" t="n">
        <f aca="false">AM49+AM50+AM51+AM52+AM53+AM54+AM55+AM56+AM57</f>
        <v>1624.77215742271</v>
      </c>
      <c r="AN58" s="46" t="n">
        <f aca="false">AN49+AN50+AN51+AN52+AN53+AN54+AN55+AN56+AN57</f>
        <v>1751.12386170027</v>
      </c>
      <c r="AO58" s="46" t="n">
        <f aca="false">AO49+AO50+AO51+AO52+AO53+AO54+AO55+AO56+AO57</f>
        <v>1876.4193458265</v>
      </c>
      <c r="AP58" s="46" t="n">
        <f aca="false">AP49+AP50+AP51+AP52+AP53+AP54+AP55+AP56+AP57</f>
        <v>2000.67084171195</v>
      </c>
      <c r="AQ58" s="46" t="n">
        <f aca="false">AQ49+AQ50+AQ51+AQ52+AQ53+AQ54+AQ55+AQ56+AQ57</f>
        <v>2122.64280384426</v>
      </c>
      <c r="AR58" s="46" t="n">
        <f aca="false">AR49+AR50+AR51+AR52+AR53+AR54+AR55+AR56+AR57</f>
        <v>2242.48139565574</v>
      </c>
      <c r="AS58" s="46" t="n">
        <f aca="false">AS49+AS50+AS51+AS52+AS53+AS54+AS55+AS56+AS57</f>
        <v>2361.54495833313</v>
      </c>
      <c r="AT58" s="46" t="n">
        <f aca="false">AT49+AT50+AT51+AT52+AT53+AT54+AT55+AT56+AT57</f>
        <v>2478.5321050178</v>
      </c>
      <c r="AU58" s="46" t="n">
        <f aca="false">AU49+AU50+AU51+AU52+AU53+AU54+AU55+AU56+AU57</f>
        <v>2593.54618983974</v>
      </c>
      <c r="AV58" s="46" t="n">
        <f aca="false">AV49+AV50+AV51+AV52+AV53+AV54+AV55+AV56+AV57</f>
        <v>2707.91767769001</v>
      </c>
      <c r="AW58" s="46" t="n">
        <f aca="false">AW49+AW50+AW51+AW52+AW53+AW54+AW55+AW56+AW57</f>
        <v>2820.32697709709</v>
      </c>
      <c r="AX58" s="46" t="n">
        <f aca="false">AX49+AX50+AX51+AX52+AX53+AX54+AX55+AX56+AX57</f>
        <v>2930.86549225702</v>
      </c>
      <c r="AY58" s="46" t="n">
        <f aca="false">AY49+AY50+AY51+AY52+AY53+AY54+AY55+AY56+AY57</f>
        <v>3040.85577442881</v>
      </c>
      <c r="AZ58" s="46" t="n">
        <f aca="false">AZ49+AZ50+AZ51+AZ52+AZ53+AZ54+AZ55+AZ56+AZ57</f>
        <v>3148.97291536947</v>
      </c>
      <c r="BA58" s="46" t="n">
        <f aca="false">BA49+BA50+BA51+BA52+BA53+BA54+BA55+BA56+BA57</f>
        <v>3255.30466607069</v>
      </c>
      <c r="BB58" s="46" t="n">
        <f aca="false">BB49+BB50+BB51+BB52+BB53+BB54+BB55+BB56+BB57</f>
        <v>3359.91633604554</v>
      </c>
      <c r="BC58" s="46" t="n">
        <f aca="false">BC49+BC50+BC51+BC52+BC53+BC54+BC55+BC56+BC57</f>
        <v>3462.85879207888</v>
      </c>
      <c r="BD58" s="46" t="n">
        <f aca="false">BD49+BD50+BD51+BD52+BD53+BD54+BD55+BD56+BD57</f>
        <v>3564.17363265696</v>
      </c>
      <c r="BE58" s="46" t="n">
        <f aca="false">BE49+BE50+BE51+BE52+BE53+BE54+BE55+BE56+BE57</f>
        <v>3663.8965285043</v>
      </c>
      <c r="BF58" s="46" t="n">
        <f aca="false">BF49+BF50+BF51+BF52+BF53+BF54+BF55+BF56+BF57</f>
        <v>3762.05937287737</v>
      </c>
      <c r="BG58" s="46" t="n">
        <f aca="false">BG49+BG50+BG51+BG52+BG53+BG54+BG55+BG56+BG57</f>
        <v>3858.6916598667</v>
      </c>
      <c r="BH58" s="46" t="n">
        <f aca="false">BH49+BH50+BH51+BH52+BH53+BH54+BH55+BH56+BH57</f>
        <v>3953.82136245853</v>
      </c>
      <c r="BI58" s="46" t="n">
        <f aca="false">BI49+BI50+BI51+BI52+BI53+BI54+BI55+BI56+BI57</f>
        <v>4047.47548688888</v>
      </c>
      <c r="BJ58" s="46" t="n">
        <f aca="false">BJ49+BJ50+BJ51+BJ52+BJ53+BJ54+BJ55+BJ56+BJ57</f>
        <v>4139.68041793771</v>
      </c>
      <c r="BK58" s="46" t="n">
        <f aca="false">BK49+BK50+BK51+BK52+BK53+BK54+BK55+BK56+BK57</f>
        <v>4230.46212959245</v>
      </c>
    </row>
    <row r="59" customFormat="false" ht="15" hidden="false" customHeight="false" outlineLevel="0" collapsed="false">
      <c r="A59" s="28" t="s">
        <v>631</v>
      </c>
      <c r="B59" s="5" t="s">
        <v>632</v>
      </c>
      <c r="C59" s="43"/>
      <c r="D59" s="45" t="n">
        <f aca="false">D46-D58</f>
        <v>0</v>
      </c>
      <c r="E59" s="45" t="n">
        <f aca="false">E46-E58</f>
        <v>0</v>
      </c>
      <c r="F59" s="45" t="n">
        <f aca="false">F46-F58</f>
        <v>0</v>
      </c>
      <c r="G59" s="45" t="n">
        <f aca="false">G46-G58</f>
        <v>0</v>
      </c>
      <c r="H59" s="45" t="n">
        <f aca="false">H46-H58</f>
        <v>-30.485</v>
      </c>
      <c r="I59" s="45" t="n">
        <f aca="false">I46-I58</f>
        <v>-53.431925</v>
      </c>
      <c r="J59" s="45" t="n">
        <f aca="false">J46-J58</f>
        <v>-65.616969375</v>
      </c>
      <c r="K59" s="45" t="n">
        <f aca="false">K46-K58</f>
        <v>-71.199292765625</v>
      </c>
      <c r="L59" s="45" t="n">
        <f aca="false">L46-L58</f>
        <v>-72.2572964027344</v>
      </c>
      <c r="M59" s="45" t="n">
        <f aca="false">M46-M58</f>
        <v>-72.8886348642285</v>
      </c>
      <c r="N59" s="45" t="n">
        <f aca="false">N46-N58</f>
        <v>-99.7687700591384</v>
      </c>
      <c r="O59" s="45" t="n">
        <f aca="false">O46-O58</f>
        <v>-120.126959000895</v>
      </c>
      <c r="P59" s="45" t="n">
        <f aca="false">P46-P58</f>
        <v>-130.389890351476</v>
      </c>
      <c r="Q59" s="45" t="n">
        <f aca="false">Q46-Q58</f>
        <v>-164.974391554331</v>
      </c>
      <c r="R59" s="45" t="n">
        <f aca="false">R46-R58</f>
        <v>-187.78787326554</v>
      </c>
      <c r="S59" s="45" t="n">
        <f aca="false">S46-S58</f>
        <v>-199.607893408945</v>
      </c>
      <c r="T59" s="45" t="n">
        <f aca="false">T46-T58</f>
        <v>-231.206342107499</v>
      </c>
      <c r="U59" s="45" t="n">
        <f aca="false">U46-U58</f>
        <v>-282.334963476768</v>
      </c>
      <c r="V59" s="45" t="n">
        <f aca="false">V46-V58</f>
        <v>-315.46829633912</v>
      </c>
      <c r="W59" s="45" t="n">
        <f aca="false">W46-W58</f>
        <v>-357.972318447668</v>
      </c>
      <c r="X59" s="45" t="n">
        <f aca="false">X46-X58</f>
        <v>-413.639424672544</v>
      </c>
      <c r="Y59" s="45" t="n">
        <f aca="false">Y46-Y58</f>
        <v>-446.945388276674</v>
      </c>
      <c r="Z59" s="45" t="n">
        <f aca="false">Z46-Z58</f>
        <v>-489.30355056337</v>
      </c>
      <c r="AA59" s="45" t="n">
        <f aca="false">AA46-AA58</f>
        <v>-540.663949845135</v>
      </c>
      <c r="AB59" s="45" t="n">
        <f aca="false">AB46-AB58</f>
        <v>-570.733233328808</v>
      </c>
      <c r="AC59" s="45" t="n">
        <f aca="false">AC46-AC58</f>
        <v>-610.561165944959</v>
      </c>
      <c r="AD59" s="45" t="n">
        <f aca="false">AD46-AD58</f>
        <v>-659.861188038426</v>
      </c>
      <c r="AE59" s="45" t="n">
        <f aca="false">AE46-AE58</f>
        <v>-717.451491644825</v>
      </c>
      <c r="AF59" s="45" t="n">
        <f aca="false">AF46-AF58</f>
        <v>-252.632966003488</v>
      </c>
      <c r="AG59" s="45" t="n">
        <f aca="false">AG46-AG58</f>
        <v>-246.15720692576</v>
      </c>
      <c r="AH59" s="45" t="n">
        <f aca="false">AH46-AH58</f>
        <v>-308.397074049649</v>
      </c>
      <c r="AI59" s="45" t="n">
        <f aca="false">AI46-AI58</f>
        <v>-303.05882669148</v>
      </c>
      <c r="AJ59" s="45" t="n">
        <f aca="false">AJ46-AJ58</f>
        <v>-296.257363944689</v>
      </c>
      <c r="AK59" s="45" t="n">
        <f aca="false">AK46-AK58</f>
        <v>-287.096562494395</v>
      </c>
      <c r="AL59" s="45" t="n">
        <f aca="false">AL46-AL58</f>
        <v>-277.165868403445</v>
      </c>
      <c r="AM59" s="45" t="n">
        <f aca="false">AM46-AM58</f>
        <v>-190.259350537139</v>
      </c>
      <c r="AN59" s="46" t="n">
        <f aca="false">AN46-AN58</f>
        <v>-102.673449906936</v>
      </c>
      <c r="AO59" s="46" t="n">
        <f aca="false">AO46-AO58</f>
        <v>-15.7865143832771</v>
      </c>
      <c r="AP59" s="46" t="n">
        <f aca="false">AP46-AP58</f>
        <v>70.4555615504692</v>
      </c>
      <c r="AQ59" s="46" t="n">
        <f aca="false">AQ46-AQ58</f>
        <v>157.257134755308</v>
      </c>
      <c r="AR59" s="46" t="n">
        <f aca="false">AR46-AR58</f>
        <v>244.445934310075</v>
      </c>
      <c r="AS59" s="46" t="n">
        <f aca="false">AS46-AS58</f>
        <v>330.736295104817</v>
      </c>
      <c r="AT59" s="46" t="n">
        <f aca="false">AT46-AT58</f>
        <v>417.404234651111</v>
      </c>
      <c r="AU59" s="46" t="n">
        <f aca="false">AU46-AU58</f>
        <v>504.325624232984</v>
      </c>
      <c r="AV59" s="46" t="n">
        <f aca="false">AV46-AV58</f>
        <v>590.247552545929</v>
      </c>
      <c r="AW59" s="46" t="n">
        <f aca="false">AW46-AW58</f>
        <v>676.468693015156</v>
      </c>
      <c r="AX59" s="46" t="n">
        <f aca="false">AX46-AX58</f>
        <v>762.880919414086</v>
      </c>
      <c r="AY59" s="46" t="n">
        <f aca="false">AY46-AY58</f>
        <v>848.242913723007</v>
      </c>
      <c r="AZ59" s="46" t="n">
        <f aca="false">AZ46-AZ58</f>
        <v>933.86199720233</v>
      </c>
      <c r="BA59" s="46" t="n">
        <f aca="false">BA46-BA58</f>
        <v>1019.63670217773</v>
      </c>
      <c r="BB59" s="46" t="n">
        <f aca="false">BB46-BB58</f>
        <v>1105.49156794025</v>
      </c>
      <c r="BC59" s="46" t="n">
        <f aca="false">BC46-BC58</f>
        <v>1191.36885764095</v>
      </c>
      <c r="BD59" s="46" t="n">
        <f aca="false">BD46-BD58</f>
        <v>1277.22311864742</v>
      </c>
      <c r="BE59" s="46" t="n">
        <f aca="false">BE46-BE58</f>
        <v>1363.01759470137</v>
      </c>
      <c r="BF59" s="46" t="n">
        <f aca="false">BF46-BF58</f>
        <v>1448.72184507388</v>
      </c>
      <c r="BG59" s="46" t="n">
        <f aca="false">BG46-BG58</f>
        <v>1534.31015138638</v>
      </c>
      <c r="BH59" s="46" t="n">
        <f aca="false">BH46-BH58</f>
        <v>1619.76043933539</v>
      </c>
      <c r="BI59" s="46" t="n">
        <f aca="false">BI46-BI58</f>
        <v>1705.0535378416</v>
      </c>
      <c r="BJ59" s="46" t="n">
        <f aca="false">BJ46-BJ58</f>
        <v>1790.17266008947</v>
      </c>
      <c r="BK59" s="46" t="n">
        <f aca="false">BK46-BK58</f>
        <v>1875.10303119871</v>
      </c>
    </row>
    <row r="60" customFormat="false" ht="15" hidden="false" customHeight="false" outlineLevel="0" collapsed="false">
      <c r="B60" s="5" t="s">
        <v>633</v>
      </c>
    </row>
    <row r="61" customFormat="false" ht="15" hidden="false" customHeight="false" outlineLevel="0" collapsed="false">
      <c r="A61" s="28" t="s">
        <v>267</v>
      </c>
      <c r="B61" s="6" t="s">
        <v>634</v>
      </c>
      <c r="C61" s="47"/>
      <c r="D61" s="9" t="n">
        <f aca="false">Assumptions!$D$83*(1+Assumptions!$D$84)^INT(D7/12)</f>
        <v>17.95</v>
      </c>
      <c r="E61" s="9" t="n">
        <f aca="false">Assumptions!$D$83*(1+Assumptions!$D$84)^INT(E7/12)</f>
        <v>17.95</v>
      </c>
      <c r="F61" s="9" t="n">
        <f aca="false">Assumptions!$D$83*(1+Assumptions!$D$84)^INT(F7/12)</f>
        <v>17.95</v>
      </c>
      <c r="G61" s="9" t="n">
        <f aca="false">Assumptions!$D$83*(1+Assumptions!$D$84)^INT(G7/12)</f>
        <v>17.95</v>
      </c>
      <c r="H61" s="9" t="n">
        <f aca="false">Assumptions!$D$83*(1+Assumptions!$D$84)^INT(H7/12)</f>
        <v>17.95</v>
      </c>
      <c r="I61" s="9" t="n">
        <f aca="false">Assumptions!$D$83*(1+Assumptions!$D$84)^INT(I7/12)</f>
        <v>17.95</v>
      </c>
      <c r="J61" s="9" t="n">
        <f aca="false">Assumptions!$D$83*(1+Assumptions!$D$84)^INT(J7/12)</f>
        <v>17.95</v>
      </c>
      <c r="K61" s="9" t="n">
        <f aca="false">Assumptions!$D$83*(1+Assumptions!$D$84)^INT(K7/12)</f>
        <v>17.95</v>
      </c>
      <c r="L61" s="9" t="n">
        <f aca="false">Assumptions!$D$83*(1+Assumptions!$D$84)^INT(L7/12)</f>
        <v>17.95</v>
      </c>
      <c r="M61" s="9" t="n">
        <f aca="false">Assumptions!$D$83*(1+Assumptions!$D$84)^INT(M7/12)</f>
        <v>17.95</v>
      </c>
      <c r="N61" s="9" t="n">
        <f aca="false">Assumptions!$D$83*(1+Assumptions!$D$84)^INT(N7/12)</f>
        <v>17.95</v>
      </c>
      <c r="O61" s="9" t="n">
        <f aca="false">Assumptions!$D$83*(1+Assumptions!$D$84)^INT(O7/12)</f>
        <v>18.39875</v>
      </c>
      <c r="P61" s="9" t="n">
        <f aca="false">Assumptions!$D$83*(1+Assumptions!$D$84)^INT(P7/12)</f>
        <v>18.39875</v>
      </c>
      <c r="Q61" s="9" t="n">
        <f aca="false">Assumptions!$D$83*(1+Assumptions!$D$84)^INT(Q7/12)</f>
        <v>18.39875</v>
      </c>
      <c r="R61" s="9" t="n">
        <f aca="false">Assumptions!$D$83*(1+Assumptions!$D$84)^INT(R7/12)</f>
        <v>18.39875</v>
      </c>
      <c r="S61" s="9" t="n">
        <f aca="false">Assumptions!$D$83*(1+Assumptions!$D$84)^INT(S7/12)</f>
        <v>18.39875</v>
      </c>
      <c r="T61" s="9" t="n">
        <f aca="false">Assumptions!$D$83*(1+Assumptions!$D$84)^INT(T7/12)</f>
        <v>18.39875</v>
      </c>
      <c r="U61" s="9" t="n">
        <f aca="false">Assumptions!$D$83*(1+Assumptions!$D$84)^INT(U7/12)</f>
        <v>18.39875</v>
      </c>
      <c r="V61" s="9" t="n">
        <f aca="false">Assumptions!$D$83*(1+Assumptions!$D$84)^INT(V7/12)</f>
        <v>18.39875</v>
      </c>
      <c r="W61" s="9" t="n">
        <f aca="false">Assumptions!$D$83*(1+Assumptions!$D$84)^INT(W7/12)</f>
        <v>18.39875</v>
      </c>
      <c r="X61" s="9" t="n">
        <f aca="false">Assumptions!$D$83*(1+Assumptions!$D$84)^INT(X7/12)</f>
        <v>18.39875</v>
      </c>
      <c r="Y61" s="9" t="n">
        <f aca="false">Assumptions!$D$83*(1+Assumptions!$D$84)^INT(Y7/12)</f>
        <v>18.39875</v>
      </c>
      <c r="Z61" s="9" t="n">
        <f aca="false">Assumptions!$D$83*(1+Assumptions!$D$84)^INT(Z7/12)</f>
        <v>18.39875</v>
      </c>
      <c r="AA61" s="9" t="n">
        <f aca="false">Assumptions!$D$83*(1+Assumptions!$D$84)^INT(AA7/12)</f>
        <v>18.85871875</v>
      </c>
      <c r="AB61" s="9" t="n">
        <f aca="false">Assumptions!$D$83*(1+Assumptions!$D$84)^INT(AB7/12)</f>
        <v>18.85871875</v>
      </c>
      <c r="AC61" s="9" t="n">
        <f aca="false">Assumptions!$D$83*(1+Assumptions!$D$84)^INT(AC7/12)</f>
        <v>18.85871875</v>
      </c>
      <c r="AD61" s="9" t="n">
        <f aca="false">Assumptions!$D$83*(1+Assumptions!$D$84)^INT(AD7/12)</f>
        <v>18.85871875</v>
      </c>
      <c r="AE61" s="9" t="n">
        <f aca="false">Assumptions!$D$83*(1+Assumptions!$D$84)^INT(AE7/12)</f>
        <v>18.85871875</v>
      </c>
      <c r="AF61" s="9" t="n">
        <f aca="false">Assumptions!$D$83*(1+Assumptions!$D$84)^INT(AF7/12)</f>
        <v>18.85871875</v>
      </c>
      <c r="AG61" s="9" t="n">
        <f aca="false">Assumptions!$D$83*(1+Assumptions!$D$84)^INT(AG7/12)</f>
        <v>18.85871875</v>
      </c>
      <c r="AH61" s="9" t="n">
        <f aca="false">Assumptions!$D$83*(1+Assumptions!$D$84)^INT(AH7/12)</f>
        <v>18.85871875</v>
      </c>
      <c r="AI61" s="9" t="n">
        <f aca="false">Assumptions!$D$83*(1+Assumptions!$D$84)^INT(AI7/12)</f>
        <v>18.85871875</v>
      </c>
      <c r="AJ61" s="9" t="n">
        <f aca="false">Assumptions!$D$83*(1+Assumptions!$D$84)^INT(AJ7/12)</f>
        <v>18.85871875</v>
      </c>
      <c r="AK61" s="9" t="n">
        <f aca="false">Assumptions!$D$83*(1+Assumptions!$D$84)^INT(AK7/12)</f>
        <v>18.85871875</v>
      </c>
      <c r="AL61" s="9" t="n">
        <f aca="false">Assumptions!$D$83*(1+Assumptions!$D$84)^INT(AL7/12)</f>
        <v>18.85871875</v>
      </c>
      <c r="AM61" s="9" t="n">
        <f aca="false">Assumptions!$D$83*(1+Assumptions!$D$84)^INT(AM7/12)</f>
        <v>19.33018671875</v>
      </c>
      <c r="AN61" s="48" t="n">
        <f aca="false">Assumptions!$D$83*(1+Assumptions!$D$84)^INT(AN7/12)</f>
        <v>19.33018671875</v>
      </c>
      <c r="AO61" s="48" t="n">
        <f aca="false">Assumptions!$D$83*(1+Assumptions!$D$84)^INT(AO7/12)</f>
        <v>19.33018671875</v>
      </c>
      <c r="AP61" s="48" t="n">
        <f aca="false">Assumptions!$D$83*(1+Assumptions!$D$84)^INT(AP7/12)</f>
        <v>19.33018671875</v>
      </c>
      <c r="AQ61" s="48" t="n">
        <f aca="false">Assumptions!$D$83*(1+Assumptions!$D$84)^INT(AQ7/12)</f>
        <v>19.33018671875</v>
      </c>
      <c r="AR61" s="48" t="n">
        <f aca="false">Assumptions!$D$83*(1+Assumptions!$D$84)^INT(AR7/12)</f>
        <v>19.33018671875</v>
      </c>
      <c r="AS61" s="48" t="n">
        <f aca="false">Assumptions!$D$83*(1+Assumptions!$D$84)^INT(AS7/12)</f>
        <v>19.33018671875</v>
      </c>
      <c r="AT61" s="48" t="n">
        <f aca="false">Assumptions!$D$83*(1+Assumptions!$D$84)^INT(AT7/12)</f>
        <v>19.33018671875</v>
      </c>
      <c r="AU61" s="48" t="n">
        <f aca="false">Assumptions!$D$83*(1+Assumptions!$D$84)^INT(AU7/12)</f>
        <v>19.33018671875</v>
      </c>
      <c r="AV61" s="48" t="n">
        <f aca="false">Assumptions!$D$83*(1+Assumptions!$D$84)^INT(AV7/12)</f>
        <v>19.33018671875</v>
      </c>
      <c r="AW61" s="48" t="n">
        <f aca="false">Assumptions!$D$83*(1+Assumptions!$D$84)^INT(AW7/12)</f>
        <v>19.33018671875</v>
      </c>
      <c r="AX61" s="48" t="n">
        <f aca="false">Assumptions!$D$83*(1+Assumptions!$D$84)^INT(AX7/12)</f>
        <v>19.33018671875</v>
      </c>
      <c r="AY61" s="48" t="n">
        <f aca="false">Assumptions!$D$83*(1+Assumptions!$D$84)^INT(AY7/12)</f>
        <v>19.8134413867187</v>
      </c>
      <c r="AZ61" s="48" t="n">
        <f aca="false">Assumptions!$D$83*(1+Assumptions!$D$84)^INT(AZ7/12)</f>
        <v>19.8134413867187</v>
      </c>
      <c r="BA61" s="48" t="n">
        <f aca="false">Assumptions!$D$83*(1+Assumptions!$D$84)^INT(BA7/12)</f>
        <v>19.8134413867187</v>
      </c>
      <c r="BB61" s="48" t="n">
        <f aca="false">Assumptions!$D$83*(1+Assumptions!$D$84)^INT(BB7/12)</f>
        <v>19.8134413867187</v>
      </c>
      <c r="BC61" s="48" t="n">
        <f aca="false">Assumptions!$D$83*(1+Assumptions!$D$84)^INT(BC7/12)</f>
        <v>19.8134413867187</v>
      </c>
      <c r="BD61" s="48" t="n">
        <f aca="false">Assumptions!$D$83*(1+Assumptions!$D$84)^INT(BD7/12)</f>
        <v>19.8134413867187</v>
      </c>
      <c r="BE61" s="48" t="n">
        <f aca="false">Assumptions!$D$83*(1+Assumptions!$D$84)^INT(BE7/12)</f>
        <v>19.8134413867187</v>
      </c>
      <c r="BF61" s="48" t="n">
        <f aca="false">Assumptions!$D$83*(1+Assumptions!$D$84)^INT(BF7/12)</f>
        <v>19.8134413867187</v>
      </c>
      <c r="BG61" s="48" t="n">
        <f aca="false">Assumptions!$D$83*(1+Assumptions!$D$84)^INT(BG7/12)</f>
        <v>19.8134413867187</v>
      </c>
      <c r="BH61" s="48" t="n">
        <f aca="false">Assumptions!$D$83*(1+Assumptions!$D$84)^INT(BH7/12)</f>
        <v>19.8134413867187</v>
      </c>
      <c r="BI61" s="48" t="n">
        <f aca="false">Assumptions!$D$83*(1+Assumptions!$D$84)^INT(BI7/12)</f>
        <v>19.8134413867187</v>
      </c>
      <c r="BJ61" s="48" t="n">
        <f aca="false">Assumptions!$D$83*(1+Assumptions!$D$84)^INT(BJ7/12)</f>
        <v>19.8134413867187</v>
      </c>
      <c r="BK61" s="48" t="n">
        <f aca="false">Assumptions!$D$83*(1+Assumptions!$D$84)^INT(BK7/12)</f>
        <v>20.3087774213867</v>
      </c>
    </row>
    <row r="62" customFormat="false" ht="15" hidden="false" customHeight="false" outlineLevel="0" collapsed="false">
      <c r="A62" s="28" t="s">
        <v>635</v>
      </c>
      <c r="B62" s="6" t="s">
        <v>636</v>
      </c>
      <c r="C62" s="43"/>
      <c r="D62" s="17" t="n">
        <f aca="false">D11*Assumptions!$D$86*D61*(1+Assumptions!$D$85)*Assumptions!$D$91</f>
        <v>0</v>
      </c>
      <c r="E62" s="17" t="n">
        <f aca="false">E11*Assumptions!$D$86*E61*(1+Assumptions!$D$85)*Assumptions!$D$91</f>
        <v>0</v>
      </c>
      <c r="F62" s="17" t="n">
        <f aca="false">F11*Assumptions!$D$86*F61*(1+Assumptions!$D$85)*Assumptions!$D$91</f>
        <v>0</v>
      </c>
      <c r="G62" s="17" t="n">
        <f aca="false">G11*Assumptions!$D$86*G61*(1+Assumptions!$D$85)*Assumptions!$D$91</f>
        <v>0</v>
      </c>
      <c r="H62" s="17" t="n">
        <f aca="false">H11*Assumptions!$D$86*H61*(1+Assumptions!$D$85)*Assumptions!$D$91</f>
        <v>425.9535</v>
      </c>
      <c r="I62" s="17" t="n">
        <f aca="false">I11*Assumptions!$D$86*I61*(1+Assumptions!$D$85)*Assumptions!$D$91</f>
        <v>374.83908</v>
      </c>
      <c r="J62" s="17" t="n">
        <f aca="false">J11*Assumptions!$D$86*J61*(1+Assumptions!$D$85)*Assumptions!$D$91</f>
        <v>255.5721</v>
      </c>
      <c r="K62" s="17" t="n">
        <f aca="false">K11*Assumptions!$D$86*K61*(1+Assumptions!$D$85)*Assumptions!$D$91</f>
        <v>170.3814</v>
      </c>
      <c r="L62" s="17" t="n">
        <f aca="false">L11*Assumptions!$D$86*L61*(1+Assumptions!$D$85)*Assumptions!$D$91</f>
        <v>102.22884</v>
      </c>
      <c r="M62" s="17" t="n">
        <f aca="false">M11*Assumptions!$D$86*M61*(1+Assumptions!$D$85)*Assumptions!$D$91</f>
        <v>85.1907</v>
      </c>
      <c r="N62" s="17" t="n">
        <f aca="false">N11*Assumptions!$D$86*N61*(1+Assumptions!$D$85)*Assumptions!$D$91</f>
        <v>442.99164</v>
      </c>
      <c r="O62" s="17" t="n">
        <f aca="false">O11*Assumptions!$D$86*O61*(1+Assumptions!$D$85)*Assumptions!$D$91</f>
        <v>401.6741505</v>
      </c>
      <c r="P62" s="17" t="n">
        <f aca="false">P11*Assumptions!$D$86*P61*(1+Assumptions!$D$85)*Assumptions!$D$91</f>
        <v>279.425496</v>
      </c>
      <c r="Q62" s="17" t="n">
        <f aca="false">Q11*Assumptions!$D$86*Q61*(1+Assumptions!$D$85)*Assumptions!$D$91</f>
        <v>628.707366</v>
      </c>
      <c r="R62" s="17" t="n">
        <f aca="false">R11*Assumptions!$D$86*R61*(1+Assumptions!$D$85)*Assumptions!$D$91</f>
        <v>506.4587115</v>
      </c>
      <c r="S62" s="17" t="n">
        <f aca="false">S11*Assumptions!$D$86*S61*(1+Assumptions!$D$85)*Assumptions!$D$91</f>
        <v>366.7459635</v>
      </c>
      <c r="T62" s="17" t="n">
        <f aca="false">T11*Assumptions!$D$86*T61*(1+Assumptions!$D$85)*Assumptions!$D$91</f>
        <v>646.1714595</v>
      </c>
      <c r="U62" s="17" t="n">
        <f aca="false">U11*Assumptions!$D$86*U61*(1+Assumptions!$D$85)*Assumptions!$D$91</f>
        <v>960.5251425</v>
      </c>
      <c r="V62" s="17" t="n">
        <f aca="false">V11*Assumptions!$D$86*V61*(1+Assumptions!$D$85)*Assumptions!$D$91</f>
        <v>768.420114</v>
      </c>
      <c r="W62" s="17" t="n">
        <f aca="false">W11*Assumptions!$D$86*W61*(1+Assumptions!$D$85)*Assumptions!$D$91</f>
        <v>925.5969555</v>
      </c>
      <c r="X62" s="17" t="n">
        <f aca="false">X11*Assumptions!$D$86*X61*(1+Assumptions!$D$85)*Assumptions!$D$91</f>
        <v>1152.630171</v>
      </c>
      <c r="Y62" s="17" t="n">
        <f aca="false">Y11*Assumptions!$D$86*Y61*(1+Assumptions!$D$85)*Assumptions!$D$91</f>
        <v>890.6687685</v>
      </c>
      <c r="Z62" s="17" t="n">
        <f aca="false">Z11*Assumptions!$D$86*Z61*(1+Assumptions!$D$85)*Assumptions!$D$91</f>
        <v>1030.3815165</v>
      </c>
      <c r="AA62" s="17" t="n">
        <f aca="false">AA11*Assumptions!$D$86*AA61*(1+Assumptions!$D$85)*Assumptions!$D$91</f>
        <v>1217.24731695</v>
      </c>
      <c r="AB62" s="17" t="n">
        <f aca="false">AB11*Assumptions!$D$86*AB61*(1+Assumptions!$D$85)*Assumptions!$D$91</f>
        <v>948.7368793875</v>
      </c>
      <c r="AC62" s="17" t="n">
        <f aca="false">AC11*Assumptions!$D$86*AC61*(1+Assumptions!$D$85)*Assumptions!$D$91</f>
        <v>1091.9424460875</v>
      </c>
      <c r="AD62" s="17" t="n">
        <f aca="false">AD11*Assumptions!$D$86*AD61*(1+Assumptions!$D$85)*Assumptions!$D$91</f>
        <v>1253.048708625</v>
      </c>
      <c r="AE62" s="17" t="n">
        <f aca="false">AE11*Assumptions!$D$86*AE61*(1+Assumptions!$D$85)*Assumptions!$D$91</f>
        <v>1414.1549711625</v>
      </c>
      <c r="AF62" s="17" t="n">
        <f aca="false">AF11*Assumptions!$D$86*AF61*(1+Assumptions!$D$85)*Assumptions!$D$91</f>
        <v>1503.65845035</v>
      </c>
      <c r="AG62" s="17" t="n">
        <f aca="false">AG11*Assumptions!$D$86*AG61*(1+Assumptions!$D$85)*Assumptions!$D$91</f>
        <v>1539.459842025</v>
      </c>
      <c r="AH62" s="17" t="n">
        <f aca="false">AH11*Assumptions!$D$86*AH61*(1+Assumptions!$D$85)*Assumptions!$D$91</f>
        <v>1628.9633212125</v>
      </c>
      <c r="AI62" s="17" t="n">
        <f aca="false">AI11*Assumptions!$D$86*AI61*(1+Assumptions!$D$85)*Assumptions!$D$91</f>
        <v>1646.86401705</v>
      </c>
      <c r="AJ62" s="17" t="n">
        <f aca="false">AJ11*Assumptions!$D$86*AJ61*(1+Assumptions!$D$85)*Assumptions!$D$91</f>
        <v>1664.7647128875</v>
      </c>
      <c r="AK62" s="17" t="n">
        <f aca="false">AK11*Assumptions!$D$86*AK61*(1+Assumptions!$D$85)*Assumptions!$D$91</f>
        <v>1664.7647128875</v>
      </c>
      <c r="AL62" s="17" t="n">
        <f aca="false">AL11*Assumptions!$D$86*AL61*(1+Assumptions!$D$85)*Assumptions!$D$91</f>
        <v>1682.665408725</v>
      </c>
      <c r="AM62" s="17" t="n">
        <f aca="false">AM11*Assumptions!$D$86*AM61*(1+Assumptions!$D$85)*Assumptions!$D$91</f>
        <v>1743.08025717656</v>
      </c>
      <c r="AN62" s="44" t="n">
        <f aca="false">AN11*Assumptions!$D$86*AN61*(1+Assumptions!$D$85)*Assumptions!$D$91</f>
        <v>1743.08025717656</v>
      </c>
      <c r="AO62" s="44" t="n">
        <f aca="false">AO11*Assumptions!$D$86*AO61*(1+Assumptions!$D$85)*Assumptions!$D$91</f>
        <v>1761.42847041</v>
      </c>
      <c r="AP62" s="44" t="n">
        <f aca="false">AP11*Assumptions!$D$86*AP61*(1+Assumptions!$D$85)*Assumptions!$D$91</f>
        <v>1779.77668364344</v>
      </c>
      <c r="AQ62" s="44" t="n">
        <f aca="false">AQ11*Assumptions!$D$86*AQ61*(1+Assumptions!$D$85)*Assumptions!$D$91</f>
        <v>1779.77668364344</v>
      </c>
      <c r="AR62" s="44" t="n">
        <f aca="false">AR11*Assumptions!$D$86*AR61*(1+Assumptions!$D$85)*Assumptions!$D$91</f>
        <v>1779.77668364344</v>
      </c>
      <c r="AS62" s="44" t="n">
        <f aca="false">AS11*Assumptions!$D$86*AS61*(1+Assumptions!$D$85)*Assumptions!$D$91</f>
        <v>1798.12489687687</v>
      </c>
      <c r="AT62" s="44" t="n">
        <f aca="false">AT11*Assumptions!$D$86*AT61*(1+Assumptions!$D$85)*Assumptions!$D$91</f>
        <v>1798.12489687687</v>
      </c>
      <c r="AU62" s="44" t="n">
        <f aca="false">AU11*Assumptions!$D$86*AU61*(1+Assumptions!$D$85)*Assumptions!$D$91</f>
        <v>1798.12489687687</v>
      </c>
      <c r="AV62" s="44" t="n">
        <f aca="false">AV11*Assumptions!$D$86*AV61*(1+Assumptions!$D$85)*Assumptions!$D$91</f>
        <v>1816.47311011031</v>
      </c>
      <c r="AW62" s="44" t="n">
        <f aca="false">AW11*Assumptions!$D$86*AW61*(1+Assumptions!$D$85)*Assumptions!$D$91</f>
        <v>1816.47311011031</v>
      </c>
      <c r="AX62" s="44" t="n">
        <f aca="false">AX11*Assumptions!$D$86*AX61*(1+Assumptions!$D$85)*Assumptions!$D$91</f>
        <v>1816.47311011031</v>
      </c>
      <c r="AY62" s="44" t="n">
        <f aca="false">AY11*Assumptions!$D$86*AY61*(1+Assumptions!$D$85)*Assumptions!$D$91</f>
        <v>1880.69185642734</v>
      </c>
      <c r="AZ62" s="44" t="n">
        <f aca="false">AZ11*Assumptions!$D$86*AZ61*(1+Assumptions!$D$85)*Assumptions!$D$91</f>
        <v>1880.69185642734</v>
      </c>
      <c r="BA62" s="44" t="n">
        <f aca="false">BA11*Assumptions!$D$86*BA61*(1+Assumptions!$D$85)*Assumptions!$D$91</f>
        <v>1880.69185642734</v>
      </c>
      <c r="BB62" s="44" t="n">
        <f aca="false">BB11*Assumptions!$D$86*BB61*(1+Assumptions!$D$85)*Assumptions!$D$91</f>
        <v>1880.69185642734</v>
      </c>
      <c r="BC62" s="44" t="n">
        <f aca="false">BC11*Assumptions!$D$86*BC61*(1+Assumptions!$D$85)*Assumptions!$D$91</f>
        <v>1880.69185642734</v>
      </c>
      <c r="BD62" s="44" t="n">
        <f aca="false">BD11*Assumptions!$D$86*BD61*(1+Assumptions!$D$85)*Assumptions!$D$91</f>
        <v>1880.69185642734</v>
      </c>
      <c r="BE62" s="44" t="n">
        <f aca="false">BE11*Assumptions!$D$86*BE61*(1+Assumptions!$D$85)*Assumptions!$D$91</f>
        <v>1880.69185642734</v>
      </c>
      <c r="BF62" s="44" t="n">
        <f aca="false">BF11*Assumptions!$D$86*BF61*(1+Assumptions!$D$85)*Assumptions!$D$91</f>
        <v>1880.69185642734</v>
      </c>
      <c r="BG62" s="44" t="n">
        <f aca="false">BG11*Assumptions!$D$86*BG61*(1+Assumptions!$D$85)*Assumptions!$D$91</f>
        <v>1880.69185642734</v>
      </c>
      <c r="BH62" s="44" t="n">
        <f aca="false">BH11*Assumptions!$D$86*BH61*(1+Assumptions!$D$85)*Assumptions!$D$91</f>
        <v>1880.69185642734</v>
      </c>
      <c r="BI62" s="44" t="n">
        <f aca="false">BI11*Assumptions!$D$86*BI61*(1+Assumptions!$D$85)*Assumptions!$D$91</f>
        <v>1880.69185642734</v>
      </c>
      <c r="BJ62" s="44" t="n">
        <f aca="false">BJ11*Assumptions!$D$86*BJ61*(1+Assumptions!$D$85)*Assumptions!$D$91</f>
        <v>1880.69185642734</v>
      </c>
      <c r="BK62" s="44" t="n">
        <f aca="false">BK11*Assumptions!$D$86*BK61*(1+Assumptions!$D$85)*Assumptions!$D$91</f>
        <v>1927.70915283803</v>
      </c>
    </row>
    <row r="63" customFormat="false" ht="15" hidden="false" customHeight="false" outlineLevel="0" collapsed="false">
      <c r="A63" s="28" t="s">
        <v>637</v>
      </c>
      <c r="B63" s="6" t="s">
        <v>638</v>
      </c>
      <c r="C63" s="43"/>
      <c r="D63" s="17" t="n">
        <f aca="false">D14*Assumptions!$D$87*(1+Assumptions!$D$85)*Assumptions!$D$91</f>
        <v>0</v>
      </c>
      <c r="E63" s="17" t="n">
        <f aca="false">E14*Assumptions!$D$87*(1+Assumptions!$D$85)*Assumptions!$D$91</f>
        <v>0</v>
      </c>
      <c r="F63" s="17" t="n">
        <f aca="false">F14*Assumptions!$D$87*(1+Assumptions!$D$85)*Assumptions!$D$91</f>
        <v>0</v>
      </c>
      <c r="G63" s="17" t="n">
        <f aca="false">G14*Assumptions!$D$87*(1+Assumptions!$D$85)*Assumptions!$D$91</f>
        <v>0</v>
      </c>
      <c r="H63" s="17" t="n">
        <f aca="false">H14*Assumptions!$D$87*(1+Assumptions!$D$85)*Assumptions!$D$91</f>
        <v>84.75</v>
      </c>
      <c r="I63" s="17" t="n">
        <f aca="false">I14*Assumptions!$D$87*(1+Assumptions!$D$85)*Assumptions!$D$91</f>
        <v>74.58</v>
      </c>
      <c r="J63" s="17" t="n">
        <f aca="false">J14*Assumptions!$D$87*(1+Assumptions!$D$85)*Assumptions!$D$91</f>
        <v>50.85</v>
      </c>
      <c r="K63" s="17" t="n">
        <f aca="false">K14*Assumptions!$D$87*(1+Assumptions!$D$85)*Assumptions!$D$91</f>
        <v>33.9</v>
      </c>
      <c r="L63" s="17" t="n">
        <f aca="false">L14*Assumptions!$D$87*(1+Assumptions!$D$85)*Assumptions!$D$91</f>
        <v>20.34</v>
      </c>
      <c r="M63" s="17" t="n">
        <f aca="false">M14*Assumptions!$D$87*(1+Assumptions!$D$85)*Assumptions!$D$91</f>
        <v>16.95</v>
      </c>
      <c r="N63" s="17" t="n">
        <f aca="false">N14*Assumptions!$D$87*(1+Assumptions!$D$85)*Assumptions!$D$91</f>
        <v>88.14</v>
      </c>
      <c r="O63" s="17" t="n">
        <f aca="false">O14*Assumptions!$D$87*(1+Assumptions!$D$85)*Assumptions!$D$91</f>
        <v>77.97</v>
      </c>
      <c r="P63" s="17" t="n">
        <f aca="false">P14*Assumptions!$D$87*(1+Assumptions!$D$85)*Assumptions!$D$91</f>
        <v>54.24</v>
      </c>
      <c r="Q63" s="17" t="n">
        <f aca="false">Q14*Assumptions!$D$87*(1+Assumptions!$D$85)*Assumptions!$D$91</f>
        <v>122.04</v>
      </c>
      <c r="R63" s="17" t="n">
        <f aca="false">R14*Assumptions!$D$87*(1+Assumptions!$D$85)*Assumptions!$D$91</f>
        <v>98.31</v>
      </c>
      <c r="S63" s="17" t="n">
        <f aca="false">S14*Assumptions!$D$87*(1+Assumptions!$D$85)*Assumptions!$D$91</f>
        <v>71.19</v>
      </c>
      <c r="T63" s="17" t="n">
        <f aca="false">T14*Assumptions!$D$87*(1+Assumptions!$D$85)*Assumptions!$D$91</f>
        <v>125.43</v>
      </c>
      <c r="U63" s="17" t="n">
        <f aca="false">U14*Assumptions!$D$87*(1+Assumptions!$D$85)*Assumptions!$D$91</f>
        <v>186.45</v>
      </c>
      <c r="V63" s="17" t="n">
        <f aca="false">V14*Assumptions!$D$87*(1+Assumptions!$D$85)*Assumptions!$D$91</f>
        <v>149.16</v>
      </c>
      <c r="W63" s="17" t="n">
        <f aca="false">W14*Assumptions!$D$87*(1+Assumptions!$D$85)*Assumptions!$D$91</f>
        <v>179.67</v>
      </c>
      <c r="X63" s="17" t="n">
        <f aca="false">X14*Assumptions!$D$87*(1+Assumptions!$D$85)*Assumptions!$D$91</f>
        <v>223.74</v>
      </c>
      <c r="Y63" s="17" t="n">
        <f aca="false">Y14*Assumptions!$D$87*(1+Assumptions!$D$85)*Assumptions!$D$91</f>
        <v>172.89</v>
      </c>
      <c r="Z63" s="17" t="n">
        <f aca="false">Z14*Assumptions!$D$87*(1+Assumptions!$D$85)*Assumptions!$D$91</f>
        <v>200.01</v>
      </c>
      <c r="AA63" s="17" t="n">
        <f aca="false">AA14*Assumptions!$D$87*(1+Assumptions!$D$85)*Assumptions!$D$91</f>
        <v>230.52</v>
      </c>
      <c r="AB63" s="17" t="n">
        <f aca="false">AB14*Assumptions!$D$87*(1+Assumptions!$D$85)*Assumptions!$D$91</f>
        <v>179.67</v>
      </c>
      <c r="AC63" s="17" t="n">
        <f aca="false">AC14*Assumptions!$D$87*(1+Assumptions!$D$85)*Assumptions!$D$91</f>
        <v>206.79</v>
      </c>
      <c r="AD63" s="17" t="n">
        <f aca="false">AD14*Assumptions!$D$87*(1+Assumptions!$D$85)*Assumptions!$D$91</f>
        <v>237.3</v>
      </c>
      <c r="AE63" s="17" t="n">
        <f aca="false">AE14*Assumptions!$D$87*(1+Assumptions!$D$85)*Assumptions!$D$91</f>
        <v>267.81</v>
      </c>
      <c r="AF63" s="17" t="n">
        <f aca="false">AF14*Assumptions!$D$87*(1+Assumptions!$D$85)*Assumptions!$D$91</f>
        <v>284.76</v>
      </c>
      <c r="AG63" s="17" t="n">
        <f aca="false">AG14*Assumptions!$D$87*(1+Assumptions!$D$85)*Assumptions!$D$91</f>
        <v>291.54</v>
      </c>
      <c r="AH63" s="17" t="n">
        <f aca="false">AH14*Assumptions!$D$87*(1+Assumptions!$D$85)*Assumptions!$D$91</f>
        <v>308.49</v>
      </c>
      <c r="AI63" s="17" t="n">
        <f aca="false">AI14*Assumptions!$D$87*(1+Assumptions!$D$85)*Assumptions!$D$91</f>
        <v>311.88</v>
      </c>
      <c r="AJ63" s="17" t="n">
        <f aca="false">AJ14*Assumptions!$D$87*(1+Assumptions!$D$85)*Assumptions!$D$91</f>
        <v>315.27</v>
      </c>
      <c r="AK63" s="17" t="n">
        <f aca="false">AK14*Assumptions!$D$87*(1+Assumptions!$D$85)*Assumptions!$D$91</f>
        <v>315.27</v>
      </c>
      <c r="AL63" s="17" t="n">
        <f aca="false">AL14*Assumptions!$D$87*(1+Assumptions!$D$85)*Assumptions!$D$91</f>
        <v>318.66</v>
      </c>
      <c r="AM63" s="17" t="n">
        <f aca="false">AM14*Assumptions!$D$87*(1+Assumptions!$D$85)*Assumptions!$D$91</f>
        <v>322.05</v>
      </c>
      <c r="AN63" s="44" t="n">
        <f aca="false">AN14*Assumptions!$D$87*(1+Assumptions!$D$85)*Assumptions!$D$91</f>
        <v>322.05</v>
      </c>
      <c r="AO63" s="44" t="n">
        <f aca="false">AO14*Assumptions!$D$87*(1+Assumptions!$D$85)*Assumptions!$D$91</f>
        <v>325.44</v>
      </c>
      <c r="AP63" s="44" t="n">
        <f aca="false">AP14*Assumptions!$D$87*(1+Assumptions!$D$85)*Assumptions!$D$91</f>
        <v>328.83</v>
      </c>
      <c r="AQ63" s="44" t="n">
        <f aca="false">AQ14*Assumptions!$D$87*(1+Assumptions!$D$85)*Assumptions!$D$91</f>
        <v>328.83</v>
      </c>
      <c r="AR63" s="44" t="n">
        <f aca="false">AR14*Assumptions!$D$87*(1+Assumptions!$D$85)*Assumptions!$D$91</f>
        <v>328.83</v>
      </c>
      <c r="AS63" s="44" t="n">
        <f aca="false">AS14*Assumptions!$D$87*(1+Assumptions!$D$85)*Assumptions!$D$91</f>
        <v>332.22</v>
      </c>
      <c r="AT63" s="44" t="n">
        <f aca="false">AT14*Assumptions!$D$87*(1+Assumptions!$D$85)*Assumptions!$D$91</f>
        <v>332.22</v>
      </c>
      <c r="AU63" s="44" t="n">
        <f aca="false">AU14*Assumptions!$D$87*(1+Assumptions!$D$85)*Assumptions!$D$91</f>
        <v>332.22</v>
      </c>
      <c r="AV63" s="44" t="n">
        <f aca="false">AV14*Assumptions!$D$87*(1+Assumptions!$D$85)*Assumptions!$D$91</f>
        <v>335.61</v>
      </c>
      <c r="AW63" s="44" t="n">
        <f aca="false">AW14*Assumptions!$D$87*(1+Assumptions!$D$85)*Assumptions!$D$91</f>
        <v>335.61</v>
      </c>
      <c r="AX63" s="44" t="n">
        <f aca="false">AX14*Assumptions!$D$87*(1+Assumptions!$D$85)*Assumptions!$D$91</f>
        <v>335.61</v>
      </c>
      <c r="AY63" s="44" t="n">
        <f aca="false">AY14*Assumptions!$D$87*(1+Assumptions!$D$85)*Assumptions!$D$91</f>
        <v>339</v>
      </c>
      <c r="AZ63" s="44" t="n">
        <f aca="false">AZ14*Assumptions!$D$87*(1+Assumptions!$D$85)*Assumptions!$D$91</f>
        <v>339</v>
      </c>
      <c r="BA63" s="44" t="n">
        <f aca="false">BA14*Assumptions!$D$87*(1+Assumptions!$D$85)*Assumptions!$D$91</f>
        <v>339</v>
      </c>
      <c r="BB63" s="44" t="n">
        <f aca="false">BB14*Assumptions!$D$87*(1+Assumptions!$D$85)*Assumptions!$D$91</f>
        <v>339</v>
      </c>
      <c r="BC63" s="44" t="n">
        <f aca="false">BC14*Assumptions!$D$87*(1+Assumptions!$D$85)*Assumptions!$D$91</f>
        <v>339</v>
      </c>
      <c r="BD63" s="44" t="n">
        <f aca="false">BD14*Assumptions!$D$87*(1+Assumptions!$D$85)*Assumptions!$D$91</f>
        <v>339</v>
      </c>
      <c r="BE63" s="44" t="n">
        <f aca="false">BE14*Assumptions!$D$87*(1+Assumptions!$D$85)*Assumptions!$D$91</f>
        <v>339</v>
      </c>
      <c r="BF63" s="44" t="n">
        <f aca="false">BF14*Assumptions!$D$87*(1+Assumptions!$D$85)*Assumptions!$D$91</f>
        <v>339</v>
      </c>
      <c r="BG63" s="44" t="n">
        <f aca="false">BG14*Assumptions!$D$87*(1+Assumptions!$D$85)*Assumptions!$D$91</f>
        <v>339</v>
      </c>
      <c r="BH63" s="44" t="n">
        <f aca="false">BH14*Assumptions!$D$87*(1+Assumptions!$D$85)*Assumptions!$D$91</f>
        <v>339</v>
      </c>
      <c r="BI63" s="44" t="n">
        <f aca="false">BI14*Assumptions!$D$87*(1+Assumptions!$D$85)*Assumptions!$D$91</f>
        <v>339</v>
      </c>
      <c r="BJ63" s="44" t="n">
        <f aca="false">BJ14*Assumptions!$D$87*(1+Assumptions!$D$85)*Assumptions!$D$91</f>
        <v>339</v>
      </c>
      <c r="BK63" s="44" t="n">
        <f aca="false">BK14*Assumptions!$D$87*(1+Assumptions!$D$85)*Assumptions!$D$91</f>
        <v>339</v>
      </c>
    </row>
    <row r="64" customFormat="false" ht="15" hidden="false" customHeight="false" outlineLevel="0" collapsed="false">
      <c r="A64" s="28" t="s">
        <v>639</v>
      </c>
      <c r="B64" s="6" t="s">
        <v>640</v>
      </c>
      <c r="C64" s="43"/>
      <c r="D64" s="17" t="n">
        <f aca="false">D11*Assumptions!$D$88*Assumptions!$D$91</f>
        <v>0</v>
      </c>
      <c r="E64" s="17" t="n">
        <f aca="false">E11*Assumptions!$D$88*Assumptions!$D$91</f>
        <v>0</v>
      </c>
      <c r="F64" s="17" t="n">
        <f aca="false">F11*Assumptions!$D$88*Assumptions!$D$91</f>
        <v>0</v>
      </c>
      <c r="G64" s="17" t="n">
        <f aca="false">G11*Assumptions!$D$88*Assumptions!$D$91</f>
        <v>0</v>
      </c>
      <c r="H64" s="17" t="n">
        <f aca="false">H11*Assumptions!$D$88*Assumptions!$D$91</f>
        <v>90</v>
      </c>
      <c r="I64" s="17" t="n">
        <f aca="false">I11*Assumptions!$D$88*Assumptions!$D$91</f>
        <v>79.2</v>
      </c>
      <c r="J64" s="17" t="n">
        <f aca="false">J11*Assumptions!$D$88*Assumptions!$D$91</f>
        <v>54</v>
      </c>
      <c r="K64" s="17" t="n">
        <f aca="false">K11*Assumptions!$D$88*Assumptions!$D$91</f>
        <v>36</v>
      </c>
      <c r="L64" s="17" t="n">
        <f aca="false">L11*Assumptions!$D$88*Assumptions!$D$91</f>
        <v>21.6</v>
      </c>
      <c r="M64" s="17" t="n">
        <f aca="false">M11*Assumptions!$D$88*Assumptions!$D$91</f>
        <v>18</v>
      </c>
      <c r="N64" s="17" t="n">
        <f aca="false">N11*Assumptions!$D$88*Assumptions!$D$91</f>
        <v>93.6</v>
      </c>
      <c r="O64" s="17" t="n">
        <f aca="false">O11*Assumptions!$D$88*Assumptions!$D$91</f>
        <v>82.8</v>
      </c>
      <c r="P64" s="17" t="n">
        <f aca="false">P11*Assumptions!$D$88*Assumptions!$D$91</f>
        <v>57.6</v>
      </c>
      <c r="Q64" s="17" t="n">
        <f aca="false">Q11*Assumptions!$D$88*Assumptions!$D$91</f>
        <v>129.6</v>
      </c>
      <c r="R64" s="17" t="n">
        <f aca="false">R11*Assumptions!$D$88*Assumptions!$D$91</f>
        <v>104.4</v>
      </c>
      <c r="S64" s="17" t="n">
        <f aca="false">S11*Assumptions!$D$88*Assumptions!$D$91</f>
        <v>75.6</v>
      </c>
      <c r="T64" s="17" t="n">
        <f aca="false">T11*Assumptions!$D$88*Assumptions!$D$91</f>
        <v>133.2</v>
      </c>
      <c r="U64" s="17" t="n">
        <f aca="false">U11*Assumptions!$D$88*Assumptions!$D$91</f>
        <v>198</v>
      </c>
      <c r="V64" s="17" t="n">
        <f aca="false">V11*Assumptions!$D$88*Assumptions!$D$91</f>
        <v>158.4</v>
      </c>
      <c r="W64" s="17" t="n">
        <f aca="false">W11*Assumptions!$D$88*Assumptions!$D$91</f>
        <v>190.8</v>
      </c>
      <c r="X64" s="17" t="n">
        <f aca="false">X11*Assumptions!$D$88*Assumptions!$D$91</f>
        <v>237.6</v>
      </c>
      <c r="Y64" s="17" t="n">
        <f aca="false">Y11*Assumptions!$D$88*Assumptions!$D$91</f>
        <v>183.6</v>
      </c>
      <c r="Z64" s="17" t="n">
        <f aca="false">Z11*Assumptions!$D$88*Assumptions!$D$91</f>
        <v>212.4</v>
      </c>
      <c r="AA64" s="17" t="n">
        <f aca="false">AA11*Assumptions!$D$88*Assumptions!$D$91</f>
        <v>244.8</v>
      </c>
      <c r="AB64" s="17" t="n">
        <f aca="false">AB11*Assumptions!$D$88*Assumptions!$D$91</f>
        <v>190.8</v>
      </c>
      <c r="AC64" s="17" t="n">
        <f aca="false">AC11*Assumptions!$D$88*Assumptions!$D$91</f>
        <v>219.6</v>
      </c>
      <c r="AD64" s="17" t="n">
        <f aca="false">AD11*Assumptions!$D$88*Assumptions!$D$91</f>
        <v>252</v>
      </c>
      <c r="AE64" s="17" t="n">
        <f aca="false">AE11*Assumptions!$D$88*Assumptions!$D$91</f>
        <v>284.4</v>
      </c>
      <c r="AF64" s="17" t="n">
        <f aca="false">AF11*Assumptions!$D$88*Assumptions!$D$91</f>
        <v>302.4</v>
      </c>
      <c r="AG64" s="17" t="n">
        <f aca="false">AG11*Assumptions!$D$88*Assumptions!$D$91</f>
        <v>309.6</v>
      </c>
      <c r="AH64" s="17" t="n">
        <f aca="false">AH11*Assumptions!$D$88*Assumptions!$D$91</f>
        <v>327.6</v>
      </c>
      <c r="AI64" s="17" t="n">
        <f aca="false">AI11*Assumptions!$D$88*Assumptions!$D$91</f>
        <v>331.2</v>
      </c>
      <c r="AJ64" s="17" t="n">
        <f aca="false">AJ11*Assumptions!$D$88*Assumptions!$D$91</f>
        <v>334.8</v>
      </c>
      <c r="AK64" s="17" t="n">
        <f aca="false">AK11*Assumptions!$D$88*Assumptions!$D$91</f>
        <v>334.8</v>
      </c>
      <c r="AL64" s="17" t="n">
        <f aca="false">AL11*Assumptions!$D$88*Assumptions!$D$91</f>
        <v>338.4</v>
      </c>
      <c r="AM64" s="17" t="n">
        <f aca="false">AM11*Assumptions!$D$88*Assumptions!$D$91</f>
        <v>342</v>
      </c>
      <c r="AN64" s="44" t="n">
        <f aca="false">AN11*Assumptions!$D$88*Assumptions!$D$91</f>
        <v>342</v>
      </c>
      <c r="AO64" s="44" t="n">
        <f aca="false">AO11*Assumptions!$D$88*Assumptions!$D$91</f>
        <v>345.6</v>
      </c>
      <c r="AP64" s="44" t="n">
        <f aca="false">AP11*Assumptions!$D$88*Assumptions!$D$91</f>
        <v>349.2</v>
      </c>
      <c r="AQ64" s="44" t="n">
        <f aca="false">AQ11*Assumptions!$D$88*Assumptions!$D$91</f>
        <v>349.2</v>
      </c>
      <c r="AR64" s="44" t="n">
        <f aca="false">AR11*Assumptions!$D$88*Assumptions!$D$91</f>
        <v>349.2</v>
      </c>
      <c r="AS64" s="44" t="n">
        <f aca="false">AS11*Assumptions!$D$88*Assumptions!$D$91</f>
        <v>352.8</v>
      </c>
      <c r="AT64" s="44" t="n">
        <f aca="false">AT11*Assumptions!$D$88*Assumptions!$D$91</f>
        <v>352.8</v>
      </c>
      <c r="AU64" s="44" t="n">
        <f aca="false">AU11*Assumptions!$D$88*Assumptions!$D$91</f>
        <v>352.8</v>
      </c>
      <c r="AV64" s="44" t="n">
        <f aca="false">AV11*Assumptions!$D$88*Assumptions!$D$91</f>
        <v>356.4</v>
      </c>
      <c r="AW64" s="44" t="n">
        <f aca="false">AW11*Assumptions!$D$88*Assumptions!$D$91</f>
        <v>356.4</v>
      </c>
      <c r="AX64" s="44" t="n">
        <f aca="false">AX11*Assumptions!$D$88*Assumptions!$D$91</f>
        <v>356.4</v>
      </c>
      <c r="AY64" s="44" t="n">
        <f aca="false">AY11*Assumptions!$D$88*Assumptions!$D$91</f>
        <v>360</v>
      </c>
      <c r="AZ64" s="44" t="n">
        <f aca="false">AZ11*Assumptions!$D$88*Assumptions!$D$91</f>
        <v>360</v>
      </c>
      <c r="BA64" s="44" t="n">
        <f aca="false">BA11*Assumptions!$D$88*Assumptions!$D$91</f>
        <v>360</v>
      </c>
      <c r="BB64" s="44" t="n">
        <f aca="false">BB11*Assumptions!$D$88*Assumptions!$D$91</f>
        <v>360</v>
      </c>
      <c r="BC64" s="44" t="n">
        <f aca="false">BC11*Assumptions!$D$88*Assumptions!$D$91</f>
        <v>360</v>
      </c>
      <c r="BD64" s="44" t="n">
        <f aca="false">BD11*Assumptions!$D$88*Assumptions!$D$91</f>
        <v>360</v>
      </c>
      <c r="BE64" s="44" t="n">
        <f aca="false">BE11*Assumptions!$D$88*Assumptions!$D$91</f>
        <v>360</v>
      </c>
      <c r="BF64" s="44" t="n">
        <f aca="false">BF11*Assumptions!$D$88*Assumptions!$D$91</f>
        <v>360</v>
      </c>
      <c r="BG64" s="44" t="n">
        <f aca="false">BG11*Assumptions!$D$88*Assumptions!$D$91</f>
        <v>360</v>
      </c>
      <c r="BH64" s="44" t="n">
        <f aca="false">BH11*Assumptions!$D$88*Assumptions!$D$91</f>
        <v>360</v>
      </c>
      <c r="BI64" s="44" t="n">
        <f aca="false">BI11*Assumptions!$D$88*Assumptions!$D$91</f>
        <v>360</v>
      </c>
      <c r="BJ64" s="44" t="n">
        <f aca="false">BJ11*Assumptions!$D$88*Assumptions!$D$91</f>
        <v>360</v>
      </c>
      <c r="BK64" s="44" t="n">
        <f aca="false">BK11*Assumptions!$D$88*Assumptions!$D$91</f>
        <v>360</v>
      </c>
    </row>
    <row r="65" customFormat="false" ht="15" hidden="false" customHeight="false" outlineLevel="0" collapsed="false">
      <c r="A65" s="28" t="s">
        <v>641</v>
      </c>
      <c r="B65" s="6" t="s">
        <v>642</v>
      </c>
      <c r="C65" s="43"/>
      <c r="D65" s="17" t="n">
        <f aca="false">D8*Assumptions!$D$89*Assumptions!$D$91</f>
        <v>0</v>
      </c>
      <c r="E65" s="17" t="n">
        <f aca="false">E8*Assumptions!$D$89*Assumptions!$D$91</f>
        <v>0</v>
      </c>
      <c r="F65" s="17" t="n">
        <f aca="false">F8*Assumptions!$D$89*Assumptions!$D$91</f>
        <v>0</v>
      </c>
      <c r="G65" s="17" t="n">
        <f aca="false">G8*Assumptions!$D$89*Assumptions!$D$91</f>
        <v>0</v>
      </c>
      <c r="H65" s="17" t="n">
        <f aca="false">H8*Assumptions!$D$89*Assumptions!$D$91</f>
        <v>750</v>
      </c>
      <c r="I65" s="17" t="n">
        <f aca="false">I8*Assumptions!$D$89*Assumptions!$D$91</f>
        <v>0</v>
      </c>
      <c r="J65" s="17" t="n">
        <f aca="false">J8*Assumptions!$D$89*Assumptions!$D$91</f>
        <v>0</v>
      </c>
      <c r="K65" s="17" t="n">
        <f aca="false">K8*Assumptions!$D$89*Assumptions!$D$91</f>
        <v>0</v>
      </c>
      <c r="L65" s="17" t="n">
        <f aca="false">L8*Assumptions!$D$89*Assumptions!$D$91</f>
        <v>0</v>
      </c>
      <c r="M65" s="17" t="n">
        <f aca="false">M8*Assumptions!$D$89*Assumptions!$D$91</f>
        <v>0</v>
      </c>
      <c r="N65" s="17" t="n">
        <f aca="false">N8*Assumptions!$D$89*Assumptions!$D$91</f>
        <v>750</v>
      </c>
      <c r="O65" s="17" t="n">
        <f aca="false">O8*Assumptions!$D$89*Assumptions!$D$91</f>
        <v>0</v>
      </c>
      <c r="P65" s="17" t="n">
        <f aca="false">P8*Assumptions!$D$89*Assumptions!$D$91</f>
        <v>0</v>
      </c>
      <c r="Q65" s="17" t="n">
        <f aca="false">Q8*Assumptions!$D$89*Assumptions!$D$91</f>
        <v>750</v>
      </c>
      <c r="R65" s="17" t="n">
        <f aca="false">R8*Assumptions!$D$89*Assumptions!$D$91</f>
        <v>0</v>
      </c>
      <c r="S65" s="17" t="n">
        <f aca="false">S8*Assumptions!$D$89*Assumptions!$D$91</f>
        <v>0</v>
      </c>
      <c r="T65" s="17" t="n">
        <f aca="false">T8*Assumptions!$D$89*Assumptions!$D$91</f>
        <v>750</v>
      </c>
      <c r="U65" s="17" t="n">
        <f aca="false">U8*Assumptions!$D$89*Assumptions!$D$91</f>
        <v>750</v>
      </c>
      <c r="V65" s="17" t="n">
        <f aca="false">V8*Assumptions!$D$89*Assumptions!$D$91</f>
        <v>0</v>
      </c>
      <c r="W65" s="17" t="n">
        <f aca="false">W8*Assumptions!$D$89*Assumptions!$D$91</f>
        <v>750</v>
      </c>
      <c r="X65" s="17" t="n">
        <f aca="false">X8*Assumptions!$D$89*Assumptions!$D$91</f>
        <v>750</v>
      </c>
      <c r="Y65" s="17" t="n">
        <f aca="false">Y8*Assumptions!$D$89*Assumptions!$D$91</f>
        <v>0</v>
      </c>
      <c r="Z65" s="17" t="n">
        <f aca="false">Z8*Assumptions!$D$89*Assumptions!$D$91</f>
        <v>750</v>
      </c>
      <c r="AA65" s="17" t="n">
        <f aca="false">AA8*Assumptions!$D$89*Assumptions!$D$91</f>
        <v>750</v>
      </c>
      <c r="AB65" s="17" t="n">
        <f aca="false">AB8*Assumptions!$D$89*Assumptions!$D$91</f>
        <v>0</v>
      </c>
      <c r="AC65" s="17" t="n">
        <f aca="false">AC8*Assumptions!$D$89*Assumptions!$D$91</f>
        <v>750</v>
      </c>
      <c r="AD65" s="17" t="n">
        <f aca="false">AD8*Assumptions!$D$89*Assumptions!$D$91</f>
        <v>750</v>
      </c>
      <c r="AE65" s="17" t="n">
        <f aca="false">AE8*Assumptions!$D$89*Assumptions!$D$91</f>
        <v>750</v>
      </c>
      <c r="AF65" s="17" t="n">
        <f aca="false">AF8*Assumptions!$D$89*Assumptions!$D$91</f>
        <v>750</v>
      </c>
      <c r="AG65" s="17" t="n">
        <f aca="false">AG8*Assumptions!$D$89*Assumptions!$D$91</f>
        <v>750</v>
      </c>
      <c r="AH65" s="17" t="n">
        <f aca="false">AH8*Assumptions!$D$89*Assumptions!$D$91</f>
        <v>750</v>
      </c>
      <c r="AI65" s="17" t="n">
        <f aca="false">AI8*Assumptions!$D$89*Assumptions!$D$91</f>
        <v>750</v>
      </c>
      <c r="AJ65" s="17" t="n">
        <f aca="false">AJ8*Assumptions!$D$89*Assumptions!$D$91</f>
        <v>750</v>
      </c>
      <c r="AK65" s="17" t="n">
        <f aca="false">AK8*Assumptions!$D$89*Assumptions!$D$91</f>
        <v>750</v>
      </c>
      <c r="AL65" s="17" t="n">
        <f aca="false">AL8*Assumptions!$D$89*Assumptions!$D$91</f>
        <v>750</v>
      </c>
      <c r="AM65" s="17" t="n">
        <f aca="false">AM8*Assumptions!$D$89*Assumptions!$D$91</f>
        <v>750</v>
      </c>
      <c r="AN65" s="44" t="n">
        <f aca="false">AN8*Assumptions!$D$89*Assumptions!$D$91</f>
        <v>750</v>
      </c>
      <c r="AO65" s="44" t="n">
        <f aca="false">AO8*Assumptions!$D$89*Assumptions!$D$91</f>
        <v>750</v>
      </c>
      <c r="AP65" s="44" t="n">
        <f aca="false">AP8*Assumptions!$D$89*Assumptions!$D$91</f>
        <v>750</v>
      </c>
      <c r="AQ65" s="44" t="n">
        <f aca="false">AQ8*Assumptions!$D$89*Assumptions!$D$91</f>
        <v>750</v>
      </c>
      <c r="AR65" s="44" t="n">
        <f aca="false">AR8*Assumptions!$D$89*Assumptions!$D$91</f>
        <v>750</v>
      </c>
      <c r="AS65" s="44" t="n">
        <f aca="false">AS8*Assumptions!$D$89*Assumptions!$D$91</f>
        <v>750</v>
      </c>
      <c r="AT65" s="44" t="n">
        <f aca="false">AT8*Assumptions!$D$89*Assumptions!$D$91</f>
        <v>750</v>
      </c>
      <c r="AU65" s="44" t="n">
        <f aca="false">AU8*Assumptions!$D$89*Assumptions!$D$91</f>
        <v>750</v>
      </c>
      <c r="AV65" s="44" t="n">
        <f aca="false">AV8*Assumptions!$D$89*Assumptions!$D$91</f>
        <v>750</v>
      </c>
      <c r="AW65" s="44" t="n">
        <f aca="false">AW8*Assumptions!$D$89*Assumptions!$D$91</f>
        <v>750</v>
      </c>
      <c r="AX65" s="44" t="n">
        <f aca="false">AX8*Assumptions!$D$89*Assumptions!$D$91</f>
        <v>750</v>
      </c>
      <c r="AY65" s="44" t="n">
        <f aca="false">AY8*Assumptions!$D$89*Assumptions!$D$91</f>
        <v>750</v>
      </c>
      <c r="AZ65" s="44" t="n">
        <f aca="false">AZ8*Assumptions!$D$89*Assumptions!$D$91</f>
        <v>750</v>
      </c>
      <c r="BA65" s="44" t="n">
        <f aca="false">BA8*Assumptions!$D$89*Assumptions!$D$91</f>
        <v>750</v>
      </c>
      <c r="BB65" s="44" t="n">
        <f aca="false">BB8*Assumptions!$D$89*Assumptions!$D$91</f>
        <v>750</v>
      </c>
      <c r="BC65" s="44" t="n">
        <f aca="false">BC8*Assumptions!$D$89*Assumptions!$D$91</f>
        <v>750</v>
      </c>
      <c r="BD65" s="44" t="n">
        <f aca="false">BD8*Assumptions!$D$89*Assumptions!$D$91</f>
        <v>750</v>
      </c>
      <c r="BE65" s="44" t="n">
        <f aca="false">BE8*Assumptions!$D$89*Assumptions!$D$91</f>
        <v>750</v>
      </c>
      <c r="BF65" s="44" t="n">
        <f aca="false">BF8*Assumptions!$D$89*Assumptions!$D$91</f>
        <v>750</v>
      </c>
      <c r="BG65" s="44" t="n">
        <f aca="false">BG8*Assumptions!$D$89*Assumptions!$D$91</f>
        <v>750</v>
      </c>
      <c r="BH65" s="44" t="n">
        <f aca="false">BH8*Assumptions!$D$89*Assumptions!$D$91</f>
        <v>750</v>
      </c>
      <c r="BI65" s="44" t="n">
        <f aca="false">BI8*Assumptions!$D$89*Assumptions!$D$91</f>
        <v>750</v>
      </c>
      <c r="BJ65" s="44" t="n">
        <f aca="false">BJ8*Assumptions!$D$89*Assumptions!$D$91</f>
        <v>750</v>
      </c>
      <c r="BK65" s="44" t="n">
        <f aca="false">BK8*Assumptions!$D$89*Assumptions!$D$91</f>
        <v>750</v>
      </c>
    </row>
    <row r="66" customFormat="false" ht="15" hidden="false" customHeight="false" outlineLevel="0" collapsed="false">
      <c r="A66" s="28" t="s">
        <v>643</v>
      </c>
      <c r="B66" s="6" t="s">
        <v>644</v>
      </c>
      <c r="C66" s="43"/>
      <c r="D66" s="17" t="n">
        <f aca="false">D35*Assumptions!$D$90*Assumptions!$D$91</f>
        <v>0</v>
      </c>
      <c r="E66" s="17" t="n">
        <f aca="false">E35*Assumptions!$D$90*Assumptions!$D$91</f>
        <v>0</v>
      </c>
      <c r="F66" s="17" t="n">
        <f aca="false">F35*Assumptions!$D$90*Assumptions!$D$91</f>
        <v>0</v>
      </c>
      <c r="G66" s="17" t="n">
        <f aca="false">G35*Assumptions!$D$90*Assumptions!$D$91</f>
        <v>0</v>
      </c>
      <c r="H66" s="17" t="n">
        <f aca="false">H35*Assumptions!$D$90*Assumptions!$D$91</f>
        <v>0</v>
      </c>
      <c r="I66" s="17" t="n">
        <f aca="false">I35*Assumptions!$D$90*Assumptions!$D$91</f>
        <v>0</v>
      </c>
      <c r="J66" s="17" t="n">
        <f aca="false">J35*Assumptions!$D$90*Assumptions!$D$91</f>
        <v>0</v>
      </c>
      <c r="K66" s="17" t="n">
        <f aca="false">K35*Assumptions!$D$90*Assumptions!$D$91</f>
        <v>0</v>
      </c>
      <c r="L66" s="17" t="n">
        <f aca="false">L35*Assumptions!$D$90*Assumptions!$D$91</f>
        <v>0</v>
      </c>
      <c r="M66" s="17" t="n">
        <f aca="false">M35*Assumptions!$D$90*Assumptions!$D$91</f>
        <v>0</v>
      </c>
      <c r="N66" s="17" t="n">
        <f aca="false">N35*Assumptions!$D$90*Assumptions!$D$91</f>
        <v>0</v>
      </c>
      <c r="O66" s="17" t="n">
        <f aca="false">O35*Assumptions!$D$90*Assumptions!$D$91</f>
        <v>0</v>
      </c>
      <c r="P66" s="17" t="n">
        <f aca="false">P35*Assumptions!$D$90*Assumptions!$D$91</f>
        <v>0</v>
      </c>
      <c r="Q66" s="17" t="n">
        <f aca="false">Q35*Assumptions!$D$90*Assumptions!$D$91</f>
        <v>0</v>
      </c>
      <c r="R66" s="17" t="n">
        <f aca="false">R35*Assumptions!$D$90*Assumptions!$D$91</f>
        <v>0</v>
      </c>
      <c r="S66" s="17" t="n">
        <f aca="false">S35*Assumptions!$D$90*Assumptions!$D$91</f>
        <v>0</v>
      </c>
      <c r="T66" s="17" t="n">
        <f aca="false">T35*Assumptions!$D$90*Assumptions!$D$91</f>
        <v>0</v>
      </c>
      <c r="U66" s="17" t="n">
        <f aca="false">U35*Assumptions!$D$90*Assumptions!$D$91</f>
        <v>0</v>
      </c>
      <c r="V66" s="17" t="n">
        <f aca="false">V35*Assumptions!$D$90*Assumptions!$D$91</f>
        <v>0</v>
      </c>
      <c r="W66" s="17" t="n">
        <f aca="false">W35*Assumptions!$D$90*Assumptions!$D$91</f>
        <v>0</v>
      </c>
      <c r="X66" s="17" t="n">
        <f aca="false">X35*Assumptions!$D$90*Assumptions!$D$91</f>
        <v>0</v>
      </c>
      <c r="Y66" s="17" t="n">
        <f aca="false">Y35*Assumptions!$D$90*Assumptions!$D$91</f>
        <v>0</v>
      </c>
      <c r="Z66" s="17" t="n">
        <f aca="false">Z35*Assumptions!$D$90*Assumptions!$D$91</f>
        <v>0</v>
      </c>
      <c r="AA66" s="17" t="n">
        <f aca="false">AA35*Assumptions!$D$90*Assumptions!$D$91</f>
        <v>0</v>
      </c>
      <c r="AB66" s="17" t="n">
        <f aca="false">AB35*Assumptions!$D$90*Assumptions!$D$91</f>
        <v>0</v>
      </c>
      <c r="AC66" s="17" t="n">
        <f aca="false">AC35*Assumptions!$D$90*Assumptions!$D$91</f>
        <v>0</v>
      </c>
      <c r="AD66" s="17" t="n">
        <f aca="false">AD35*Assumptions!$D$90*Assumptions!$D$91</f>
        <v>0</v>
      </c>
      <c r="AE66" s="17" t="n">
        <f aca="false">AE35*Assumptions!$D$90*Assumptions!$D$91</f>
        <v>0</v>
      </c>
      <c r="AF66" s="17" t="n">
        <f aca="false">AF35*Assumptions!$D$90*Assumptions!$D$91</f>
        <v>0</v>
      </c>
      <c r="AG66" s="17" t="n">
        <f aca="false">AG35*Assumptions!$D$90*Assumptions!$D$91</f>
        <v>0</v>
      </c>
      <c r="AH66" s="17" t="n">
        <f aca="false">AH35*Assumptions!$D$90*Assumptions!$D$91</f>
        <v>0</v>
      </c>
      <c r="AI66" s="17" t="n">
        <f aca="false">AI35*Assumptions!$D$90*Assumptions!$D$91</f>
        <v>0</v>
      </c>
      <c r="AJ66" s="17" t="n">
        <f aca="false">AJ35*Assumptions!$D$90*Assumptions!$D$91</f>
        <v>0</v>
      </c>
      <c r="AK66" s="17" t="n">
        <f aca="false">AK35*Assumptions!$D$90*Assumptions!$D$91</f>
        <v>0</v>
      </c>
      <c r="AL66" s="17" t="n">
        <f aca="false">AL35*Assumptions!$D$90*Assumptions!$D$91</f>
        <v>0</v>
      </c>
      <c r="AM66" s="17" t="n">
        <f aca="false">AM35*Assumptions!$D$90*Assumptions!$D$91</f>
        <v>90.513635114679</v>
      </c>
      <c r="AN66" s="44" t="n">
        <f aca="false">AN35*Assumptions!$D$90*Assumptions!$D$91</f>
        <v>93.4320961719675</v>
      </c>
      <c r="AO66" s="44" t="n">
        <f aca="false">AO35*Assumptions!$D$90*Assumptions!$D$91</f>
        <v>96.3354506397229</v>
      </c>
      <c r="AP66" s="44" t="n">
        <f aca="false">AP35*Assumptions!$D$90*Assumptions!$D$91</f>
        <v>99.2236594234367</v>
      </c>
      <c r="AQ66" s="44" t="n">
        <f aca="false">AQ35*Assumptions!$D$90*Assumptions!$D$91</f>
        <v>102.026919164949</v>
      </c>
      <c r="AR66" s="44" t="n">
        <f aca="false">AR35*Assumptions!$D$90*Assumptions!$D$91</f>
        <v>104.748114051344</v>
      </c>
      <c r="AS66" s="44" t="n">
        <f aca="false">AS35*Assumptions!$D$90*Assumptions!$D$91</f>
        <v>107.459806265639</v>
      </c>
      <c r="AT66" s="44" t="n">
        <f aca="false">AT35*Assumptions!$D$90*Assumptions!$D$91</f>
        <v>110.091990728178</v>
      </c>
      <c r="AU66" s="44" t="n">
        <f aca="false">AU35*Assumptions!$D$90*Assumptions!$D$91</f>
        <v>112.647358345345</v>
      </c>
      <c r="AV66" s="44" t="n">
        <f aca="false">AV35*Assumptions!$D$90*Assumptions!$D$91</f>
        <v>115.198286057538</v>
      </c>
      <c r="AW66" s="44" t="n">
        <f aca="false">AW35*Assumptions!$D$90*Assumptions!$D$91</f>
        <v>117.674591198837</v>
      </c>
      <c r="AX66" s="44" t="n">
        <f aca="false">AX35*Assumptions!$D$90*Assumptions!$D$91</f>
        <v>120.078794383784</v>
      </c>
      <c r="AY66" s="44" t="n">
        <f aca="false">AY35*Assumptions!$D$90*Assumptions!$D$91</f>
        <v>122.483109212188</v>
      </c>
      <c r="AZ66" s="44" t="n">
        <f aca="false">AZ35*Assumptions!$D$90*Assumptions!$D$91</f>
        <v>124.817196303302</v>
      </c>
      <c r="BA66" s="44" t="n">
        <f aca="false">BA35*Assumptions!$D$90*Assumptions!$D$91</f>
        <v>127.083425873887</v>
      </c>
      <c r="BB66" s="44" t="n">
        <f aca="false">BB35*Assumptions!$D$90*Assumptions!$D$91</f>
        <v>129.284070968504</v>
      </c>
      <c r="BC66" s="44" t="n">
        <f aca="false">BC35*Assumptions!$D$90*Assumptions!$D$91</f>
        <v>131.421312265472</v>
      </c>
      <c r="BD66" s="44" t="n">
        <f aca="false">BD35*Assumptions!$D$90*Assumptions!$D$91</f>
        <v>133.497242611418</v>
      </c>
      <c r="BE66" s="44" t="n">
        <f aca="false">BE35*Assumptions!$D$90*Assumptions!$D$91</f>
        <v>135.513871301003</v>
      </c>
      <c r="BF66" s="44" t="n">
        <f aca="false">BF35*Assumptions!$D$90*Assumptions!$D$91</f>
        <v>137.473128117287</v>
      </c>
      <c r="BG66" s="44" t="n">
        <f aca="false">BG35*Assumptions!$D$90*Assumptions!$D$91</f>
        <v>139.376867147271</v>
      </c>
      <c r="BH66" s="44" t="n">
        <f aca="false">BH35*Assumptions!$D$90*Assumptions!$D$91</f>
        <v>141.22687038618</v>
      </c>
      <c r="BI66" s="44" t="n">
        <f aca="false">BI35*Assumptions!$D$90*Assumptions!$D$91</f>
        <v>143.024851143245</v>
      </c>
      <c r="BJ66" s="44" t="n">
        <f aca="false">BJ35*Assumptions!$D$90*Assumptions!$D$91</f>
        <v>144.772457260888</v>
      </c>
      <c r="BK66" s="44" t="n">
        <f aca="false">BK35*Assumptions!$D$90*Assumptions!$D$91</f>
        <v>146.471274158504</v>
      </c>
    </row>
    <row r="67" customFormat="false" ht="15" hidden="false" customHeight="false" outlineLevel="0" collapsed="false">
      <c r="A67" s="28" t="s">
        <v>645</v>
      </c>
      <c r="B67" s="5" t="s">
        <v>646</v>
      </c>
      <c r="C67" s="43"/>
      <c r="D67" s="45" t="n">
        <f aca="false">D62+D63+D64+D65+D66</f>
        <v>0</v>
      </c>
      <c r="E67" s="45" t="n">
        <f aca="false">E62+E63+E64+E65+E66</f>
        <v>0</v>
      </c>
      <c r="F67" s="45" t="n">
        <f aca="false">F62+F63+F64+F65+F66</f>
        <v>0</v>
      </c>
      <c r="G67" s="45" t="n">
        <f aca="false">G62+G63+G64+G65+G66</f>
        <v>0</v>
      </c>
      <c r="H67" s="45" t="n">
        <f aca="false">H62+H63+H64+H65+H66</f>
        <v>1350.7035</v>
      </c>
      <c r="I67" s="45" t="n">
        <f aca="false">I62+I63+I64+I65+I66</f>
        <v>528.61908</v>
      </c>
      <c r="J67" s="45" t="n">
        <f aca="false">J62+J63+J64+J65+J66</f>
        <v>360.4221</v>
      </c>
      <c r="K67" s="45" t="n">
        <f aca="false">K62+K63+K64+K65+K66</f>
        <v>240.2814</v>
      </c>
      <c r="L67" s="45" t="n">
        <f aca="false">L62+L63+L64+L65+L66</f>
        <v>144.16884</v>
      </c>
      <c r="M67" s="45" t="n">
        <f aca="false">M62+M63+M64+M65+M66</f>
        <v>120.1407</v>
      </c>
      <c r="N67" s="45" t="n">
        <f aca="false">N62+N63+N64+N65+N66</f>
        <v>1374.73164</v>
      </c>
      <c r="O67" s="45" t="n">
        <f aca="false">O62+O63+O64+O65+O66</f>
        <v>562.4441505</v>
      </c>
      <c r="P67" s="45" t="n">
        <f aca="false">P62+P63+P64+P65+P66</f>
        <v>391.265496</v>
      </c>
      <c r="Q67" s="45" t="n">
        <f aca="false">Q62+Q63+Q64+Q65+Q66</f>
        <v>1630.347366</v>
      </c>
      <c r="R67" s="45" t="n">
        <f aca="false">R62+R63+R64+R65+R66</f>
        <v>709.1687115</v>
      </c>
      <c r="S67" s="45" t="n">
        <f aca="false">S62+S63+S64+S65+S66</f>
        <v>513.5359635</v>
      </c>
      <c r="T67" s="45" t="n">
        <f aca="false">T62+T63+T64+T65+T66</f>
        <v>1654.8014595</v>
      </c>
      <c r="U67" s="45" t="n">
        <f aca="false">U62+U63+U64+U65+U66</f>
        <v>2094.9751425</v>
      </c>
      <c r="V67" s="45" t="n">
        <f aca="false">V62+V63+V64+V65+V66</f>
        <v>1075.980114</v>
      </c>
      <c r="W67" s="45" t="n">
        <f aca="false">W62+W63+W64+W65+W66</f>
        <v>2046.0669555</v>
      </c>
      <c r="X67" s="45" t="n">
        <f aca="false">X62+X63+X64+X65+X66</f>
        <v>2363.970171</v>
      </c>
      <c r="Y67" s="45" t="n">
        <f aca="false">Y62+Y63+Y64+Y65+Y66</f>
        <v>1247.1587685</v>
      </c>
      <c r="Z67" s="45" t="n">
        <f aca="false">Z62+Z63+Z64+Z65+Z66</f>
        <v>2192.7915165</v>
      </c>
      <c r="AA67" s="45" t="n">
        <f aca="false">AA62+AA63+AA64+AA65+AA66</f>
        <v>2442.56731695</v>
      </c>
      <c r="AB67" s="45" t="n">
        <f aca="false">AB62+AB63+AB64+AB65+AB66</f>
        <v>1319.2068793875</v>
      </c>
      <c r="AC67" s="45" t="n">
        <f aca="false">AC62+AC63+AC64+AC65+AC66</f>
        <v>2268.3324460875</v>
      </c>
      <c r="AD67" s="45" t="n">
        <f aca="false">AD62+AD63+AD64+AD65+AD66</f>
        <v>2492.348708625</v>
      </c>
      <c r="AE67" s="45" t="n">
        <f aca="false">AE62+AE63+AE64+AE65+AE66</f>
        <v>2716.3649711625</v>
      </c>
      <c r="AF67" s="45" t="n">
        <f aca="false">AF62+AF63+AF64+AF65+AF66</f>
        <v>2840.81845035</v>
      </c>
      <c r="AG67" s="45" t="n">
        <f aca="false">AG62+AG63+AG64+AG65+AG66</f>
        <v>2890.599842025</v>
      </c>
      <c r="AH67" s="45" t="n">
        <f aca="false">AH62+AH63+AH64+AH65+AH66</f>
        <v>3015.0533212125</v>
      </c>
      <c r="AI67" s="45" t="n">
        <f aca="false">AI62+AI63+AI64+AI65+AI66</f>
        <v>3039.94401705</v>
      </c>
      <c r="AJ67" s="45" t="n">
        <f aca="false">AJ62+AJ63+AJ64+AJ65+AJ66</f>
        <v>3064.8347128875</v>
      </c>
      <c r="AK67" s="45" t="n">
        <f aca="false">AK62+AK63+AK64+AK65+AK66</f>
        <v>3064.8347128875</v>
      </c>
      <c r="AL67" s="45" t="n">
        <f aca="false">AL62+AL63+AL64+AL65+AL66</f>
        <v>3089.725408725</v>
      </c>
      <c r="AM67" s="45" t="n">
        <f aca="false">AM62+AM63+AM64+AM65+AM66</f>
        <v>3247.64389229124</v>
      </c>
      <c r="AN67" s="46" t="n">
        <f aca="false">AN62+AN63+AN64+AN65+AN66</f>
        <v>3250.56235334853</v>
      </c>
      <c r="AO67" s="46" t="n">
        <f aca="false">AO62+AO63+AO64+AO65+AO66</f>
        <v>3278.80392104972</v>
      </c>
      <c r="AP67" s="46" t="n">
        <f aca="false">AP62+AP63+AP64+AP65+AP66</f>
        <v>3307.03034306687</v>
      </c>
      <c r="AQ67" s="46" t="n">
        <f aca="false">AQ62+AQ63+AQ64+AQ65+AQ66</f>
        <v>3309.83360280839</v>
      </c>
      <c r="AR67" s="46" t="n">
        <f aca="false">AR62+AR63+AR64+AR65+AR66</f>
        <v>3312.55479769478</v>
      </c>
      <c r="AS67" s="46" t="n">
        <f aca="false">AS62+AS63+AS64+AS65+AS66</f>
        <v>3340.60470314251</v>
      </c>
      <c r="AT67" s="46" t="n">
        <f aca="false">AT62+AT63+AT64+AT65+AT66</f>
        <v>3343.23688760505</v>
      </c>
      <c r="AU67" s="46" t="n">
        <f aca="false">AU62+AU63+AU64+AU65+AU66</f>
        <v>3345.79225522222</v>
      </c>
      <c r="AV67" s="46" t="n">
        <f aca="false">AV62+AV63+AV64+AV65+AV66</f>
        <v>3373.68139616785</v>
      </c>
      <c r="AW67" s="46" t="n">
        <f aca="false">AW62+AW63+AW64+AW65+AW66</f>
        <v>3376.15770130915</v>
      </c>
      <c r="AX67" s="46" t="n">
        <f aca="false">AX62+AX63+AX64+AX65+AX66</f>
        <v>3378.5619044941</v>
      </c>
      <c r="AY67" s="46" t="n">
        <f aca="false">AY62+AY63+AY64+AY65+AY66</f>
        <v>3452.17496563953</v>
      </c>
      <c r="AZ67" s="46" t="n">
        <f aca="false">AZ62+AZ63+AZ64+AZ65+AZ66</f>
        <v>3454.50905273065</v>
      </c>
      <c r="BA67" s="46" t="n">
        <f aca="false">BA62+BA63+BA64+BA65+BA66</f>
        <v>3456.77528230123</v>
      </c>
      <c r="BB67" s="46" t="n">
        <f aca="false">BB62+BB63+BB64+BB65+BB66</f>
        <v>3458.97592739585</v>
      </c>
      <c r="BC67" s="46" t="n">
        <f aca="false">BC62+BC63+BC64+BC65+BC66</f>
        <v>3461.11316869282</v>
      </c>
      <c r="BD67" s="46" t="n">
        <f aca="false">BD62+BD63+BD64+BD65+BD66</f>
        <v>3463.18909903876</v>
      </c>
      <c r="BE67" s="46" t="n">
        <f aca="false">BE62+BE63+BE64+BE65+BE66</f>
        <v>3465.20572772835</v>
      </c>
      <c r="BF67" s="46" t="n">
        <f aca="false">BF62+BF63+BF64+BF65+BF66</f>
        <v>3467.16498454463</v>
      </c>
      <c r="BG67" s="46" t="n">
        <f aca="false">BG62+BG63+BG64+BG65+BG66</f>
        <v>3469.06872357461</v>
      </c>
      <c r="BH67" s="46" t="n">
        <f aca="false">BH62+BH63+BH64+BH65+BH66</f>
        <v>3470.91872681352</v>
      </c>
      <c r="BI67" s="46" t="n">
        <f aca="false">BI62+BI63+BI64+BI65+BI66</f>
        <v>3472.71670757059</v>
      </c>
      <c r="BJ67" s="46" t="n">
        <f aca="false">BJ62+BJ63+BJ64+BJ65+BJ66</f>
        <v>3474.46431368823</v>
      </c>
      <c r="BK67" s="46" t="n">
        <f aca="false">BK62+BK63+BK64+BK65+BK66</f>
        <v>3523.18042699653</v>
      </c>
    </row>
    <row r="68" customFormat="false" ht="15" hidden="false" customHeight="false" outlineLevel="0" collapsed="false">
      <c r="B68" s="5" t="s">
        <v>647</v>
      </c>
    </row>
    <row r="69" customFormat="false" ht="15" hidden="false" customHeight="false" outlineLevel="0" collapsed="false">
      <c r="A69" s="28" t="s">
        <v>648</v>
      </c>
      <c r="B69" s="6" t="s">
        <v>649</v>
      </c>
      <c r="C69" s="43"/>
      <c r="D69" s="17" t="n">
        <f aca="false">Assumptions!$D$108</f>
        <v>1465</v>
      </c>
      <c r="E69" s="17" t="n">
        <f aca="false">Assumptions!$D$108</f>
        <v>1465</v>
      </c>
      <c r="F69" s="17" t="n">
        <f aca="false">Assumptions!$D$108</f>
        <v>1465</v>
      </c>
      <c r="G69" s="17" t="n">
        <f aca="false">Assumptions!$D$108</f>
        <v>1465</v>
      </c>
      <c r="H69" s="17" t="n">
        <f aca="false">Assumptions!$D$108</f>
        <v>1465</v>
      </c>
      <c r="I69" s="17" t="n">
        <f aca="false">Assumptions!$D$108</f>
        <v>1465</v>
      </c>
      <c r="J69" s="17" t="n">
        <f aca="false">Assumptions!$D$108</f>
        <v>1465</v>
      </c>
      <c r="K69" s="17" t="n">
        <f aca="false">Assumptions!$D$108</f>
        <v>1465</v>
      </c>
      <c r="L69" s="17" t="n">
        <f aca="false">Assumptions!$D$108</f>
        <v>1465</v>
      </c>
      <c r="M69" s="17" t="n">
        <f aca="false">Assumptions!$D$108</f>
        <v>1465</v>
      </c>
      <c r="N69" s="17" t="n">
        <f aca="false">Assumptions!$D$108</f>
        <v>1465</v>
      </c>
      <c r="O69" s="17" t="n">
        <f aca="false">Assumptions!$D$108</f>
        <v>1465</v>
      </c>
      <c r="P69" s="17" t="n">
        <f aca="false">Assumptions!$D$108</f>
        <v>1465</v>
      </c>
      <c r="Q69" s="17" t="n">
        <f aca="false">Assumptions!$D$108</f>
        <v>1465</v>
      </c>
      <c r="R69" s="17" t="n">
        <f aca="false">Assumptions!$D$108</f>
        <v>1465</v>
      </c>
      <c r="S69" s="17" t="n">
        <f aca="false">Assumptions!$D$108</f>
        <v>1465</v>
      </c>
      <c r="T69" s="17" t="n">
        <f aca="false">Assumptions!$D$108</f>
        <v>1465</v>
      </c>
      <c r="U69" s="17" t="n">
        <f aca="false">Assumptions!$D$108</f>
        <v>1465</v>
      </c>
      <c r="V69" s="17" t="n">
        <f aca="false">Assumptions!$D$108</f>
        <v>1465</v>
      </c>
      <c r="W69" s="17" t="n">
        <f aca="false">Assumptions!$D$108</f>
        <v>1465</v>
      </c>
      <c r="X69" s="17" t="n">
        <f aca="false">Assumptions!$D$108</f>
        <v>1465</v>
      </c>
      <c r="Y69" s="17" t="n">
        <f aca="false">Assumptions!$D$108</f>
        <v>1465</v>
      </c>
      <c r="Z69" s="17" t="n">
        <f aca="false">Assumptions!$D$108</f>
        <v>1465</v>
      </c>
      <c r="AA69" s="17" t="n">
        <f aca="false">Assumptions!$D$108</f>
        <v>1465</v>
      </c>
      <c r="AB69" s="17" t="n">
        <f aca="false">Assumptions!$D$108</f>
        <v>1465</v>
      </c>
      <c r="AC69" s="17" t="n">
        <f aca="false">Assumptions!$D$108</f>
        <v>1465</v>
      </c>
      <c r="AD69" s="17" t="n">
        <f aca="false">Assumptions!$D$108</f>
        <v>1465</v>
      </c>
      <c r="AE69" s="17" t="n">
        <f aca="false">Assumptions!$D$108</f>
        <v>1465</v>
      </c>
      <c r="AF69" s="17" t="n">
        <f aca="false">Assumptions!$D$108</f>
        <v>1465</v>
      </c>
      <c r="AG69" s="17" t="n">
        <f aca="false">Assumptions!$D$108</f>
        <v>1465</v>
      </c>
      <c r="AH69" s="17" t="n">
        <f aca="false">Assumptions!$D$108</f>
        <v>1465</v>
      </c>
      <c r="AI69" s="17" t="n">
        <f aca="false">Assumptions!$D$108</f>
        <v>1465</v>
      </c>
      <c r="AJ69" s="17" t="n">
        <f aca="false">Assumptions!$D$108</f>
        <v>1465</v>
      </c>
      <c r="AK69" s="17" t="n">
        <f aca="false">Assumptions!$D$108</f>
        <v>1465</v>
      </c>
      <c r="AL69" s="17" t="n">
        <f aca="false">Assumptions!$D$108</f>
        <v>1465</v>
      </c>
      <c r="AM69" s="17" t="n">
        <f aca="false">Assumptions!$D$108</f>
        <v>1465</v>
      </c>
      <c r="AN69" s="44" t="n">
        <f aca="false">Assumptions!$D$108</f>
        <v>1465</v>
      </c>
      <c r="AO69" s="44" t="n">
        <f aca="false">Assumptions!$D$108</f>
        <v>1465</v>
      </c>
      <c r="AP69" s="44" t="n">
        <f aca="false">Assumptions!$D$108</f>
        <v>1465</v>
      </c>
      <c r="AQ69" s="44" t="n">
        <f aca="false">Assumptions!$D$108</f>
        <v>1465</v>
      </c>
      <c r="AR69" s="44" t="n">
        <f aca="false">Assumptions!$D$108</f>
        <v>1465</v>
      </c>
      <c r="AS69" s="44" t="n">
        <f aca="false">Assumptions!$D$108</f>
        <v>1465</v>
      </c>
      <c r="AT69" s="44" t="n">
        <f aca="false">Assumptions!$D$108</f>
        <v>1465</v>
      </c>
      <c r="AU69" s="44" t="n">
        <f aca="false">Assumptions!$D$108</f>
        <v>1465</v>
      </c>
      <c r="AV69" s="44" t="n">
        <f aca="false">Assumptions!$D$108</f>
        <v>1465</v>
      </c>
      <c r="AW69" s="44" t="n">
        <f aca="false">Assumptions!$D$108</f>
        <v>1465</v>
      </c>
      <c r="AX69" s="44" t="n">
        <f aca="false">Assumptions!$D$108</f>
        <v>1465</v>
      </c>
      <c r="AY69" s="44" t="n">
        <f aca="false">Assumptions!$D$108</f>
        <v>1465</v>
      </c>
      <c r="AZ69" s="44" t="n">
        <f aca="false">Assumptions!$D$108</f>
        <v>1465</v>
      </c>
      <c r="BA69" s="44" t="n">
        <f aca="false">Assumptions!$D$108</f>
        <v>1465</v>
      </c>
      <c r="BB69" s="44" t="n">
        <f aca="false">Assumptions!$D$108</f>
        <v>1465</v>
      </c>
      <c r="BC69" s="44" t="n">
        <f aca="false">Assumptions!$D$108</f>
        <v>1465</v>
      </c>
      <c r="BD69" s="44" t="n">
        <f aca="false">Assumptions!$D$108</f>
        <v>1465</v>
      </c>
      <c r="BE69" s="44" t="n">
        <f aca="false">Assumptions!$D$108</f>
        <v>1465</v>
      </c>
      <c r="BF69" s="44" t="n">
        <f aca="false">Assumptions!$D$108</f>
        <v>1465</v>
      </c>
      <c r="BG69" s="44" t="n">
        <f aca="false">Assumptions!$D$108</f>
        <v>1465</v>
      </c>
      <c r="BH69" s="44" t="n">
        <f aca="false">Assumptions!$D$108</f>
        <v>1465</v>
      </c>
      <c r="BI69" s="44" t="n">
        <f aca="false">Assumptions!$D$108</f>
        <v>1465</v>
      </c>
      <c r="BJ69" s="44" t="n">
        <f aca="false">Assumptions!$D$108</f>
        <v>1465</v>
      </c>
      <c r="BK69" s="44" t="n">
        <f aca="false">Assumptions!$D$108</f>
        <v>1465</v>
      </c>
    </row>
    <row r="70" customFormat="false" ht="15" hidden="false" customHeight="false" outlineLevel="0" collapsed="false">
      <c r="A70" s="28" t="s">
        <v>650</v>
      </c>
      <c r="B70" s="6" t="s">
        <v>651</v>
      </c>
      <c r="C70" s="43"/>
      <c r="D70" s="17" t="n">
        <f aca="false">IF(D7&lt;=12,Assumptions!$D$100,IF(D7&lt;=24,Assumptions!$D$101,Assumptions!$D$102))</f>
        <v>4000</v>
      </c>
      <c r="E70" s="17" t="n">
        <f aca="false">IF(E7&lt;=12,Assumptions!$D$100,IF(E7&lt;=24,Assumptions!$D$101,Assumptions!$D$102))</f>
        <v>4000</v>
      </c>
      <c r="F70" s="17" t="n">
        <f aca="false">IF(F7&lt;=12,Assumptions!$D$100,IF(F7&lt;=24,Assumptions!$D$101,Assumptions!$D$102))</f>
        <v>4000</v>
      </c>
      <c r="G70" s="17" t="n">
        <f aca="false">IF(G7&lt;=12,Assumptions!$D$100,IF(G7&lt;=24,Assumptions!$D$101,Assumptions!$D$102))</f>
        <v>4000</v>
      </c>
      <c r="H70" s="17" t="n">
        <f aca="false">IF(H7&lt;=12,Assumptions!$D$100,IF(H7&lt;=24,Assumptions!$D$101,Assumptions!$D$102))</f>
        <v>4000</v>
      </c>
      <c r="I70" s="17" t="n">
        <f aca="false">IF(I7&lt;=12,Assumptions!$D$100,IF(I7&lt;=24,Assumptions!$D$101,Assumptions!$D$102))</f>
        <v>4000</v>
      </c>
      <c r="J70" s="17" t="n">
        <f aca="false">IF(J7&lt;=12,Assumptions!$D$100,IF(J7&lt;=24,Assumptions!$D$101,Assumptions!$D$102))</f>
        <v>4000</v>
      </c>
      <c r="K70" s="17" t="n">
        <f aca="false">IF(K7&lt;=12,Assumptions!$D$100,IF(K7&lt;=24,Assumptions!$D$101,Assumptions!$D$102))</f>
        <v>4000</v>
      </c>
      <c r="L70" s="17" t="n">
        <f aca="false">IF(L7&lt;=12,Assumptions!$D$100,IF(L7&lt;=24,Assumptions!$D$101,Assumptions!$D$102))</f>
        <v>4000</v>
      </c>
      <c r="M70" s="17" t="n">
        <f aca="false">IF(M7&lt;=12,Assumptions!$D$100,IF(M7&lt;=24,Assumptions!$D$101,Assumptions!$D$102))</f>
        <v>4000</v>
      </c>
      <c r="N70" s="17" t="n">
        <f aca="false">IF(N7&lt;=12,Assumptions!$D$100,IF(N7&lt;=24,Assumptions!$D$101,Assumptions!$D$102))</f>
        <v>4000</v>
      </c>
      <c r="O70" s="17" t="n">
        <f aca="false">IF(O7&lt;=12,Assumptions!$D$100,IF(O7&lt;=24,Assumptions!$D$101,Assumptions!$D$102))</f>
        <v>4000</v>
      </c>
      <c r="P70" s="17" t="n">
        <f aca="false">IF(P7&lt;=12,Assumptions!$D$100,IF(P7&lt;=24,Assumptions!$D$101,Assumptions!$D$102))</f>
        <v>5000</v>
      </c>
      <c r="Q70" s="17" t="n">
        <f aca="false">IF(Q7&lt;=12,Assumptions!$D$100,IF(Q7&lt;=24,Assumptions!$D$101,Assumptions!$D$102))</f>
        <v>5000</v>
      </c>
      <c r="R70" s="17" t="n">
        <f aca="false">IF(R7&lt;=12,Assumptions!$D$100,IF(R7&lt;=24,Assumptions!$D$101,Assumptions!$D$102))</f>
        <v>5000</v>
      </c>
      <c r="S70" s="17" t="n">
        <f aca="false">IF(S7&lt;=12,Assumptions!$D$100,IF(S7&lt;=24,Assumptions!$D$101,Assumptions!$D$102))</f>
        <v>5000</v>
      </c>
      <c r="T70" s="17" t="n">
        <f aca="false">IF(T7&lt;=12,Assumptions!$D$100,IF(T7&lt;=24,Assumptions!$D$101,Assumptions!$D$102))</f>
        <v>5000</v>
      </c>
      <c r="U70" s="17" t="n">
        <f aca="false">IF(U7&lt;=12,Assumptions!$D$100,IF(U7&lt;=24,Assumptions!$D$101,Assumptions!$D$102))</f>
        <v>5000</v>
      </c>
      <c r="V70" s="17" t="n">
        <f aca="false">IF(V7&lt;=12,Assumptions!$D$100,IF(V7&lt;=24,Assumptions!$D$101,Assumptions!$D$102))</f>
        <v>5000</v>
      </c>
      <c r="W70" s="17" t="n">
        <f aca="false">IF(W7&lt;=12,Assumptions!$D$100,IF(W7&lt;=24,Assumptions!$D$101,Assumptions!$D$102))</f>
        <v>5000</v>
      </c>
      <c r="X70" s="17" t="n">
        <f aca="false">IF(X7&lt;=12,Assumptions!$D$100,IF(X7&lt;=24,Assumptions!$D$101,Assumptions!$D$102))</f>
        <v>5000</v>
      </c>
      <c r="Y70" s="17" t="n">
        <f aca="false">IF(Y7&lt;=12,Assumptions!$D$100,IF(Y7&lt;=24,Assumptions!$D$101,Assumptions!$D$102))</f>
        <v>5000</v>
      </c>
      <c r="Z70" s="17" t="n">
        <f aca="false">IF(Z7&lt;=12,Assumptions!$D$100,IF(Z7&lt;=24,Assumptions!$D$101,Assumptions!$D$102))</f>
        <v>5000</v>
      </c>
      <c r="AA70" s="17" t="n">
        <f aca="false">IF(AA7&lt;=12,Assumptions!$D$100,IF(AA7&lt;=24,Assumptions!$D$101,Assumptions!$D$102))</f>
        <v>5000</v>
      </c>
      <c r="AB70" s="17" t="n">
        <f aca="false">IF(AB7&lt;=12,Assumptions!$D$100,IF(AB7&lt;=24,Assumptions!$D$101,Assumptions!$D$102))</f>
        <v>6000</v>
      </c>
      <c r="AC70" s="17" t="n">
        <f aca="false">IF(AC7&lt;=12,Assumptions!$D$100,IF(AC7&lt;=24,Assumptions!$D$101,Assumptions!$D$102))</f>
        <v>6000</v>
      </c>
      <c r="AD70" s="17" t="n">
        <f aca="false">IF(AD7&lt;=12,Assumptions!$D$100,IF(AD7&lt;=24,Assumptions!$D$101,Assumptions!$D$102))</f>
        <v>6000</v>
      </c>
      <c r="AE70" s="17" t="n">
        <f aca="false">IF(AE7&lt;=12,Assumptions!$D$100,IF(AE7&lt;=24,Assumptions!$D$101,Assumptions!$D$102))</f>
        <v>6000</v>
      </c>
      <c r="AF70" s="17" t="n">
        <f aca="false">IF(AF7&lt;=12,Assumptions!$D$100,IF(AF7&lt;=24,Assumptions!$D$101,Assumptions!$D$102))</f>
        <v>6000</v>
      </c>
      <c r="AG70" s="17" t="n">
        <f aca="false">IF(AG7&lt;=12,Assumptions!$D$100,IF(AG7&lt;=24,Assumptions!$D$101,Assumptions!$D$102))</f>
        <v>6000</v>
      </c>
      <c r="AH70" s="17" t="n">
        <f aca="false">IF(AH7&lt;=12,Assumptions!$D$100,IF(AH7&lt;=24,Assumptions!$D$101,Assumptions!$D$102))</f>
        <v>6000</v>
      </c>
      <c r="AI70" s="17" t="n">
        <f aca="false">IF(AI7&lt;=12,Assumptions!$D$100,IF(AI7&lt;=24,Assumptions!$D$101,Assumptions!$D$102))</f>
        <v>6000</v>
      </c>
      <c r="AJ70" s="17" t="n">
        <f aca="false">IF(AJ7&lt;=12,Assumptions!$D$100,IF(AJ7&lt;=24,Assumptions!$D$101,Assumptions!$D$102))</f>
        <v>6000</v>
      </c>
      <c r="AK70" s="17" t="n">
        <f aca="false">IF(AK7&lt;=12,Assumptions!$D$100,IF(AK7&lt;=24,Assumptions!$D$101,Assumptions!$D$102))</f>
        <v>6000</v>
      </c>
      <c r="AL70" s="17" t="n">
        <f aca="false">IF(AL7&lt;=12,Assumptions!$D$100,IF(AL7&lt;=24,Assumptions!$D$101,Assumptions!$D$102))</f>
        <v>6000</v>
      </c>
      <c r="AM70" s="17" t="n">
        <f aca="false">IF(AM7&lt;=12,Assumptions!$D$100,IF(AM7&lt;=24,Assumptions!$D$101,Assumptions!$D$102))</f>
        <v>6000</v>
      </c>
      <c r="AN70" s="44" t="n">
        <f aca="false">IF(AN7&lt;=12,Assumptions!$D$100,IF(AN7&lt;=24,Assumptions!$D$101,Assumptions!$D$102))</f>
        <v>6000</v>
      </c>
      <c r="AO70" s="44" t="n">
        <f aca="false">IF(AO7&lt;=12,Assumptions!$D$100,IF(AO7&lt;=24,Assumptions!$D$101,Assumptions!$D$102))</f>
        <v>6000</v>
      </c>
      <c r="AP70" s="44" t="n">
        <f aca="false">IF(AP7&lt;=12,Assumptions!$D$100,IF(AP7&lt;=24,Assumptions!$D$101,Assumptions!$D$102))</f>
        <v>6000</v>
      </c>
      <c r="AQ70" s="44" t="n">
        <f aca="false">IF(AQ7&lt;=12,Assumptions!$D$100,IF(AQ7&lt;=24,Assumptions!$D$101,Assumptions!$D$102))</f>
        <v>6000</v>
      </c>
      <c r="AR70" s="44" t="n">
        <f aca="false">IF(AR7&lt;=12,Assumptions!$D$100,IF(AR7&lt;=24,Assumptions!$D$101,Assumptions!$D$102))</f>
        <v>6000</v>
      </c>
      <c r="AS70" s="44" t="n">
        <f aca="false">IF(AS7&lt;=12,Assumptions!$D$100,IF(AS7&lt;=24,Assumptions!$D$101,Assumptions!$D$102))</f>
        <v>6000</v>
      </c>
      <c r="AT70" s="44" t="n">
        <f aca="false">IF(AT7&lt;=12,Assumptions!$D$100,IF(AT7&lt;=24,Assumptions!$D$101,Assumptions!$D$102))</f>
        <v>6000</v>
      </c>
      <c r="AU70" s="44" t="n">
        <f aca="false">IF(AU7&lt;=12,Assumptions!$D$100,IF(AU7&lt;=24,Assumptions!$D$101,Assumptions!$D$102))</f>
        <v>6000</v>
      </c>
      <c r="AV70" s="44" t="n">
        <f aca="false">IF(AV7&lt;=12,Assumptions!$D$100,IF(AV7&lt;=24,Assumptions!$D$101,Assumptions!$D$102))</f>
        <v>6000</v>
      </c>
      <c r="AW70" s="44" t="n">
        <f aca="false">IF(AW7&lt;=12,Assumptions!$D$100,IF(AW7&lt;=24,Assumptions!$D$101,Assumptions!$D$102))</f>
        <v>6000</v>
      </c>
      <c r="AX70" s="44" t="n">
        <f aca="false">IF(AX7&lt;=12,Assumptions!$D$100,IF(AX7&lt;=24,Assumptions!$D$101,Assumptions!$D$102))</f>
        <v>6000</v>
      </c>
      <c r="AY70" s="44" t="n">
        <f aca="false">IF(AY7&lt;=12,Assumptions!$D$100,IF(AY7&lt;=24,Assumptions!$D$101,Assumptions!$D$102))</f>
        <v>6000</v>
      </c>
      <c r="AZ70" s="44" t="n">
        <f aca="false">IF(AZ7&lt;=12,Assumptions!$D$100,IF(AZ7&lt;=24,Assumptions!$D$101,Assumptions!$D$102))</f>
        <v>6000</v>
      </c>
      <c r="BA70" s="44" t="n">
        <f aca="false">IF(BA7&lt;=12,Assumptions!$D$100,IF(BA7&lt;=24,Assumptions!$D$101,Assumptions!$D$102))</f>
        <v>6000</v>
      </c>
      <c r="BB70" s="44" t="n">
        <f aca="false">IF(BB7&lt;=12,Assumptions!$D$100,IF(BB7&lt;=24,Assumptions!$D$101,Assumptions!$D$102))</f>
        <v>6000</v>
      </c>
      <c r="BC70" s="44" t="n">
        <f aca="false">IF(BC7&lt;=12,Assumptions!$D$100,IF(BC7&lt;=24,Assumptions!$D$101,Assumptions!$D$102))</f>
        <v>6000</v>
      </c>
      <c r="BD70" s="44" t="n">
        <f aca="false">IF(BD7&lt;=12,Assumptions!$D$100,IF(BD7&lt;=24,Assumptions!$D$101,Assumptions!$D$102))</f>
        <v>6000</v>
      </c>
      <c r="BE70" s="44" t="n">
        <f aca="false">IF(BE7&lt;=12,Assumptions!$D$100,IF(BE7&lt;=24,Assumptions!$D$101,Assumptions!$D$102))</f>
        <v>6000</v>
      </c>
      <c r="BF70" s="44" t="n">
        <f aca="false">IF(BF7&lt;=12,Assumptions!$D$100,IF(BF7&lt;=24,Assumptions!$D$101,Assumptions!$D$102))</f>
        <v>6000</v>
      </c>
      <c r="BG70" s="44" t="n">
        <f aca="false">IF(BG7&lt;=12,Assumptions!$D$100,IF(BG7&lt;=24,Assumptions!$D$101,Assumptions!$D$102))</f>
        <v>6000</v>
      </c>
      <c r="BH70" s="44" t="n">
        <f aca="false">IF(BH7&lt;=12,Assumptions!$D$100,IF(BH7&lt;=24,Assumptions!$D$101,Assumptions!$D$102))</f>
        <v>6000</v>
      </c>
      <c r="BI70" s="44" t="n">
        <f aca="false">IF(BI7&lt;=12,Assumptions!$D$100,IF(BI7&lt;=24,Assumptions!$D$101,Assumptions!$D$102))</f>
        <v>6000</v>
      </c>
      <c r="BJ70" s="44" t="n">
        <f aca="false">IF(BJ7&lt;=12,Assumptions!$D$100,IF(BJ7&lt;=24,Assumptions!$D$101,Assumptions!$D$102))</f>
        <v>6000</v>
      </c>
      <c r="BK70" s="44" t="n">
        <f aca="false">IF(BK7&lt;=12,Assumptions!$D$100,IF(BK7&lt;=24,Assumptions!$D$101,Assumptions!$D$102))</f>
        <v>6000</v>
      </c>
    </row>
    <row r="71" customFormat="false" ht="15" hidden="false" customHeight="false" outlineLevel="0" collapsed="false">
      <c r="A71" s="28" t="s">
        <v>652</v>
      </c>
      <c r="B71" s="6" t="s">
        <v>653</v>
      </c>
      <c r="C71" s="43"/>
      <c r="D71" s="17" t="n">
        <f aca="false">INT(D13/Assumptions!$D$103)*Assumptions!$D$104</f>
        <v>0</v>
      </c>
      <c r="E71" s="17" t="n">
        <f aca="false">INT(E13/Assumptions!$D$103)*Assumptions!$D$104</f>
        <v>0</v>
      </c>
      <c r="F71" s="17" t="n">
        <f aca="false">INT(F13/Assumptions!$D$103)*Assumptions!$D$104</f>
        <v>0</v>
      </c>
      <c r="G71" s="17" t="n">
        <f aca="false">INT(G13/Assumptions!$D$103)*Assumptions!$D$104</f>
        <v>0</v>
      </c>
      <c r="H71" s="17" t="n">
        <f aca="false">INT(H13/Assumptions!$D$103)*Assumptions!$D$104</f>
        <v>0</v>
      </c>
      <c r="I71" s="17" t="n">
        <f aca="false">INT(I13/Assumptions!$D$103)*Assumptions!$D$104</f>
        <v>0</v>
      </c>
      <c r="J71" s="17" t="n">
        <f aca="false">INT(J13/Assumptions!$D$103)*Assumptions!$D$104</f>
        <v>0</v>
      </c>
      <c r="K71" s="17" t="n">
        <f aca="false">INT(K13/Assumptions!$D$103)*Assumptions!$D$104</f>
        <v>0</v>
      </c>
      <c r="L71" s="17" t="n">
        <f aca="false">INT(L13/Assumptions!$D$103)*Assumptions!$D$104</f>
        <v>0</v>
      </c>
      <c r="M71" s="17" t="n">
        <f aca="false">INT(M13/Assumptions!$D$103)*Assumptions!$D$104</f>
        <v>0</v>
      </c>
      <c r="N71" s="17" t="n">
        <f aca="false">INT(N13/Assumptions!$D$103)*Assumptions!$D$104</f>
        <v>0</v>
      </c>
      <c r="O71" s="17" t="n">
        <f aca="false">INT(O13/Assumptions!$D$103)*Assumptions!$D$104</f>
        <v>0</v>
      </c>
      <c r="P71" s="17" t="n">
        <f aca="false">INT(P13/Assumptions!$D$103)*Assumptions!$D$104</f>
        <v>0</v>
      </c>
      <c r="Q71" s="17" t="n">
        <f aca="false">INT(Q13/Assumptions!$D$103)*Assumptions!$D$104</f>
        <v>0</v>
      </c>
      <c r="R71" s="17" t="n">
        <f aca="false">INT(R13/Assumptions!$D$103)*Assumptions!$D$104</f>
        <v>0</v>
      </c>
      <c r="S71" s="17" t="n">
        <f aca="false">INT(S13/Assumptions!$D$103)*Assumptions!$D$104</f>
        <v>0</v>
      </c>
      <c r="T71" s="17" t="n">
        <f aca="false">INT(T13/Assumptions!$D$103)*Assumptions!$D$104</f>
        <v>0</v>
      </c>
      <c r="U71" s="17" t="n">
        <f aca="false">INT(U13/Assumptions!$D$103)*Assumptions!$D$104</f>
        <v>0</v>
      </c>
      <c r="V71" s="17" t="n">
        <f aca="false">INT(V13/Assumptions!$D$103)*Assumptions!$D$104</f>
        <v>0</v>
      </c>
      <c r="W71" s="17" t="n">
        <f aca="false">INT(W13/Assumptions!$D$103)*Assumptions!$D$104</f>
        <v>0</v>
      </c>
      <c r="X71" s="17" t="n">
        <f aca="false">INT(X13/Assumptions!$D$103)*Assumptions!$D$104</f>
        <v>0</v>
      </c>
      <c r="Y71" s="17" t="n">
        <f aca="false">INT(Y13/Assumptions!$D$103)*Assumptions!$D$104</f>
        <v>0</v>
      </c>
      <c r="Z71" s="17" t="n">
        <f aca="false">INT(Z13/Assumptions!$D$103)*Assumptions!$D$104</f>
        <v>0</v>
      </c>
      <c r="AA71" s="17" t="n">
        <f aca="false">INT(AA13/Assumptions!$D$103)*Assumptions!$D$104</f>
        <v>0</v>
      </c>
      <c r="AB71" s="17" t="n">
        <f aca="false">INT(AB13/Assumptions!$D$103)*Assumptions!$D$104</f>
        <v>0</v>
      </c>
      <c r="AC71" s="17" t="n">
        <f aca="false">INT(AC13/Assumptions!$D$103)*Assumptions!$D$104</f>
        <v>0</v>
      </c>
      <c r="AD71" s="17" t="n">
        <f aca="false">INT(AD13/Assumptions!$D$103)*Assumptions!$D$104</f>
        <v>0</v>
      </c>
      <c r="AE71" s="17" t="n">
        <f aca="false">INT(AE13/Assumptions!$D$103)*Assumptions!$D$104</f>
        <v>0</v>
      </c>
      <c r="AF71" s="17" t="n">
        <f aca="false">INT(AF13/Assumptions!$D$103)*Assumptions!$D$104</f>
        <v>0</v>
      </c>
      <c r="AG71" s="17" t="n">
        <f aca="false">INT(AG13/Assumptions!$D$103)*Assumptions!$D$104</f>
        <v>0</v>
      </c>
      <c r="AH71" s="17" t="n">
        <f aca="false">INT(AH13/Assumptions!$D$103)*Assumptions!$D$104</f>
        <v>0</v>
      </c>
      <c r="AI71" s="17" t="n">
        <f aca="false">INT(AI13/Assumptions!$D$103)*Assumptions!$D$104</f>
        <v>0</v>
      </c>
      <c r="AJ71" s="17" t="n">
        <f aca="false">INT(AJ13/Assumptions!$D$103)*Assumptions!$D$104</f>
        <v>0</v>
      </c>
      <c r="AK71" s="17" t="n">
        <f aca="false">INT(AK13/Assumptions!$D$103)*Assumptions!$D$104</f>
        <v>0</v>
      </c>
      <c r="AL71" s="17" t="n">
        <f aca="false">INT(AL13/Assumptions!$D$103)*Assumptions!$D$104</f>
        <v>0</v>
      </c>
      <c r="AM71" s="17" t="n">
        <f aca="false">INT(AM13/Assumptions!$D$103)*Assumptions!$D$104</f>
        <v>0</v>
      </c>
      <c r="AN71" s="44" t="n">
        <f aca="false">INT(AN13/Assumptions!$D$103)*Assumptions!$D$104</f>
        <v>0</v>
      </c>
      <c r="AO71" s="44" t="n">
        <f aca="false">INT(AO13/Assumptions!$D$103)*Assumptions!$D$104</f>
        <v>0</v>
      </c>
      <c r="AP71" s="44" t="n">
        <f aca="false">INT(AP13/Assumptions!$D$103)*Assumptions!$D$104</f>
        <v>0</v>
      </c>
      <c r="AQ71" s="44" t="n">
        <f aca="false">INT(AQ13/Assumptions!$D$103)*Assumptions!$D$104</f>
        <v>0</v>
      </c>
      <c r="AR71" s="44" t="n">
        <f aca="false">INT(AR13/Assumptions!$D$103)*Assumptions!$D$104</f>
        <v>0</v>
      </c>
      <c r="AS71" s="44" t="n">
        <f aca="false">INT(AS13/Assumptions!$D$103)*Assumptions!$D$104</f>
        <v>0</v>
      </c>
      <c r="AT71" s="44" t="n">
        <f aca="false">INT(AT13/Assumptions!$D$103)*Assumptions!$D$104</f>
        <v>0</v>
      </c>
      <c r="AU71" s="44" t="n">
        <f aca="false">INT(AU13/Assumptions!$D$103)*Assumptions!$D$104</f>
        <v>0</v>
      </c>
      <c r="AV71" s="44" t="n">
        <f aca="false">INT(AV13/Assumptions!$D$103)*Assumptions!$D$104</f>
        <v>0</v>
      </c>
      <c r="AW71" s="44" t="n">
        <f aca="false">INT(AW13/Assumptions!$D$103)*Assumptions!$D$104</f>
        <v>0</v>
      </c>
      <c r="AX71" s="44" t="n">
        <f aca="false">INT(AX13/Assumptions!$D$103)*Assumptions!$D$104</f>
        <v>0</v>
      </c>
      <c r="AY71" s="44" t="n">
        <f aca="false">INT(AY13/Assumptions!$D$103)*Assumptions!$D$104</f>
        <v>0</v>
      </c>
      <c r="AZ71" s="44" t="n">
        <f aca="false">INT(AZ13/Assumptions!$D$103)*Assumptions!$D$104</f>
        <v>0</v>
      </c>
      <c r="BA71" s="44" t="n">
        <f aca="false">INT(BA13/Assumptions!$D$103)*Assumptions!$D$104</f>
        <v>0</v>
      </c>
      <c r="BB71" s="44" t="n">
        <f aca="false">INT(BB13/Assumptions!$D$103)*Assumptions!$D$104</f>
        <v>0</v>
      </c>
      <c r="BC71" s="44" t="n">
        <f aca="false">INT(BC13/Assumptions!$D$103)*Assumptions!$D$104</f>
        <v>0</v>
      </c>
      <c r="BD71" s="44" t="n">
        <f aca="false">INT(BD13/Assumptions!$D$103)*Assumptions!$D$104</f>
        <v>0</v>
      </c>
      <c r="BE71" s="44" t="n">
        <f aca="false">INT(BE13/Assumptions!$D$103)*Assumptions!$D$104</f>
        <v>0</v>
      </c>
      <c r="BF71" s="44" t="n">
        <f aca="false">INT(BF13/Assumptions!$D$103)*Assumptions!$D$104</f>
        <v>0</v>
      </c>
      <c r="BG71" s="44" t="n">
        <f aca="false">INT(BG13/Assumptions!$D$103)*Assumptions!$D$104</f>
        <v>0</v>
      </c>
      <c r="BH71" s="44" t="n">
        <f aca="false">INT(BH13/Assumptions!$D$103)*Assumptions!$D$104</f>
        <v>0</v>
      </c>
      <c r="BI71" s="44" t="n">
        <f aca="false">INT(BI13/Assumptions!$D$103)*Assumptions!$D$104</f>
        <v>0</v>
      </c>
      <c r="BJ71" s="44" t="n">
        <f aca="false">INT(BJ13/Assumptions!$D$103)*Assumptions!$D$104</f>
        <v>0</v>
      </c>
      <c r="BK71" s="44" t="n">
        <f aca="false">INT(BK13/Assumptions!$D$103)*Assumptions!$D$104</f>
        <v>0</v>
      </c>
    </row>
    <row r="72" customFormat="false" ht="15" hidden="false" customHeight="false" outlineLevel="0" collapsed="false">
      <c r="A72" s="28" t="s">
        <v>654</v>
      </c>
      <c r="B72" s="6" t="s">
        <v>341</v>
      </c>
      <c r="C72" s="43"/>
      <c r="D72" s="17" t="n">
        <f aca="false">IF(D7&gt;=Assumptions!$D$106,Assumptions!$D$105,0)</f>
        <v>0</v>
      </c>
      <c r="E72" s="17" t="n">
        <f aca="false">IF(E7&gt;=Assumptions!$D$106,Assumptions!$D$105,0)</f>
        <v>0</v>
      </c>
      <c r="F72" s="17" t="n">
        <f aca="false">IF(F7&gt;=Assumptions!$D$106,Assumptions!$D$105,0)</f>
        <v>0</v>
      </c>
      <c r="G72" s="17" t="n">
        <f aca="false">IF(G7&gt;=Assumptions!$D$106,Assumptions!$D$105,0)</f>
        <v>0</v>
      </c>
      <c r="H72" s="17" t="n">
        <f aca="false">IF(H7&gt;=Assumptions!$D$106,Assumptions!$D$105,0)</f>
        <v>0</v>
      </c>
      <c r="I72" s="17" t="n">
        <f aca="false">IF(I7&gt;=Assumptions!$D$106,Assumptions!$D$105,0)</f>
        <v>0</v>
      </c>
      <c r="J72" s="17" t="n">
        <f aca="false">IF(J7&gt;=Assumptions!$D$106,Assumptions!$D$105,0)</f>
        <v>0</v>
      </c>
      <c r="K72" s="17" t="n">
        <f aca="false">IF(K7&gt;=Assumptions!$D$106,Assumptions!$D$105,0)</f>
        <v>0</v>
      </c>
      <c r="L72" s="17" t="n">
        <f aca="false">IF(L7&gt;=Assumptions!$D$106,Assumptions!$D$105,0)</f>
        <v>0</v>
      </c>
      <c r="M72" s="17" t="n">
        <f aca="false">IF(M7&gt;=Assumptions!$D$106,Assumptions!$D$105,0)</f>
        <v>0</v>
      </c>
      <c r="N72" s="17" t="n">
        <f aca="false">IF(N7&gt;=Assumptions!$D$106,Assumptions!$D$105,0)</f>
        <v>0</v>
      </c>
      <c r="O72" s="17" t="n">
        <f aca="false">IF(O7&gt;=Assumptions!$D$106,Assumptions!$D$105,0)</f>
        <v>0</v>
      </c>
      <c r="P72" s="17" t="n">
        <f aca="false">IF(P7&gt;=Assumptions!$D$106,Assumptions!$D$105,0)</f>
        <v>0</v>
      </c>
      <c r="Q72" s="17" t="n">
        <f aca="false">IF(Q7&gt;=Assumptions!$D$106,Assumptions!$D$105,0)</f>
        <v>0</v>
      </c>
      <c r="R72" s="17" t="n">
        <f aca="false">IF(R7&gt;=Assumptions!$D$106,Assumptions!$D$105,0)</f>
        <v>0</v>
      </c>
      <c r="S72" s="17" t="n">
        <f aca="false">IF(S7&gt;=Assumptions!$D$106,Assumptions!$D$105,0)</f>
        <v>0</v>
      </c>
      <c r="T72" s="17" t="n">
        <f aca="false">IF(T7&gt;=Assumptions!$D$106,Assumptions!$D$105,0)</f>
        <v>0</v>
      </c>
      <c r="U72" s="17" t="n">
        <f aca="false">IF(U7&gt;=Assumptions!$D$106,Assumptions!$D$105,0)</f>
        <v>0</v>
      </c>
      <c r="V72" s="17" t="n">
        <f aca="false">IF(V7&gt;=Assumptions!$D$106,Assumptions!$D$105,0)</f>
        <v>0</v>
      </c>
      <c r="W72" s="17" t="n">
        <f aca="false">IF(W7&gt;=Assumptions!$D$106,Assumptions!$D$105,0)</f>
        <v>0</v>
      </c>
      <c r="X72" s="17" t="n">
        <f aca="false">IF(X7&gt;=Assumptions!$D$106,Assumptions!$D$105,0)</f>
        <v>0</v>
      </c>
      <c r="Y72" s="17" t="n">
        <f aca="false">IF(Y7&gt;=Assumptions!$D$106,Assumptions!$D$105,0)</f>
        <v>0</v>
      </c>
      <c r="Z72" s="17" t="n">
        <f aca="false">IF(Z7&gt;=Assumptions!$D$106,Assumptions!$D$105,0)</f>
        <v>0</v>
      </c>
      <c r="AA72" s="17" t="n">
        <f aca="false">IF(AA7&gt;=Assumptions!$D$106,Assumptions!$D$105,0)</f>
        <v>0</v>
      </c>
      <c r="AB72" s="17" t="n">
        <f aca="false">IF(AB7&gt;=Assumptions!$D$106,Assumptions!$D$105,0)</f>
        <v>0</v>
      </c>
      <c r="AC72" s="17" t="n">
        <f aca="false">IF(AC7&gt;=Assumptions!$D$106,Assumptions!$D$105,0)</f>
        <v>0</v>
      </c>
      <c r="AD72" s="17" t="n">
        <f aca="false">IF(AD7&gt;=Assumptions!$D$106,Assumptions!$D$105,0)</f>
        <v>0</v>
      </c>
      <c r="AE72" s="17" t="n">
        <f aca="false">IF(AE7&gt;=Assumptions!$D$106,Assumptions!$D$105,0)</f>
        <v>0</v>
      </c>
      <c r="AF72" s="17" t="n">
        <f aca="false">IF(AF7&gt;=Assumptions!$D$106,Assumptions!$D$105,0)</f>
        <v>0</v>
      </c>
      <c r="AG72" s="17" t="n">
        <f aca="false">IF(AG7&gt;=Assumptions!$D$106,Assumptions!$D$105,0)</f>
        <v>0</v>
      </c>
      <c r="AH72" s="17" t="n">
        <f aca="false">IF(AH7&gt;=Assumptions!$D$106,Assumptions!$D$105,0)</f>
        <v>0</v>
      </c>
      <c r="AI72" s="17" t="n">
        <f aca="false">IF(AI7&gt;=Assumptions!$D$106,Assumptions!$D$105,0)</f>
        <v>0</v>
      </c>
      <c r="AJ72" s="17" t="n">
        <f aca="false">IF(AJ7&gt;=Assumptions!$D$106,Assumptions!$D$105,0)</f>
        <v>0</v>
      </c>
      <c r="AK72" s="17" t="n">
        <f aca="false">IF(AK7&gt;=Assumptions!$D$106,Assumptions!$D$105,0)</f>
        <v>0</v>
      </c>
      <c r="AL72" s="17" t="n">
        <f aca="false">IF(AL7&gt;=Assumptions!$D$106,Assumptions!$D$105,0)</f>
        <v>0</v>
      </c>
      <c r="AM72" s="17" t="n">
        <f aca="false">IF(AM7&gt;=Assumptions!$D$106,Assumptions!$D$105,0)</f>
        <v>0</v>
      </c>
      <c r="AN72" s="44" t="n">
        <f aca="false">IF(AN7&gt;=Assumptions!$D$106,Assumptions!$D$105,0)</f>
        <v>0</v>
      </c>
      <c r="AO72" s="44" t="n">
        <f aca="false">IF(AO7&gt;=Assumptions!$D$106,Assumptions!$D$105,0)</f>
        <v>0</v>
      </c>
      <c r="AP72" s="44" t="n">
        <f aca="false">IF(AP7&gt;=Assumptions!$D$106,Assumptions!$D$105,0)</f>
        <v>0</v>
      </c>
      <c r="AQ72" s="44" t="n">
        <f aca="false">IF(AQ7&gt;=Assumptions!$D$106,Assumptions!$D$105,0)</f>
        <v>0</v>
      </c>
      <c r="AR72" s="44" t="n">
        <f aca="false">IF(AR7&gt;=Assumptions!$D$106,Assumptions!$D$105,0)</f>
        <v>0</v>
      </c>
      <c r="AS72" s="44" t="n">
        <f aca="false">IF(AS7&gt;=Assumptions!$D$106,Assumptions!$D$105,0)</f>
        <v>0</v>
      </c>
      <c r="AT72" s="44" t="n">
        <f aca="false">IF(AT7&gt;=Assumptions!$D$106,Assumptions!$D$105,0)</f>
        <v>0</v>
      </c>
      <c r="AU72" s="44" t="n">
        <f aca="false">IF(AU7&gt;=Assumptions!$D$106,Assumptions!$D$105,0)</f>
        <v>0</v>
      </c>
      <c r="AV72" s="44" t="n">
        <f aca="false">IF(AV7&gt;=Assumptions!$D$106,Assumptions!$D$105,0)</f>
        <v>0</v>
      </c>
      <c r="AW72" s="44" t="n">
        <f aca="false">IF(AW7&gt;=Assumptions!$D$106,Assumptions!$D$105,0)</f>
        <v>0</v>
      </c>
      <c r="AX72" s="44" t="n">
        <f aca="false">IF(AX7&gt;=Assumptions!$D$106,Assumptions!$D$105,0)</f>
        <v>0</v>
      </c>
      <c r="AY72" s="44" t="n">
        <f aca="false">IF(AY7&gt;=Assumptions!$D$106,Assumptions!$D$105,0)</f>
        <v>0</v>
      </c>
      <c r="AZ72" s="44" t="n">
        <f aca="false">IF(AZ7&gt;=Assumptions!$D$106,Assumptions!$D$105,0)</f>
        <v>0</v>
      </c>
      <c r="BA72" s="44" t="n">
        <f aca="false">IF(BA7&gt;=Assumptions!$D$106,Assumptions!$D$105,0)</f>
        <v>0</v>
      </c>
      <c r="BB72" s="44" t="n">
        <f aca="false">IF(BB7&gt;=Assumptions!$D$106,Assumptions!$D$105,0)</f>
        <v>0</v>
      </c>
      <c r="BC72" s="44" t="n">
        <f aca="false">IF(BC7&gt;=Assumptions!$D$106,Assumptions!$D$105,0)</f>
        <v>0</v>
      </c>
      <c r="BD72" s="44" t="n">
        <f aca="false">IF(BD7&gt;=Assumptions!$D$106,Assumptions!$D$105,0)</f>
        <v>0</v>
      </c>
      <c r="BE72" s="44" t="n">
        <f aca="false">IF(BE7&gt;=Assumptions!$D$106,Assumptions!$D$105,0)</f>
        <v>0</v>
      </c>
      <c r="BF72" s="44" t="n">
        <f aca="false">IF(BF7&gt;=Assumptions!$D$106,Assumptions!$D$105,0)</f>
        <v>0</v>
      </c>
      <c r="BG72" s="44" t="n">
        <f aca="false">IF(BG7&gt;=Assumptions!$D$106,Assumptions!$D$105,0)</f>
        <v>0</v>
      </c>
      <c r="BH72" s="44" t="n">
        <f aca="false">IF(BH7&gt;=Assumptions!$D$106,Assumptions!$D$105,0)</f>
        <v>0</v>
      </c>
      <c r="BI72" s="44" t="n">
        <f aca="false">IF(BI7&gt;=Assumptions!$D$106,Assumptions!$D$105,0)</f>
        <v>0</v>
      </c>
      <c r="BJ72" s="44" t="n">
        <f aca="false">IF(BJ7&gt;=Assumptions!$D$106,Assumptions!$D$105,0)</f>
        <v>0</v>
      </c>
      <c r="BK72" s="44" t="n">
        <f aca="false">IF(BK7&gt;=Assumptions!$D$106,Assumptions!$D$105,0)</f>
        <v>0</v>
      </c>
    </row>
    <row r="73" customFormat="false" ht="15" hidden="false" customHeight="false" outlineLevel="0" collapsed="false">
      <c r="A73" s="28" t="s">
        <v>655</v>
      </c>
      <c r="B73" s="6" t="s">
        <v>656</v>
      </c>
      <c r="C73" s="43"/>
      <c r="D73" s="22" t="n">
        <f aca="false">Assumptions!C$144</f>
        <v>3500</v>
      </c>
      <c r="E73" s="22" t="n">
        <f aca="false">Assumptions!D$144</f>
        <v>1500</v>
      </c>
      <c r="F73" s="22" t="n">
        <f aca="false">Assumptions!E$144</f>
        <v>3000</v>
      </c>
      <c r="G73" s="22" t="n">
        <f aca="false">Assumptions!F$144</f>
        <v>0</v>
      </c>
      <c r="H73" s="22" t="n">
        <f aca="false">Assumptions!G$144</f>
        <v>0</v>
      </c>
      <c r="I73" s="22" t="n">
        <f aca="false">Assumptions!H$144</f>
        <v>0</v>
      </c>
      <c r="J73" s="22" t="n">
        <f aca="false">Assumptions!I$144</f>
        <v>0</v>
      </c>
      <c r="K73" s="22" t="n">
        <f aca="false">Assumptions!J$144</f>
        <v>0</v>
      </c>
      <c r="L73" s="22" t="n">
        <f aca="false">Assumptions!K$144</f>
        <v>0</v>
      </c>
      <c r="M73" s="22" t="n">
        <f aca="false">Assumptions!L$144</f>
        <v>0</v>
      </c>
      <c r="N73" s="22" t="n">
        <f aca="false">Assumptions!M$144</f>
        <v>0</v>
      </c>
      <c r="O73" s="22" t="n">
        <f aca="false">Assumptions!N$144</f>
        <v>0</v>
      </c>
      <c r="P73" s="22" t="n">
        <f aca="false">Assumptions!O$144</f>
        <v>0</v>
      </c>
      <c r="Q73" s="22" t="n">
        <f aca="false">Assumptions!P$144</f>
        <v>0</v>
      </c>
      <c r="R73" s="22" t="n">
        <f aca="false">Assumptions!Q$144</f>
        <v>0</v>
      </c>
      <c r="S73" s="22" t="n">
        <f aca="false">Assumptions!R$144</f>
        <v>0</v>
      </c>
      <c r="T73" s="22" t="n">
        <f aca="false">Assumptions!S$144</f>
        <v>0</v>
      </c>
      <c r="U73" s="22" t="n">
        <f aca="false">Assumptions!T$144</f>
        <v>0</v>
      </c>
      <c r="V73" s="22" t="n">
        <f aca="false">Assumptions!U$144</f>
        <v>0</v>
      </c>
      <c r="W73" s="22" t="n">
        <f aca="false">Assumptions!V$144</f>
        <v>0</v>
      </c>
      <c r="X73" s="22" t="n">
        <f aca="false">Assumptions!W$144</f>
        <v>0</v>
      </c>
      <c r="Y73" s="22" t="n">
        <f aca="false">Assumptions!X$144</f>
        <v>0</v>
      </c>
      <c r="Z73" s="22" t="n">
        <f aca="false">Assumptions!Y$144</f>
        <v>0</v>
      </c>
      <c r="AA73" s="22" t="n">
        <f aca="false">Assumptions!Z$144</f>
        <v>0</v>
      </c>
      <c r="AB73" s="22" t="n">
        <f aca="false">Assumptions!AA$144</f>
        <v>0</v>
      </c>
      <c r="AC73" s="22" t="n">
        <f aca="false">Assumptions!AB$144</f>
        <v>0</v>
      </c>
      <c r="AD73" s="22" t="n">
        <f aca="false">Assumptions!AC$144</f>
        <v>0</v>
      </c>
      <c r="AE73" s="22" t="n">
        <f aca="false">Assumptions!AD$144</f>
        <v>0</v>
      </c>
      <c r="AF73" s="22" t="n">
        <f aca="false">Assumptions!AE$144</f>
        <v>0</v>
      </c>
      <c r="AG73" s="22" t="n">
        <f aca="false">Assumptions!AF$144</f>
        <v>0</v>
      </c>
      <c r="AH73" s="22" t="n">
        <f aca="false">Assumptions!AG$144</f>
        <v>0</v>
      </c>
      <c r="AI73" s="22" t="n">
        <f aca="false">Assumptions!AH$144</f>
        <v>0</v>
      </c>
      <c r="AJ73" s="22" t="n">
        <f aca="false">Assumptions!AI$144</f>
        <v>0</v>
      </c>
      <c r="AK73" s="22" t="n">
        <f aca="false">Assumptions!AJ$144</f>
        <v>0</v>
      </c>
      <c r="AL73" s="22" t="n">
        <f aca="false">Assumptions!AK$144</f>
        <v>0</v>
      </c>
      <c r="AM73" s="22" t="n">
        <f aca="false">Assumptions!AL$144</f>
        <v>0</v>
      </c>
      <c r="AN73" s="49" t="n">
        <f aca="false">Assumptions!AM$144</f>
        <v>0</v>
      </c>
      <c r="AO73" s="49" t="n">
        <f aca="false">Assumptions!AN$144</f>
        <v>0</v>
      </c>
      <c r="AP73" s="49" t="n">
        <f aca="false">Assumptions!AO$144</f>
        <v>0</v>
      </c>
      <c r="AQ73" s="49" t="n">
        <f aca="false">Assumptions!AP$144</f>
        <v>0</v>
      </c>
      <c r="AR73" s="49" t="n">
        <f aca="false">Assumptions!AQ$144</f>
        <v>0</v>
      </c>
      <c r="AS73" s="49" t="n">
        <f aca="false">Assumptions!AR$144</f>
        <v>0</v>
      </c>
      <c r="AT73" s="49" t="n">
        <f aca="false">Assumptions!AS$144</f>
        <v>0</v>
      </c>
      <c r="AU73" s="49" t="n">
        <f aca="false">Assumptions!AT$144</f>
        <v>0</v>
      </c>
      <c r="AV73" s="49" t="n">
        <f aca="false">Assumptions!AU$144</f>
        <v>0</v>
      </c>
      <c r="AW73" s="49" t="n">
        <f aca="false">Assumptions!AV$144</f>
        <v>0</v>
      </c>
      <c r="AX73" s="49" t="n">
        <f aca="false">Assumptions!AW$144</f>
        <v>0</v>
      </c>
      <c r="AY73" s="49" t="n">
        <f aca="false">Assumptions!AX$144</f>
        <v>0</v>
      </c>
      <c r="AZ73" s="49" t="n">
        <f aca="false">Assumptions!AY$144</f>
        <v>0</v>
      </c>
      <c r="BA73" s="49" t="n">
        <f aca="false">Assumptions!AZ$144</f>
        <v>0</v>
      </c>
      <c r="BB73" s="49" t="n">
        <f aca="false">Assumptions!BA$144</f>
        <v>0</v>
      </c>
      <c r="BC73" s="49" t="n">
        <f aca="false">Assumptions!BB$144</f>
        <v>0</v>
      </c>
      <c r="BD73" s="49" t="n">
        <f aca="false">Assumptions!BC$144</f>
        <v>0</v>
      </c>
      <c r="BE73" s="49" t="n">
        <f aca="false">Assumptions!BD$144</f>
        <v>0</v>
      </c>
      <c r="BF73" s="49" t="n">
        <f aca="false">Assumptions!BE$144</f>
        <v>0</v>
      </c>
      <c r="BG73" s="49" t="n">
        <f aca="false">Assumptions!BF$144</f>
        <v>0</v>
      </c>
      <c r="BH73" s="49" t="n">
        <f aca="false">Assumptions!BG$144</f>
        <v>0</v>
      </c>
      <c r="BI73" s="49" t="n">
        <f aca="false">Assumptions!BH$144</f>
        <v>0</v>
      </c>
      <c r="BJ73" s="49" t="n">
        <f aca="false">Assumptions!BI$144</f>
        <v>0</v>
      </c>
      <c r="BK73" s="49" t="n">
        <f aca="false">Assumptions!BJ$144</f>
        <v>0</v>
      </c>
    </row>
    <row r="74" customFormat="false" ht="15" hidden="false" customHeight="false" outlineLevel="0" collapsed="false">
      <c r="A74" s="28" t="s">
        <v>657</v>
      </c>
      <c r="B74" s="5" t="s">
        <v>658</v>
      </c>
      <c r="C74" s="43"/>
      <c r="D74" s="45" t="n">
        <f aca="false">D69+D70+D71+D72+D73</f>
        <v>8965</v>
      </c>
      <c r="E74" s="45" t="n">
        <f aca="false">E69+E70+E71+E72+E73</f>
        <v>6965</v>
      </c>
      <c r="F74" s="45" t="n">
        <f aca="false">F69+F70+F71+F72+F73</f>
        <v>8465</v>
      </c>
      <c r="G74" s="45" t="n">
        <f aca="false">G69+G70+G71+G72+G73</f>
        <v>5465</v>
      </c>
      <c r="H74" s="45" t="n">
        <f aca="false">H69+H70+H71+H72+H73</f>
        <v>5465</v>
      </c>
      <c r="I74" s="45" t="n">
        <f aca="false">I69+I70+I71+I72+I73</f>
        <v>5465</v>
      </c>
      <c r="J74" s="45" t="n">
        <f aca="false">J69+J70+J71+J72+J73</f>
        <v>5465</v>
      </c>
      <c r="K74" s="45" t="n">
        <f aca="false">K69+K70+K71+K72+K73</f>
        <v>5465</v>
      </c>
      <c r="L74" s="45" t="n">
        <f aca="false">L69+L70+L71+L72+L73</f>
        <v>5465</v>
      </c>
      <c r="M74" s="45" t="n">
        <f aca="false">M69+M70+M71+M72+M73</f>
        <v>5465</v>
      </c>
      <c r="N74" s="45" t="n">
        <f aca="false">N69+N70+N71+N72+N73</f>
        <v>5465</v>
      </c>
      <c r="O74" s="45" t="n">
        <f aca="false">O69+O70+O71+O72+O73</f>
        <v>5465</v>
      </c>
      <c r="P74" s="45" t="n">
        <f aca="false">P69+P70+P71+P72+P73</f>
        <v>6465</v>
      </c>
      <c r="Q74" s="45" t="n">
        <f aca="false">Q69+Q70+Q71+Q72+Q73</f>
        <v>6465</v>
      </c>
      <c r="R74" s="45" t="n">
        <f aca="false">R69+R70+R71+R72+R73</f>
        <v>6465</v>
      </c>
      <c r="S74" s="45" t="n">
        <f aca="false">S69+S70+S71+S72+S73</f>
        <v>6465</v>
      </c>
      <c r="T74" s="45" t="n">
        <f aca="false">T69+T70+T71+T72+T73</f>
        <v>6465</v>
      </c>
      <c r="U74" s="45" t="n">
        <f aca="false">U69+U70+U71+U72+U73</f>
        <v>6465</v>
      </c>
      <c r="V74" s="45" t="n">
        <f aca="false">V69+V70+V71+V72+V73</f>
        <v>6465</v>
      </c>
      <c r="W74" s="45" t="n">
        <f aca="false">W69+W70+W71+W72+W73</f>
        <v>6465</v>
      </c>
      <c r="X74" s="45" t="n">
        <f aca="false">X69+X70+X71+X72+X73</f>
        <v>6465</v>
      </c>
      <c r="Y74" s="45" t="n">
        <f aca="false">Y69+Y70+Y71+Y72+Y73</f>
        <v>6465</v>
      </c>
      <c r="Z74" s="45" t="n">
        <f aca="false">Z69+Z70+Z71+Z72+Z73</f>
        <v>6465</v>
      </c>
      <c r="AA74" s="45" t="n">
        <f aca="false">AA69+AA70+AA71+AA72+AA73</f>
        <v>6465</v>
      </c>
      <c r="AB74" s="45" t="n">
        <f aca="false">AB69+AB70+AB71+AB72+AB73</f>
        <v>7465</v>
      </c>
      <c r="AC74" s="45" t="n">
        <f aca="false">AC69+AC70+AC71+AC72+AC73</f>
        <v>7465</v>
      </c>
      <c r="AD74" s="45" t="n">
        <f aca="false">AD69+AD70+AD71+AD72+AD73</f>
        <v>7465</v>
      </c>
      <c r="AE74" s="45" t="n">
        <f aca="false">AE69+AE70+AE71+AE72+AE73</f>
        <v>7465</v>
      </c>
      <c r="AF74" s="45" t="n">
        <f aca="false">AF69+AF70+AF71+AF72+AF73</f>
        <v>7465</v>
      </c>
      <c r="AG74" s="45" t="n">
        <f aca="false">AG69+AG70+AG71+AG72+AG73</f>
        <v>7465</v>
      </c>
      <c r="AH74" s="45" t="n">
        <f aca="false">AH69+AH70+AH71+AH72+AH73</f>
        <v>7465</v>
      </c>
      <c r="AI74" s="45" t="n">
        <f aca="false">AI69+AI70+AI71+AI72+AI73</f>
        <v>7465</v>
      </c>
      <c r="AJ74" s="45" t="n">
        <f aca="false">AJ69+AJ70+AJ71+AJ72+AJ73</f>
        <v>7465</v>
      </c>
      <c r="AK74" s="45" t="n">
        <f aca="false">AK69+AK70+AK71+AK72+AK73</f>
        <v>7465</v>
      </c>
      <c r="AL74" s="45" t="n">
        <f aca="false">AL69+AL70+AL71+AL72+AL73</f>
        <v>7465</v>
      </c>
      <c r="AM74" s="45" t="n">
        <f aca="false">AM69+AM70+AM71+AM72+AM73</f>
        <v>7465</v>
      </c>
      <c r="AN74" s="46" t="n">
        <f aca="false">AN69+AN70+AN71+AN72+AN73</f>
        <v>7465</v>
      </c>
      <c r="AO74" s="46" t="n">
        <f aca="false">AO69+AO70+AO71+AO72+AO73</f>
        <v>7465</v>
      </c>
      <c r="AP74" s="46" t="n">
        <f aca="false">AP69+AP70+AP71+AP72+AP73</f>
        <v>7465</v>
      </c>
      <c r="AQ74" s="46" t="n">
        <f aca="false">AQ69+AQ70+AQ71+AQ72+AQ73</f>
        <v>7465</v>
      </c>
      <c r="AR74" s="46" t="n">
        <f aca="false">AR69+AR70+AR71+AR72+AR73</f>
        <v>7465</v>
      </c>
      <c r="AS74" s="46" t="n">
        <f aca="false">AS69+AS70+AS71+AS72+AS73</f>
        <v>7465</v>
      </c>
      <c r="AT74" s="46" t="n">
        <f aca="false">AT69+AT70+AT71+AT72+AT73</f>
        <v>7465</v>
      </c>
      <c r="AU74" s="46" t="n">
        <f aca="false">AU69+AU70+AU71+AU72+AU73</f>
        <v>7465</v>
      </c>
      <c r="AV74" s="46" t="n">
        <f aca="false">AV69+AV70+AV71+AV72+AV73</f>
        <v>7465</v>
      </c>
      <c r="AW74" s="46" t="n">
        <f aca="false">AW69+AW70+AW71+AW72+AW73</f>
        <v>7465</v>
      </c>
      <c r="AX74" s="46" t="n">
        <f aca="false">AX69+AX70+AX71+AX72+AX73</f>
        <v>7465</v>
      </c>
      <c r="AY74" s="46" t="n">
        <f aca="false">AY69+AY70+AY71+AY72+AY73</f>
        <v>7465</v>
      </c>
      <c r="AZ74" s="46" t="n">
        <f aca="false">AZ69+AZ70+AZ71+AZ72+AZ73</f>
        <v>7465</v>
      </c>
      <c r="BA74" s="46" t="n">
        <f aca="false">BA69+BA70+BA71+BA72+BA73</f>
        <v>7465</v>
      </c>
      <c r="BB74" s="46" t="n">
        <f aca="false">BB69+BB70+BB71+BB72+BB73</f>
        <v>7465</v>
      </c>
      <c r="BC74" s="46" t="n">
        <f aca="false">BC69+BC70+BC71+BC72+BC73</f>
        <v>7465</v>
      </c>
      <c r="BD74" s="46" t="n">
        <f aca="false">BD69+BD70+BD71+BD72+BD73</f>
        <v>7465</v>
      </c>
      <c r="BE74" s="46" t="n">
        <f aca="false">BE69+BE70+BE71+BE72+BE73</f>
        <v>7465</v>
      </c>
      <c r="BF74" s="46" t="n">
        <f aca="false">BF69+BF70+BF71+BF72+BF73</f>
        <v>7465</v>
      </c>
      <c r="BG74" s="46" t="n">
        <f aca="false">BG69+BG70+BG71+BG72+BG73</f>
        <v>7465</v>
      </c>
      <c r="BH74" s="46" t="n">
        <f aca="false">BH69+BH70+BH71+BH72+BH73</f>
        <v>7465</v>
      </c>
      <c r="BI74" s="46" t="n">
        <f aca="false">BI69+BI70+BI71+BI72+BI73</f>
        <v>7465</v>
      </c>
      <c r="BJ74" s="46" t="n">
        <f aca="false">BJ69+BJ70+BJ71+BJ72+BJ73</f>
        <v>7465</v>
      </c>
      <c r="BK74" s="46" t="n">
        <f aca="false">BK69+BK70+BK71+BK72+BK73</f>
        <v>7465</v>
      </c>
    </row>
    <row r="75" customFormat="false" ht="15" hidden="false" customHeight="false" outlineLevel="0" collapsed="false">
      <c r="B75" s="5" t="s">
        <v>659</v>
      </c>
    </row>
    <row r="76" customFormat="false" ht="15" hidden="false" customHeight="false" outlineLevel="0" collapsed="false">
      <c r="A76" s="28" t="s">
        <v>660</v>
      </c>
      <c r="B76" s="5" t="s">
        <v>661</v>
      </c>
      <c r="C76" s="43"/>
      <c r="D76" s="45" t="n">
        <f aca="false">D59-D67-D74</f>
        <v>-8965</v>
      </c>
      <c r="E76" s="45" t="n">
        <f aca="false">E59-E67-E74</f>
        <v>-6965</v>
      </c>
      <c r="F76" s="45" t="n">
        <f aca="false">F59-F67-F74</f>
        <v>-8465</v>
      </c>
      <c r="G76" s="45" t="n">
        <f aca="false">G59-G67-G74</f>
        <v>-5465</v>
      </c>
      <c r="H76" s="45" t="n">
        <f aca="false">H59-H67-H74</f>
        <v>-6846.1885</v>
      </c>
      <c r="I76" s="45" t="n">
        <f aca="false">I59-I67-I74</f>
        <v>-6047.051005</v>
      </c>
      <c r="J76" s="45" t="n">
        <f aca="false">J59-J67-J74</f>
        <v>-5891.039069375</v>
      </c>
      <c r="K76" s="45" t="n">
        <f aca="false">K59-K67-K74</f>
        <v>-5776.48069276563</v>
      </c>
      <c r="L76" s="45" t="n">
        <f aca="false">L59-L67-L74</f>
        <v>-5681.42613640273</v>
      </c>
      <c r="M76" s="45" t="n">
        <f aca="false">M59-M67-M74</f>
        <v>-5658.02933486423</v>
      </c>
      <c r="N76" s="45" t="n">
        <f aca="false">N59-N67-N74</f>
        <v>-6939.50041005914</v>
      </c>
      <c r="O76" s="45" t="n">
        <f aca="false">O59-O67-O74</f>
        <v>-6147.5711095009</v>
      </c>
      <c r="P76" s="45" t="n">
        <f aca="false">P59-P67-P74</f>
        <v>-6986.65538635148</v>
      </c>
      <c r="Q76" s="45" t="n">
        <f aca="false">Q59-Q67-Q74</f>
        <v>-8260.32175755433</v>
      </c>
      <c r="R76" s="45" t="n">
        <f aca="false">R59-R67-R74</f>
        <v>-7361.95658476554</v>
      </c>
      <c r="S76" s="45" t="n">
        <f aca="false">S59-S67-S74</f>
        <v>-7178.14385690895</v>
      </c>
      <c r="T76" s="45" t="n">
        <f aca="false">T59-T67-T74</f>
        <v>-8351.0078016075</v>
      </c>
      <c r="U76" s="45" t="n">
        <f aca="false">U59-U67-U74</f>
        <v>-8842.31010597677</v>
      </c>
      <c r="V76" s="45" t="n">
        <f aca="false">V59-V67-V74</f>
        <v>-7856.44841033912</v>
      </c>
      <c r="W76" s="45" t="n">
        <f aca="false">W59-W67-W74</f>
        <v>-8869.03927394767</v>
      </c>
      <c r="X76" s="45" t="n">
        <f aca="false">X59-X67-X74</f>
        <v>-9242.60959567254</v>
      </c>
      <c r="Y76" s="45" t="n">
        <f aca="false">Y59-Y67-Y74</f>
        <v>-8159.10415677667</v>
      </c>
      <c r="Z76" s="45" t="n">
        <f aca="false">Z59-Z67-Z74</f>
        <v>-9147.09506706337</v>
      </c>
      <c r="AA76" s="45" t="n">
        <f aca="false">AA59-AA67-AA74</f>
        <v>-9448.23126679513</v>
      </c>
      <c r="AB76" s="45" t="n">
        <f aca="false">AB59-AB67-AB74</f>
        <v>-9354.94011271631</v>
      </c>
      <c r="AC76" s="45" t="n">
        <f aca="false">AC59-AC67-AC74</f>
        <v>-10343.8936120325</v>
      </c>
      <c r="AD76" s="45" t="n">
        <f aca="false">AD59-AD67-AD74</f>
        <v>-10617.2098966634</v>
      </c>
      <c r="AE76" s="45" t="n">
        <f aca="false">AE59-AE67-AE74</f>
        <v>-10898.8164628073</v>
      </c>
      <c r="AF76" s="45" t="n">
        <f aca="false">AF59-AF67-AF74</f>
        <v>-10558.4514163535</v>
      </c>
      <c r="AG76" s="45" t="n">
        <f aca="false">AG59-AG67-AG74</f>
        <v>-10601.7570489508</v>
      </c>
      <c r="AH76" s="45" t="n">
        <f aca="false">AH59-AH67-AH74</f>
        <v>-10788.4503952621</v>
      </c>
      <c r="AI76" s="45" t="n">
        <f aca="false">AI59-AI67-AI74</f>
        <v>-10808.0028437415</v>
      </c>
      <c r="AJ76" s="45" t="n">
        <f aca="false">AJ59-AJ67-AJ74</f>
        <v>-10826.0920768322</v>
      </c>
      <c r="AK76" s="45" t="n">
        <f aca="false">AK59-AK67-AK74</f>
        <v>-10816.9312753819</v>
      </c>
      <c r="AL76" s="45" t="n">
        <f aca="false">AL59-AL67-AL74</f>
        <v>-10831.8912771284</v>
      </c>
      <c r="AM76" s="45" t="n">
        <f aca="false">AM59-AM67-AM74</f>
        <v>-10902.9032428284</v>
      </c>
      <c r="AN76" s="46" t="n">
        <f aca="false">AN59-AN67-AN74</f>
        <v>-10818.2358032555</v>
      </c>
      <c r="AO76" s="46" t="n">
        <f aca="false">AO59-AO67-AO74</f>
        <v>-10759.590435433</v>
      </c>
      <c r="AP76" s="46" t="n">
        <f aca="false">AP59-AP67-AP74</f>
        <v>-10701.5747815164</v>
      </c>
      <c r="AQ76" s="46" t="n">
        <f aca="false">AQ59-AQ67-AQ74</f>
        <v>-10617.5764680531</v>
      </c>
      <c r="AR76" s="46" t="n">
        <f aca="false">AR59-AR67-AR74</f>
        <v>-10533.1088633847</v>
      </c>
      <c r="AS76" s="46" t="n">
        <f aca="false">AS59-AS67-AS74</f>
        <v>-10474.8684080377</v>
      </c>
      <c r="AT76" s="46" t="n">
        <f aca="false">AT59-AT67-AT74</f>
        <v>-10390.8326529539</v>
      </c>
      <c r="AU76" s="46" t="n">
        <f aca="false">AU59-AU67-AU74</f>
        <v>-10306.4666309892</v>
      </c>
      <c r="AV76" s="46" t="n">
        <f aca="false">AV59-AV67-AV74</f>
        <v>-10248.4338436219</v>
      </c>
      <c r="AW76" s="46" t="n">
        <f aca="false">AW59-AW67-AW74</f>
        <v>-10164.689008294</v>
      </c>
      <c r="AX76" s="46" t="n">
        <f aca="false">AX59-AX67-AX74</f>
        <v>-10080.68098508</v>
      </c>
      <c r="AY76" s="46" t="n">
        <f aca="false">AY59-AY67-AY74</f>
        <v>-10068.9320519165</v>
      </c>
      <c r="AZ76" s="46" t="n">
        <f aca="false">AZ59-AZ67-AZ74</f>
        <v>-9985.64705552832</v>
      </c>
      <c r="BA76" s="46" t="n">
        <f aca="false">BA59-BA67-BA74</f>
        <v>-9902.1385801235</v>
      </c>
      <c r="BB76" s="46" t="n">
        <f aca="false">BB59-BB67-BB74</f>
        <v>-9818.48435945559</v>
      </c>
      <c r="BC76" s="46" t="n">
        <f aca="false">BC59-BC67-BC74</f>
        <v>-9734.74431105187</v>
      </c>
      <c r="BD76" s="46" t="n">
        <f aca="false">BD59-BD67-BD74</f>
        <v>-9650.96598039135</v>
      </c>
      <c r="BE76" s="46" t="n">
        <f aca="false">BE59-BE67-BE74</f>
        <v>-9567.18813302697</v>
      </c>
      <c r="BF76" s="46" t="n">
        <f aca="false">BF59-BF67-BF74</f>
        <v>-9483.44313947075</v>
      </c>
      <c r="BG76" s="46" t="n">
        <f aca="false">BG59-BG67-BG74</f>
        <v>-9399.75857218823</v>
      </c>
      <c r="BH76" s="46" t="n">
        <f aca="false">BH59-BH67-BH74</f>
        <v>-9316.15828747813</v>
      </c>
      <c r="BI76" s="46" t="n">
        <f aca="false">BI59-BI67-BI74</f>
        <v>-9232.66316972899</v>
      </c>
      <c r="BJ76" s="46" t="n">
        <f aca="false">BJ59-BJ67-BJ74</f>
        <v>-9149.29165359877</v>
      </c>
      <c r="BK76" s="46" t="n">
        <f aca="false">BK59-BK67-BK74</f>
        <v>-9113.07739579782</v>
      </c>
    </row>
    <row r="77" customFormat="false" ht="15" hidden="false" customHeight="false" outlineLevel="0" collapsed="false">
      <c r="A77" s="28" t="s">
        <v>662</v>
      </c>
      <c r="B77" s="5" t="s">
        <v>663</v>
      </c>
      <c r="C77" s="50" t="n">
        <f aca="false">Assumptions!$D$9</f>
        <v>0</v>
      </c>
      <c r="D77" s="45" t="n">
        <f aca="false">C77+D76</f>
        <v>-8965</v>
      </c>
      <c r="E77" s="45" t="n">
        <f aca="false">D77+E76</f>
        <v>-15930</v>
      </c>
      <c r="F77" s="45" t="n">
        <f aca="false">E77+F76</f>
        <v>-24395</v>
      </c>
      <c r="G77" s="45" t="n">
        <f aca="false">F77+G76</f>
        <v>-29860</v>
      </c>
      <c r="H77" s="45" t="n">
        <f aca="false">G77+H76</f>
        <v>-36706.1885</v>
      </c>
      <c r="I77" s="45" t="n">
        <f aca="false">H77+I76</f>
        <v>-42753.239505</v>
      </c>
      <c r="J77" s="45" t="n">
        <f aca="false">I77+J76</f>
        <v>-48644.278574375</v>
      </c>
      <c r="K77" s="45" t="n">
        <f aca="false">J77+K76</f>
        <v>-54420.7592671406</v>
      </c>
      <c r="L77" s="45" t="n">
        <f aca="false">K77+L76</f>
        <v>-60102.1854035434</v>
      </c>
      <c r="M77" s="45" t="n">
        <f aca="false">L77+M76</f>
        <v>-65760.2147384076</v>
      </c>
      <c r="N77" s="45" t="n">
        <f aca="false">M77+N76</f>
        <v>-72699.7151484667</v>
      </c>
      <c r="O77" s="45" t="n">
        <f aca="false">N77+O76</f>
        <v>-78847.2862579676</v>
      </c>
      <c r="P77" s="45" t="n">
        <f aca="false">O77+P76</f>
        <v>-85833.9416443191</v>
      </c>
      <c r="Q77" s="45" t="n">
        <f aca="false">P77+Q76</f>
        <v>-94094.2634018734</v>
      </c>
      <c r="R77" s="45" t="n">
        <f aca="false">Q77+R76</f>
        <v>-101456.219986639</v>
      </c>
      <c r="S77" s="45" t="n">
        <f aca="false">R77+S76</f>
        <v>-108634.363843548</v>
      </c>
      <c r="T77" s="45" t="n">
        <f aca="false">S77+T76</f>
        <v>-116985.371645155</v>
      </c>
      <c r="U77" s="45" t="n">
        <f aca="false">T77+U76</f>
        <v>-125827.681751132</v>
      </c>
      <c r="V77" s="45" t="n">
        <f aca="false">U77+V76</f>
        <v>-133684.130161471</v>
      </c>
      <c r="W77" s="45" t="n">
        <f aca="false">V77+W76</f>
        <v>-142553.169435419</v>
      </c>
      <c r="X77" s="45" t="n">
        <f aca="false">W77+X76</f>
        <v>-151795.779031092</v>
      </c>
      <c r="Y77" s="45" t="n">
        <f aca="false">X77+Y76</f>
        <v>-159954.883187868</v>
      </c>
      <c r="Z77" s="45" t="n">
        <f aca="false">Y77+Z76</f>
        <v>-169101.978254932</v>
      </c>
      <c r="AA77" s="45" t="n">
        <f aca="false">Z77+AA76</f>
        <v>-178550.209521727</v>
      </c>
      <c r="AB77" s="45" t="n">
        <f aca="false">AA77+AB76</f>
        <v>-187905.149634443</v>
      </c>
      <c r="AC77" s="45" t="n">
        <f aca="false">AB77+AC76</f>
        <v>-198249.043246475</v>
      </c>
      <c r="AD77" s="45" t="n">
        <f aca="false">AC77+AD76</f>
        <v>-208866.253143139</v>
      </c>
      <c r="AE77" s="45" t="n">
        <f aca="false">AD77+AE76</f>
        <v>-219765.069605946</v>
      </c>
      <c r="AF77" s="45" t="n">
        <f aca="false">AE77+AF76</f>
        <v>-230323.5210223</v>
      </c>
      <c r="AG77" s="45" t="n">
        <f aca="false">AF77+AG76</f>
        <v>-240925.278071251</v>
      </c>
      <c r="AH77" s="45" t="n">
        <f aca="false">AG77+AH76</f>
        <v>-251713.728466513</v>
      </c>
      <c r="AI77" s="45" t="n">
        <f aca="false">AH77+AI76</f>
        <v>-262521.731310254</v>
      </c>
      <c r="AJ77" s="45" t="n">
        <f aca="false">AI77+AJ76</f>
        <v>-273347.823387086</v>
      </c>
      <c r="AK77" s="45" t="n">
        <f aca="false">AJ77+AK76</f>
        <v>-284164.754662468</v>
      </c>
      <c r="AL77" s="45" t="n">
        <f aca="false">AK77+AL76</f>
        <v>-294996.645939597</v>
      </c>
      <c r="AM77" s="45" t="n">
        <f aca="false">AL77+AM76</f>
        <v>-305899.549182425</v>
      </c>
      <c r="AN77" s="46" t="n">
        <f aca="false">AM77+AN76</f>
        <v>-316717.784985681</v>
      </c>
      <c r="AO77" s="46" t="n">
        <f aca="false">AN77+AO76</f>
        <v>-327477.375421114</v>
      </c>
      <c r="AP77" s="46" t="n">
        <f aca="false">AO77+AP76</f>
        <v>-338178.95020263</v>
      </c>
      <c r="AQ77" s="46" t="n">
        <f aca="false">AP77+AQ76</f>
        <v>-348796.526670683</v>
      </c>
      <c r="AR77" s="46" t="n">
        <f aca="false">AQ77+AR76</f>
        <v>-359329.635534068</v>
      </c>
      <c r="AS77" s="46" t="n">
        <f aca="false">AR77+AS76</f>
        <v>-369804.503942105</v>
      </c>
      <c r="AT77" s="46" t="n">
        <f aca="false">AS77+AT76</f>
        <v>-380195.336595059</v>
      </c>
      <c r="AU77" s="46" t="n">
        <f aca="false">AT77+AU76</f>
        <v>-390501.803226049</v>
      </c>
      <c r="AV77" s="46" t="n">
        <f aca="false">AU77+AV76</f>
        <v>-400750.23706967</v>
      </c>
      <c r="AW77" s="46" t="n">
        <f aca="false">AV77+AW76</f>
        <v>-410914.926077965</v>
      </c>
      <c r="AX77" s="46" t="n">
        <f aca="false">AW77+AX76</f>
        <v>-420995.607063045</v>
      </c>
      <c r="AY77" s="46" t="n">
        <f aca="false">AX77+AY76</f>
        <v>-431064.539114961</v>
      </c>
      <c r="AZ77" s="46" t="n">
        <f aca="false">AY77+AZ76</f>
        <v>-441050.186170489</v>
      </c>
      <c r="BA77" s="46" t="n">
        <f aca="false">AZ77+BA76</f>
        <v>-450952.324750613</v>
      </c>
      <c r="BB77" s="46" t="n">
        <f aca="false">BA77+BB76</f>
        <v>-460770.809110068</v>
      </c>
      <c r="BC77" s="46" t="n">
        <f aca="false">BB77+BC76</f>
        <v>-470505.55342112</v>
      </c>
      <c r="BD77" s="46" t="n">
        <f aca="false">BC77+BD76</f>
        <v>-480156.519401512</v>
      </c>
      <c r="BE77" s="46" t="n">
        <f aca="false">BD77+BE76</f>
        <v>-489723.707534539</v>
      </c>
      <c r="BF77" s="46" t="n">
        <f aca="false">BE77+BF76</f>
        <v>-499207.150674009</v>
      </c>
      <c r="BG77" s="46" t="n">
        <f aca="false">BF77+BG76</f>
        <v>-508606.909246198</v>
      </c>
      <c r="BH77" s="46" t="n">
        <f aca="false">BG77+BH76</f>
        <v>-517923.067533676</v>
      </c>
      <c r="BI77" s="46" t="n">
        <f aca="false">BH77+BI76</f>
        <v>-527155.730703405</v>
      </c>
      <c r="BJ77" s="46" t="n">
        <f aca="false">BI77+BJ76</f>
        <v>-536305.022357004</v>
      </c>
      <c r="BK77" s="46" t="n">
        <f aca="false">BJ77+BK76</f>
        <v>-545418.099752801</v>
      </c>
    </row>
    <row r="78" customFormat="false" ht="15" hidden="false" customHeight="false" outlineLevel="0" collapsed="false">
      <c r="A78" s="28" t="s">
        <v>664</v>
      </c>
      <c r="B78" s="6" t="s">
        <v>665</v>
      </c>
      <c r="C78" s="43"/>
      <c r="D78" s="17" t="n">
        <f aca="false">D39*Assumptions!$D$49+D39/Assumptions!$D$48*Assumptions!$D$50</f>
        <v>0</v>
      </c>
      <c r="E78" s="17" t="n">
        <f aca="false">E39*Assumptions!$D$49+E39/Assumptions!$D$48*Assumptions!$D$50</f>
        <v>0</v>
      </c>
      <c r="F78" s="17" t="n">
        <f aca="false">F39*Assumptions!$D$49+F39/Assumptions!$D$48*Assumptions!$D$50</f>
        <v>0</v>
      </c>
      <c r="G78" s="17" t="n">
        <f aca="false">G39*Assumptions!$D$49+G39/Assumptions!$D$48*Assumptions!$D$50</f>
        <v>0</v>
      </c>
      <c r="H78" s="17" t="n">
        <f aca="false">H39*Assumptions!$D$49+H39/Assumptions!$D$48*Assumptions!$D$50</f>
        <v>0</v>
      </c>
      <c r="I78" s="17" t="n">
        <f aca="false">I39*Assumptions!$D$49+I39/Assumptions!$D$48*Assumptions!$D$50</f>
        <v>0</v>
      </c>
      <c r="J78" s="17" t="n">
        <f aca="false">J39*Assumptions!$D$49+J39/Assumptions!$D$48*Assumptions!$D$50</f>
        <v>0</v>
      </c>
      <c r="K78" s="17" t="n">
        <f aca="false">K39*Assumptions!$D$49+K39/Assumptions!$D$48*Assumptions!$D$50</f>
        <v>0</v>
      </c>
      <c r="L78" s="17" t="n">
        <f aca="false">L39*Assumptions!$D$49+L39/Assumptions!$D$48*Assumptions!$D$50</f>
        <v>0</v>
      </c>
      <c r="M78" s="17" t="n">
        <f aca="false">M39*Assumptions!$D$49+M39/Assumptions!$D$48*Assumptions!$D$50</f>
        <v>0</v>
      </c>
      <c r="N78" s="17" t="n">
        <f aca="false">N39*Assumptions!$D$49+N39/Assumptions!$D$48*Assumptions!$D$50</f>
        <v>0</v>
      </c>
      <c r="O78" s="17" t="n">
        <f aca="false">O39*Assumptions!$D$49+O39/Assumptions!$D$48*Assumptions!$D$50</f>
        <v>0</v>
      </c>
      <c r="P78" s="17" t="n">
        <f aca="false">P39*Assumptions!$D$49+P39/Assumptions!$D$48*Assumptions!$D$50</f>
        <v>0</v>
      </c>
      <c r="Q78" s="17" t="n">
        <f aca="false">Q39*Assumptions!$D$49+Q39/Assumptions!$D$48*Assumptions!$D$50</f>
        <v>0</v>
      </c>
      <c r="R78" s="17" t="n">
        <f aca="false">R39*Assumptions!$D$49+R39/Assumptions!$D$48*Assumptions!$D$50</f>
        <v>0</v>
      </c>
      <c r="S78" s="17" t="n">
        <f aca="false">S39*Assumptions!$D$49+S39/Assumptions!$D$48*Assumptions!$D$50</f>
        <v>0</v>
      </c>
      <c r="T78" s="17" t="n">
        <f aca="false">T39*Assumptions!$D$49+T39/Assumptions!$D$48*Assumptions!$D$50</f>
        <v>0</v>
      </c>
      <c r="U78" s="17" t="n">
        <f aca="false">U39*Assumptions!$D$49+U39/Assumptions!$D$48*Assumptions!$D$50</f>
        <v>0</v>
      </c>
      <c r="V78" s="17" t="n">
        <f aca="false">V39*Assumptions!$D$49+V39/Assumptions!$D$48*Assumptions!$D$50</f>
        <v>0</v>
      </c>
      <c r="W78" s="17" t="n">
        <f aca="false">W39*Assumptions!$D$49+W39/Assumptions!$D$48*Assumptions!$D$50</f>
        <v>0</v>
      </c>
      <c r="X78" s="17" t="n">
        <f aca="false">X39*Assumptions!$D$49+X39/Assumptions!$D$48*Assumptions!$D$50</f>
        <v>0</v>
      </c>
      <c r="Y78" s="17" t="n">
        <f aca="false">Y39*Assumptions!$D$49+Y39/Assumptions!$D$48*Assumptions!$D$50</f>
        <v>0</v>
      </c>
      <c r="Z78" s="17" t="n">
        <f aca="false">Z39*Assumptions!$D$49+Z39/Assumptions!$D$48*Assumptions!$D$50</f>
        <v>0</v>
      </c>
      <c r="AA78" s="17" t="n">
        <f aca="false">AA39*Assumptions!$D$49+AA39/Assumptions!$D$48*Assumptions!$D$50</f>
        <v>0</v>
      </c>
      <c r="AB78" s="17" t="n">
        <f aca="false">AB39*Assumptions!$D$49+AB39/Assumptions!$D$48*Assumptions!$D$50</f>
        <v>0</v>
      </c>
      <c r="AC78" s="17" t="n">
        <f aca="false">AC39*Assumptions!$D$49+AC39/Assumptions!$D$48*Assumptions!$D$50</f>
        <v>0</v>
      </c>
      <c r="AD78" s="17" t="n">
        <f aca="false">AD39*Assumptions!$D$49+AD39/Assumptions!$D$48*Assumptions!$D$50</f>
        <v>0</v>
      </c>
      <c r="AE78" s="17" t="n">
        <f aca="false">AE39*Assumptions!$D$49+AE39/Assumptions!$D$48*Assumptions!$D$50</f>
        <v>0</v>
      </c>
      <c r="AF78" s="17" t="n">
        <f aca="false">AF39*Assumptions!$D$49+AF39/Assumptions!$D$48*Assumptions!$D$50</f>
        <v>0</v>
      </c>
      <c r="AG78" s="17" t="n">
        <f aca="false">AG39*Assumptions!$D$49+AG39/Assumptions!$D$48*Assumptions!$D$50</f>
        <v>0</v>
      </c>
      <c r="AH78" s="17" t="n">
        <f aca="false">AH39*Assumptions!$D$49+AH39/Assumptions!$D$48*Assumptions!$D$50</f>
        <v>0</v>
      </c>
      <c r="AI78" s="17" t="n">
        <f aca="false">AI39*Assumptions!$D$49+AI39/Assumptions!$D$48*Assumptions!$D$50</f>
        <v>0</v>
      </c>
      <c r="AJ78" s="17" t="n">
        <f aca="false">AJ39*Assumptions!$D$49+AJ39/Assumptions!$D$48*Assumptions!$D$50</f>
        <v>0</v>
      </c>
      <c r="AK78" s="17" t="n">
        <f aca="false">AK39*Assumptions!$D$49+AK39/Assumptions!$D$48*Assumptions!$D$50</f>
        <v>0</v>
      </c>
      <c r="AL78" s="17" t="n">
        <f aca="false">AL39*Assumptions!$D$49+AL39/Assumptions!$D$48*Assumptions!$D$50</f>
        <v>0</v>
      </c>
      <c r="AM78" s="17" t="n">
        <f aca="false">AM39*Assumptions!$D$49+AM39/Assumptions!$D$48*Assumptions!$D$50</f>
        <v>107.42299964074</v>
      </c>
      <c r="AN78" s="44" t="n">
        <f aca="false">AN39*Assumptions!$D$49+AN39/Assumptions!$D$48*Assumptions!$D$50</f>
        <v>213.195739951683</v>
      </c>
      <c r="AO78" s="44" t="n">
        <f aca="false">AO39*Assumptions!$D$49+AO39/Assumptions!$D$48*Assumptions!$D$50</f>
        <v>317.383143169457</v>
      </c>
      <c r="AP78" s="44" t="n">
        <f aca="false">AP39*Assumptions!$D$49+AP39/Assumptions!$D$48*Assumptions!$D$50</f>
        <v>420.046668003858</v>
      </c>
      <c r="AQ78" s="44" t="n">
        <f aca="false">AQ39*Assumptions!$D$49+AQ39/Assumptions!$D$48*Assumptions!$D$50</f>
        <v>521.161699634208</v>
      </c>
      <c r="AR78" s="44" t="n">
        <f aca="false">AR39*Assumptions!$D$49+AR39/Assumptions!$D$48*Assumptions!$D$50</f>
        <v>620.707934938569</v>
      </c>
      <c r="AS78" s="44" t="n">
        <f aca="false">AS39*Assumptions!$D$49+AS39/Assumptions!$D$48*Assumptions!$D$50</f>
        <v>718.751888391551</v>
      </c>
      <c r="AT78" s="44" t="n">
        <f aca="false">AT39*Assumptions!$D$49+AT39/Assumptions!$D$48*Assumptions!$D$50</f>
        <v>815.273573409671</v>
      </c>
      <c r="AU78" s="44" t="n">
        <f aca="false">AU39*Assumptions!$D$49+AU39/Assumptions!$D$48*Assumptions!$D$50</f>
        <v>910.256914956922</v>
      </c>
      <c r="AV78" s="44" t="n">
        <f aca="false">AV39*Assumptions!$D$49+AV39/Assumptions!$D$48*Assumptions!$D$50</f>
        <v>1003.7722812028</v>
      </c>
      <c r="AW78" s="44" t="n">
        <f aca="false">AW39*Assumptions!$D$49+AW39/Assumptions!$D$48*Assumptions!$D$50</f>
        <v>1095.80318910462</v>
      </c>
      <c r="AX78" s="44" t="n">
        <f aca="false">AX39*Assumptions!$D$49+AX39/Assumptions!$D$48*Assumptions!$D$50</f>
        <v>1186.33673981434</v>
      </c>
      <c r="AY78" s="44" t="n">
        <f aca="false">AY39*Assumptions!$D$49+AY39/Assumptions!$D$48*Assumptions!$D$50</f>
        <v>1275.44617178469</v>
      </c>
      <c r="AZ78" s="44" t="n">
        <f aca="false">AZ39*Assumptions!$D$49+AZ39/Assumptions!$D$48*Assumptions!$D$50</f>
        <v>1363.1175865243</v>
      </c>
      <c r="BA78" s="44" t="n">
        <f aca="false">BA39*Assumptions!$D$49+BA39/Assumptions!$D$48*Assumptions!$D$50</f>
        <v>1449.34040297547</v>
      </c>
      <c r="BB78" s="44" t="n">
        <f aca="false">BB39*Assumptions!$D$49+BB39/Assumptions!$D$48*Assumptions!$D$50</f>
        <v>1534.10709325716</v>
      </c>
      <c r="BC78" s="44" t="n">
        <f aca="false">BC39*Assumptions!$D$49+BC39/Assumptions!$D$48*Assumptions!$D$50</f>
        <v>1617.41293627749</v>
      </c>
      <c r="BD78" s="44" t="n">
        <f aca="false">BD39*Assumptions!$D$49+BD39/Assumptions!$D$48*Assumptions!$D$50</f>
        <v>1699.25578805745</v>
      </c>
      <c r="BE78" s="44" t="n">
        <f aca="false">BE39*Assumptions!$D$49+BE39/Assumptions!$D$48*Assumptions!$D$50</f>
        <v>1779.63586768253</v>
      </c>
      <c r="BF78" s="44" t="n">
        <f aca="false">BF39*Assumptions!$D$49+BF39/Assumptions!$D$48*Assumptions!$D$50</f>
        <v>1858.55555786828</v>
      </c>
      <c r="BG78" s="44" t="n">
        <f aca="false">BG39*Assumptions!$D$49+BG39/Assumptions!$D$48*Assumptions!$D$50</f>
        <v>1936.01921919143</v>
      </c>
      <c r="BH78" s="44" t="n">
        <f aca="false">BH39*Assumptions!$D$49+BH39/Assumptions!$D$48*Assumptions!$D$50</f>
        <v>2012.033017099</v>
      </c>
      <c r="BI78" s="44" t="n">
        <f aca="false">BI39*Assumptions!$D$49+BI39/Assumptions!$D$48*Assumptions!$D$50</f>
        <v>2086.60476086495</v>
      </c>
      <c r="BJ78" s="44" t="n">
        <f aca="false">BJ39*Assumptions!$D$49+BJ39/Assumptions!$D$48*Assumptions!$D$50</f>
        <v>2159.74375371739</v>
      </c>
      <c r="BK78" s="44" t="n">
        <f aca="false">BK39*Assumptions!$D$49+BK39/Assumptions!$D$48*Assumptions!$D$50</f>
        <v>2231.46065340904</v>
      </c>
    </row>
    <row r="79" customFormat="false" ht="15" hidden="false" customHeight="false" outlineLevel="0" collapsed="false">
      <c r="B79" s="5" t="s">
        <v>666</v>
      </c>
    </row>
    <row r="80" customFormat="false" ht="15" hidden="false" customHeight="false" outlineLevel="0" collapsed="false">
      <c r="A80" s="28" t="s">
        <v>667</v>
      </c>
      <c r="B80" s="6" t="s">
        <v>668</v>
      </c>
      <c r="C80" s="51"/>
      <c r="D80" s="39" t="n">
        <f aca="false">IF(D76&gt;=0,1,0)</f>
        <v>0</v>
      </c>
      <c r="E80" s="39" t="n">
        <f aca="false">IF(E76&gt;=0,1,0)</f>
        <v>0</v>
      </c>
      <c r="F80" s="39" t="n">
        <f aca="false">IF(F76&gt;=0,1,0)</f>
        <v>0</v>
      </c>
      <c r="G80" s="39" t="n">
        <f aca="false">IF(G76&gt;=0,1,0)</f>
        <v>0</v>
      </c>
      <c r="H80" s="39" t="n">
        <f aca="false">IF(H76&gt;=0,1,0)</f>
        <v>0</v>
      </c>
      <c r="I80" s="39" t="n">
        <f aca="false">IF(I76&gt;=0,1,0)</f>
        <v>0</v>
      </c>
      <c r="J80" s="39" t="n">
        <f aca="false">IF(J76&gt;=0,1,0)</f>
        <v>0</v>
      </c>
      <c r="K80" s="39" t="n">
        <f aca="false">IF(K76&gt;=0,1,0)</f>
        <v>0</v>
      </c>
      <c r="L80" s="39" t="n">
        <f aca="false">IF(L76&gt;=0,1,0)</f>
        <v>0</v>
      </c>
      <c r="M80" s="39" t="n">
        <f aca="false">IF(M76&gt;=0,1,0)</f>
        <v>0</v>
      </c>
      <c r="N80" s="39" t="n">
        <f aca="false">IF(N76&gt;=0,1,0)</f>
        <v>0</v>
      </c>
      <c r="O80" s="39" t="n">
        <f aca="false">IF(O76&gt;=0,1,0)</f>
        <v>0</v>
      </c>
      <c r="P80" s="39" t="n">
        <f aca="false">IF(P76&gt;=0,1,0)</f>
        <v>0</v>
      </c>
      <c r="Q80" s="39" t="n">
        <f aca="false">IF(Q76&gt;=0,1,0)</f>
        <v>0</v>
      </c>
      <c r="R80" s="39" t="n">
        <f aca="false">IF(R76&gt;=0,1,0)</f>
        <v>0</v>
      </c>
      <c r="S80" s="39" t="n">
        <f aca="false">IF(S76&gt;=0,1,0)</f>
        <v>0</v>
      </c>
      <c r="T80" s="39" t="n">
        <f aca="false">IF(T76&gt;=0,1,0)</f>
        <v>0</v>
      </c>
      <c r="U80" s="39" t="n">
        <f aca="false">IF(U76&gt;=0,1,0)</f>
        <v>0</v>
      </c>
      <c r="V80" s="39" t="n">
        <f aca="false">IF(V76&gt;=0,1,0)</f>
        <v>0</v>
      </c>
      <c r="W80" s="39" t="n">
        <f aca="false">IF(W76&gt;=0,1,0)</f>
        <v>0</v>
      </c>
      <c r="X80" s="39" t="n">
        <f aca="false">IF(X76&gt;=0,1,0)</f>
        <v>0</v>
      </c>
      <c r="Y80" s="39" t="n">
        <f aca="false">IF(Y76&gt;=0,1,0)</f>
        <v>0</v>
      </c>
      <c r="Z80" s="39" t="n">
        <f aca="false">IF(Z76&gt;=0,1,0)</f>
        <v>0</v>
      </c>
      <c r="AA80" s="39" t="n">
        <f aca="false">IF(AA76&gt;=0,1,0)</f>
        <v>0</v>
      </c>
      <c r="AB80" s="39" t="n">
        <f aca="false">IF(AB76&gt;=0,1,0)</f>
        <v>0</v>
      </c>
      <c r="AC80" s="39" t="n">
        <f aca="false">IF(AC76&gt;=0,1,0)</f>
        <v>0</v>
      </c>
      <c r="AD80" s="39" t="n">
        <f aca="false">IF(AD76&gt;=0,1,0)</f>
        <v>0</v>
      </c>
      <c r="AE80" s="39" t="n">
        <f aca="false">IF(AE76&gt;=0,1,0)</f>
        <v>0</v>
      </c>
      <c r="AF80" s="39" t="n">
        <f aca="false">IF(AF76&gt;=0,1,0)</f>
        <v>0</v>
      </c>
      <c r="AG80" s="39" t="n">
        <f aca="false">IF(AG76&gt;=0,1,0)</f>
        <v>0</v>
      </c>
      <c r="AH80" s="39" t="n">
        <f aca="false">IF(AH76&gt;=0,1,0)</f>
        <v>0</v>
      </c>
      <c r="AI80" s="39" t="n">
        <f aca="false">IF(AI76&gt;=0,1,0)</f>
        <v>0</v>
      </c>
      <c r="AJ80" s="39" t="n">
        <f aca="false">IF(AJ76&gt;=0,1,0)</f>
        <v>0</v>
      </c>
      <c r="AK80" s="39" t="n">
        <f aca="false">IF(AK76&gt;=0,1,0)</f>
        <v>0</v>
      </c>
      <c r="AL80" s="39" t="n">
        <f aca="false">IF(AL76&gt;=0,1,0)</f>
        <v>0</v>
      </c>
      <c r="AM80" s="39" t="n">
        <f aca="false">IF(AM76&gt;=0,1,0)</f>
        <v>0</v>
      </c>
      <c r="AN80" s="40" t="n">
        <f aca="false">IF(AN76&gt;=0,1,0)</f>
        <v>0</v>
      </c>
      <c r="AO80" s="40" t="n">
        <f aca="false">IF(AO76&gt;=0,1,0)</f>
        <v>0</v>
      </c>
      <c r="AP80" s="40" t="n">
        <f aca="false">IF(AP76&gt;=0,1,0)</f>
        <v>0</v>
      </c>
      <c r="AQ80" s="40" t="n">
        <f aca="false">IF(AQ76&gt;=0,1,0)</f>
        <v>0</v>
      </c>
      <c r="AR80" s="40" t="n">
        <f aca="false">IF(AR76&gt;=0,1,0)</f>
        <v>0</v>
      </c>
      <c r="AS80" s="40" t="n">
        <f aca="false">IF(AS76&gt;=0,1,0)</f>
        <v>0</v>
      </c>
      <c r="AT80" s="40" t="n">
        <f aca="false">IF(AT76&gt;=0,1,0)</f>
        <v>0</v>
      </c>
      <c r="AU80" s="40" t="n">
        <f aca="false">IF(AU76&gt;=0,1,0)</f>
        <v>0</v>
      </c>
      <c r="AV80" s="40" t="n">
        <f aca="false">IF(AV76&gt;=0,1,0)</f>
        <v>0</v>
      </c>
      <c r="AW80" s="40" t="n">
        <f aca="false">IF(AW76&gt;=0,1,0)</f>
        <v>0</v>
      </c>
      <c r="AX80" s="40" t="n">
        <f aca="false">IF(AX76&gt;=0,1,0)</f>
        <v>0</v>
      </c>
      <c r="AY80" s="40" t="n">
        <f aca="false">IF(AY76&gt;=0,1,0)</f>
        <v>0</v>
      </c>
      <c r="AZ80" s="40" t="n">
        <f aca="false">IF(AZ76&gt;=0,1,0)</f>
        <v>0</v>
      </c>
      <c r="BA80" s="40" t="n">
        <f aca="false">IF(BA76&gt;=0,1,0)</f>
        <v>0</v>
      </c>
      <c r="BB80" s="40" t="n">
        <f aca="false">IF(BB76&gt;=0,1,0)</f>
        <v>0</v>
      </c>
      <c r="BC80" s="40" t="n">
        <f aca="false">IF(BC76&gt;=0,1,0)</f>
        <v>0</v>
      </c>
      <c r="BD80" s="40" t="n">
        <f aca="false">IF(BD76&gt;=0,1,0)</f>
        <v>0</v>
      </c>
      <c r="BE80" s="40" t="n">
        <f aca="false">IF(BE76&gt;=0,1,0)</f>
        <v>0</v>
      </c>
      <c r="BF80" s="40" t="n">
        <f aca="false">IF(BF76&gt;=0,1,0)</f>
        <v>0</v>
      </c>
      <c r="BG80" s="40" t="n">
        <f aca="false">IF(BG76&gt;=0,1,0)</f>
        <v>0</v>
      </c>
      <c r="BH80" s="40" t="n">
        <f aca="false">IF(BH76&gt;=0,1,0)</f>
        <v>0</v>
      </c>
      <c r="BI80" s="40" t="n">
        <f aca="false">IF(BI76&gt;=0,1,0)</f>
        <v>0</v>
      </c>
      <c r="BJ80" s="40" t="n">
        <f aca="false">IF(BJ76&gt;=0,1,0)</f>
        <v>0</v>
      </c>
      <c r="BK80" s="40" t="n">
        <f aca="false">IF(BK76&gt;=0,1,0)</f>
        <v>0</v>
      </c>
    </row>
    <row r="81" customFormat="false" ht="15" hidden="false" customHeight="false" outlineLevel="0" collapsed="false">
      <c r="A81" s="28" t="s">
        <v>669</v>
      </c>
      <c r="B81" s="6" t="s">
        <v>670</v>
      </c>
      <c r="C81" s="51"/>
      <c r="D81" s="39" t="n">
        <f aca="false">IF(AND(D80=1,E81=1),1,0)</f>
        <v>0</v>
      </c>
      <c r="E81" s="39" t="n">
        <f aca="false">IF(AND(E80=1,F81=1),1,0)</f>
        <v>0</v>
      </c>
      <c r="F81" s="39" t="n">
        <f aca="false">IF(AND(F80=1,G81=1),1,0)</f>
        <v>0</v>
      </c>
      <c r="G81" s="39" t="n">
        <f aca="false">IF(AND(G80=1,H81=1),1,0)</f>
        <v>0</v>
      </c>
      <c r="H81" s="39" t="n">
        <f aca="false">IF(AND(H80=1,I81=1),1,0)</f>
        <v>0</v>
      </c>
      <c r="I81" s="39" t="n">
        <f aca="false">IF(AND(I80=1,J81=1),1,0)</f>
        <v>0</v>
      </c>
      <c r="J81" s="39" t="n">
        <f aca="false">IF(AND(J80=1,K81=1),1,0)</f>
        <v>0</v>
      </c>
      <c r="K81" s="39" t="n">
        <f aca="false">IF(AND(K80=1,L81=1),1,0)</f>
        <v>0</v>
      </c>
      <c r="L81" s="39" t="n">
        <f aca="false">IF(AND(L80=1,M81=1),1,0)</f>
        <v>0</v>
      </c>
      <c r="M81" s="39" t="n">
        <f aca="false">IF(AND(M80=1,N81=1),1,0)</f>
        <v>0</v>
      </c>
      <c r="N81" s="39" t="n">
        <f aca="false">IF(AND(N80=1,O81=1),1,0)</f>
        <v>0</v>
      </c>
      <c r="O81" s="39" t="n">
        <f aca="false">IF(AND(O80=1,P81=1),1,0)</f>
        <v>0</v>
      </c>
      <c r="P81" s="39" t="n">
        <f aca="false">IF(AND(P80=1,Q81=1),1,0)</f>
        <v>0</v>
      </c>
      <c r="Q81" s="39" t="n">
        <f aca="false">IF(AND(Q80=1,R81=1),1,0)</f>
        <v>0</v>
      </c>
      <c r="R81" s="39" t="n">
        <f aca="false">IF(AND(R80=1,S81=1),1,0)</f>
        <v>0</v>
      </c>
      <c r="S81" s="39" t="n">
        <f aca="false">IF(AND(S80=1,T81=1),1,0)</f>
        <v>0</v>
      </c>
      <c r="T81" s="39" t="n">
        <f aca="false">IF(AND(T80=1,U81=1),1,0)</f>
        <v>0</v>
      </c>
      <c r="U81" s="39" t="n">
        <f aca="false">IF(AND(U80=1,V81=1),1,0)</f>
        <v>0</v>
      </c>
      <c r="V81" s="39" t="n">
        <f aca="false">IF(AND(V80=1,W81=1),1,0)</f>
        <v>0</v>
      </c>
      <c r="W81" s="39" t="n">
        <f aca="false">IF(AND(W80=1,X81=1),1,0)</f>
        <v>0</v>
      </c>
      <c r="X81" s="39" t="n">
        <f aca="false">IF(AND(X80=1,Y81=1),1,0)</f>
        <v>0</v>
      </c>
      <c r="Y81" s="39" t="n">
        <f aca="false">IF(AND(Y80=1,Z81=1),1,0)</f>
        <v>0</v>
      </c>
      <c r="Z81" s="39" t="n">
        <f aca="false">IF(AND(Z80=1,AA81=1),1,0)</f>
        <v>0</v>
      </c>
      <c r="AA81" s="39" t="n">
        <f aca="false">IF(AND(AA80=1,AB81=1),1,0)</f>
        <v>0</v>
      </c>
      <c r="AB81" s="39" t="n">
        <f aca="false">IF(AND(AB80=1,AC81=1),1,0)</f>
        <v>0</v>
      </c>
      <c r="AC81" s="39" t="n">
        <f aca="false">IF(AND(AC80=1,AD81=1),1,0)</f>
        <v>0</v>
      </c>
      <c r="AD81" s="39" t="n">
        <f aca="false">IF(AND(AD80=1,AE81=1),1,0)</f>
        <v>0</v>
      </c>
      <c r="AE81" s="39" t="n">
        <f aca="false">IF(AND(AE80=1,AF81=1),1,0)</f>
        <v>0</v>
      </c>
      <c r="AF81" s="39" t="n">
        <f aca="false">IF(AND(AF80=1,AG81=1),1,0)</f>
        <v>0</v>
      </c>
      <c r="AG81" s="39" t="n">
        <f aca="false">IF(AND(AG80=1,AH81=1),1,0)</f>
        <v>0</v>
      </c>
      <c r="AH81" s="39" t="n">
        <f aca="false">IF(AND(AH80=1,AI81=1),1,0)</f>
        <v>0</v>
      </c>
      <c r="AI81" s="39" t="n">
        <f aca="false">IF(AND(AI80=1,AJ81=1),1,0)</f>
        <v>0</v>
      </c>
      <c r="AJ81" s="39" t="n">
        <f aca="false">IF(AND(AJ80=1,AK81=1),1,0)</f>
        <v>0</v>
      </c>
      <c r="AK81" s="39" t="n">
        <f aca="false">IF(AND(AK80=1,AL81=1),1,0)</f>
        <v>0</v>
      </c>
      <c r="AL81" s="39" t="n">
        <f aca="false">IF(AND(AL80=1,AM81=1),1,0)</f>
        <v>0</v>
      </c>
      <c r="AM81" s="39" t="n">
        <f aca="false">AM80</f>
        <v>0</v>
      </c>
    </row>
    <row r="82" customFormat="false" ht="15" hidden="false" customHeight="false" outlineLevel="0" collapsed="false">
      <c r="A82" s="28" t="s">
        <v>671</v>
      </c>
      <c r="B82" s="6" t="s">
        <v>672</v>
      </c>
      <c r="C82" s="51"/>
      <c r="D82" s="39" t="n">
        <f aca="false">IF(AND(D80=1,E82=1),1,0)</f>
        <v>0</v>
      </c>
      <c r="E82" s="39" t="n">
        <f aca="false">IF(AND(E80=1,F82=1),1,0)</f>
        <v>0</v>
      </c>
      <c r="F82" s="39" t="n">
        <f aca="false">IF(AND(F80=1,G82=1),1,0)</f>
        <v>0</v>
      </c>
      <c r="G82" s="39" t="n">
        <f aca="false">IF(AND(G80=1,H82=1),1,0)</f>
        <v>0</v>
      </c>
      <c r="H82" s="39" t="n">
        <f aca="false">IF(AND(H80=1,I82=1),1,0)</f>
        <v>0</v>
      </c>
      <c r="I82" s="39" t="n">
        <f aca="false">IF(AND(I80=1,J82=1),1,0)</f>
        <v>0</v>
      </c>
      <c r="J82" s="39" t="n">
        <f aca="false">IF(AND(J80=1,K82=1),1,0)</f>
        <v>0</v>
      </c>
      <c r="K82" s="39" t="n">
        <f aca="false">IF(AND(K80=1,L82=1),1,0)</f>
        <v>0</v>
      </c>
      <c r="L82" s="39" t="n">
        <f aca="false">IF(AND(L80=1,M82=1),1,0)</f>
        <v>0</v>
      </c>
      <c r="M82" s="39" t="n">
        <f aca="false">IF(AND(M80=1,N82=1),1,0)</f>
        <v>0</v>
      </c>
      <c r="N82" s="39" t="n">
        <f aca="false">IF(AND(N80=1,O82=1),1,0)</f>
        <v>0</v>
      </c>
      <c r="O82" s="39" t="n">
        <f aca="false">IF(AND(O80=1,P82=1),1,0)</f>
        <v>0</v>
      </c>
      <c r="P82" s="39" t="n">
        <f aca="false">IF(AND(P80=1,Q82=1),1,0)</f>
        <v>0</v>
      </c>
      <c r="Q82" s="39" t="n">
        <f aca="false">IF(AND(Q80=1,R82=1),1,0)</f>
        <v>0</v>
      </c>
      <c r="R82" s="39" t="n">
        <f aca="false">IF(AND(R80=1,S82=1),1,0)</f>
        <v>0</v>
      </c>
      <c r="S82" s="39" t="n">
        <f aca="false">IF(AND(S80=1,T82=1),1,0)</f>
        <v>0</v>
      </c>
      <c r="T82" s="39" t="n">
        <f aca="false">IF(AND(T80=1,U82=1),1,0)</f>
        <v>0</v>
      </c>
      <c r="U82" s="39" t="n">
        <f aca="false">IF(AND(U80=1,V82=1),1,0)</f>
        <v>0</v>
      </c>
      <c r="V82" s="39" t="n">
        <f aca="false">IF(AND(V80=1,W82=1),1,0)</f>
        <v>0</v>
      </c>
      <c r="W82" s="39" t="n">
        <f aca="false">IF(AND(W80=1,X82=1),1,0)</f>
        <v>0</v>
      </c>
      <c r="X82" s="39" t="n">
        <f aca="false">IF(AND(X80=1,Y82=1),1,0)</f>
        <v>0</v>
      </c>
      <c r="Y82" s="39" t="n">
        <f aca="false">IF(AND(Y80=1,Z82=1),1,0)</f>
        <v>0</v>
      </c>
      <c r="Z82" s="39" t="n">
        <f aca="false">IF(AND(Z80=1,AA82=1),1,0)</f>
        <v>0</v>
      </c>
      <c r="AA82" s="39" t="n">
        <f aca="false">IF(AND(AA80=1,AB82=1),1,0)</f>
        <v>0</v>
      </c>
      <c r="AB82" s="39" t="n">
        <f aca="false">IF(AND(AB80=1,AC82=1),1,0)</f>
        <v>0</v>
      </c>
      <c r="AC82" s="39" t="n">
        <f aca="false">IF(AND(AC80=1,AD82=1),1,0)</f>
        <v>0</v>
      </c>
      <c r="AD82" s="39" t="n">
        <f aca="false">IF(AND(AD80=1,AE82=1),1,0)</f>
        <v>0</v>
      </c>
      <c r="AE82" s="39" t="n">
        <f aca="false">IF(AND(AE80=1,AF82=1),1,0)</f>
        <v>0</v>
      </c>
      <c r="AF82" s="39" t="n">
        <f aca="false">IF(AND(AF80=1,AG82=1),1,0)</f>
        <v>0</v>
      </c>
      <c r="AG82" s="39" t="n">
        <f aca="false">IF(AND(AG80=1,AH82=1),1,0)</f>
        <v>0</v>
      </c>
      <c r="AH82" s="39" t="n">
        <f aca="false">IF(AND(AH80=1,AI82=1),1,0)</f>
        <v>0</v>
      </c>
      <c r="AI82" s="39" t="n">
        <f aca="false">IF(AND(AI80=1,AJ82=1),1,0)</f>
        <v>0</v>
      </c>
      <c r="AJ82" s="39" t="n">
        <f aca="false">IF(AND(AJ80=1,AK82=1),1,0)</f>
        <v>0</v>
      </c>
      <c r="AK82" s="39" t="n">
        <f aca="false">IF(AND(AK80=1,AL82=1),1,0)</f>
        <v>0</v>
      </c>
      <c r="AL82" s="39" t="n">
        <f aca="false">IF(AND(AL80=1,AM82=1),1,0)</f>
        <v>0</v>
      </c>
      <c r="AM82" s="39" t="n">
        <f aca="false">IF(AND(AM80=1,AN82=1),1,0)</f>
        <v>0</v>
      </c>
      <c r="AN82" s="39" t="n">
        <f aca="false">IF(AND(AN80=1,AO82=1),1,0)</f>
        <v>0</v>
      </c>
      <c r="AO82" s="39" t="n">
        <f aca="false">IF(AND(AO80=1,AP82=1),1,0)</f>
        <v>0</v>
      </c>
      <c r="AP82" s="39" t="n">
        <f aca="false">IF(AND(AP80=1,AQ82=1),1,0)</f>
        <v>0</v>
      </c>
      <c r="AQ82" s="39" t="n">
        <f aca="false">IF(AND(AQ80=1,AR82=1),1,0)</f>
        <v>0</v>
      </c>
      <c r="AR82" s="39" t="n">
        <f aca="false">IF(AND(AR80=1,AS82=1),1,0)</f>
        <v>0</v>
      </c>
      <c r="AS82" s="39" t="n">
        <f aca="false">IF(AND(AS80=1,AT82=1),1,0)</f>
        <v>0</v>
      </c>
      <c r="AT82" s="39" t="n">
        <f aca="false">IF(AND(AT80=1,AU82=1),1,0)</f>
        <v>0</v>
      </c>
      <c r="AU82" s="39" t="n">
        <f aca="false">IF(AND(AU80=1,AV82=1),1,0)</f>
        <v>0</v>
      </c>
      <c r="AV82" s="39" t="n">
        <f aca="false">IF(AND(AV80=1,AW82=1),1,0)</f>
        <v>0</v>
      </c>
      <c r="AW82" s="39" t="n">
        <f aca="false">IF(AND(AW80=1,AX82=1),1,0)</f>
        <v>0</v>
      </c>
      <c r="AX82" s="39" t="n">
        <f aca="false">IF(AND(AX80=1,AY82=1),1,0)</f>
        <v>0</v>
      </c>
      <c r="AY82" s="39" t="n">
        <f aca="false">IF(AND(AY80=1,AZ82=1),1,0)</f>
        <v>0</v>
      </c>
      <c r="AZ82" s="39" t="n">
        <f aca="false">IF(AND(AZ80=1,BA82=1),1,0)</f>
        <v>0</v>
      </c>
      <c r="BA82" s="39" t="n">
        <f aca="false">IF(AND(BA80=1,BB82=1),1,0)</f>
        <v>0</v>
      </c>
      <c r="BB82" s="39" t="n">
        <f aca="false">IF(AND(BB80=1,BC82=1),1,0)</f>
        <v>0</v>
      </c>
      <c r="BC82" s="39" t="n">
        <f aca="false">IF(AND(BC80=1,BD82=1),1,0)</f>
        <v>0</v>
      </c>
      <c r="BD82" s="39" t="n">
        <f aca="false">IF(AND(BD80=1,BE82=1),1,0)</f>
        <v>0</v>
      </c>
      <c r="BE82" s="39" t="n">
        <f aca="false">IF(AND(BE80=1,BF82=1),1,0)</f>
        <v>0</v>
      </c>
      <c r="BF82" s="39" t="n">
        <f aca="false">IF(AND(BF80=1,BG82=1),1,0)</f>
        <v>0</v>
      </c>
      <c r="BG82" s="39" t="n">
        <f aca="false">IF(AND(BG80=1,BH82=1),1,0)</f>
        <v>0</v>
      </c>
      <c r="BH82" s="39" t="n">
        <f aca="false">IF(AND(BH80=1,BI82=1),1,0)</f>
        <v>0</v>
      </c>
      <c r="BI82" s="39" t="n">
        <f aca="false">IF(AND(BI80=1,BJ82=1),1,0)</f>
        <v>0</v>
      </c>
      <c r="BJ82" s="39" t="n">
        <f aca="false">IF(AND(BJ80=1,BK82=1),1,0)</f>
        <v>0</v>
      </c>
      <c r="BK82" s="39" t="n">
        <f aca="false">BK80</f>
        <v>0</v>
      </c>
    </row>
    <row r="84" customFormat="false" ht="17.35" hidden="false" customHeight="false" outlineLevel="0" collapsed="false">
      <c r="B84" s="1" t="s">
        <v>673</v>
      </c>
    </row>
    <row r="85" customFormat="false" ht="15" hidden="false" customHeight="false" outlineLevel="0" collapsed="false">
      <c r="B85" s="5" t="s">
        <v>674</v>
      </c>
      <c r="C85" s="52" t="str">
        <f aca="false">IFERROR(MATCH(1,D81:AM81,0),"none")</f>
        <v>none</v>
      </c>
    </row>
    <row r="86" customFormat="false" ht="15" hidden="false" customHeight="false" outlineLevel="0" collapsed="false">
      <c r="B86" s="5" t="s">
        <v>675</v>
      </c>
      <c r="C86" s="52" t="str">
        <f aca="false">IFERROR(MATCH(1,D82:BK82,0),"none")</f>
        <v>none</v>
      </c>
    </row>
    <row r="87" customFormat="false" ht="15" hidden="false" customHeight="false" outlineLevel="0" collapsed="false">
      <c r="B87" s="5" t="s">
        <v>676</v>
      </c>
      <c r="C87" s="52" t="str">
        <f aca="false">IFERROR(MATCH(1,D80:AM80,0),"none")</f>
        <v>none</v>
      </c>
    </row>
    <row r="88" customFormat="false" ht="15" hidden="false" customHeight="false" outlineLevel="0" collapsed="false">
      <c r="B88" s="5" t="s">
        <v>485</v>
      </c>
      <c r="C88" s="53" t="n">
        <f aca="false">-MIN(0,MIN(D77:AM77))</f>
        <v>305899.549182425</v>
      </c>
    </row>
    <row r="89" customFormat="false" ht="15" hidden="false" customHeight="false" outlineLevel="0" collapsed="false">
      <c r="B89" s="5" t="s">
        <v>677</v>
      </c>
      <c r="C89" s="52" t="n">
        <f aca="false">MATCH(MIN(D77:AM77),D77:AM77,0)</f>
        <v>36</v>
      </c>
    </row>
    <row r="90" customFormat="false" ht="15" hidden="false" customHeight="false" outlineLevel="0" collapsed="false">
      <c r="B90" s="5" t="s">
        <v>678</v>
      </c>
      <c r="C90" s="53" t="n">
        <f aca="false">-MIN(0,MIN(D77:BK77))</f>
        <v>545418.099752801</v>
      </c>
    </row>
    <row r="91" customFormat="false" ht="15" hidden="false" customHeight="false" outlineLevel="0" collapsed="false">
      <c r="B91" s="5" t="s">
        <v>488</v>
      </c>
      <c r="C91" s="52" t="n">
        <f aca="false">IFERROR(MATCH(1,D16:AM16,0),"none")</f>
        <v>36</v>
      </c>
    </row>
    <row r="92" customFormat="false" ht="15" hidden="false" customHeight="false" outlineLevel="0" collapsed="false">
      <c r="B92" s="5" t="s">
        <v>489</v>
      </c>
      <c r="C92" s="52" t="n">
        <f aca="false">IFERROR(MATCH(1,D17:AM17,0),"none")</f>
        <v>36</v>
      </c>
    </row>
    <row r="93" customFormat="false" ht="15" hidden="false" customHeight="false" outlineLevel="0" collapsed="false">
      <c r="B93" s="5" t="s">
        <v>679</v>
      </c>
      <c r="C93" s="52" t="n">
        <f aca="false">IFERROR(MATCH(1,D18:AM18,0),"none")</f>
        <v>29</v>
      </c>
    </row>
    <row r="94" customFormat="false" ht="15" hidden="false" customHeight="false" outlineLevel="0" collapsed="false">
      <c r="B94" s="5" t="s">
        <v>491</v>
      </c>
      <c r="C94" s="52" t="str">
        <f aca="false">IFERROR(MATCH(1,D19:AM19,0),"none")</f>
        <v>none</v>
      </c>
    </row>
    <row r="95" customFormat="false" ht="15" hidden="false" customHeight="false" outlineLevel="0" collapsed="false">
      <c r="B95" s="5" t="s">
        <v>492</v>
      </c>
      <c r="C95" s="54" t="n">
        <f aca="false">AM13</f>
        <v>155.619347152439</v>
      </c>
    </row>
    <row r="96" customFormat="false" ht="15" hidden="false" customHeight="false" outlineLevel="0" collapsed="false">
      <c r="B96" s="5" t="s">
        <v>493</v>
      </c>
      <c r="C96" s="54" t="n">
        <f aca="false">AM32</f>
        <v>1.81027270229358</v>
      </c>
    </row>
    <row r="97" customFormat="false" ht="15" hidden="false" customHeight="false" outlineLevel="0" collapsed="false">
      <c r="B97" s="5" t="s">
        <v>494</v>
      </c>
      <c r="C97" s="54" t="n">
        <f aca="false">AM24</f>
        <v>5041.53664253499</v>
      </c>
    </row>
    <row r="98" customFormat="false" ht="15" hidden="false" customHeight="false" outlineLevel="0" collapsed="false">
      <c r="B98" s="5" t="s">
        <v>495</v>
      </c>
      <c r="C98" s="53" t="n">
        <f aca="false">AM46</f>
        <v>1434.51280688557</v>
      </c>
    </row>
    <row r="99" customFormat="false" ht="15" hidden="false" customHeight="false" outlineLevel="0" collapsed="false">
      <c r="B99" s="5" t="s">
        <v>496</v>
      </c>
      <c r="C99" s="53" t="n">
        <f aca="false">AM76</f>
        <v>-10902.9032428284</v>
      </c>
    </row>
    <row r="100" customFormat="false" ht="15" hidden="false" customHeight="false" outlineLevel="0" collapsed="false">
      <c r="B100" s="5" t="s">
        <v>497</v>
      </c>
      <c r="C100" s="53" t="n">
        <f aca="false">SUM(D46:O46)</f>
        <v>0</v>
      </c>
    </row>
    <row r="101" customFormat="false" ht="15" hidden="false" customHeight="false" outlineLevel="0" collapsed="false">
      <c r="B101" s="5" t="s">
        <v>498</v>
      </c>
      <c r="C101" s="53" t="n">
        <f aca="false">SUM(P46:AA46)</f>
        <v>0</v>
      </c>
    </row>
    <row r="102" customFormat="false" ht="15" hidden="false" customHeight="false" outlineLevel="0" collapsed="false">
      <c r="B102" s="5" t="s">
        <v>499</v>
      </c>
      <c r="C102" s="53" t="n">
        <f aca="false">SUM(AB46:AM46)</f>
        <v>8184.51280688557</v>
      </c>
    </row>
    <row r="103" customFormat="false" ht="15" hidden="false" customHeight="false" outlineLevel="0" collapsed="false">
      <c r="B103" s="5" t="s">
        <v>500</v>
      </c>
      <c r="C103" s="53" t="n">
        <f aca="false">SUM(D76:O76)</f>
        <v>-78847.2862579676</v>
      </c>
    </row>
    <row r="104" customFormat="false" ht="15" hidden="false" customHeight="false" outlineLevel="0" collapsed="false">
      <c r="B104" s="5" t="s">
        <v>501</v>
      </c>
      <c r="C104" s="53" t="n">
        <f aca="false">SUM(P76:AA76)</f>
        <v>-99702.9232637591</v>
      </c>
    </row>
    <row r="105" customFormat="false" ht="15" hidden="false" customHeight="false" outlineLevel="0" collapsed="false">
      <c r="B105" s="5" t="s">
        <v>502</v>
      </c>
      <c r="C105" s="53" t="n">
        <f aca="false">SUM(AB76:AM76)</f>
        <v>-127349.339660698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63" min="3" style="0" width="11"/>
  </cols>
  <sheetData>
    <row r="1" customFormat="false" ht="17.35" hidden="false" customHeight="false" outlineLevel="0" collapsed="false">
      <c r="A1" s="1" t="s">
        <v>682</v>
      </c>
    </row>
    <row r="2" customFormat="false" ht="15" hidden="false" customHeight="false" outlineLevel="0" collapsed="false">
      <c r="A2" s="3" t="s">
        <v>683</v>
      </c>
    </row>
    <row r="4" customFormat="false" ht="15" hidden="false" customHeight="false" outlineLevel="0" collapsed="false">
      <c r="B4" s="5" t="s">
        <v>531</v>
      </c>
      <c r="C4" s="4" t="n">
        <v>0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19" t="n">
        <v>37</v>
      </c>
      <c r="AO4" s="19" t="n">
        <v>38</v>
      </c>
      <c r="AP4" s="19" t="n">
        <v>39</v>
      </c>
      <c r="AQ4" s="19" t="n">
        <v>40</v>
      </c>
      <c r="AR4" s="19" t="n">
        <v>41</v>
      </c>
      <c r="AS4" s="19" t="n">
        <v>42</v>
      </c>
      <c r="AT4" s="19" t="n">
        <v>43</v>
      </c>
      <c r="AU4" s="19" t="n">
        <v>44</v>
      </c>
      <c r="AV4" s="19" t="n">
        <v>45</v>
      </c>
      <c r="AW4" s="19" t="n">
        <v>46</v>
      </c>
      <c r="AX4" s="19" t="n">
        <v>47</v>
      </c>
      <c r="AY4" s="19" t="n">
        <v>48</v>
      </c>
      <c r="AZ4" s="19" t="n">
        <v>49</v>
      </c>
      <c r="BA4" s="19" t="n">
        <v>50</v>
      </c>
      <c r="BB4" s="19" t="n">
        <v>51</v>
      </c>
      <c r="BC4" s="19" t="n">
        <v>52</v>
      </c>
      <c r="BD4" s="19" t="n">
        <v>53</v>
      </c>
      <c r="BE4" s="19" t="n">
        <v>54</v>
      </c>
      <c r="BF4" s="19" t="n">
        <v>55</v>
      </c>
      <c r="BG4" s="19" t="n">
        <v>56</v>
      </c>
      <c r="BH4" s="19" t="n">
        <v>57</v>
      </c>
      <c r="BI4" s="19" t="n">
        <v>58</v>
      </c>
      <c r="BJ4" s="19" t="n">
        <v>59</v>
      </c>
      <c r="BK4" s="19" t="n">
        <v>60</v>
      </c>
    </row>
    <row r="5" customFormat="false" ht="15" hidden="false" customHeight="false" outlineLevel="0" collapsed="false">
      <c r="B5" s="5" t="s">
        <v>402</v>
      </c>
      <c r="C5" s="5" t="s">
        <v>532</v>
      </c>
      <c r="D5" s="5" t="s">
        <v>403</v>
      </c>
      <c r="E5" s="5" t="s">
        <v>404</v>
      </c>
      <c r="F5" s="5" t="s">
        <v>405</v>
      </c>
      <c r="G5" s="5" t="s">
        <v>406</v>
      </c>
      <c r="H5" s="5" t="s">
        <v>407</v>
      </c>
      <c r="I5" s="5" t="s">
        <v>408</v>
      </c>
      <c r="J5" s="5" t="s">
        <v>409</v>
      </c>
      <c r="K5" s="5" t="s">
        <v>410</v>
      </c>
      <c r="L5" s="5" t="s">
        <v>411</v>
      </c>
      <c r="M5" s="5" t="s">
        <v>412</v>
      </c>
      <c r="N5" s="5" t="s">
        <v>413</v>
      </c>
      <c r="O5" s="5" t="s">
        <v>414</v>
      </c>
      <c r="P5" s="5" t="s">
        <v>415</v>
      </c>
      <c r="Q5" s="5" t="s">
        <v>416</v>
      </c>
      <c r="R5" s="5" t="s">
        <v>417</v>
      </c>
      <c r="S5" s="5" t="s">
        <v>418</v>
      </c>
      <c r="T5" s="5" t="s">
        <v>419</v>
      </c>
      <c r="U5" s="5" t="s">
        <v>420</v>
      </c>
      <c r="V5" s="5" t="s">
        <v>421</v>
      </c>
      <c r="W5" s="5" t="s">
        <v>422</v>
      </c>
      <c r="X5" s="5" t="s">
        <v>423</v>
      </c>
      <c r="Y5" s="5" t="s">
        <v>424</v>
      </c>
      <c r="Z5" s="5" t="s">
        <v>425</v>
      </c>
      <c r="AA5" s="5" t="s">
        <v>426</v>
      </c>
      <c r="AB5" s="5" t="s">
        <v>427</v>
      </c>
      <c r="AC5" s="5" t="s">
        <v>428</v>
      </c>
      <c r="AD5" s="5" t="s">
        <v>429</v>
      </c>
      <c r="AE5" s="5" t="s">
        <v>430</v>
      </c>
      <c r="AF5" s="5" t="s">
        <v>431</v>
      </c>
      <c r="AG5" s="5" t="s">
        <v>432</v>
      </c>
      <c r="AH5" s="5" t="s">
        <v>433</v>
      </c>
      <c r="AI5" s="5" t="s">
        <v>434</v>
      </c>
      <c r="AJ5" s="5" t="s">
        <v>435</v>
      </c>
      <c r="AK5" s="5" t="s">
        <v>436</v>
      </c>
      <c r="AL5" s="5" t="s">
        <v>437</v>
      </c>
      <c r="AM5" s="5" t="s">
        <v>438</v>
      </c>
      <c r="AN5" s="5" t="s">
        <v>439</v>
      </c>
      <c r="AO5" s="5" t="s">
        <v>440</v>
      </c>
      <c r="AP5" s="5" t="s">
        <v>441</v>
      </c>
      <c r="AQ5" s="5" t="s">
        <v>442</v>
      </c>
      <c r="AR5" s="5" t="s">
        <v>443</v>
      </c>
      <c r="AS5" s="5" t="s">
        <v>444</v>
      </c>
      <c r="AT5" s="5" t="s">
        <v>445</v>
      </c>
      <c r="AU5" s="5" t="s">
        <v>446</v>
      </c>
      <c r="AV5" s="5" t="s">
        <v>447</v>
      </c>
      <c r="AW5" s="5" t="s">
        <v>448</v>
      </c>
      <c r="AX5" s="5" t="s">
        <v>449</v>
      </c>
      <c r="AY5" s="5" t="s">
        <v>450</v>
      </c>
      <c r="AZ5" s="5" t="s">
        <v>451</v>
      </c>
      <c r="BA5" s="5" t="s">
        <v>452</v>
      </c>
      <c r="BB5" s="5" t="s">
        <v>453</v>
      </c>
      <c r="BC5" s="5" t="s">
        <v>454</v>
      </c>
      <c r="BD5" s="5" t="s">
        <v>455</v>
      </c>
      <c r="BE5" s="5" t="s">
        <v>456</v>
      </c>
      <c r="BF5" s="5" t="s">
        <v>457</v>
      </c>
      <c r="BG5" s="5" t="s">
        <v>458</v>
      </c>
      <c r="BH5" s="5" t="s">
        <v>459</v>
      </c>
      <c r="BI5" s="5" t="s">
        <v>460</v>
      </c>
      <c r="BJ5" s="5" t="s">
        <v>461</v>
      </c>
      <c r="BK5" s="5" t="s">
        <v>462</v>
      </c>
    </row>
    <row r="6" customFormat="false" ht="15" hidden="false" customHeight="false" outlineLevel="0" collapsed="false">
      <c r="B6" s="5" t="s">
        <v>533</v>
      </c>
    </row>
    <row r="7" customFormat="false" ht="15" hidden="false" customHeight="false" outlineLevel="0" collapsed="false">
      <c r="A7" s="28" t="s">
        <v>534</v>
      </c>
      <c r="B7" s="6" t="s">
        <v>531</v>
      </c>
      <c r="C7" s="29" t="n">
        <v>0</v>
      </c>
      <c r="D7" s="30" t="n">
        <v>1</v>
      </c>
      <c r="E7" s="30" t="n">
        <v>2</v>
      </c>
      <c r="F7" s="30" t="n">
        <v>3</v>
      </c>
      <c r="G7" s="30" t="n">
        <v>4</v>
      </c>
      <c r="H7" s="30" t="n">
        <v>5</v>
      </c>
      <c r="I7" s="30" t="n">
        <v>6</v>
      </c>
      <c r="J7" s="30" t="n">
        <v>7</v>
      </c>
      <c r="K7" s="30" t="n">
        <v>8</v>
      </c>
      <c r="L7" s="30" t="n">
        <v>9</v>
      </c>
      <c r="M7" s="30" t="n">
        <v>10</v>
      </c>
      <c r="N7" s="30" t="n">
        <v>11</v>
      </c>
      <c r="O7" s="30" t="n">
        <v>12</v>
      </c>
      <c r="P7" s="30" t="n">
        <v>13</v>
      </c>
      <c r="Q7" s="30" t="n">
        <v>14</v>
      </c>
      <c r="R7" s="30" t="n">
        <v>15</v>
      </c>
      <c r="S7" s="30" t="n">
        <v>16</v>
      </c>
      <c r="T7" s="30" t="n">
        <v>17</v>
      </c>
      <c r="U7" s="30" t="n">
        <v>18</v>
      </c>
      <c r="V7" s="30" t="n">
        <v>19</v>
      </c>
      <c r="W7" s="30" t="n">
        <v>20</v>
      </c>
      <c r="X7" s="30" t="n">
        <v>21</v>
      </c>
      <c r="Y7" s="30" t="n">
        <v>22</v>
      </c>
      <c r="Z7" s="30" t="n">
        <v>23</v>
      </c>
      <c r="AA7" s="30" t="n">
        <v>24</v>
      </c>
      <c r="AB7" s="30" t="n">
        <v>25</v>
      </c>
      <c r="AC7" s="30" t="n">
        <v>26</v>
      </c>
      <c r="AD7" s="30" t="n">
        <v>27</v>
      </c>
      <c r="AE7" s="30" t="n">
        <v>28</v>
      </c>
      <c r="AF7" s="30" t="n">
        <v>29</v>
      </c>
      <c r="AG7" s="30" t="n">
        <v>30</v>
      </c>
      <c r="AH7" s="30" t="n">
        <v>31</v>
      </c>
      <c r="AI7" s="30" t="n">
        <v>32</v>
      </c>
      <c r="AJ7" s="30" t="n">
        <v>33</v>
      </c>
      <c r="AK7" s="30" t="n">
        <v>34</v>
      </c>
      <c r="AL7" s="30" t="n">
        <v>35</v>
      </c>
      <c r="AM7" s="30" t="n">
        <v>36</v>
      </c>
      <c r="AN7" s="31" t="n">
        <v>37</v>
      </c>
      <c r="AO7" s="31" t="n">
        <v>38</v>
      </c>
      <c r="AP7" s="31" t="n">
        <v>39</v>
      </c>
      <c r="AQ7" s="31" t="n">
        <v>40</v>
      </c>
      <c r="AR7" s="31" t="n">
        <v>41</v>
      </c>
      <c r="AS7" s="31" t="n">
        <v>42</v>
      </c>
      <c r="AT7" s="31" t="n">
        <v>43</v>
      </c>
      <c r="AU7" s="31" t="n">
        <v>44</v>
      </c>
      <c r="AV7" s="31" t="n">
        <v>45</v>
      </c>
      <c r="AW7" s="31" t="n">
        <v>46</v>
      </c>
      <c r="AX7" s="31" t="n">
        <v>47</v>
      </c>
      <c r="AY7" s="31" t="n">
        <v>48</v>
      </c>
      <c r="AZ7" s="31" t="n">
        <v>49</v>
      </c>
      <c r="BA7" s="31" t="n">
        <v>50</v>
      </c>
      <c r="BB7" s="31" t="n">
        <v>51</v>
      </c>
      <c r="BC7" s="31" t="n">
        <v>52</v>
      </c>
      <c r="BD7" s="31" t="n">
        <v>53</v>
      </c>
      <c r="BE7" s="31" t="n">
        <v>54</v>
      </c>
      <c r="BF7" s="31" t="n">
        <v>55</v>
      </c>
      <c r="BG7" s="31" t="n">
        <v>56</v>
      </c>
      <c r="BH7" s="31" t="n">
        <v>57</v>
      </c>
      <c r="BI7" s="31" t="n">
        <v>58</v>
      </c>
      <c r="BJ7" s="31" t="n">
        <v>59</v>
      </c>
      <c r="BK7" s="31" t="n">
        <v>60</v>
      </c>
    </row>
    <row r="8" customFormat="false" ht="15" hidden="false" customHeight="false" outlineLevel="0" collapsed="false">
      <c r="A8" s="28" t="s">
        <v>535</v>
      </c>
      <c r="B8" s="6" t="s">
        <v>536</v>
      </c>
      <c r="C8" s="32" t="n">
        <v>0</v>
      </c>
      <c r="D8" s="23" t="n">
        <f aca="false">Assumptions!C$141</f>
        <v>0</v>
      </c>
      <c r="E8" s="23" t="n">
        <f aca="false">Assumptions!D$141</f>
        <v>0</v>
      </c>
      <c r="F8" s="23" t="n">
        <f aca="false">Assumptions!E$141</f>
        <v>0</v>
      </c>
      <c r="G8" s="23" t="n">
        <f aca="false">Assumptions!F$141</f>
        <v>0</v>
      </c>
      <c r="H8" s="23" t="n">
        <f aca="false">Assumptions!G$141</f>
        <v>1</v>
      </c>
      <c r="I8" s="23" t="n">
        <f aca="false">Assumptions!H$141</f>
        <v>0</v>
      </c>
      <c r="J8" s="23" t="n">
        <f aca="false">Assumptions!I$141</f>
        <v>0</v>
      </c>
      <c r="K8" s="23" t="n">
        <f aca="false">Assumptions!J$141</f>
        <v>1</v>
      </c>
      <c r="L8" s="23" t="n">
        <f aca="false">Assumptions!K$141</f>
        <v>0</v>
      </c>
      <c r="M8" s="23" t="n">
        <f aca="false">Assumptions!L$141</f>
        <v>0</v>
      </c>
      <c r="N8" s="23" t="n">
        <f aca="false">Assumptions!M$141</f>
        <v>1</v>
      </c>
      <c r="O8" s="23" t="n">
        <f aca="false">Assumptions!N$141</f>
        <v>1</v>
      </c>
      <c r="P8" s="23" t="n">
        <f aca="false">Assumptions!O$141</f>
        <v>0</v>
      </c>
      <c r="Q8" s="23" t="n">
        <f aca="false">Assumptions!P$141</f>
        <v>1</v>
      </c>
      <c r="R8" s="23" t="n">
        <f aca="false">Assumptions!Q$141</f>
        <v>1</v>
      </c>
      <c r="S8" s="23" t="n">
        <f aca="false">Assumptions!R$141</f>
        <v>0</v>
      </c>
      <c r="T8" s="23" t="n">
        <f aca="false">Assumptions!S$141</f>
        <v>1</v>
      </c>
      <c r="U8" s="23" t="n">
        <f aca="false">Assumptions!T$141</f>
        <v>1</v>
      </c>
      <c r="V8" s="23" t="n">
        <f aca="false">Assumptions!U$141</f>
        <v>1</v>
      </c>
      <c r="W8" s="23" t="n">
        <f aca="false">Assumptions!V$141</f>
        <v>1</v>
      </c>
      <c r="X8" s="23" t="n">
        <f aca="false">Assumptions!W$141</f>
        <v>1</v>
      </c>
      <c r="Y8" s="23" t="n">
        <f aca="false">Assumptions!X$141</f>
        <v>1</v>
      </c>
      <c r="Z8" s="23" t="n">
        <f aca="false">Assumptions!Y$141</f>
        <v>1</v>
      </c>
      <c r="AA8" s="23" t="n">
        <f aca="false">Assumptions!Z$141</f>
        <v>1</v>
      </c>
      <c r="AB8" s="23" t="n">
        <f aca="false">Assumptions!AA$141</f>
        <v>1</v>
      </c>
      <c r="AC8" s="23" t="n">
        <f aca="false">Assumptions!AB$141</f>
        <v>1</v>
      </c>
      <c r="AD8" s="23" t="n">
        <f aca="false">Assumptions!AC$141</f>
        <v>1</v>
      </c>
      <c r="AE8" s="23" t="n">
        <f aca="false">Assumptions!AD$141</f>
        <v>1</v>
      </c>
      <c r="AF8" s="23" t="n">
        <f aca="false">Assumptions!AE$141</f>
        <v>2</v>
      </c>
      <c r="AG8" s="23" t="n">
        <f aca="false">Assumptions!AF$141</f>
        <v>1</v>
      </c>
      <c r="AH8" s="23" t="n">
        <f aca="false">Assumptions!AG$141</f>
        <v>1</v>
      </c>
      <c r="AI8" s="23" t="n">
        <f aca="false">Assumptions!AH$141</f>
        <v>2</v>
      </c>
      <c r="AJ8" s="23" t="n">
        <f aca="false">Assumptions!AI$141</f>
        <v>1</v>
      </c>
      <c r="AK8" s="23" t="n">
        <f aca="false">Assumptions!AJ$141</f>
        <v>1</v>
      </c>
      <c r="AL8" s="23" t="n">
        <f aca="false">Assumptions!AK$141</f>
        <v>2</v>
      </c>
      <c r="AM8" s="23" t="n">
        <f aca="false">Assumptions!AL$141</f>
        <v>1</v>
      </c>
      <c r="AN8" s="33" t="n">
        <f aca="false">Assumptions!AM$141</f>
        <v>1</v>
      </c>
      <c r="AO8" s="33" t="n">
        <f aca="false">Assumptions!AN$141</f>
        <v>2</v>
      </c>
      <c r="AP8" s="33" t="n">
        <f aca="false">Assumptions!AO$141</f>
        <v>1</v>
      </c>
      <c r="AQ8" s="33" t="n">
        <f aca="false">Assumptions!AP$141</f>
        <v>1</v>
      </c>
      <c r="AR8" s="33" t="n">
        <f aca="false">Assumptions!AQ$141</f>
        <v>2</v>
      </c>
      <c r="AS8" s="33" t="n">
        <f aca="false">Assumptions!AR$141</f>
        <v>1</v>
      </c>
      <c r="AT8" s="33" t="n">
        <f aca="false">Assumptions!AS$141</f>
        <v>1</v>
      </c>
      <c r="AU8" s="33" t="n">
        <f aca="false">Assumptions!AT$141</f>
        <v>2</v>
      </c>
      <c r="AV8" s="33" t="n">
        <f aca="false">Assumptions!AU$141</f>
        <v>1</v>
      </c>
      <c r="AW8" s="33" t="n">
        <f aca="false">Assumptions!AV$141</f>
        <v>1</v>
      </c>
      <c r="AX8" s="33" t="n">
        <f aca="false">Assumptions!AW$141</f>
        <v>2</v>
      </c>
      <c r="AY8" s="33" t="n">
        <f aca="false">Assumptions!AX$141</f>
        <v>1</v>
      </c>
      <c r="AZ8" s="33" t="n">
        <f aca="false">Assumptions!AY$141</f>
        <v>1</v>
      </c>
      <c r="BA8" s="33" t="n">
        <f aca="false">Assumptions!AZ$141</f>
        <v>2</v>
      </c>
      <c r="BB8" s="33" t="n">
        <f aca="false">Assumptions!BA$141</f>
        <v>1</v>
      </c>
      <c r="BC8" s="33" t="n">
        <f aca="false">Assumptions!BB$141</f>
        <v>1</v>
      </c>
      <c r="BD8" s="33" t="n">
        <f aca="false">Assumptions!BC$141</f>
        <v>2</v>
      </c>
      <c r="BE8" s="33" t="n">
        <f aca="false">Assumptions!BD$141</f>
        <v>1</v>
      </c>
      <c r="BF8" s="33" t="n">
        <f aca="false">Assumptions!BE$141</f>
        <v>1</v>
      </c>
      <c r="BG8" s="33" t="n">
        <f aca="false">Assumptions!BF$141</f>
        <v>2</v>
      </c>
      <c r="BH8" s="33" t="n">
        <f aca="false">Assumptions!BG$141</f>
        <v>1</v>
      </c>
      <c r="BI8" s="33" t="n">
        <f aca="false">Assumptions!BH$141</f>
        <v>1</v>
      </c>
      <c r="BJ8" s="33" t="n">
        <f aca="false">Assumptions!BI$141</f>
        <v>2</v>
      </c>
      <c r="BK8" s="33" t="n">
        <f aca="false">Assumptions!BJ$141</f>
        <v>1</v>
      </c>
    </row>
    <row r="9" customFormat="false" ht="15" hidden="false" customHeight="false" outlineLevel="0" collapsed="false">
      <c r="A9" s="28" t="s">
        <v>537</v>
      </c>
      <c r="B9" s="6" t="s">
        <v>538</v>
      </c>
      <c r="C9" s="32" t="n">
        <v>0</v>
      </c>
      <c r="D9" s="34" t="n">
        <f aca="false">C9+D8</f>
        <v>0</v>
      </c>
      <c r="E9" s="34" t="n">
        <f aca="false">D9+E8</f>
        <v>0</v>
      </c>
      <c r="F9" s="34" t="n">
        <f aca="false">E9+F8</f>
        <v>0</v>
      </c>
      <c r="G9" s="34" t="n">
        <f aca="false">F9+G8</f>
        <v>0</v>
      </c>
      <c r="H9" s="34" t="n">
        <f aca="false">G9+H8</f>
        <v>1</v>
      </c>
      <c r="I9" s="34" t="n">
        <f aca="false">H9+I8</f>
        <v>1</v>
      </c>
      <c r="J9" s="34" t="n">
        <f aca="false">I9+J8</f>
        <v>1</v>
      </c>
      <c r="K9" s="34" t="n">
        <f aca="false">J9+K8</f>
        <v>2</v>
      </c>
      <c r="L9" s="34" t="n">
        <f aca="false">K9+L8</f>
        <v>2</v>
      </c>
      <c r="M9" s="34" t="n">
        <f aca="false">L9+M8</f>
        <v>2</v>
      </c>
      <c r="N9" s="34" t="n">
        <f aca="false">M9+N8</f>
        <v>3</v>
      </c>
      <c r="O9" s="34" t="n">
        <f aca="false">N9+O8</f>
        <v>4</v>
      </c>
      <c r="P9" s="34" t="n">
        <f aca="false">O9+P8</f>
        <v>4</v>
      </c>
      <c r="Q9" s="34" t="n">
        <f aca="false">P9+Q8</f>
        <v>5</v>
      </c>
      <c r="R9" s="34" t="n">
        <f aca="false">Q9+R8</f>
        <v>6</v>
      </c>
      <c r="S9" s="34" t="n">
        <f aca="false">R9+S8</f>
        <v>6</v>
      </c>
      <c r="T9" s="34" t="n">
        <f aca="false">S9+T8</f>
        <v>7</v>
      </c>
      <c r="U9" s="34" t="n">
        <f aca="false">T9+U8</f>
        <v>8</v>
      </c>
      <c r="V9" s="34" t="n">
        <f aca="false">U9+V8</f>
        <v>9</v>
      </c>
      <c r="W9" s="34" t="n">
        <f aca="false">V9+W8</f>
        <v>10</v>
      </c>
      <c r="X9" s="34" t="n">
        <f aca="false">W9+X8</f>
        <v>11</v>
      </c>
      <c r="Y9" s="34" t="n">
        <f aca="false">X9+Y8</f>
        <v>12</v>
      </c>
      <c r="Z9" s="34" t="n">
        <f aca="false">Y9+Z8</f>
        <v>13</v>
      </c>
      <c r="AA9" s="34" t="n">
        <f aca="false">Z9+AA8</f>
        <v>14</v>
      </c>
      <c r="AB9" s="34" t="n">
        <f aca="false">AA9+AB8</f>
        <v>15</v>
      </c>
      <c r="AC9" s="34" t="n">
        <f aca="false">AB9+AC8</f>
        <v>16</v>
      </c>
      <c r="AD9" s="34" t="n">
        <f aca="false">AC9+AD8</f>
        <v>17</v>
      </c>
      <c r="AE9" s="34" t="n">
        <f aca="false">AD9+AE8</f>
        <v>18</v>
      </c>
      <c r="AF9" s="34" t="n">
        <f aca="false">AE9+AF8</f>
        <v>20</v>
      </c>
      <c r="AG9" s="34" t="n">
        <f aca="false">AF9+AG8</f>
        <v>21</v>
      </c>
      <c r="AH9" s="34" t="n">
        <f aca="false">AG9+AH8</f>
        <v>22</v>
      </c>
      <c r="AI9" s="34" t="n">
        <f aca="false">AH9+AI8</f>
        <v>24</v>
      </c>
      <c r="AJ9" s="34" t="n">
        <f aca="false">AI9+AJ8</f>
        <v>25</v>
      </c>
      <c r="AK9" s="34" t="n">
        <f aca="false">AJ9+AK8</f>
        <v>26</v>
      </c>
      <c r="AL9" s="34" t="n">
        <f aca="false">AK9+AL8</f>
        <v>28</v>
      </c>
      <c r="AM9" s="34" t="n">
        <f aca="false">AL9+AM8</f>
        <v>29</v>
      </c>
      <c r="AN9" s="35" t="n">
        <f aca="false">AM9+AN8</f>
        <v>30</v>
      </c>
      <c r="AO9" s="35" t="n">
        <f aca="false">AN9+AO8</f>
        <v>32</v>
      </c>
      <c r="AP9" s="35" t="n">
        <f aca="false">AO9+AP8</f>
        <v>33</v>
      </c>
      <c r="AQ9" s="35" t="n">
        <f aca="false">AP9+AQ8</f>
        <v>34</v>
      </c>
      <c r="AR9" s="35" t="n">
        <f aca="false">AQ9+AR8</f>
        <v>36</v>
      </c>
      <c r="AS9" s="35" t="n">
        <f aca="false">AR9+AS8</f>
        <v>37</v>
      </c>
      <c r="AT9" s="35" t="n">
        <f aca="false">AS9+AT8</f>
        <v>38</v>
      </c>
      <c r="AU9" s="35" t="n">
        <f aca="false">AT9+AU8</f>
        <v>40</v>
      </c>
      <c r="AV9" s="35" t="n">
        <f aca="false">AU9+AV8</f>
        <v>41</v>
      </c>
      <c r="AW9" s="35" t="n">
        <f aca="false">AV9+AW8</f>
        <v>42</v>
      </c>
      <c r="AX9" s="35" t="n">
        <f aca="false">AW9+AX8</f>
        <v>44</v>
      </c>
      <c r="AY9" s="35" t="n">
        <f aca="false">AX9+AY8</f>
        <v>45</v>
      </c>
      <c r="AZ9" s="35" t="n">
        <f aca="false">AY9+AZ8</f>
        <v>46</v>
      </c>
      <c r="BA9" s="35" t="n">
        <f aca="false">AZ9+BA8</f>
        <v>48</v>
      </c>
      <c r="BB9" s="35" t="n">
        <f aca="false">BA9+BB8</f>
        <v>49</v>
      </c>
      <c r="BC9" s="35" t="n">
        <f aca="false">BB9+BC8</f>
        <v>50</v>
      </c>
      <c r="BD9" s="35" t="n">
        <f aca="false">BC9+BD8</f>
        <v>52</v>
      </c>
      <c r="BE9" s="35" t="n">
        <f aca="false">BD9+BE8</f>
        <v>53</v>
      </c>
      <c r="BF9" s="35" t="n">
        <f aca="false">BE9+BF8</f>
        <v>54</v>
      </c>
      <c r="BG9" s="35" t="n">
        <f aca="false">BF9+BG8</f>
        <v>56</v>
      </c>
      <c r="BH9" s="35" t="n">
        <f aca="false">BG9+BH8</f>
        <v>57</v>
      </c>
      <c r="BI9" s="35" t="n">
        <f aca="false">BH9+BI8</f>
        <v>58</v>
      </c>
      <c r="BJ9" s="35" t="n">
        <f aca="false">BI9+BJ8</f>
        <v>60</v>
      </c>
      <c r="BK9" s="35" t="n">
        <f aca="false">BJ9+BK8</f>
        <v>61</v>
      </c>
    </row>
    <row r="10" customFormat="false" ht="15" hidden="false" customHeight="false" outlineLevel="0" collapsed="false">
      <c r="A10" s="28" t="s">
        <v>539</v>
      </c>
      <c r="B10" s="6" t="s">
        <v>540</v>
      </c>
      <c r="C10" s="32" t="n">
        <v>0</v>
      </c>
      <c r="D10" s="34" t="n">
        <f aca="false">IF(D7&gt;Assumptions!$E$79,INDEX($D$9:$BK$9,D7-Assumptions!$E$79),0)</f>
        <v>0</v>
      </c>
      <c r="E10" s="34" t="n">
        <f aca="false">IF(E7&gt;Assumptions!$E$79,INDEX($D$9:$BK$9,E7-Assumptions!$E$79),0)</f>
        <v>0</v>
      </c>
      <c r="F10" s="34" t="n">
        <f aca="false">IF(F7&gt;Assumptions!$E$79,INDEX($D$9:$BK$9,F7-Assumptions!$E$79),0)</f>
        <v>0</v>
      </c>
      <c r="G10" s="34" t="n">
        <f aca="false">IF(G7&gt;Assumptions!$E$79,INDEX($D$9:$BK$9,G7-Assumptions!$E$79),0)</f>
        <v>0</v>
      </c>
      <c r="H10" s="34" t="n">
        <f aca="false">IF(H7&gt;Assumptions!$E$79,INDEX($D$9:$BK$9,H7-Assumptions!$E$79),0)</f>
        <v>0</v>
      </c>
      <c r="I10" s="34" t="n">
        <f aca="false">IF(I7&gt;Assumptions!$E$79,INDEX($D$9:$BK$9,I7-Assumptions!$E$79),0)</f>
        <v>0</v>
      </c>
      <c r="J10" s="34" t="n">
        <f aca="false">IF(J7&gt;Assumptions!$E$79,INDEX($D$9:$BK$9,J7-Assumptions!$E$79),0)</f>
        <v>0</v>
      </c>
      <c r="K10" s="34" t="n">
        <f aca="false">IF(K7&gt;Assumptions!$E$79,INDEX($D$9:$BK$9,K7-Assumptions!$E$79),0)</f>
        <v>0</v>
      </c>
      <c r="L10" s="34" t="n">
        <f aca="false">IF(L7&gt;Assumptions!$E$79,INDEX($D$9:$BK$9,L7-Assumptions!$E$79),0)</f>
        <v>0</v>
      </c>
      <c r="M10" s="34" t="n">
        <f aca="false">IF(M7&gt;Assumptions!$E$79,INDEX($D$9:$BK$9,M7-Assumptions!$E$79),0)</f>
        <v>0</v>
      </c>
      <c r="N10" s="34" t="n">
        <f aca="false">IF(N7&gt;Assumptions!$E$79,INDEX($D$9:$BK$9,N7-Assumptions!$E$79),0)</f>
        <v>1</v>
      </c>
      <c r="O10" s="34" t="n">
        <f aca="false">IF(O7&gt;Assumptions!$E$79,INDEX($D$9:$BK$9,O7-Assumptions!$E$79),0)</f>
        <v>1</v>
      </c>
      <c r="P10" s="34" t="n">
        <f aca="false">IF(P7&gt;Assumptions!$E$79,INDEX($D$9:$BK$9,P7-Assumptions!$E$79),0)</f>
        <v>1</v>
      </c>
      <c r="Q10" s="34" t="n">
        <f aca="false">IF(Q7&gt;Assumptions!$E$79,INDEX($D$9:$BK$9,Q7-Assumptions!$E$79),0)</f>
        <v>2</v>
      </c>
      <c r="R10" s="34" t="n">
        <f aca="false">IF(R7&gt;Assumptions!$E$79,INDEX($D$9:$BK$9,R7-Assumptions!$E$79),0)</f>
        <v>2</v>
      </c>
      <c r="S10" s="34" t="n">
        <f aca="false">IF(S7&gt;Assumptions!$E$79,INDEX($D$9:$BK$9,S7-Assumptions!$E$79),0)</f>
        <v>2</v>
      </c>
      <c r="T10" s="34" t="n">
        <f aca="false">IF(T7&gt;Assumptions!$E$79,INDEX($D$9:$BK$9,T7-Assumptions!$E$79),0)</f>
        <v>3</v>
      </c>
      <c r="U10" s="34" t="n">
        <f aca="false">IF(U7&gt;Assumptions!$E$79,INDEX($D$9:$BK$9,U7-Assumptions!$E$79),0)</f>
        <v>4</v>
      </c>
      <c r="V10" s="34" t="n">
        <f aca="false">IF(V7&gt;Assumptions!$E$79,INDEX($D$9:$BK$9,V7-Assumptions!$E$79),0)</f>
        <v>4</v>
      </c>
      <c r="W10" s="34" t="n">
        <f aca="false">IF(W7&gt;Assumptions!$E$79,INDEX($D$9:$BK$9,W7-Assumptions!$E$79),0)</f>
        <v>5</v>
      </c>
      <c r="X10" s="34" t="n">
        <f aca="false">IF(X7&gt;Assumptions!$E$79,INDEX($D$9:$BK$9,X7-Assumptions!$E$79),0)</f>
        <v>6</v>
      </c>
      <c r="Y10" s="34" t="n">
        <f aca="false">IF(Y7&gt;Assumptions!$E$79,INDEX($D$9:$BK$9,Y7-Assumptions!$E$79),0)</f>
        <v>6</v>
      </c>
      <c r="Z10" s="34" t="n">
        <f aca="false">IF(Z7&gt;Assumptions!$E$79,INDEX($D$9:$BK$9,Z7-Assumptions!$E$79),0)</f>
        <v>7</v>
      </c>
      <c r="AA10" s="34" t="n">
        <f aca="false">IF(AA7&gt;Assumptions!$E$79,INDEX($D$9:$BK$9,AA7-Assumptions!$E$79),0)</f>
        <v>8</v>
      </c>
      <c r="AB10" s="34" t="n">
        <f aca="false">IF(AB7&gt;Assumptions!$E$79,INDEX($D$9:$BK$9,AB7-Assumptions!$E$79),0)</f>
        <v>9</v>
      </c>
      <c r="AC10" s="34" t="n">
        <f aca="false">IF(AC7&gt;Assumptions!$E$79,INDEX($D$9:$BK$9,AC7-Assumptions!$E$79),0)</f>
        <v>10</v>
      </c>
      <c r="AD10" s="34" t="n">
        <f aca="false">IF(AD7&gt;Assumptions!$E$79,INDEX($D$9:$BK$9,AD7-Assumptions!$E$79),0)</f>
        <v>11</v>
      </c>
      <c r="AE10" s="34" t="n">
        <f aca="false">IF(AE7&gt;Assumptions!$E$79,INDEX($D$9:$BK$9,AE7-Assumptions!$E$79),0)</f>
        <v>12</v>
      </c>
      <c r="AF10" s="34" t="n">
        <f aca="false">IF(AF7&gt;Assumptions!$E$79,INDEX($D$9:$BK$9,AF7-Assumptions!$E$79),0)</f>
        <v>13</v>
      </c>
      <c r="AG10" s="34" t="n">
        <f aca="false">IF(AG7&gt;Assumptions!$E$79,INDEX($D$9:$BK$9,AG7-Assumptions!$E$79),0)</f>
        <v>14</v>
      </c>
      <c r="AH10" s="34" t="n">
        <f aca="false">IF(AH7&gt;Assumptions!$E$79,INDEX($D$9:$BK$9,AH7-Assumptions!$E$79),0)</f>
        <v>15</v>
      </c>
      <c r="AI10" s="34" t="n">
        <f aca="false">IF(AI7&gt;Assumptions!$E$79,INDEX($D$9:$BK$9,AI7-Assumptions!$E$79),0)</f>
        <v>16</v>
      </c>
      <c r="AJ10" s="34" t="n">
        <f aca="false">IF(AJ7&gt;Assumptions!$E$79,INDEX($D$9:$BK$9,AJ7-Assumptions!$E$79),0)</f>
        <v>17</v>
      </c>
      <c r="AK10" s="34" t="n">
        <f aca="false">IF(AK7&gt;Assumptions!$E$79,INDEX($D$9:$BK$9,AK7-Assumptions!$E$79),0)</f>
        <v>18</v>
      </c>
      <c r="AL10" s="34" t="n">
        <f aca="false">IF(AL7&gt;Assumptions!$E$79,INDEX($D$9:$BK$9,AL7-Assumptions!$E$79),0)</f>
        <v>20</v>
      </c>
      <c r="AM10" s="34" t="n">
        <f aca="false">IF(AM7&gt;Assumptions!$E$79,INDEX($D$9:$BK$9,AM7-Assumptions!$E$79),0)</f>
        <v>21</v>
      </c>
      <c r="AN10" s="35" t="n">
        <f aca="false">IF(AN7&gt;Assumptions!$E$79,INDEX($D$9:$BK$9,AN7-Assumptions!$E$79),0)</f>
        <v>22</v>
      </c>
      <c r="AO10" s="35" t="n">
        <f aca="false">IF(AO7&gt;Assumptions!$E$79,INDEX($D$9:$BK$9,AO7-Assumptions!$E$79),0)</f>
        <v>24</v>
      </c>
      <c r="AP10" s="35" t="n">
        <f aca="false">IF(AP7&gt;Assumptions!$E$79,INDEX($D$9:$BK$9,AP7-Assumptions!$E$79),0)</f>
        <v>25</v>
      </c>
      <c r="AQ10" s="35" t="n">
        <f aca="false">IF(AQ7&gt;Assumptions!$E$79,INDEX($D$9:$BK$9,AQ7-Assumptions!$E$79),0)</f>
        <v>26</v>
      </c>
      <c r="AR10" s="35" t="n">
        <f aca="false">IF(AR7&gt;Assumptions!$E$79,INDEX($D$9:$BK$9,AR7-Assumptions!$E$79),0)</f>
        <v>28</v>
      </c>
      <c r="AS10" s="35" t="n">
        <f aca="false">IF(AS7&gt;Assumptions!$E$79,INDEX($D$9:$BK$9,AS7-Assumptions!$E$79),0)</f>
        <v>29</v>
      </c>
      <c r="AT10" s="35" t="n">
        <f aca="false">IF(AT7&gt;Assumptions!$E$79,INDEX($D$9:$BK$9,AT7-Assumptions!$E$79),0)</f>
        <v>30</v>
      </c>
      <c r="AU10" s="35" t="n">
        <f aca="false">IF(AU7&gt;Assumptions!$E$79,INDEX($D$9:$BK$9,AU7-Assumptions!$E$79),0)</f>
        <v>32</v>
      </c>
      <c r="AV10" s="35" t="n">
        <f aca="false">IF(AV7&gt;Assumptions!$E$79,INDEX($D$9:$BK$9,AV7-Assumptions!$E$79),0)</f>
        <v>33</v>
      </c>
      <c r="AW10" s="35" t="n">
        <f aca="false">IF(AW7&gt;Assumptions!$E$79,INDEX($D$9:$BK$9,AW7-Assumptions!$E$79),0)</f>
        <v>34</v>
      </c>
      <c r="AX10" s="35" t="n">
        <f aca="false">IF(AX7&gt;Assumptions!$E$79,INDEX($D$9:$BK$9,AX7-Assumptions!$E$79),0)</f>
        <v>36</v>
      </c>
      <c r="AY10" s="35" t="n">
        <f aca="false">IF(AY7&gt;Assumptions!$E$79,INDEX($D$9:$BK$9,AY7-Assumptions!$E$79),0)</f>
        <v>37</v>
      </c>
      <c r="AZ10" s="35" t="n">
        <f aca="false">IF(AZ7&gt;Assumptions!$E$79,INDEX($D$9:$BK$9,AZ7-Assumptions!$E$79),0)</f>
        <v>38</v>
      </c>
      <c r="BA10" s="35" t="n">
        <f aca="false">IF(BA7&gt;Assumptions!$E$79,INDEX($D$9:$BK$9,BA7-Assumptions!$E$79),0)</f>
        <v>40</v>
      </c>
      <c r="BB10" s="35" t="n">
        <f aca="false">IF(BB7&gt;Assumptions!$E$79,INDEX($D$9:$BK$9,BB7-Assumptions!$E$79),0)</f>
        <v>41</v>
      </c>
      <c r="BC10" s="35" t="n">
        <f aca="false">IF(BC7&gt;Assumptions!$E$79,INDEX($D$9:$BK$9,BC7-Assumptions!$E$79),0)</f>
        <v>42</v>
      </c>
      <c r="BD10" s="35" t="n">
        <f aca="false">IF(BD7&gt;Assumptions!$E$79,INDEX($D$9:$BK$9,BD7-Assumptions!$E$79),0)</f>
        <v>44</v>
      </c>
      <c r="BE10" s="35" t="n">
        <f aca="false">IF(BE7&gt;Assumptions!$E$79,INDEX($D$9:$BK$9,BE7-Assumptions!$E$79),0)</f>
        <v>45</v>
      </c>
      <c r="BF10" s="35" t="n">
        <f aca="false">IF(BF7&gt;Assumptions!$E$79,INDEX($D$9:$BK$9,BF7-Assumptions!$E$79),0)</f>
        <v>46</v>
      </c>
      <c r="BG10" s="35" t="n">
        <f aca="false">IF(BG7&gt;Assumptions!$E$79,INDEX($D$9:$BK$9,BG7-Assumptions!$E$79),0)</f>
        <v>48</v>
      </c>
      <c r="BH10" s="35" t="n">
        <f aca="false">IF(BH7&gt;Assumptions!$E$79,INDEX($D$9:$BK$9,BH7-Assumptions!$E$79),0)</f>
        <v>49</v>
      </c>
      <c r="BI10" s="35" t="n">
        <f aca="false">IF(BI7&gt;Assumptions!$E$79,INDEX($D$9:$BK$9,BI7-Assumptions!$E$79),0)</f>
        <v>50</v>
      </c>
      <c r="BJ10" s="35" t="n">
        <f aca="false">IF(BJ7&gt;Assumptions!$E$79,INDEX($D$9:$BK$9,BJ7-Assumptions!$E$79),0)</f>
        <v>52</v>
      </c>
      <c r="BK10" s="35" t="n">
        <f aca="false">IF(BK7&gt;Assumptions!$E$79,INDEX($D$9:$BK$9,BK7-Assumptions!$E$79),0)</f>
        <v>53</v>
      </c>
    </row>
    <row r="11" customFormat="false" ht="15" hidden="false" customHeight="false" outlineLevel="0" collapsed="false">
      <c r="A11" s="28" t="s">
        <v>541</v>
      </c>
      <c r="B11" s="6" t="s">
        <v>542</v>
      </c>
      <c r="C11" s="36" t="n">
        <v>0</v>
      </c>
      <c r="D11" s="26" t="n">
        <f aca="false">Assumptions!$E$10*(D8*Assumptions!$E$111)</f>
        <v>0</v>
      </c>
      <c r="E11" s="26" t="n">
        <f aca="false">Assumptions!$E$10*(E8*Assumptions!$E$111+D8*Assumptions!$E$112)</f>
        <v>0</v>
      </c>
      <c r="F11" s="26" t="n">
        <f aca="false">Assumptions!$E$10*(F8*Assumptions!$E$111+E8*Assumptions!$E$112+D8*Assumptions!$E$113)</f>
        <v>0</v>
      </c>
      <c r="G11" s="26" t="n">
        <f aca="false">Assumptions!$E$10*(G8*Assumptions!$E$111+F8*Assumptions!$E$112+E8*Assumptions!$E$113+D8*Assumptions!$E$114)</f>
        <v>0</v>
      </c>
      <c r="H11" s="26" t="n">
        <f aca="false">Assumptions!$E$10*(H8*Assumptions!$E$111+G8*Assumptions!$E$112+F8*Assumptions!$E$113+E8*Assumptions!$E$114+D8*Assumptions!$E$115)</f>
        <v>8</v>
      </c>
      <c r="I11" s="26" t="n">
        <f aca="false">Assumptions!$E$10*(I8*Assumptions!$E$111+H8*Assumptions!$E$112+G8*Assumptions!$E$113+F8*Assumptions!$E$114+E8*Assumptions!$E$115+D8*Assumptions!$E$116)</f>
        <v>7.04</v>
      </c>
      <c r="J11" s="26" t="n">
        <f aca="false">Assumptions!$E$10*(J8*Assumptions!$E$111+I8*Assumptions!$E$112+H8*Assumptions!$E$113+G8*Assumptions!$E$114+F8*Assumptions!$E$115+E8*Assumptions!$E$116+D8*Assumptions!$E$117)</f>
        <v>4.8</v>
      </c>
      <c r="K11" s="26" t="n">
        <f aca="false">Assumptions!$E$10*(K8*Assumptions!$E$111+J8*Assumptions!$E$112+I8*Assumptions!$E$113+H8*Assumptions!$E$114+G8*Assumptions!$E$115+F8*Assumptions!$E$116+E8*Assumptions!$E$117+D8*Assumptions!$E$118)</f>
        <v>11.2</v>
      </c>
      <c r="L11" s="26" t="n">
        <f aca="false">Assumptions!$E$10*(L8*Assumptions!$E$111+K8*Assumptions!$E$112+J8*Assumptions!$E$113+I8*Assumptions!$E$114+H8*Assumptions!$E$115+G8*Assumptions!$E$116+F8*Assumptions!$E$117+E8*Assumptions!$E$118+D8*Assumptions!$E$119)</f>
        <v>8.96</v>
      </c>
      <c r="M11" s="26" t="n">
        <f aca="false">Assumptions!$E$10*(M8*Assumptions!$E$111+L8*Assumptions!$E$112+K8*Assumptions!$E$113+J8*Assumptions!$E$114+I8*Assumptions!$E$115+H8*Assumptions!$E$116+G8*Assumptions!$E$117+F8*Assumptions!$E$118+E8*Assumptions!$E$119+D8*Assumptions!$E$120)</f>
        <v>6.4</v>
      </c>
      <c r="N11" s="26" t="n">
        <f aca="false">Assumptions!$E$10*(N8*Assumptions!$E$111+M8*Assumptions!$E$112+L8*Assumptions!$E$113+K8*Assumptions!$E$114+J8*Assumptions!$E$115+I8*Assumptions!$E$116+H8*Assumptions!$E$117+G8*Assumptions!$E$118+F8*Assumptions!$E$119+E8*Assumptions!$E$120+D8*Assumptions!$E$121)</f>
        <v>11.52</v>
      </c>
      <c r="O11" s="26" t="n">
        <f aca="false">Assumptions!$E$10*(O8*Assumptions!$E$111+N8*Assumptions!$E$112+M8*Assumptions!$E$113+L8*Assumptions!$E$114+K8*Assumptions!$E$115+J8*Assumptions!$E$116+I8*Assumptions!$E$117+H8*Assumptions!$E$118+G8*Assumptions!$E$119+F8*Assumptions!$E$120+E8*Assumptions!$E$121+D8*Assumptions!$E$122)</f>
        <v>17.28</v>
      </c>
      <c r="P11" s="26" t="n">
        <f aca="false">Assumptions!$E$10*(P8*Assumptions!$E$111+O8*Assumptions!$E$112+N8*Assumptions!$E$113+M8*Assumptions!$E$114+L8*Assumptions!$E$115+K8*Assumptions!$E$116+J8*Assumptions!$E$117+I8*Assumptions!$E$118+H8*Assumptions!$E$119+G8*Assumptions!$E$120+F8*Assumptions!$E$121+E8*Assumptions!$E$122+D8*Assumptions!$E$123)</f>
        <v>13.76</v>
      </c>
      <c r="Q11" s="26" t="n">
        <f aca="false">Assumptions!$E$10*(Q8*Assumptions!$E$111+P8*Assumptions!$E$112+O8*Assumptions!$E$113+N8*Assumptions!$E$114+M8*Assumptions!$E$115+L8*Assumptions!$E$116+K8*Assumptions!$E$117+J8*Assumptions!$E$118+I8*Assumptions!$E$119+H8*Assumptions!$E$120+G8*Assumptions!$E$121+F8*Assumptions!$E$122+E8*Assumptions!$E$123+D8*Assumptions!$E$124)</f>
        <v>16.64</v>
      </c>
      <c r="R11" s="26" t="n">
        <f aca="false">Assumptions!$E$10*(R8*Assumptions!$E$111+Q8*Assumptions!$E$112+P8*Assumptions!$E$113+O8*Assumptions!$E$114+N8*Assumptions!$E$115+M8*Assumptions!$E$116+L8*Assumptions!$E$117+K8*Assumptions!$E$118+J8*Assumptions!$E$119+I8*Assumptions!$E$120+H8*Assumptions!$E$121+G8*Assumptions!$E$122+F8*Assumptions!$E$123+E8*Assumptions!$E$124+D8*Assumptions!$E$125)</f>
        <v>20.8</v>
      </c>
      <c r="S11" s="26" t="n">
        <f aca="false">Assumptions!$E$10*(S8*Assumptions!$E$111+R8*Assumptions!$E$112+Q8*Assumptions!$E$113+P8*Assumptions!$E$114+O8*Assumptions!$E$115+N8*Assumptions!$E$116+M8*Assumptions!$E$117+L8*Assumptions!$E$118+K8*Assumptions!$E$119+J8*Assumptions!$E$120+I8*Assumptions!$E$121+H8*Assumptions!$E$122+G8*Assumptions!$E$123+F8*Assumptions!$E$124+E8*Assumptions!$E$125+D8*Assumptions!$E$126)</f>
        <v>16</v>
      </c>
      <c r="T11" s="26" t="n">
        <f aca="false">Assumptions!$E$10*(T8*Assumptions!$E$111+S8*Assumptions!$E$112+R8*Assumptions!$E$113+Q8*Assumptions!$E$114+P8*Assumptions!$E$115+O8*Assumptions!$E$116+N8*Assumptions!$E$117+M8*Assumptions!$E$118+L8*Assumptions!$E$119+K8*Assumptions!$E$120+J8*Assumptions!$E$121+I8*Assumptions!$E$122+H8*Assumptions!$E$123+G8*Assumptions!$E$124+F8*Assumptions!$E$125+E8*Assumptions!$E$126+D8*Assumptions!$E$127)</f>
        <v>18.56</v>
      </c>
      <c r="U11" s="26" t="n">
        <f aca="false">Assumptions!$E$10*(U8*Assumptions!$E$111+T8*Assumptions!$E$112+S8*Assumptions!$E$113+R8*Assumptions!$E$114+Q8*Assumptions!$E$115+P8*Assumptions!$E$116+O8*Assumptions!$E$117+N8*Assumptions!$E$118+M8*Assumptions!$E$119+L8*Assumptions!$E$120+K8*Assumptions!$E$121+J8*Assumptions!$E$122+I8*Assumptions!$E$123+H8*Assumptions!$E$124+G8*Assumptions!$E$125+F8*Assumptions!$E$126+E8*Assumptions!$E$127+D8*Assumptions!$E$128)</f>
        <v>21.44</v>
      </c>
      <c r="V11" s="26" t="n">
        <f aca="false">Assumptions!$E$10*(V8*Assumptions!$E$111+U8*Assumptions!$E$112+T8*Assumptions!$E$113+S8*Assumptions!$E$114+R8*Assumptions!$E$115+Q8*Assumptions!$E$116+P8*Assumptions!$E$117+O8*Assumptions!$E$118+N8*Assumptions!$E$119+M8*Assumptions!$E$120+L8*Assumptions!$E$121+K8*Assumptions!$E$122+J8*Assumptions!$E$123+I8*Assumptions!$E$124+H8*Assumptions!$E$125+G8*Assumptions!$E$126+F8*Assumptions!$E$127+E8*Assumptions!$E$128+D8*Assumptions!$E$129)</f>
        <v>24.64</v>
      </c>
      <c r="W11" s="26" t="n">
        <f aca="false">Assumptions!$E$10*(W8*Assumptions!$E$111+V8*Assumptions!$E$112+U8*Assumptions!$E$113+T8*Assumptions!$E$114+S8*Assumptions!$E$115+R8*Assumptions!$E$116+Q8*Assumptions!$E$117+P8*Assumptions!$E$118+O8*Assumptions!$E$119+N8*Assumptions!$E$120+M8*Assumptions!$E$121+L8*Assumptions!$E$122+K8*Assumptions!$E$123+J8*Assumptions!$E$124+I8*Assumptions!$E$125+H8*Assumptions!$E$126+G8*Assumptions!$E$127+F8*Assumptions!$E$128+E8*Assumptions!$E$129+D8*Assumptions!$E$130)</f>
        <v>26.24</v>
      </c>
      <c r="X11" s="26" t="n">
        <f aca="false">Assumptions!$E$10*(X8*Assumptions!$E$111+W8*Assumptions!$E$112+V8*Assumptions!$E$113+U8*Assumptions!$E$114+T8*Assumptions!$E$115+S8*Assumptions!$E$116+R8*Assumptions!$E$117+Q8*Assumptions!$E$118+P8*Assumptions!$E$119+O8*Assumptions!$E$120+N8*Assumptions!$E$121+M8*Assumptions!$E$122+L8*Assumptions!$E$123+K8*Assumptions!$E$124+J8*Assumptions!$E$125+I8*Assumptions!$E$126+H8*Assumptions!$E$127+G8*Assumptions!$E$128+F8*Assumptions!$E$129+E8*Assumptions!$E$130+D8*Assumptions!$E$131)</f>
        <v>26.88</v>
      </c>
      <c r="Y11" s="26" t="n">
        <f aca="false">Assumptions!$E$10*(Y8*Assumptions!$E$111+X8*Assumptions!$E$112+W8*Assumptions!$E$113+V8*Assumptions!$E$114+U8*Assumptions!$E$115+T8*Assumptions!$E$116+S8*Assumptions!$E$117+R8*Assumptions!$E$118+Q8*Assumptions!$E$119+P8*Assumptions!$E$120+O8*Assumptions!$E$121+N8*Assumptions!$E$122+M8*Assumptions!$E$123+L8*Assumptions!$E$124+K8*Assumptions!$E$125+J8*Assumptions!$E$126+I8*Assumptions!$E$127+H8*Assumptions!$E$128+G8*Assumptions!$E$129+F8*Assumptions!$E$130+E8*Assumptions!$E$131+D8*Assumptions!$E$132)</f>
        <v>28.48</v>
      </c>
      <c r="Z11" s="26" t="n">
        <f aca="false">Assumptions!$E$10*(Z8*Assumptions!$E$111+Y8*Assumptions!$E$112+X8*Assumptions!$E$113+W8*Assumptions!$E$114+V8*Assumptions!$E$115+U8*Assumptions!$E$116+T8*Assumptions!$E$117+S8*Assumptions!$E$118+R8*Assumptions!$E$119+Q8*Assumptions!$E$120+P8*Assumptions!$E$121+O8*Assumptions!$E$122+N8*Assumptions!$E$123+M8*Assumptions!$E$124+L8*Assumptions!$E$125+K8*Assumptions!$E$126+J8*Assumptions!$E$127+I8*Assumptions!$E$128+H8*Assumptions!$E$129+G8*Assumptions!$E$130+F8*Assumptions!$E$131+E8*Assumptions!$E$132+D8*Assumptions!$E$133)</f>
        <v>28.8</v>
      </c>
      <c r="AA11" s="26" t="n">
        <f aca="false">Assumptions!$E$10*(AA8*Assumptions!$E$111+Z8*Assumptions!$E$112+Y8*Assumptions!$E$113+X8*Assumptions!$E$114+W8*Assumptions!$E$115+V8*Assumptions!$E$116+U8*Assumptions!$E$117+T8*Assumptions!$E$118+S8*Assumptions!$E$119+R8*Assumptions!$E$120+Q8*Assumptions!$E$121+P8*Assumptions!$E$122+O8*Assumptions!$E$123+N8*Assumptions!$E$124+M8*Assumptions!$E$125+L8*Assumptions!$E$126+K8*Assumptions!$E$127+J8*Assumptions!$E$128+I8*Assumptions!$E$129+H8*Assumptions!$E$130+G8*Assumptions!$E$131+F8*Assumptions!$E$132+E8*Assumptions!$E$133)</f>
        <v>29.12</v>
      </c>
      <c r="AB11" s="26" t="n">
        <f aca="false">Assumptions!$E$10*(AB8*Assumptions!$E$111+AA8*Assumptions!$E$112+Z8*Assumptions!$E$113+Y8*Assumptions!$E$114+X8*Assumptions!$E$115+W8*Assumptions!$E$116+V8*Assumptions!$E$117+U8*Assumptions!$E$118+T8*Assumptions!$E$119+S8*Assumptions!$E$120+R8*Assumptions!$E$121+Q8*Assumptions!$E$122+P8*Assumptions!$E$123+O8*Assumptions!$E$124+N8*Assumptions!$E$125+M8*Assumptions!$E$126+L8*Assumptions!$E$127+K8*Assumptions!$E$128+J8*Assumptions!$E$129+I8*Assumptions!$E$130+H8*Assumptions!$E$131+G8*Assumptions!$E$132+F8*Assumptions!$E$133)</f>
        <v>29.44</v>
      </c>
      <c r="AC11" s="26" t="n">
        <f aca="false">Assumptions!$E$10*(AC8*Assumptions!$E$111+AB8*Assumptions!$E$112+AA8*Assumptions!$E$113+Z8*Assumptions!$E$114+Y8*Assumptions!$E$115+X8*Assumptions!$E$116+W8*Assumptions!$E$117+V8*Assumptions!$E$118+U8*Assumptions!$E$119+T8*Assumptions!$E$120+S8*Assumptions!$E$121+R8*Assumptions!$E$122+Q8*Assumptions!$E$123+P8*Assumptions!$E$124+O8*Assumptions!$E$125+N8*Assumptions!$E$126+M8*Assumptions!$E$127+L8*Assumptions!$E$128+K8*Assumptions!$E$129+J8*Assumptions!$E$130+I8*Assumptions!$E$131+H8*Assumptions!$E$132+G8*Assumptions!$E$133)</f>
        <v>29.76</v>
      </c>
      <c r="AD11" s="26" t="n">
        <f aca="false">Assumptions!$E$10*(AD8*Assumptions!$E$111+AC8*Assumptions!$E$112+AB8*Assumptions!$E$113+AA8*Assumptions!$E$114+Z8*Assumptions!$E$115+Y8*Assumptions!$E$116+X8*Assumptions!$E$117+W8*Assumptions!$E$118+V8*Assumptions!$E$119+U8*Assumptions!$E$120+T8*Assumptions!$E$121+S8*Assumptions!$E$122+R8*Assumptions!$E$123+Q8*Assumptions!$E$124+P8*Assumptions!$E$125+O8*Assumptions!$E$126+N8*Assumptions!$E$127+M8*Assumptions!$E$128+L8*Assumptions!$E$129+K8*Assumptions!$E$130+J8*Assumptions!$E$131+I8*Assumptions!$E$132+H8*Assumptions!$E$133)</f>
        <v>30.08</v>
      </c>
      <c r="AE11" s="26" t="n">
        <f aca="false">Assumptions!$E$10*(AE8*Assumptions!$E$111+AD8*Assumptions!$E$112+AC8*Assumptions!$E$113+AB8*Assumptions!$E$114+AA8*Assumptions!$E$115+Z8*Assumptions!$E$116+Y8*Assumptions!$E$117+X8*Assumptions!$E$118+W8*Assumptions!$E$119+V8*Assumptions!$E$120+U8*Assumptions!$E$121+T8*Assumptions!$E$122+S8*Assumptions!$E$123+R8*Assumptions!$E$124+Q8*Assumptions!$E$125+P8*Assumptions!$E$126+O8*Assumptions!$E$127+N8*Assumptions!$E$128+M8*Assumptions!$E$129+L8*Assumptions!$E$130+K8*Assumptions!$E$131+J8*Assumptions!$E$132+I8*Assumptions!$E$133)</f>
        <v>30.08</v>
      </c>
      <c r="AF11" s="26" t="n">
        <f aca="false">Assumptions!$E$10*(AF8*Assumptions!$E$111+AE8*Assumptions!$E$112+AD8*Assumptions!$E$113+AC8*Assumptions!$E$114+AB8*Assumptions!$E$115+AA8*Assumptions!$E$116+Z8*Assumptions!$E$117+Y8*Assumptions!$E$118+X8*Assumptions!$E$119+W8*Assumptions!$E$120+V8*Assumptions!$E$121+U8*Assumptions!$E$122+T8*Assumptions!$E$123+S8*Assumptions!$E$124+R8*Assumptions!$E$125+Q8*Assumptions!$E$126+P8*Assumptions!$E$127+O8*Assumptions!$E$128+N8*Assumptions!$E$129+M8*Assumptions!$E$130+L8*Assumptions!$E$131+K8*Assumptions!$E$132+J8*Assumptions!$E$133)</f>
        <v>38.4</v>
      </c>
      <c r="AG11" s="26" t="n">
        <f aca="false">Assumptions!$E$10*(AG8*Assumptions!$E$111+AF8*Assumptions!$E$112+AE8*Assumptions!$E$113+AD8*Assumptions!$E$114+AC8*Assumptions!$E$115+AB8*Assumptions!$E$116+AA8*Assumptions!$E$117+Z8*Assumptions!$E$118+Y8*Assumptions!$E$119+X8*Assumptions!$E$120+W8*Assumptions!$E$121+V8*Assumptions!$E$122+U8*Assumptions!$E$123+T8*Assumptions!$E$124+S8*Assumptions!$E$125+R8*Assumptions!$E$126+Q8*Assumptions!$E$127+P8*Assumptions!$E$128+O8*Assumptions!$E$129+N8*Assumptions!$E$130+M8*Assumptions!$E$131+L8*Assumptions!$E$132+K8*Assumptions!$E$133)</f>
        <v>37.76</v>
      </c>
      <c r="AH11" s="26" t="n">
        <f aca="false">Assumptions!$E$10*(AH8*Assumptions!$E$111+AG8*Assumptions!$E$112+AF8*Assumptions!$E$113+AE8*Assumptions!$E$114+AD8*Assumptions!$E$115+AC8*Assumptions!$E$116+AB8*Assumptions!$E$117+AA8*Assumptions!$E$118+Z8*Assumptions!$E$119+Y8*Assumptions!$E$120+X8*Assumptions!$E$121+W8*Assumptions!$E$122+V8*Assumptions!$E$123+U8*Assumptions!$E$124+T8*Assumptions!$E$125+S8*Assumptions!$E$126+R8*Assumptions!$E$127+Q8*Assumptions!$E$128+P8*Assumptions!$E$129+O8*Assumptions!$E$130+N8*Assumptions!$E$131+M8*Assumptions!$E$132+L8*Assumptions!$E$133)</f>
        <v>35.52</v>
      </c>
      <c r="AI11" s="26" t="n">
        <f aca="false">Assumptions!$E$10*(AI8*Assumptions!$E$111+AH8*Assumptions!$E$112+AG8*Assumptions!$E$113+AF8*Assumptions!$E$114+AE8*Assumptions!$E$115+AD8*Assumptions!$E$116+AC8*Assumptions!$E$117+AB8*Assumptions!$E$118+AA8*Assumptions!$E$119+Z8*Assumptions!$E$120+Y8*Assumptions!$E$121+X8*Assumptions!$E$122+W8*Assumptions!$E$123+V8*Assumptions!$E$124+U8*Assumptions!$E$125+T8*Assumptions!$E$126+S8*Assumptions!$E$127+R8*Assumptions!$E$128+Q8*Assumptions!$E$129+P8*Assumptions!$E$130+O8*Assumptions!$E$131+N8*Assumptions!$E$132+M8*Assumptions!$E$133)</f>
        <v>42.24</v>
      </c>
      <c r="AJ11" s="26" t="n">
        <f aca="false">Assumptions!$E$10*(AJ8*Assumptions!$E$111+AI8*Assumptions!$E$112+AH8*Assumptions!$E$113+AG8*Assumptions!$E$114+AF8*Assumptions!$E$115+AE8*Assumptions!$E$116+AD8*Assumptions!$E$117+AC8*Assumptions!$E$118+AB8*Assumptions!$E$119+AA8*Assumptions!$E$120+Z8*Assumptions!$E$121+Y8*Assumptions!$E$122+X8*Assumptions!$E$123+W8*Assumptions!$E$124+V8*Assumptions!$E$125+U8*Assumptions!$E$126+T8*Assumptions!$E$127+S8*Assumptions!$E$128+R8*Assumptions!$E$129+Q8*Assumptions!$E$130+P8*Assumptions!$E$131+O8*Assumptions!$E$132+N8*Assumptions!$E$133)</f>
        <v>40.32</v>
      </c>
      <c r="AK11" s="26" t="n">
        <f aca="false">Assumptions!$E$10*(AK8*Assumptions!$E$111+AJ8*Assumptions!$E$112+AI8*Assumptions!$E$113+AH8*Assumptions!$E$114+AG8*Assumptions!$E$115+AF8*Assumptions!$E$116+AE8*Assumptions!$E$117+AD8*Assumptions!$E$118+AC8*Assumptions!$E$119+AB8*Assumptions!$E$120+AA8*Assumptions!$E$121+Z8*Assumptions!$E$122+Y8*Assumptions!$E$123+X8*Assumptions!$E$124+W8*Assumptions!$E$125+V8*Assumptions!$E$126+U8*Assumptions!$E$127+T8*Assumptions!$E$128+S8*Assumptions!$E$129+R8*Assumptions!$E$130+Q8*Assumptions!$E$131+P8*Assumptions!$E$132+O8*Assumptions!$E$133)</f>
        <v>37.76</v>
      </c>
      <c r="AL11" s="26" t="n">
        <f aca="false">Assumptions!$E$10*(AL8*Assumptions!$E$111+AK8*Assumptions!$E$112+AJ8*Assumptions!$E$113+AI8*Assumptions!$E$114+AH8*Assumptions!$E$115+AG8*Assumptions!$E$116+AF8*Assumptions!$E$117+AE8*Assumptions!$E$118+AD8*Assumptions!$E$119+AC8*Assumptions!$E$120+AB8*Assumptions!$E$121+AA8*Assumptions!$E$122+Z8*Assumptions!$E$123+Y8*Assumptions!$E$124+X8*Assumptions!$E$125+W8*Assumptions!$E$126+V8*Assumptions!$E$127+U8*Assumptions!$E$128+T8*Assumptions!$E$129+S8*Assumptions!$E$130+R8*Assumptions!$E$131+Q8*Assumptions!$E$132+P8*Assumptions!$E$133)</f>
        <v>42.88</v>
      </c>
      <c r="AM11" s="26" t="n">
        <f aca="false">Assumptions!$E$10*(AM8*Assumptions!$E$111+AL8*Assumptions!$E$112+AK8*Assumptions!$E$113+AJ8*Assumptions!$E$114+AI8*Assumptions!$E$115+AH8*Assumptions!$E$116+AG8*Assumptions!$E$117+AF8*Assumptions!$E$118+AE8*Assumptions!$E$119+AD8*Assumptions!$E$120+AC8*Assumptions!$E$121+AB8*Assumptions!$E$122+AA8*Assumptions!$E$123+Z8*Assumptions!$E$124+Y8*Assumptions!$E$125+X8*Assumptions!$E$126+W8*Assumptions!$E$127+V8*Assumptions!$E$128+U8*Assumptions!$E$129+T8*Assumptions!$E$130+S8*Assumptions!$E$131+R8*Assumptions!$E$132+Q8*Assumptions!$E$133)</f>
        <v>40.96</v>
      </c>
      <c r="AN11" s="37" t="n">
        <f aca="false">Assumptions!$E$10*(AN8*Assumptions!$E$111+AM8*Assumptions!$E$112+AL8*Assumptions!$E$113+AK8*Assumptions!$E$114+AJ8*Assumptions!$E$115+AI8*Assumptions!$E$116+AH8*Assumptions!$E$117+AG8*Assumptions!$E$118+AF8*Assumptions!$E$119+AE8*Assumptions!$E$120+AD8*Assumptions!$E$121+AC8*Assumptions!$E$122+AB8*Assumptions!$E$123+AA8*Assumptions!$E$124+Z8*Assumptions!$E$125+Y8*Assumptions!$E$126+X8*Assumptions!$E$127+W8*Assumptions!$E$128+V8*Assumptions!$E$129+U8*Assumptions!$E$130+T8*Assumptions!$E$131+S8*Assumptions!$E$132+R8*Assumptions!$E$133)</f>
        <v>38.4</v>
      </c>
      <c r="AO11" s="37" t="n">
        <f aca="false">Assumptions!$E$10*(AO8*Assumptions!$E$111+AN8*Assumptions!$E$112+AM8*Assumptions!$E$113+AL8*Assumptions!$E$114+AK8*Assumptions!$E$115+AJ8*Assumptions!$E$116+AI8*Assumptions!$E$117+AH8*Assumptions!$E$118+AG8*Assumptions!$E$119+AF8*Assumptions!$E$120+AE8*Assumptions!$E$121+AD8*Assumptions!$E$122+AC8*Assumptions!$E$123+AB8*Assumptions!$E$124+AA8*Assumptions!$E$125+Z8*Assumptions!$E$126+Y8*Assumptions!$E$127+X8*Assumptions!$E$128+W8*Assumptions!$E$129+V8*Assumptions!$E$130+U8*Assumptions!$E$131+T8*Assumptions!$E$132+S8*Assumptions!$E$133)</f>
        <v>43.52</v>
      </c>
      <c r="AP11" s="37" t="n">
        <f aca="false">Assumptions!$E$10*(AP8*Assumptions!$E$111+AO8*Assumptions!$E$112+AN8*Assumptions!$E$113+AM8*Assumptions!$E$114+AL8*Assumptions!$E$115+AK8*Assumptions!$E$116+AJ8*Assumptions!$E$117+AI8*Assumptions!$E$118+AH8*Assumptions!$E$119+AG8*Assumptions!$E$120+AF8*Assumptions!$E$121+AE8*Assumptions!$E$122+AD8*Assumptions!$E$123+AC8*Assumptions!$E$124+AB8*Assumptions!$E$125+AA8*Assumptions!$E$126+Z8*Assumptions!$E$127+Y8*Assumptions!$E$128+X8*Assumptions!$E$129+W8*Assumptions!$E$130+V8*Assumptions!$E$131+U8*Assumptions!$E$132+T8*Assumptions!$E$133)</f>
        <v>41.6</v>
      </c>
      <c r="AQ11" s="37" t="n">
        <f aca="false">Assumptions!$E$10*(AQ8*Assumptions!$E$111+AP8*Assumptions!$E$112+AO8*Assumptions!$E$113+AN8*Assumptions!$E$114+AM8*Assumptions!$E$115+AL8*Assumptions!$E$116+AK8*Assumptions!$E$117+AJ8*Assumptions!$E$118+AI8*Assumptions!$E$119+AH8*Assumptions!$E$120+AG8*Assumptions!$E$121+AF8*Assumptions!$E$122+AE8*Assumptions!$E$123+AD8*Assumptions!$E$124+AC8*Assumptions!$E$125+AB8*Assumptions!$E$126+AA8*Assumptions!$E$127+Z8*Assumptions!$E$128+Y8*Assumptions!$E$129+X8*Assumptions!$E$130+W8*Assumptions!$E$131+V8*Assumptions!$E$132+U8*Assumptions!$E$133)</f>
        <v>39.04</v>
      </c>
      <c r="AR11" s="37" t="n">
        <f aca="false">Assumptions!$E$10*(AR8*Assumptions!$E$111+AQ8*Assumptions!$E$112+AP8*Assumptions!$E$113+AO8*Assumptions!$E$114+AN8*Assumptions!$E$115+AM8*Assumptions!$E$116+AL8*Assumptions!$E$117+AK8*Assumptions!$E$118+AJ8*Assumptions!$E$119+AI8*Assumptions!$E$120+AH8*Assumptions!$E$121+AG8*Assumptions!$E$122+AF8*Assumptions!$E$123+AE8*Assumptions!$E$124+AD8*Assumptions!$E$125+AC8*Assumptions!$E$126+AB8*Assumptions!$E$127+AA8*Assumptions!$E$128+Z8*Assumptions!$E$129+Y8*Assumptions!$E$130+X8*Assumptions!$E$131+W8*Assumptions!$E$132+V8*Assumptions!$E$133)</f>
        <v>44.16</v>
      </c>
      <c r="AS11" s="37" t="n">
        <f aca="false">Assumptions!$E$10*(AS8*Assumptions!$E$111+AR8*Assumptions!$E$112+AQ8*Assumptions!$E$113+AP8*Assumptions!$E$114+AO8*Assumptions!$E$115+AN8*Assumptions!$E$116+AM8*Assumptions!$E$117+AL8*Assumptions!$E$118+AK8*Assumptions!$E$119+AJ8*Assumptions!$E$120+AI8*Assumptions!$E$121+AH8*Assumptions!$E$122+AG8*Assumptions!$E$123+AF8*Assumptions!$E$124+AE8*Assumptions!$E$125+AD8*Assumptions!$E$126+AC8*Assumptions!$E$127+AB8*Assumptions!$E$128+AA8*Assumptions!$E$129+Z8*Assumptions!$E$130+Y8*Assumptions!$E$131+X8*Assumptions!$E$132+W8*Assumptions!$E$133)</f>
        <v>41.92</v>
      </c>
      <c r="AT11" s="37" t="n">
        <f aca="false">Assumptions!$E$10*(AT8*Assumptions!$E$111+AS8*Assumptions!$E$112+AR8*Assumptions!$E$113+AQ8*Assumptions!$E$114+AP8*Assumptions!$E$115+AO8*Assumptions!$E$116+AN8*Assumptions!$E$117+AM8*Assumptions!$E$118+AL8*Assumptions!$E$119+AK8*Assumptions!$E$120+AJ8*Assumptions!$E$121+AI8*Assumptions!$E$122+AH8*Assumptions!$E$123+AG8*Assumptions!$E$124+AF8*Assumptions!$E$125+AE8*Assumptions!$E$126+AD8*Assumptions!$E$127+AC8*Assumptions!$E$128+AB8*Assumptions!$E$129+AA8*Assumptions!$E$130+Z8*Assumptions!$E$131+Y8*Assumptions!$E$132+X8*Assumptions!$E$133)</f>
        <v>39.36</v>
      </c>
      <c r="AU11" s="37" t="n">
        <f aca="false">Assumptions!$E$10*(AU8*Assumptions!$E$111+AT8*Assumptions!$E$112+AS8*Assumptions!$E$113+AR8*Assumptions!$E$114+AQ8*Assumptions!$E$115+AP8*Assumptions!$E$116+AO8*Assumptions!$E$117+AN8*Assumptions!$E$118+AM8*Assumptions!$E$119+AL8*Assumptions!$E$120+AK8*Assumptions!$E$121+AJ8*Assumptions!$E$122+AI8*Assumptions!$E$123+AH8*Assumptions!$E$124+AG8*Assumptions!$E$125+AF8*Assumptions!$E$126+AE8*Assumptions!$E$127+AD8*Assumptions!$E$128+AC8*Assumptions!$E$129+AB8*Assumptions!$E$130+AA8*Assumptions!$E$131+Z8*Assumptions!$E$132+Y8*Assumptions!$E$133)</f>
        <v>44.48</v>
      </c>
      <c r="AV11" s="37" t="n">
        <f aca="false">Assumptions!$E$10*(AV8*Assumptions!$E$111+AU8*Assumptions!$E$112+AT8*Assumptions!$E$113+AS8*Assumptions!$E$114+AR8*Assumptions!$E$115+AQ8*Assumptions!$E$116+AP8*Assumptions!$E$117+AO8*Assumptions!$E$118+AN8*Assumptions!$E$119+AM8*Assumptions!$E$120+AL8*Assumptions!$E$121+AK8*Assumptions!$E$122+AJ8*Assumptions!$E$123+AI8*Assumptions!$E$124+AH8*Assumptions!$E$125+AG8*Assumptions!$E$126+AF8*Assumptions!$E$127+AE8*Assumptions!$E$128+AD8*Assumptions!$E$129+AC8*Assumptions!$E$130+AB8*Assumptions!$E$131+AA8*Assumptions!$E$132+Z8*Assumptions!$E$133)</f>
        <v>42.24</v>
      </c>
      <c r="AW11" s="37" t="n">
        <f aca="false">Assumptions!$E$10*(AW8*Assumptions!$E$111+AV8*Assumptions!$E$112+AU8*Assumptions!$E$113+AT8*Assumptions!$E$114+AS8*Assumptions!$E$115+AR8*Assumptions!$E$116+AQ8*Assumptions!$E$117+AP8*Assumptions!$E$118+AO8*Assumptions!$E$119+AN8*Assumptions!$E$120+AM8*Assumptions!$E$121+AL8*Assumptions!$E$122+AK8*Assumptions!$E$123+AJ8*Assumptions!$E$124+AI8*Assumptions!$E$125+AH8*Assumptions!$E$126+AG8*Assumptions!$E$127+AF8*Assumptions!$E$128+AE8*Assumptions!$E$129+AD8*Assumptions!$E$130+AC8*Assumptions!$E$131+AB8*Assumptions!$E$132+AA8*Assumptions!$E$133)</f>
        <v>39.68</v>
      </c>
      <c r="AX11" s="37" t="n">
        <f aca="false">Assumptions!$E$10*(AX8*Assumptions!$E$111+AW8*Assumptions!$E$112+AV8*Assumptions!$E$113+AU8*Assumptions!$E$114+AT8*Assumptions!$E$115+AS8*Assumptions!$E$116+AR8*Assumptions!$E$117+AQ8*Assumptions!$E$118+AP8*Assumptions!$E$119+AO8*Assumptions!$E$120+AN8*Assumptions!$E$121+AM8*Assumptions!$E$122+AL8*Assumptions!$E$123+AK8*Assumptions!$E$124+AJ8*Assumptions!$E$125+AI8*Assumptions!$E$126+AH8*Assumptions!$E$127+AG8*Assumptions!$E$128+AF8*Assumptions!$E$129+AE8*Assumptions!$E$130+AD8*Assumptions!$E$131+AC8*Assumptions!$E$132+AB8*Assumptions!$E$133)</f>
        <v>44.8</v>
      </c>
      <c r="AY11" s="37" t="n">
        <f aca="false">Assumptions!$E$10*(AY8*Assumptions!$E$111+AX8*Assumptions!$E$112+AW8*Assumptions!$E$113+AV8*Assumptions!$E$114+AU8*Assumptions!$E$115+AT8*Assumptions!$E$116+AS8*Assumptions!$E$117+AR8*Assumptions!$E$118+AQ8*Assumptions!$E$119+AP8*Assumptions!$E$120+AO8*Assumptions!$E$121+AN8*Assumptions!$E$122+AM8*Assumptions!$E$123+AL8*Assumptions!$E$124+AK8*Assumptions!$E$125+AJ8*Assumptions!$E$126+AI8*Assumptions!$E$127+AH8*Assumptions!$E$128+AG8*Assumptions!$E$129+AF8*Assumptions!$E$130+AE8*Assumptions!$E$131+AD8*Assumptions!$E$132+AC8*Assumptions!$E$133)</f>
        <v>42.56</v>
      </c>
      <c r="AZ11" s="37" t="n">
        <f aca="false">Assumptions!$E$10*(AZ8*Assumptions!$E$111+AY8*Assumptions!$E$112+AX8*Assumptions!$E$113+AW8*Assumptions!$E$114+AV8*Assumptions!$E$115+AU8*Assumptions!$E$116+AT8*Assumptions!$E$117+AS8*Assumptions!$E$118+AR8*Assumptions!$E$119+AQ8*Assumptions!$E$120+AP8*Assumptions!$E$121+AO8*Assumptions!$E$122+AN8*Assumptions!$E$123+AM8*Assumptions!$E$124+AL8*Assumptions!$E$125+AK8*Assumptions!$E$126+AJ8*Assumptions!$E$127+AI8*Assumptions!$E$128+AH8*Assumptions!$E$129+AG8*Assumptions!$E$130+AF8*Assumptions!$E$131+AE8*Assumptions!$E$132+AD8*Assumptions!$E$133)</f>
        <v>40</v>
      </c>
      <c r="BA11" s="37" t="n">
        <f aca="false">Assumptions!$E$10*(BA8*Assumptions!$E$111+AZ8*Assumptions!$E$112+AY8*Assumptions!$E$113+AX8*Assumptions!$E$114+AW8*Assumptions!$E$115+AV8*Assumptions!$E$116+AU8*Assumptions!$E$117+AT8*Assumptions!$E$118+AS8*Assumptions!$E$119+AR8*Assumptions!$E$120+AQ8*Assumptions!$E$121+AP8*Assumptions!$E$122+AO8*Assumptions!$E$123+AN8*Assumptions!$E$124+AM8*Assumptions!$E$125+AL8*Assumptions!$E$126+AK8*Assumptions!$E$127+AJ8*Assumptions!$E$128+AI8*Assumptions!$E$129+AH8*Assumptions!$E$130+AG8*Assumptions!$E$131+AF8*Assumptions!$E$132+AE8*Assumptions!$E$133)</f>
        <v>45.12</v>
      </c>
      <c r="BB11" s="37" t="n">
        <f aca="false">Assumptions!$E$10*(BB8*Assumptions!$E$111+BA8*Assumptions!$E$112+AZ8*Assumptions!$E$113+AY8*Assumptions!$E$114+AX8*Assumptions!$E$115+AW8*Assumptions!$E$116+AV8*Assumptions!$E$117+AU8*Assumptions!$E$118+AT8*Assumptions!$E$119+AS8*Assumptions!$E$120+AR8*Assumptions!$E$121+AQ8*Assumptions!$E$122+AP8*Assumptions!$E$123+AO8*Assumptions!$E$124+AN8*Assumptions!$E$125+AM8*Assumptions!$E$126+AL8*Assumptions!$E$127+AK8*Assumptions!$E$128+AJ8*Assumptions!$E$129+AI8*Assumptions!$E$130+AH8*Assumptions!$E$131+AG8*Assumptions!$E$132+AF8*Assumptions!$E$133)</f>
        <v>42.88</v>
      </c>
      <c r="BC11" s="37" t="n">
        <f aca="false">Assumptions!$E$10*(BC8*Assumptions!$E$111+BB8*Assumptions!$E$112+BA8*Assumptions!$E$113+AZ8*Assumptions!$E$114+AY8*Assumptions!$E$115+AX8*Assumptions!$E$116+AW8*Assumptions!$E$117+AV8*Assumptions!$E$118+AU8*Assumptions!$E$119+AT8*Assumptions!$E$120+AS8*Assumptions!$E$121+AR8*Assumptions!$E$122+AQ8*Assumptions!$E$123+AP8*Assumptions!$E$124+AO8*Assumptions!$E$125+AN8*Assumptions!$E$126+AM8*Assumptions!$E$127+AL8*Assumptions!$E$128+AK8*Assumptions!$E$129+AJ8*Assumptions!$E$130+AI8*Assumptions!$E$131+AH8*Assumptions!$E$132+AG8*Assumptions!$E$133)</f>
        <v>40</v>
      </c>
      <c r="BD11" s="37" t="n">
        <f aca="false">Assumptions!$E$10*(BD8*Assumptions!$E$111+BC8*Assumptions!$E$112+BB8*Assumptions!$E$113+BA8*Assumptions!$E$114+AZ8*Assumptions!$E$115+AY8*Assumptions!$E$116+AX8*Assumptions!$E$117+AW8*Assumptions!$E$118+AV8*Assumptions!$E$119+AU8*Assumptions!$E$120+AT8*Assumptions!$E$121+AS8*Assumptions!$E$122+AR8*Assumptions!$E$123+AQ8*Assumptions!$E$124+AP8*Assumptions!$E$125+AO8*Assumptions!$E$126+AN8*Assumptions!$E$127+AM8*Assumptions!$E$128+AL8*Assumptions!$E$129+AK8*Assumptions!$E$130+AJ8*Assumptions!$E$131+AI8*Assumptions!$E$132+AH8*Assumptions!$E$133)</f>
        <v>45.12</v>
      </c>
      <c r="BE11" s="37" t="n">
        <f aca="false">Assumptions!$E$10*(BE8*Assumptions!$E$111+BD8*Assumptions!$E$112+BC8*Assumptions!$E$113+BB8*Assumptions!$E$114+BA8*Assumptions!$E$115+AZ8*Assumptions!$E$116+AY8*Assumptions!$E$117+AX8*Assumptions!$E$118+AW8*Assumptions!$E$119+AV8*Assumptions!$E$120+AU8*Assumptions!$E$121+AT8*Assumptions!$E$122+AS8*Assumptions!$E$123+AR8*Assumptions!$E$124+AQ8*Assumptions!$E$125+AP8*Assumptions!$E$126+AO8*Assumptions!$E$127+AN8*Assumptions!$E$128+AM8*Assumptions!$E$129+AL8*Assumptions!$E$130+AK8*Assumptions!$E$131+AJ8*Assumptions!$E$132+AI8*Assumptions!$E$133)</f>
        <v>42.88</v>
      </c>
      <c r="BF11" s="37" t="n">
        <f aca="false">Assumptions!$E$10*(BF8*Assumptions!$E$111+BE8*Assumptions!$E$112+BD8*Assumptions!$E$113+BC8*Assumptions!$E$114+BB8*Assumptions!$E$115+BA8*Assumptions!$E$116+AZ8*Assumptions!$E$117+AY8*Assumptions!$E$118+AX8*Assumptions!$E$119+AW8*Assumptions!$E$120+AV8*Assumptions!$E$121+AU8*Assumptions!$E$122+AT8*Assumptions!$E$123+AS8*Assumptions!$E$124+AR8*Assumptions!$E$125+AQ8*Assumptions!$E$126+AP8*Assumptions!$E$127+AO8*Assumptions!$E$128+AN8*Assumptions!$E$129+AM8*Assumptions!$E$130+AL8*Assumptions!$E$131+AK8*Assumptions!$E$132+AJ8*Assumptions!$E$133)</f>
        <v>40</v>
      </c>
      <c r="BG11" s="37" t="n">
        <f aca="false">Assumptions!$E$10*(BG8*Assumptions!$E$111+BF8*Assumptions!$E$112+BE8*Assumptions!$E$113+BD8*Assumptions!$E$114+BC8*Assumptions!$E$115+BB8*Assumptions!$E$116+BA8*Assumptions!$E$117+AZ8*Assumptions!$E$118+AY8*Assumptions!$E$119+AX8*Assumptions!$E$120+AW8*Assumptions!$E$121+AV8*Assumptions!$E$122+AU8*Assumptions!$E$123+AT8*Assumptions!$E$124+AS8*Assumptions!$E$125+AR8*Assumptions!$E$126+AQ8*Assumptions!$E$127+AP8*Assumptions!$E$128+AO8*Assumptions!$E$129+AN8*Assumptions!$E$130+AM8*Assumptions!$E$131+AL8*Assumptions!$E$132+AK8*Assumptions!$E$133)</f>
        <v>45.12</v>
      </c>
      <c r="BH11" s="37" t="n">
        <f aca="false">Assumptions!$E$10*(BH8*Assumptions!$E$111+BG8*Assumptions!$E$112+BF8*Assumptions!$E$113+BE8*Assumptions!$E$114+BD8*Assumptions!$E$115+BC8*Assumptions!$E$116+BB8*Assumptions!$E$117+BA8*Assumptions!$E$118+AZ8*Assumptions!$E$119+AY8*Assumptions!$E$120+AX8*Assumptions!$E$121+AW8*Assumptions!$E$122+AV8*Assumptions!$E$123+AU8*Assumptions!$E$124+AT8*Assumptions!$E$125+AS8*Assumptions!$E$126+AR8*Assumptions!$E$127+AQ8*Assumptions!$E$128+AP8*Assumptions!$E$129+AO8*Assumptions!$E$130+AN8*Assumptions!$E$131+AM8*Assumptions!$E$132+AL8*Assumptions!$E$133)</f>
        <v>42.88</v>
      </c>
      <c r="BI11" s="37" t="n">
        <f aca="false">Assumptions!$E$10*(BI8*Assumptions!$E$111+BH8*Assumptions!$E$112+BG8*Assumptions!$E$113+BF8*Assumptions!$E$114+BE8*Assumptions!$E$115+BD8*Assumptions!$E$116+BC8*Assumptions!$E$117+BB8*Assumptions!$E$118+BA8*Assumptions!$E$119+AZ8*Assumptions!$E$120+AY8*Assumptions!$E$121+AX8*Assumptions!$E$122+AW8*Assumptions!$E$123+AV8*Assumptions!$E$124+AU8*Assumptions!$E$125+AT8*Assumptions!$E$126+AS8*Assumptions!$E$127+AR8*Assumptions!$E$128+AQ8*Assumptions!$E$129+AP8*Assumptions!$E$130+AO8*Assumptions!$E$131+AN8*Assumptions!$E$132+AM8*Assumptions!$E$133)</f>
        <v>40</v>
      </c>
      <c r="BJ11" s="37" t="n">
        <f aca="false">Assumptions!$E$10*(BJ8*Assumptions!$E$111+BI8*Assumptions!$E$112+BH8*Assumptions!$E$113+BG8*Assumptions!$E$114+BF8*Assumptions!$E$115+BE8*Assumptions!$E$116+BD8*Assumptions!$E$117+BC8*Assumptions!$E$118+BB8*Assumptions!$E$119+BA8*Assumptions!$E$120+AZ8*Assumptions!$E$121+AY8*Assumptions!$E$122+AX8*Assumptions!$E$123+AW8*Assumptions!$E$124+AV8*Assumptions!$E$125+AU8*Assumptions!$E$126+AT8*Assumptions!$E$127+AS8*Assumptions!$E$128+AR8*Assumptions!$E$129+AQ8*Assumptions!$E$130+AP8*Assumptions!$E$131+AO8*Assumptions!$E$132+AN8*Assumptions!$E$133)</f>
        <v>45.12</v>
      </c>
      <c r="BK11" s="37" t="n">
        <f aca="false">Assumptions!$E$10*(BK8*Assumptions!$E$111+BJ8*Assumptions!$E$112+BI8*Assumptions!$E$113+BH8*Assumptions!$E$114+BG8*Assumptions!$E$115+BF8*Assumptions!$E$116+BE8*Assumptions!$E$117+BD8*Assumptions!$E$118+BC8*Assumptions!$E$119+BB8*Assumptions!$E$120+BA8*Assumptions!$E$121+AZ8*Assumptions!$E$122+AY8*Assumptions!$E$123+AX8*Assumptions!$E$124+AW8*Assumptions!$E$125+AV8*Assumptions!$E$126+AU8*Assumptions!$E$127+AT8*Assumptions!$E$128+AS8*Assumptions!$E$129+AR8*Assumptions!$E$130+AQ8*Assumptions!$E$131+AP8*Assumptions!$E$132+AO8*Assumptions!$E$133)</f>
        <v>42.88</v>
      </c>
    </row>
    <row r="12" customFormat="false" ht="15" hidden="false" customHeight="false" outlineLevel="0" collapsed="false">
      <c r="A12" s="28" t="s">
        <v>543</v>
      </c>
      <c r="B12" s="6" t="s">
        <v>544</v>
      </c>
      <c r="C12" s="36" t="n">
        <v>0</v>
      </c>
      <c r="D12" s="26" t="n">
        <f aca="false">C12*(1-Assumptions!$E$12)+D11</f>
        <v>0</v>
      </c>
      <c r="E12" s="26" t="n">
        <f aca="false">D12*(1-Assumptions!$E$12)+E11</f>
        <v>0</v>
      </c>
      <c r="F12" s="26" t="n">
        <f aca="false">E12*(1-Assumptions!$E$12)+F11</f>
        <v>0</v>
      </c>
      <c r="G12" s="26" t="n">
        <f aca="false">F12*(1-Assumptions!$E$12)+G11</f>
        <v>0</v>
      </c>
      <c r="H12" s="26" t="n">
        <f aca="false">G12*(1-Assumptions!$E$12)+H11</f>
        <v>8</v>
      </c>
      <c r="I12" s="26" t="n">
        <f aca="false">H12*(1-Assumptions!$E$12)+I11</f>
        <v>14.92</v>
      </c>
      <c r="J12" s="26" t="n">
        <f aca="false">I12*(1-Assumptions!$E$12)+J11</f>
        <v>19.4962</v>
      </c>
      <c r="K12" s="26" t="n">
        <f aca="false">J12*(1-Assumptions!$E$12)+K11</f>
        <v>30.403757</v>
      </c>
      <c r="L12" s="26" t="n">
        <f aca="false">K12*(1-Assumptions!$E$12)+L11</f>
        <v>38.907700645</v>
      </c>
      <c r="M12" s="26" t="n">
        <f aca="false">L12*(1-Assumptions!$E$12)+M11</f>
        <v>44.724085135325</v>
      </c>
      <c r="N12" s="26" t="n">
        <f aca="false">M12*(1-Assumptions!$E$12)+N11</f>
        <v>55.5732238582951</v>
      </c>
      <c r="O12" s="26" t="n">
        <f aca="false">N12*(1-Assumptions!$E$12)+O11</f>
        <v>72.0196255004207</v>
      </c>
      <c r="P12" s="26" t="n">
        <f aca="false">O12*(1-Assumptions!$E$12)+P11</f>
        <v>84.6993311179144</v>
      </c>
      <c r="Q12" s="26" t="n">
        <f aca="false">P12*(1-Assumptions!$E$12)+Q11</f>
        <v>100.068841151146</v>
      </c>
      <c r="R12" s="26" t="n">
        <f aca="false">Q12*(1-Assumptions!$E$12)+R11</f>
        <v>119.367808533878</v>
      </c>
      <c r="S12" s="26" t="n">
        <f aca="false">R12*(1-Assumptions!$E$12)+S11</f>
        <v>133.57729140587</v>
      </c>
      <c r="T12" s="26" t="n">
        <f aca="false">S12*(1-Assumptions!$E$12)+T11</f>
        <v>150.133632034782</v>
      </c>
      <c r="U12" s="26" t="n">
        <f aca="false">T12*(1-Assumptions!$E$12)+U11</f>
        <v>169.321627554261</v>
      </c>
      <c r="V12" s="26" t="n">
        <f aca="false">U12*(1-Assumptions!$E$12)+V11</f>
        <v>191.421803140947</v>
      </c>
      <c r="W12" s="26" t="n">
        <f aca="false">V12*(1-Assumptions!$E$12)+W11</f>
        <v>214.790476093832</v>
      </c>
      <c r="X12" s="26" t="n">
        <f aca="false">W12*(1-Assumptions!$E$12)+X11</f>
        <v>238.448618952425</v>
      </c>
      <c r="Y12" s="26" t="n">
        <f aca="false">X12*(1-Assumptions!$E$12)+Y11</f>
        <v>263.351889668139</v>
      </c>
      <c r="Z12" s="26" t="n">
        <f aca="false">Y12*(1-Assumptions!$E$12)+Z11</f>
        <v>288.201611323117</v>
      </c>
      <c r="AA12" s="26" t="n">
        <f aca="false">Z12*(1-Assumptions!$E$12)+AA11</f>
        <v>312.99858715327</v>
      </c>
      <c r="AB12" s="26" t="n">
        <f aca="false">AA12*(1-Assumptions!$E$12)+AB11</f>
        <v>337.743608345971</v>
      </c>
      <c r="AC12" s="26" t="n">
        <f aca="false">AB12*(1-Assumptions!$E$12)+AC11</f>
        <v>362.437454220781</v>
      </c>
      <c r="AD12" s="26" t="n">
        <f aca="false">AC12*(1-Assumptions!$E$12)+AD11</f>
        <v>387.080892407469</v>
      </c>
      <c r="AE12" s="26" t="n">
        <f aca="false">AD12*(1-Assumptions!$E$12)+AE11</f>
        <v>411.354679021357</v>
      </c>
      <c r="AF12" s="26" t="n">
        <f aca="false">AE12*(1-Assumptions!$E$12)+AF11</f>
        <v>443.584358836037</v>
      </c>
      <c r="AG12" s="26" t="n">
        <f aca="false">AF12*(1-Assumptions!$E$12)+AG11</f>
        <v>474.690593453497</v>
      </c>
      <c r="AH12" s="26" t="n">
        <f aca="false">AG12*(1-Assumptions!$E$12)+AH11</f>
        <v>503.090234551694</v>
      </c>
      <c r="AI12" s="26" t="n">
        <f aca="false">AH12*(1-Assumptions!$E$12)+AI11</f>
        <v>537.783881033419</v>
      </c>
      <c r="AJ12" s="26" t="n">
        <f aca="false">AI12*(1-Assumptions!$E$12)+AJ11</f>
        <v>570.037122817917</v>
      </c>
      <c r="AK12" s="26" t="n">
        <f aca="false">AJ12*(1-Assumptions!$E$12)+AK11</f>
        <v>599.246565975649</v>
      </c>
      <c r="AL12" s="26" t="n">
        <f aca="false">AK12*(1-Assumptions!$E$12)+AL11</f>
        <v>633.137867486014</v>
      </c>
      <c r="AM12" s="26" t="n">
        <f aca="false">AL12*(1-Assumptions!$E$12)+AM11</f>
        <v>664.600799473724</v>
      </c>
      <c r="AN12" s="37" t="n">
        <f aca="false">AM12*(1-Assumptions!$E$12)+AN11</f>
        <v>693.031787481618</v>
      </c>
      <c r="AO12" s="37" t="n">
        <f aca="false">AN12*(1-Assumptions!$E$12)+AO11</f>
        <v>726.156310669394</v>
      </c>
      <c r="AP12" s="37" t="n">
        <f aca="false">AO12*(1-Assumptions!$E$12)+AP11</f>
        <v>756.863966009353</v>
      </c>
      <c r="AQ12" s="37" t="n">
        <f aca="false">AP12*(1-Assumptions!$E$12)+AQ11</f>
        <v>784.551006519212</v>
      </c>
      <c r="AR12" s="37" t="n">
        <f aca="false">AQ12*(1-Assumptions!$E$12)+AR11</f>
        <v>816.942741421424</v>
      </c>
      <c r="AS12" s="37" t="n">
        <f aca="false">AR12*(1-Assumptions!$E$12)+AS11</f>
        <v>846.608600300103</v>
      </c>
      <c r="AT12" s="37" t="n">
        <f aca="false">AS12*(1-Assumptions!$E$12)+AT11</f>
        <v>873.269471295601</v>
      </c>
      <c r="AU12" s="37" t="n">
        <f aca="false">AT12*(1-Assumptions!$E$12)+AU11</f>
        <v>904.650429226167</v>
      </c>
      <c r="AV12" s="37" t="n">
        <f aca="false">AU12*(1-Assumptions!$E$12)+AV11</f>
        <v>933.320672787775</v>
      </c>
      <c r="AW12" s="37" t="n">
        <f aca="false">AV12*(1-Assumptions!$E$12)+AW11</f>
        <v>959.000862695958</v>
      </c>
      <c r="AX12" s="37" t="n">
        <f aca="false">AW12*(1-Assumptions!$E$12)+AX11</f>
        <v>989.415849755519</v>
      </c>
      <c r="AY12" s="37" t="n">
        <f aca="false">AX12*(1-Assumptions!$E$12)+AY11</f>
        <v>1017.13461200919</v>
      </c>
      <c r="AZ12" s="37" t="n">
        <f aca="false">AY12*(1-Assumptions!$E$12)+AZ11</f>
        <v>1041.87759282905</v>
      </c>
      <c r="BA12" s="37" t="n">
        <f aca="false">AZ12*(1-Assumptions!$E$12)+BA11</f>
        <v>1071.36942893661</v>
      </c>
      <c r="BB12" s="37" t="n">
        <f aca="false">BA12*(1-Assumptions!$E$12)+BB11</f>
        <v>1098.17888750256</v>
      </c>
      <c r="BC12" s="37" t="n">
        <f aca="false">BB12*(1-Assumptions!$E$12)+BC11</f>
        <v>1121.70620419003</v>
      </c>
      <c r="BD12" s="37" t="n">
        <f aca="false">BC12*(1-Assumptions!$E$12)+BD11</f>
        <v>1150.00061112717</v>
      </c>
      <c r="BE12" s="37" t="n">
        <f aca="false">BD12*(1-Assumptions!$E$12)+BE11</f>
        <v>1175.63060196027</v>
      </c>
      <c r="BF12" s="37" t="n">
        <f aca="false">BE12*(1-Assumptions!$E$12)+BF11</f>
        <v>1197.99614293086</v>
      </c>
      <c r="BG12" s="37" t="n">
        <f aca="false">BF12*(1-Assumptions!$E$12)+BG11</f>
        <v>1225.1462007869</v>
      </c>
      <c r="BH12" s="37" t="n">
        <f aca="false">BG12*(1-Assumptions!$E$12)+BH11</f>
        <v>1249.6490077751</v>
      </c>
      <c r="BI12" s="37" t="n">
        <f aca="false">BH12*(1-Assumptions!$E$12)+BI11</f>
        <v>1270.90427265847</v>
      </c>
      <c r="BJ12" s="37" t="n">
        <f aca="false">BI12*(1-Assumptions!$E$12)+BJ11</f>
        <v>1296.96070856859</v>
      </c>
      <c r="BK12" s="37" t="n">
        <f aca="false">BJ12*(1-Assumptions!$E$12)+BK11</f>
        <v>1320.38629794006</v>
      </c>
    </row>
    <row r="13" customFormat="false" ht="15" hidden="false" customHeight="false" outlineLevel="0" collapsed="false">
      <c r="A13" s="28" t="s">
        <v>545</v>
      </c>
      <c r="B13" s="6" t="s">
        <v>546</v>
      </c>
      <c r="C13" s="36" t="n">
        <v>0</v>
      </c>
      <c r="D13" s="26" t="n">
        <f aca="false">D12*Assumptions!$E$11</f>
        <v>0</v>
      </c>
      <c r="E13" s="26" t="n">
        <f aca="false">E12*Assumptions!$E$11</f>
        <v>0</v>
      </c>
      <c r="F13" s="26" t="n">
        <f aca="false">F12*Assumptions!$E$11</f>
        <v>0</v>
      </c>
      <c r="G13" s="26" t="n">
        <f aca="false">G12*Assumptions!$E$11</f>
        <v>0</v>
      </c>
      <c r="H13" s="26" t="n">
        <f aca="false">H12*Assumptions!$E$11</f>
        <v>4.8</v>
      </c>
      <c r="I13" s="26" t="n">
        <f aca="false">I12*Assumptions!$E$11</f>
        <v>8.952</v>
      </c>
      <c r="J13" s="26" t="n">
        <f aca="false">J12*Assumptions!$E$11</f>
        <v>11.69772</v>
      </c>
      <c r="K13" s="26" t="n">
        <f aca="false">K12*Assumptions!$E$11</f>
        <v>18.2422542</v>
      </c>
      <c r="L13" s="26" t="n">
        <f aca="false">L12*Assumptions!$E$11</f>
        <v>23.344620387</v>
      </c>
      <c r="M13" s="26" t="n">
        <f aca="false">M12*Assumptions!$E$11</f>
        <v>26.834451081195</v>
      </c>
      <c r="N13" s="26" t="n">
        <f aca="false">N12*Assumptions!$E$11</f>
        <v>33.3439343149771</v>
      </c>
      <c r="O13" s="26" t="n">
        <f aca="false">O12*Assumptions!$E$11</f>
        <v>43.2117753002524</v>
      </c>
      <c r="P13" s="26" t="n">
        <f aca="false">P12*Assumptions!$E$11</f>
        <v>50.8195986707486</v>
      </c>
      <c r="Q13" s="26" t="n">
        <f aca="false">Q12*Assumptions!$E$11</f>
        <v>60.0413046906874</v>
      </c>
      <c r="R13" s="26" t="n">
        <f aca="false">R12*Assumptions!$E$11</f>
        <v>71.6206851203271</v>
      </c>
      <c r="S13" s="26" t="n">
        <f aca="false">S12*Assumptions!$E$11</f>
        <v>80.1463748435222</v>
      </c>
      <c r="T13" s="26" t="n">
        <f aca="false">T12*Assumptions!$E$11</f>
        <v>90.0801792208694</v>
      </c>
      <c r="U13" s="26" t="n">
        <f aca="false">U12*Assumptions!$E$11</f>
        <v>101.592976532556</v>
      </c>
      <c r="V13" s="26" t="n">
        <f aca="false">V12*Assumptions!$E$11</f>
        <v>114.853081884568</v>
      </c>
      <c r="W13" s="26" t="n">
        <f aca="false">W12*Assumptions!$E$11</f>
        <v>128.874285656299</v>
      </c>
      <c r="X13" s="26" t="n">
        <f aca="false">X12*Assumptions!$E$11</f>
        <v>143.069171371455</v>
      </c>
      <c r="Y13" s="26" t="n">
        <f aca="false">Y12*Assumptions!$E$11</f>
        <v>158.011133800883</v>
      </c>
      <c r="Z13" s="26" t="n">
        <f aca="false">Z12*Assumptions!$E$11</f>
        <v>172.92096679387</v>
      </c>
      <c r="AA13" s="26" t="n">
        <f aca="false">AA12*Assumptions!$E$11</f>
        <v>187.799152291962</v>
      </c>
      <c r="AB13" s="26" t="n">
        <f aca="false">AB12*Assumptions!$E$11</f>
        <v>202.646165007582</v>
      </c>
      <c r="AC13" s="26" t="n">
        <f aca="false">AC12*Assumptions!$E$11</f>
        <v>217.462472532469</v>
      </c>
      <c r="AD13" s="26" t="n">
        <f aca="false">AD12*Assumptions!$E$11</f>
        <v>232.248535444482</v>
      </c>
      <c r="AE13" s="26" t="n">
        <f aca="false">AE12*Assumptions!$E$11</f>
        <v>246.812807412814</v>
      </c>
      <c r="AF13" s="26" t="n">
        <f aca="false">AF12*Assumptions!$E$11</f>
        <v>266.150615301622</v>
      </c>
      <c r="AG13" s="26" t="n">
        <f aca="false">AG12*Assumptions!$E$11</f>
        <v>284.814356072098</v>
      </c>
      <c r="AH13" s="26" t="n">
        <f aca="false">AH12*Assumptions!$E$11</f>
        <v>301.854140731016</v>
      </c>
      <c r="AI13" s="26" t="n">
        <f aca="false">AI12*Assumptions!$E$11</f>
        <v>322.670328620051</v>
      </c>
      <c r="AJ13" s="26" t="n">
        <f aca="false">AJ12*Assumptions!$E$11</f>
        <v>342.02227369075</v>
      </c>
      <c r="AK13" s="26" t="n">
        <f aca="false">AK12*Assumptions!$E$11</f>
        <v>359.547939585389</v>
      </c>
      <c r="AL13" s="26" t="n">
        <f aca="false">AL12*Assumptions!$E$11</f>
        <v>379.882720491608</v>
      </c>
      <c r="AM13" s="26" t="n">
        <f aca="false">AM12*Assumptions!$E$11</f>
        <v>398.760479684234</v>
      </c>
      <c r="AN13" s="37" t="n">
        <f aca="false">AN12*Assumptions!$E$11</f>
        <v>415.819072488971</v>
      </c>
      <c r="AO13" s="37" t="n">
        <f aca="false">AO12*Assumptions!$E$11</f>
        <v>435.693786401636</v>
      </c>
      <c r="AP13" s="37" t="n">
        <f aca="false">AP12*Assumptions!$E$11</f>
        <v>454.118379605612</v>
      </c>
      <c r="AQ13" s="37" t="n">
        <f aca="false">AQ12*Assumptions!$E$11</f>
        <v>470.730603911527</v>
      </c>
      <c r="AR13" s="37" t="n">
        <f aca="false">AR12*Assumptions!$E$11</f>
        <v>490.165644852854</v>
      </c>
      <c r="AS13" s="37" t="n">
        <f aca="false">AS12*Assumptions!$E$11</f>
        <v>507.965160180062</v>
      </c>
      <c r="AT13" s="37" t="n">
        <f aca="false">AT12*Assumptions!$E$11</f>
        <v>523.961682777361</v>
      </c>
      <c r="AU13" s="37" t="n">
        <f aca="false">AU12*Assumptions!$E$11</f>
        <v>542.7902575357</v>
      </c>
      <c r="AV13" s="37" t="n">
        <f aca="false">AV12*Assumptions!$E$11</f>
        <v>559.992403672665</v>
      </c>
      <c r="AW13" s="37" t="n">
        <f aca="false">AW12*Assumptions!$E$11</f>
        <v>575.400517617575</v>
      </c>
      <c r="AX13" s="37" t="n">
        <f aca="false">AX12*Assumptions!$E$11</f>
        <v>593.649509853311</v>
      </c>
      <c r="AY13" s="37" t="n">
        <f aca="false">AY12*Assumptions!$E$11</f>
        <v>610.280767205511</v>
      </c>
      <c r="AZ13" s="37" t="n">
        <f aca="false">AZ12*Assumptions!$E$11</f>
        <v>625.126555697429</v>
      </c>
      <c r="BA13" s="37" t="n">
        <f aca="false">BA12*Assumptions!$E$11</f>
        <v>642.821657361968</v>
      </c>
      <c r="BB13" s="37" t="n">
        <f aca="false">BB12*Assumptions!$E$11</f>
        <v>658.907332501538</v>
      </c>
      <c r="BC13" s="37" t="n">
        <f aca="false">BC12*Assumptions!$E$11</f>
        <v>673.023722514015</v>
      </c>
      <c r="BD13" s="37" t="n">
        <f aca="false">BD12*Assumptions!$E$11</f>
        <v>690.000366676305</v>
      </c>
      <c r="BE13" s="37" t="n">
        <f aca="false">BE12*Assumptions!$E$11</f>
        <v>705.37836117616</v>
      </c>
      <c r="BF13" s="37" t="n">
        <f aca="false">BF12*Assumptions!$E$11</f>
        <v>718.797685758518</v>
      </c>
      <c r="BG13" s="37" t="n">
        <f aca="false">BG12*Assumptions!$E$11</f>
        <v>735.08772047214</v>
      </c>
      <c r="BH13" s="37" t="n">
        <f aca="false">BH12*Assumptions!$E$11</f>
        <v>749.789404665058</v>
      </c>
      <c r="BI13" s="37" t="n">
        <f aca="false">BI12*Assumptions!$E$11</f>
        <v>762.542563595082</v>
      </c>
      <c r="BJ13" s="37" t="n">
        <f aca="false">BJ12*Assumptions!$E$11</f>
        <v>778.176425141156</v>
      </c>
      <c r="BK13" s="37" t="n">
        <f aca="false">BK12*Assumptions!$E$11</f>
        <v>792.231778764039</v>
      </c>
    </row>
    <row r="14" customFormat="false" ht="15" hidden="false" customHeight="false" outlineLevel="0" collapsed="false">
      <c r="A14" s="28" t="s">
        <v>547</v>
      </c>
      <c r="B14" s="6" t="s">
        <v>548</v>
      </c>
      <c r="C14" s="36" t="n">
        <v>0</v>
      </c>
      <c r="D14" s="26" t="n">
        <f aca="false">D11*Assumptions!$E$11</f>
        <v>0</v>
      </c>
      <c r="E14" s="26" t="n">
        <f aca="false">E11*Assumptions!$E$11</f>
        <v>0</v>
      </c>
      <c r="F14" s="26" t="n">
        <f aca="false">F11*Assumptions!$E$11</f>
        <v>0</v>
      </c>
      <c r="G14" s="26" t="n">
        <f aca="false">G11*Assumptions!$E$11</f>
        <v>0</v>
      </c>
      <c r="H14" s="26" t="n">
        <f aca="false">H11*Assumptions!$E$11</f>
        <v>4.8</v>
      </c>
      <c r="I14" s="26" t="n">
        <f aca="false">I11*Assumptions!$E$11</f>
        <v>4.224</v>
      </c>
      <c r="J14" s="26" t="n">
        <f aca="false">J11*Assumptions!$E$11</f>
        <v>2.88</v>
      </c>
      <c r="K14" s="26" t="n">
        <f aca="false">K11*Assumptions!$E$11</f>
        <v>6.72</v>
      </c>
      <c r="L14" s="26" t="n">
        <f aca="false">L11*Assumptions!$E$11</f>
        <v>5.376</v>
      </c>
      <c r="M14" s="26" t="n">
        <f aca="false">M11*Assumptions!$E$11</f>
        <v>3.84</v>
      </c>
      <c r="N14" s="26" t="n">
        <f aca="false">N11*Assumptions!$E$11</f>
        <v>6.912</v>
      </c>
      <c r="O14" s="26" t="n">
        <f aca="false">O11*Assumptions!$E$11</f>
        <v>10.368</v>
      </c>
      <c r="P14" s="26" t="n">
        <f aca="false">P11*Assumptions!$E$11</f>
        <v>8.256</v>
      </c>
      <c r="Q14" s="26" t="n">
        <f aca="false">Q11*Assumptions!$E$11</f>
        <v>9.984</v>
      </c>
      <c r="R14" s="26" t="n">
        <f aca="false">R11*Assumptions!$E$11</f>
        <v>12.48</v>
      </c>
      <c r="S14" s="26" t="n">
        <f aca="false">S11*Assumptions!$E$11</f>
        <v>9.6</v>
      </c>
      <c r="T14" s="26" t="n">
        <f aca="false">T11*Assumptions!$E$11</f>
        <v>11.136</v>
      </c>
      <c r="U14" s="26" t="n">
        <f aca="false">U11*Assumptions!$E$11</f>
        <v>12.864</v>
      </c>
      <c r="V14" s="26" t="n">
        <f aca="false">V11*Assumptions!$E$11</f>
        <v>14.784</v>
      </c>
      <c r="W14" s="26" t="n">
        <f aca="false">W11*Assumptions!$E$11</f>
        <v>15.744</v>
      </c>
      <c r="X14" s="26" t="n">
        <f aca="false">X11*Assumptions!$E$11</f>
        <v>16.128</v>
      </c>
      <c r="Y14" s="26" t="n">
        <f aca="false">Y11*Assumptions!$E$11</f>
        <v>17.088</v>
      </c>
      <c r="Z14" s="26" t="n">
        <f aca="false">Z11*Assumptions!$E$11</f>
        <v>17.28</v>
      </c>
      <c r="AA14" s="26" t="n">
        <f aca="false">AA11*Assumptions!$E$11</f>
        <v>17.472</v>
      </c>
      <c r="AB14" s="26" t="n">
        <f aca="false">AB11*Assumptions!$E$11</f>
        <v>17.664</v>
      </c>
      <c r="AC14" s="26" t="n">
        <f aca="false">AC11*Assumptions!$E$11</f>
        <v>17.856</v>
      </c>
      <c r="AD14" s="26" t="n">
        <f aca="false">AD11*Assumptions!$E$11</f>
        <v>18.048</v>
      </c>
      <c r="AE14" s="26" t="n">
        <f aca="false">AE11*Assumptions!$E$11</f>
        <v>18.048</v>
      </c>
      <c r="AF14" s="26" t="n">
        <f aca="false">AF11*Assumptions!$E$11</f>
        <v>23.04</v>
      </c>
      <c r="AG14" s="26" t="n">
        <f aca="false">AG11*Assumptions!$E$11</f>
        <v>22.656</v>
      </c>
      <c r="AH14" s="26" t="n">
        <f aca="false">AH11*Assumptions!$E$11</f>
        <v>21.312</v>
      </c>
      <c r="AI14" s="26" t="n">
        <f aca="false">AI11*Assumptions!$E$11</f>
        <v>25.344</v>
      </c>
      <c r="AJ14" s="26" t="n">
        <f aca="false">AJ11*Assumptions!$E$11</f>
        <v>24.192</v>
      </c>
      <c r="AK14" s="26" t="n">
        <f aca="false">AK11*Assumptions!$E$11</f>
        <v>22.656</v>
      </c>
      <c r="AL14" s="26" t="n">
        <f aca="false">AL11*Assumptions!$E$11</f>
        <v>25.728</v>
      </c>
      <c r="AM14" s="26" t="n">
        <f aca="false">AM11*Assumptions!$E$11</f>
        <v>24.576</v>
      </c>
      <c r="AN14" s="37" t="n">
        <f aca="false">AN11*Assumptions!$E$11</f>
        <v>23.04</v>
      </c>
      <c r="AO14" s="37" t="n">
        <f aca="false">AO11*Assumptions!$E$11</f>
        <v>26.112</v>
      </c>
      <c r="AP14" s="37" t="n">
        <f aca="false">AP11*Assumptions!$E$11</f>
        <v>24.96</v>
      </c>
      <c r="AQ14" s="37" t="n">
        <f aca="false">AQ11*Assumptions!$E$11</f>
        <v>23.424</v>
      </c>
      <c r="AR14" s="37" t="n">
        <f aca="false">AR11*Assumptions!$E$11</f>
        <v>26.496</v>
      </c>
      <c r="AS14" s="37" t="n">
        <f aca="false">AS11*Assumptions!$E$11</f>
        <v>25.152</v>
      </c>
      <c r="AT14" s="37" t="n">
        <f aca="false">AT11*Assumptions!$E$11</f>
        <v>23.616</v>
      </c>
      <c r="AU14" s="37" t="n">
        <f aca="false">AU11*Assumptions!$E$11</f>
        <v>26.688</v>
      </c>
      <c r="AV14" s="37" t="n">
        <f aca="false">AV11*Assumptions!$E$11</f>
        <v>25.344</v>
      </c>
      <c r="AW14" s="37" t="n">
        <f aca="false">AW11*Assumptions!$E$11</f>
        <v>23.808</v>
      </c>
      <c r="AX14" s="37" t="n">
        <f aca="false">AX11*Assumptions!$E$11</f>
        <v>26.88</v>
      </c>
      <c r="AY14" s="37" t="n">
        <f aca="false">AY11*Assumptions!$E$11</f>
        <v>25.536</v>
      </c>
      <c r="AZ14" s="37" t="n">
        <f aca="false">AZ11*Assumptions!$E$11</f>
        <v>24</v>
      </c>
      <c r="BA14" s="37" t="n">
        <f aca="false">BA11*Assumptions!$E$11</f>
        <v>27.072</v>
      </c>
      <c r="BB14" s="37" t="n">
        <f aca="false">BB11*Assumptions!$E$11</f>
        <v>25.728</v>
      </c>
      <c r="BC14" s="37" t="n">
        <f aca="false">BC11*Assumptions!$E$11</f>
        <v>24</v>
      </c>
      <c r="BD14" s="37" t="n">
        <f aca="false">BD11*Assumptions!$E$11</f>
        <v>27.072</v>
      </c>
      <c r="BE14" s="37" t="n">
        <f aca="false">BE11*Assumptions!$E$11</f>
        <v>25.728</v>
      </c>
      <c r="BF14" s="37" t="n">
        <f aca="false">BF11*Assumptions!$E$11</f>
        <v>24</v>
      </c>
      <c r="BG14" s="37" t="n">
        <f aca="false">BG11*Assumptions!$E$11</f>
        <v>27.072</v>
      </c>
      <c r="BH14" s="37" t="n">
        <f aca="false">BH11*Assumptions!$E$11</f>
        <v>25.728</v>
      </c>
      <c r="BI14" s="37" t="n">
        <f aca="false">BI11*Assumptions!$E$11</f>
        <v>24</v>
      </c>
      <c r="BJ14" s="37" t="n">
        <f aca="false">BJ11*Assumptions!$E$11</f>
        <v>27.072</v>
      </c>
      <c r="BK14" s="37" t="n">
        <f aca="false">BK11*Assumptions!$E$11</f>
        <v>25.728</v>
      </c>
    </row>
    <row r="15" customFormat="false" ht="15" hidden="false" customHeight="false" outlineLevel="0" collapsed="false">
      <c r="B15" s="5" t="s">
        <v>549</v>
      </c>
    </row>
    <row r="16" customFormat="false" ht="15" hidden="false" customHeight="false" outlineLevel="0" collapsed="false">
      <c r="A16" s="28" t="s">
        <v>550</v>
      </c>
      <c r="B16" s="6" t="s">
        <v>551</v>
      </c>
      <c r="C16" s="38" t="n">
        <v>0</v>
      </c>
      <c r="D16" s="39" t="n">
        <f aca="false">IF(OR(C16=1,AND(D13&gt;=Assumptions!$E$18,D7&gt;=Assumptions!$E$19)),1,0)</f>
        <v>0</v>
      </c>
      <c r="E16" s="39" t="n">
        <f aca="false">IF(OR(D16=1,AND(E13&gt;=Assumptions!$E$18,E7&gt;=Assumptions!$E$19)),1,0)</f>
        <v>0</v>
      </c>
      <c r="F16" s="39" t="n">
        <f aca="false">IF(OR(E16=1,AND(F13&gt;=Assumptions!$E$18,F7&gt;=Assumptions!$E$19)),1,0)</f>
        <v>0</v>
      </c>
      <c r="G16" s="39" t="n">
        <f aca="false">IF(OR(F16=1,AND(G13&gt;=Assumptions!$E$18,G7&gt;=Assumptions!$E$19)),1,0)</f>
        <v>0</v>
      </c>
      <c r="H16" s="39" t="n">
        <f aca="false">IF(OR(G16=1,AND(H13&gt;=Assumptions!$E$18,H7&gt;=Assumptions!$E$19)),1,0)</f>
        <v>0</v>
      </c>
      <c r="I16" s="39" t="n">
        <f aca="false">IF(OR(H16=1,AND(I13&gt;=Assumptions!$E$18,I7&gt;=Assumptions!$E$19)),1,0)</f>
        <v>0</v>
      </c>
      <c r="J16" s="39" t="n">
        <f aca="false">IF(OR(I16=1,AND(J13&gt;=Assumptions!$E$18,J7&gt;=Assumptions!$E$19)),1,0)</f>
        <v>0</v>
      </c>
      <c r="K16" s="39" t="n">
        <f aca="false">IF(OR(J16=1,AND(K13&gt;=Assumptions!$E$18,K7&gt;=Assumptions!$E$19)),1,0)</f>
        <v>0</v>
      </c>
      <c r="L16" s="39" t="n">
        <f aca="false">IF(OR(K16=1,AND(L13&gt;=Assumptions!$E$18,L7&gt;=Assumptions!$E$19)),1,0)</f>
        <v>0</v>
      </c>
      <c r="M16" s="39" t="n">
        <f aca="false">IF(OR(L16=1,AND(M13&gt;=Assumptions!$E$18,M7&gt;=Assumptions!$E$19)),1,0)</f>
        <v>0</v>
      </c>
      <c r="N16" s="39" t="n">
        <f aca="false">IF(OR(M16=1,AND(N13&gt;=Assumptions!$E$18,N7&gt;=Assumptions!$E$19)),1,0)</f>
        <v>0</v>
      </c>
      <c r="O16" s="39" t="n">
        <f aca="false">IF(OR(N16=1,AND(O13&gt;=Assumptions!$E$18,O7&gt;=Assumptions!$E$19)),1,0)</f>
        <v>0</v>
      </c>
      <c r="P16" s="39" t="n">
        <f aca="false">IF(OR(O16=1,AND(P13&gt;=Assumptions!$E$18,P7&gt;=Assumptions!$E$19)),1,0)</f>
        <v>0</v>
      </c>
      <c r="Q16" s="39" t="n">
        <f aca="false">IF(OR(P16=1,AND(Q13&gt;=Assumptions!$E$18,Q7&gt;=Assumptions!$E$19)),1,0)</f>
        <v>0</v>
      </c>
      <c r="R16" s="39" t="n">
        <f aca="false">IF(OR(Q16=1,AND(R13&gt;=Assumptions!$E$18,R7&gt;=Assumptions!$E$19)),1,0)</f>
        <v>0</v>
      </c>
      <c r="S16" s="39" t="n">
        <f aca="false">IF(OR(R16=1,AND(S13&gt;=Assumptions!$E$18,S7&gt;=Assumptions!$E$19)),1,0)</f>
        <v>0</v>
      </c>
      <c r="T16" s="39" t="n">
        <f aca="false">IF(OR(S16=1,AND(T13&gt;=Assumptions!$E$18,T7&gt;=Assumptions!$E$19)),1,0)</f>
        <v>0</v>
      </c>
      <c r="U16" s="39" t="n">
        <f aca="false">IF(OR(T16=1,AND(U13&gt;=Assumptions!$E$18,U7&gt;=Assumptions!$E$19)),1,0)</f>
        <v>1</v>
      </c>
      <c r="V16" s="39" t="n">
        <f aca="false">IF(OR(U16=1,AND(V13&gt;=Assumptions!$E$18,V7&gt;=Assumptions!$E$19)),1,0)</f>
        <v>1</v>
      </c>
      <c r="W16" s="39" t="n">
        <f aca="false">IF(OR(V16=1,AND(W13&gt;=Assumptions!$E$18,W7&gt;=Assumptions!$E$19)),1,0)</f>
        <v>1</v>
      </c>
      <c r="X16" s="39" t="n">
        <f aca="false">IF(OR(W16=1,AND(X13&gt;=Assumptions!$E$18,X7&gt;=Assumptions!$E$19)),1,0)</f>
        <v>1</v>
      </c>
      <c r="Y16" s="39" t="n">
        <f aca="false">IF(OR(X16=1,AND(Y13&gt;=Assumptions!$E$18,Y7&gt;=Assumptions!$E$19)),1,0)</f>
        <v>1</v>
      </c>
      <c r="Z16" s="39" t="n">
        <f aca="false">IF(OR(Y16=1,AND(Z13&gt;=Assumptions!$E$18,Z7&gt;=Assumptions!$E$19)),1,0)</f>
        <v>1</v>
      </c>
      <c r="AA16" s="39" t="n">
        <f aca="false">IF(OR(Z16=1,AND(AA13&gt;=Assumptions!$E$18,AA7&gt;=Assumptions!$E$19)),1,0)</f>
        <v>1</v>
      </c>
      <c r="AB16" s="39" t="n">
        <f aca="false">IF(OR(AA16=1,AND(AB13&gt;=Assumptions!$E$18,AB7&gt;=Assumptions!$E$19)),1,0)</f>
        <v>1</v>
      </c>
      <c r="AC16" s="39" t="n">
        <f aca="false">IF(OR(AB16=1,AND(AC13&gt;=Assumptions!$E$18,AC7&gt;=Assumptions!$E$19)),1,0)</f>
        <v>1</v>
      </c>
      <c r="AD16" s="39" t="n">
        <f aca="false">IF(OR(AC16=1,AND(AD13&gt;=Assumptions!$E$18,AD7&gt;=Assumptions!$E$19)),1,0)</f>
        <v>1</v>
      </c>
      <c r="AE16" s="39" t="n">
        <f aca="false">IF(OR(AD16=1,AND(AE13&gt;=Assumptions!$E$18,AE7&gt;=Assumptions!$E$19)),1,0)</f>
        <v>1</v>
      </c>
      <c r="AF16" s="39" t="n">
        <f aca="false">IF(OR(AE16=1,AND(AF13&gt;=Assumptions!$E$18,AF7&gt;=Assumptions!$E$19)),1,0)</f>
        <v>1</v>
      </c>
      <c r="AG16" s="39" t="n">
        <f aca="false">IF(OR(AF16=1,AND(AG13&gt;=Assumptions!$E$18,AG7&gt;=Assumptions!$E$19)),1,0)</f>
        <v>1</v>
      </c>
      <c r="AH16" s="39" t="n">
        <f aca="false">IF(OR(AG16=1,AND(AH13&gt;=Assumptions!$E$18,AH7&gt;=Assumptions!$E$19)),1,0)</f>
        <v>1</v>
      </c>
      <c r="AI16" s="39" t="n">
        <f aca="false">IF(OR(AH16=1,AND(AI13&gt;=Assumptions!$E$18,AI7&gt;=Assumptions!$E$19)),1,0)</f>
        <v>1</v>
      </c>
      <c r="AJ16" s="39" t="n">
        <f aca="false">IF(OR(AI16=1,AND(AJ13&gt;=Assumptions!$E$18,AJ7&gt;=Assumptions!$E$19)),1,0)</f>
        <v>1</v>
      </c>
      <c r="AK16" s="39" t="n">
        <f aca="false">IF(OR(AJ16=1,AND(AK13&gt;=Assumptions!$E$18,AK7&gt;=Assumptions!$E$19)),1,0)</f>
        <v>1</v>
      </c>
      <c r="AL16" s="39" t="n">
        <f aca="false">IF(OR(AK16=1,AND(AL13&gt;=Assumptions!$E$18,AL7&gt;=Assumptions!$E$19)),1,0)</f>
        <v>1</v>
      </c>
      <c r="AM16" s="39" t="n">
        <f aca="false">IF(OR(AL16=1,AND(AM13&gt;=Assumptions!$E$18,AM7&gt;=Assumptions!$E$19)),1,0)</f>
        <v>1</v>
      </c>
      <c r="AN16" s="40" t="n">
        <f aca="false">IF(OR(AM16=1,AND(AN13&gt;=Assumptions!$E$18,AN7&gt;=Assumptions!$E$19)),1,0)</f>
        <v>1</v>
      </c>
      <c r="AO16" s="40" t="n">
        <f aca="false">IF(OR(AN16=1,AND(AO13&gt;=Assumptions!$E$18,AO7&gt;=Assumptions!$E$19)),1,0)</f>
        <v>1</v>
      </c>
      <c r="AP16" s="40" t="n">
        <f aca="false">IF(OR(AO16=1,AND(AP13&gt;=Assumptions!$E$18,AP7&gt;=Assumptions!$E$19)),1,0)</f>
        <v>1</v>
      </c>
      <c r="AQ16" s="40" t="n">
        <f aca="false">IF(OR(AP16=1,AND(AQ13&gt;=Assumptions!$E$18,AQ7&gt;=Assumptions!$E$19)),1,0)</f>
        <v>1</v>
      </c>
      <c r="AR16" s="40" t="n">
        <f aca="false">IF(OR(AQ16=1,AND(AR13&gt;=Assumptions!$E$18,AR7&gt;=Assumptions!$E$19)),1,0)</f>
        <v>1</v>
      </c>
      <c r="AS16" s="40" t="n">
        <f aca="false">IF(OR(AR16=1,AND(AS13&gt;=Assumptions!$E$18,AS7&gt;=Assumptions!$E$19)),1,0)</f>
        <v>1</v>
      </c>
      <c r="AT16" s="40" t="n">
        <f aca="false">IF(OR(AS16=1,AND(AT13&gt;=Assumptions!$E$18,AT7&gt;=Assumptions!$E$19)),1,0)</f>
        <v>1</v>
      </c>
      <c r="AU16" s="40" t="n">
        <f aca="false">IF(OR(AT16=1,AND(AU13&gt;=Assumptions!$E$18,AU7&gt;=Assumptions!$E$19)),1,0)</f>
        <v>1</v>
      </c>
      <c r="AV16" s="40" t="n">
        <f aca="false">IF(OR(AU16=1,AND(AV13&gt;=Assumptions!$E$18,AV7&gt;=Assumptions!$E$19)),1,0)</f>
        <v>1</v>
      </c>
      <c r="AW16" s="40" t="n">
        <f aca="false">IF(OR(AV16=1,AND(AW13&gt;=Assumptions!$E$18,AW7&gt;=Assumptions!$E$19)),1,0)</f>
        <v>1</v>
      </c>
      <c r="AX16" s="40" t="n">
        <f aca="false">IF(OR(AW16=1,AND(AX13&gt;=Assumptions!$E$18,AX7&gt;=Assumptions!$E$19)),1,0)</f>
        <v>1</v>
      </c>
      <c r="AY16" s="40" t="n">
        <f aca="false">IF(OR(AX16=1,AND(AY13&gt;=Assumptions!$E$18,AY7&gt;=Assumptions!$E$19)),1,0)</f>
        <v>1</v>
      </c>
      <c r="AZ16" s="40" t="n">
        <f aca="false">IF(OR(AY16=1,AND(AZ13&gt;=Assumptions!$E$18,AZ7&gt;=Assumptions!$E$19)),1,0)</f>
        <v>1</v>
      </c>
      <c r="BA16" s="40" t="n">
        <f aca="false">IF(OR(AZ16=1,AND(BA13&gt;=Assumptions!$E$18,BA7&gt;=Assumptions!$E$19)),1,0)</f>
        <v>1</v>
      </c>
      <c r="BB16" s="40" t="n">
        <f aca="false">IF(OR(BA16=1,AND(BB13&gt;=Assumptions!$E$18,BB7&gt;=Assumptions!$E$19)),1,0)</f>
        <v>1</v>
      </c>
      <c r="BC16" s="40" t="n">
        <f aca="false">IF(OR(BB16=1,AND(BC13&gt;=Assumptions!$E$18,BC7&gt;=Assumptions!$E$19)),1,0)</f>
        <v>1</v>
      </c>
      <c r="BD16" s="40" t="n">
        <f aca="false">IF(OR(BC16=1,AND(BD13&gt;=Assumptions!$E$18,BD7&gt;=Assumptions!$E$19)),1,0)</f>
        <v>1</v>
      </c>
      <c r="BE16" s="40" t="n">
        <f aca="false">IF(OR(BD16=1,AND(BE13&gt;=Assumptions!$E$18,BE7&gt;=Assumptions!$E$19)),1,0)</f>
        <v>1</v>
      </c>
      <c r="BF16" s="40" t="n">
        <f aca="false">IF(OR(BE16=1,AND(BF13&gt;=Assumptions!$E$18,BF7&gt;=Assumptions!$E$19)),1,0)</f>
        <v>1</v>
      </c>
      <c r="BG16" s="40" t="n">
        <f aca="false">IF(OR(BF16=1,AND(BG13&gt;=Assumptions!$E$18,BG7&gt;=Assumptions!$E$19)),1,0)</f>
        <v>1</v>
      </c>
      <c r="BH16" s="40" t="n">
        <f aca="false">IF(OR(BG16=1,AND(BH13&gt;=Assumptions!$E$18,BH7&gt;=Assumptions!$E$19)),1,0)</f>
        <v>1</v>
      </c>
      <c r="BI16" s="40" t="n">
        <f aca="false">IF(OR(BH16=1,AND(BI13&gt;=Assumptions!$E$18,BI7&gt;=Assumptions!$E$19)),1,0)</f>
        <v>1</v>
      </c>
      <c r="BJ16" s="40" t="n">
        <f aca="false">IF(OR(BI16=1,AND(BJ13&gt;=Assumptions!$E$18,BJ7&gt;=Assumptions!$E$19)),1,0)</f>
        <v>1</v>
      </c>
      <c r="BK16" s="40" t="n">
        <f aca="false">IF(OR(BJ16=1,AND(BK13&gt;=Assumptions!$E$18,BK7&gt;=Assumptions!$E$19)),1,0)</f>
        <v>1</v>
      </c>
    </row>
    <row r="17" customFormat="false" ht="15" hidden="false" customHeight="false" outlineLevel="0" collapsed="false">
      <c r="A17" s="28" t="s">
        <v>552</v>
      </c>
      <c r="B17" s="6" t="s">
        <v>553</v>
      </c>
      <c r="C17" s="38" t="n">
        <v>0</v>
      </c>
      <c r="D17" s="39" t="n">
        <f aca="false">IF(OR(C17=1,AND(D13&gt;=Assumptions!$E$20,D7&gt;=Assumptions!$E$21)),1,0)</f>
        <v>0</v>
      </c>
      <c r="E17" s="39" t="n">
        <f aca="false">IF(OR(D17=1,AND(E13&gt;=Assumptions!$E$20,E7&gt;=Assumptions!$E$21)),1,0)</f>
        <v>0</v>
      </c>
      <c r="F17" s="39" t="n">
        <f aca="false">IF(OR(E17=1,AND(F13&gt;=Assumptions!$E$20,F7&gt;=Assumptions!$E$21)),1,0)</f>
        <v>0</v>
      </c>
      <c r="G17" s="39" t="n">
        <f aca="false">IF(OR(F17=1,AND(G13&gt;=Assumptions!$E$20,G7&gt;=Assumptions!$E$21)),1,0)</f>
        <v>0</v>
      </c>
      <c r="H17" s="39" t="n">
        <f aca="false">IF(OR(G17=1,AND(H13&gt;=Assumptions!$E$20,H7&gt;=Assumptions!$E$21)),1,0)</f>
        <v>0</v>
      </c>
      <c r="I17" s="39" t="n">
        <f aca="false">IF(OR(H17=1,AND(I13&gt;=Assumptions!$E$20,I7&gt;=Assumptions!$E$21)),1,0)</f>
        <v>0</v>
      </c>
      <c r="J17" s="39" t="n">
        <f aca="false">IF(OR(I17=1,AND(J13&gt;=Assumptions!$E$20,J7&gt;=Assumptions!$E$21)),1,0)</f>
        <v>0</v>
      </c>
      <c r="K17" s="39" t="n">
        <f aca="false">IF(OR(J17=1,AND(K13&gt;=Assumptions!$E$20,K7&gt;=Assumptions!$E$21)),1,0)</f>
        <v>0</v>
      </c>
      <c r="L17" s="39" t="n">
        <f aca="false">IF(OR(K17=1,AND(L13&gt;=Assumptions!$E$20,L7&gt;=Assumptions!$E$21)),1,0)</f>
        <v>0</v>
      </c>
      <c r="M17" s="39" t="n">
        <f aca="false">IF(OR(L17=1,AND(M13&gt;=Assumptions!$E$20,M7&gt;=Assumptions!$E$21)),1,0)</f>
        <v>0</v>
      </c>
      <c r="N17" s="39" t="n">
        <f aca="false">IF(OR(M17=1,AND(N13&gt;=Assumptions!$E$20,N7&gt;=Assumptions!$E$21)),1,0)</f>
        <v>0</v>
      </c>
      <c r="O17" s="39" t="n">
        <f aca="false">IF(OR(N17=1,AND(O13&gt;=Assumptions!$E$20,O7&gt;=Assumptions!$E$21)),1,0)</f>
        <v>1</v>
      </c>
      <c r="P17" s="39" t="n">
        <f aca="false">IF(OR(O17=1,AND(P13&gt;=Assumptions!$E$20,P7&gt;=Assumptions!$E$21)),1,0)</f>
        <v>1</v>
      </c>
      <c r="Q17" s="39" t="n">
        <f aca="false">IF(OR(P17=1,AND(Q13&gt;=Assumptions!$E$20,Q7&gt;=Assumptions!$E$21)),1,0)</f>
        <v>1</v>
      </c>
      <c r="R17" s="39" t="n">
        <f aca="false">IF(OR(Q17=1,AND(R13&gt;=Assumptions!$E$20,R7&gt;=Assumptions!$E$21)),1,0)</f>
        <v>1</v>
      </c>
      <c r="S17" s="39" t="n">
        <f aca="false">IF(OR(R17=1,AND(S13&gt;=Assumptions!$E$20,S7&gt;=Assumptions!$E$21)),1,0)</f>
        <v>1</v>
      </c>
      <c r="T17" s="39" t="n">
        <f aca="false">IF(OR(S17=1,AND(T13&gt;=Assumptions!$E$20,T7&gt;=Assumptions!$E$21)),1,0)</f>
        <v>1</v>
      </c>
      <c r="U17" s="39" t="n">
        <f aca="false">IF(OR(T17=1,AND(U13&gt;=Assumptions!$E$20,U7&gt;=Assumptions!$E$21)),1,0)</f>
        <v>1</v>
      </c>
      <c r="V17" s="39" t="n">
        <f aca="false">IF(OR(U17=1,AND(V13&gt;=Assumptions!$E$20,V7&gt;=Assumptions!$E$21)),1,0)</f>
        <v>1</v>
      </c>
      <c r="W17" s="39" t="n">
        <f aca="false">IF(OR(V17=1,AND(W13&gt;=Assumptions!$E$20,W7&gt;=Assumptions!$E$21)),1,0)</f>
        <v>1</v>
      </c>
      <c r="X17" s="39" t="n">
        <f aca="false">IF(OR(W17=1,AND(X13&gt;=Assumptions!$E$20,X7&gt;=Assumptions!$E$21)),1,0)</f>
        <v>1</v>
      </c>
      <c r="Y17" s="39" t="n">
        <f aca="false">IF(OR(X17=1,AND(Y13&gt;=Assumptions!$E$20,Y7&gt;=Assumptions!$E$21)),1,0)</f>
        <v>1</v>
      </c>
      <c r="Z17" s="39" t="n">
        <f aca="false">IF(OR(Y17=1,AND(Z13&gt;=Assumptions!$E$20,Z7&gt;=Assumptions!$E$21)),1,0)</f>
        <v>1</v>
      </c>
      <c r="AA17" s="39" t="n">
        <f aca="false">IF(OR(Z17=1,AND(AA13&gt;=Assumptions!$E$20,AA7&gt;=Assumptions!$E$21)),1,0)</f>
        <v>1</v>
      </c>
      <c r="AB17" s="39" t="n">
        <f aca="false">IF(OR(AA17=1,AND(AB13&gt;=Assumptions!$E$20,AB7&gt;=Assumptions!$E$21)),1,0)</f>
        <v>1</v>
      </c>
      <c r="AC17" s="39" t="n">
        <f aca="false">IF(OR(AB17=1,AND(AC13&gt;=Assumptions!$E$20,AC7&gt;=Assumptions!$E$21)),1,0)</f>
        <v>1</v>
      </c>
      <c r="AD17" s="39" t="n">
        <f aca="false">IF(OR(AC17=1,AND(AD13&gt;=Assumptions!$E$20,AD7&gt;=Assumptions!$E$21)),1,0)</f>
        <v>1</v>
      </c>
      <c r="AE17" s="39" t="n">
        <f aca="false">IF(OR(AD17=1,AND(AE13&gt;=Assumptions!$E$20,AE7&gt;=Assumptions!$E$21)),1,0)</f>
        <v>1</v>
      </c>
      <c r="AF17" s="39" t="n">
        <f aca="false">IF(OR(AE17=1,AND(AF13&gt;=Assumptions!$E$20,AF7&gt;=Assumptions!$E$21)),1,0)</f>
        <v>1</v>
      </c>
      <c r="AG17" s="39" t="n">
        <f aca="false">IF(OR(AF17=1,AND(AG13&gt;=Assumptions!$E$20,AG7&gt;=Assumptions!$E$21)),1,0)</f>
        <v>1</v>
      </c>
      <c r="AH17" s="39" t="n">
        <f aca="false">IF(OR(AG17=1,AND(AH13&gt;=Assumptions!$E$20,AH7&gt;=Assumptions!$E$21)),1,0)</f>
        <v>1</v>
      </c>
      <c r="AI17" s="39" t="n">
        <f aca="false">IF(OR(AH17=1,AND(AI13&gt;=Assumptions!$E$20,AI7&gt;=Assumptions!$E$21)),1,0)</f>
        <v>1</v>
      </c>
      <c r="AJ17" s="39" t="n">
        <f aca="false">IF(OR(AI17=1,AND(AJ13&gt;=Assumptions!$E$20,AJ7&gt;=Assumptions!$E$21)),1,0)</f>
        <v>1</v>
      </c>
      <c r="AK17" s="39" t="n">
        <f aca="false">IF(OR(AJ17=1,AND(AK13&gt;=Assumptions!$E$20,AK7&gt;=Assumptions!$E$21)),1,0)</f>
        <v>1</v>
      </c>
      <c r="AL17" s="39" t="n">
        <f aca="false">IF(OR(AK17=1,AND(AL13&gt;=Assumptions!$E$20,AL7&gt;=Assumptions!$E$21)),1,0)</f>
        <v>1</v>
      </c>
      <c r="AM17" s="39" t="n">
        <f aca="false">IF(OR(AL17=1,AND(AM13&gt;=Assumptions!$E$20,AM7&gt;=Assumptions!$E$21)),1,0)</f>
        <v>1</v>
      </c>
      <c r="AN17" s="40" t="n">
        <f aca="false">IF(OR(AM17=1,AND(AN13&gt;=Assumptions!$E$20,AN7&gt;=Assumptions!$E$21)),1,0)</f>
        <v>1</v>
      </c>
      <c r="AO17" s="40" t="n">
        <f aca="false">IF(OR(AN17=1,AND(AO13&gt;=Assumptions!$E$20,AO7&gt;=Assumptions!$E$21)),1,0)</f>
        <v>1</v>
      </c>
      <c r="AP17" s="40" t="n">
        <f aca="false">IF(OR(AO17=1,AND(AP13&gt;=Assumptions!$E$20,AP7&gt;=Assumptions!$E$21)),1,0)</f>
        <v>1</v>
      </c>
      <c r="AQ17" s="40" t="n">
        <f aca="false">IF(OR(AP17=1,AND(AQ13&gt;=Assumptions!$E$20,AQ7&gt;=Assumptions!$E$21)),1,0)</f>
        <v>1</v>
      </c>
      <c r="AR17" s="40" t="n">
        <f aca="false">IF(OR(AQ17=1,AND(AR13&gt;=Assumptions!$E$20,AR7&gt;=Assumptions!$E$21)),1,0)</f>
        <v>1</v>
      </c>
      <c r="AS17" s="40" t="n">
        <f aca="false">IF(OR(AR17=1,AND(AS13&gt;=Assumptions!$E$20,AS7&gt;=Assumptions!$E$21)),1,0)</f>
        <v>1</v>
      </c>
      <c r="AT17" s="40" t="n">
        <f aca="false">IF(OR(AS17=1,AND(AT13&gt;=Assumptions!$E$20,AT7&gt;=Assumptions!$E$21)),1,0)</f>
        <v>1</v>
      </c>
      <c r="AU17" s="40" t="n">
        <f aca="false">IF(OR(AT17=1,AND(AU13&gt;=Assumptions!$E$20,AU7&gt;=Assumptions!$E$21)),1,0)</f>
        <v>1</v>
      </c>
      <c r="AV17" s="40" t="n">
        <f aca="false">IF(OR(AU17=1,AND(AV13&gt;=Assumptions!$E$20,AV7&gt;=Assumptions!$E$21)),1,0)</f>
        <v>1</v>
      </c>
      <c r="AW17" s="40" t="n">
        <f aca="false">IF(OR(AV17=1,AND(AW13&gt;=Assumptions!$E$20,AW7&gt;=Assumptions!$E$21)),1,0)</f>
        <v>1</v>
      </c>
      <c r="AX17" s="40" t="n">
        <f aca="false">IF(OR(AW17=1,AND(AX13&gt;=Assumptions!$E$20,AX7&gt;=Assumptions!$E$21)),1,0)</f>
        <v>1</v>
      </c>
      <c r="AY17" s="40" t="n">
        <f aca="false">IF(OR(AX17=1,AND(AY13&gt;=Assumptions!$E$20,AY7&gt;=Assumptions!$E$21)),1,0)</f>
        <v>1</v>
      </c>
      <c r="AZ17" s="40" t="n">
        <f aca="false">IF(OR(AY17=1,AND(AZ13&gt;=Assumptions!$E$20,AZ7&gt;=Assumptions!$E$21)),1,0)</f>
        <v>1</v>
      </c>
      <c r="BA17" s="40" t="n">
        <f aca="false">IF(OR(AZ17=1,AND(BA13&gt;=Assumptions!$E$20,BA7&gt;=Assumptions!$E$21)),1,0)</f>
        <v>1</v>
      </c>
      <c r="BB17" s="40" t="n">
        <f aca="false">IF(OR(BA17=1,AND(BB13&gt;=Assumptions!$E$20,BB7&gt;=Assumptions!$E$21)),1,0)</f>
        <v>1</v>
      </c>
      <c r="BC17" s="40" t="n">
        <f aca="false">IF(OR(BB17=1,AND(BC13&gt;=Assumptions!$E$20,BC7&gt;=Assumptions!$E$21)),1,0)</f>
        <v>1</v>
      </c>
      <c r="BD17" s="40" t="n">
        <f aca="false">IF(OR(BC17=1,AND(BD13&gt;=Assumptions!$E$20,BD7&gt;=Assumptions!$E$21)),1,0)</f>
        <v>1</v>
      </c>
      <c r="BE17" s="40" t="n">
        <f aca="false">IF(OR(BD17=1,AND(BE13&gt;=Assumptions!$E$20,BE7&gt;=Assumptions!$E$21)),1,0)</f>
        <v>1</v>
      </c>
      <c r="BF17" s="40" t="n">
        <f aca="false">IF(OR(BE17=1,AND(BF13&gt;=Assumptions!$E$20,BF7&gt;=Assumptions!$E$21)),1,0)</f>
        <v>1</v>
      </c>
      <c r="BG17" s="40" t="n">
        <f aca="false">IF(OR(BF17=1,AND(BG13&gt;=Assumptions!$E$20,BG7&gt;=Assumptions!$E$21)),1,0)</f>
        <v>1</v>
      </c>
      <c r="BH17" s="40" t="n">
        <f aca="false">IF(OR(BG17=1,AND(BH13&gt;=Assumptions!$E$20,BH7&gt;=Assumptions!$E$21)),1,0)</f>
        <v>1</v>
      </c>
      <c r="BI17" s="40" t="n">
        <f aca="false">IF(OR(BH17=1,AND(BI13&gt;=Assumptions!$E$20,BI7&gt;=Assumptions!$E$21)),1,0)</f>
        <v>1</v>
      </c>
      <c r="BJ17" s="40" t="n">
        <f aca="false">IF(OR(BI17=1,AND(BJ13&gt;=Assumptions!$E$20,BJ7&gt;=Assumptions!$E$21)),1,0)</f>
        <v>1</v>
      </c>
      <c r="BK17" s="40" t="n">
        <f aca="false">IF(OR(BJ17=1,AND(BK13&gt;=Assumptions!$E$20,BK7&gt;=Assumptions!$E$21)),1,0)</f>
        <v>1</v>
      </c>
    </row>
    <row r="18" customFormat="false" ht="15" hidden="false" customHeight="false" outlineLevel="0" collapsed="false">
      <c r="A18" s="28" t="s">
        <v>554</v>
      </c>
      <c r="B18" s="6" t="s">
        <v>555</v>
      </c>
      <c r="C18" s="38" t="n">
        <v>0</v>
      </c>
      <c r="D18" s="39" t="n">
        <f aca="false">IF(OR(C18=1,D13&gt;=Assumptions!$E$22),1,0)</f>
        <v>0</v>
      </c>
      <c r="E18" s="39" t="n">
        <f aca="false">IF(OR(D18=1,E13&gt;=Assumptions!$E$22),1,0)</f>
        <v>0</v>
      </c>
      <c r="F18" s="39" t="n">
        <f aca="false">IF(OR(E18=1,F13&gt;=Assumptions!$E$22),1,0)</f>
        <v>0</v>
      </c>
      <c r="G18" s="39" t="n">
        <f aca="false">IF(OR(F18=1,G13&gt;=Assumptions!$E$22),1,0)</f>
        <v>0</v>
      </c>
      <c r="H18" s="39" t="n">
        <f aca="false">IF(OR(G18=1,H13&gt;=Assumptions!$E$22),1,0)</f>
        <v>0</v>
      </c>
      <c r="I18" s="39" t="n">
        <f aca="false">IF(OR(H18=1,I13&gt;=Assumptions!$E$22),1,0)</f>
        <v>0</v>
      </c>
      <c r="J18" s="39" t="n">
        <f aca="false">IF(OR(I18=1,J13&gt;=Assumptions!$E$22),1,0)</f>
        <v>0</v>
      </c>
      <c r="K18" s="39" t="n">
        <f aca="false">IF(OR(J18=1,K13&gt;=Assumptions!$E$22),1,0)</f>
        <v>0</v>
      </c>
      <c r="L18" s="39" t="n">
        <f aca="false">IF(OR(K18=1,L13&gt;=Assumptions!$E$22),1,0)</f>
        <v>0</v>
      </c>
      <c r="M18" s="39" t="n">
        <f aca="false">IF(OR(L18=1,M13&gt;=Assumptions!$E$22),1,0)</f>
        <v>0</v>
      </c>
      <c r="N18" s="39" t="n">
        <f aca="false">IF(OR(M18=1,N13&gt;=Assumptions!$E$22),1,0)</f>
        <v>0</v>
      </c>
      <c r="O18" s="39" t="n">
        <f aca="false">IF(OR(N18=1,O13&gt;=Assumptions!$E$22),1,0)</f>
        <v>0</v>
      </c>
      <c r="P18" s="39" t="n">
        <f aca="false">IF(OR(O18=1,P13&gt;=Assumptions!$E$22),1,0)</f>
        <v>0</v>
      </c>
      <c r="Q18" s="39" t="n">
        <f aca="false">IF(OR(P18=1,Q13&gt;=Assumptions!$E$22),1,0)</f>
        <v>0</v>
      </c>
      <c r="R18" s="39" t="n">
        <f aca="false">IF(OR(Q18=1,R13&gt;=Assumptions!$E$22),1,0)</f>
        <v>0</v>
      </c>
      <c r="S18" s="39" t="n">
        <f aca="false">IF(OR(R18=1,S13&gt;=Assumptions!$E$22),1,0)</f>
        <v>0</v>
      </c>
      <c r="T18" s="39" t="n">
        <f aca="false">IF(OR(S18=1,T13&gt;=Assumptions!$E$22),1,0)</f>
        <v>0</v>
      </c>
      <c r="U18" s="39" t="n">
        <f aca="false">IF(OR(T18=1,U13&gt;=Assumptions!$E$22),1,0)</f>
        <v>1</v>
      </c>
      <c r="V18" s="39" t="n">
        <f aca="false">IF(OR(U18=1,V13&gt;=Assumptions!$E$22),1,0)</f>
        <v>1</v>
      </c>
      <c r="W18" s="39" t="n">
        <f aca="false">IF(OR(V18=1,W13&gt;=Assumptions!$E$22),1,0)</f>
        <v>1</v>
      </c>
      <c r="X18" s="39" t="n">
        <f aca="false">IF(OR(W18=1,X13&gt;=Assumptions!$E$22),1,0)</f>
        <v>1</v>
      </c>
      <c r="Y18" s="39" t="n">
        <f aca="false">IF(OR(X18=1,Y13&gt;=Assumptions!$E$22),1,0)</f>
        <v>1</v>
      </c>
      <c r="Z18" s="39" t="n">
        <f aca="false">IF(OR(Y18=1,Z13&gt;=Assumptions!$E$22),1,0)</f>
        <v>1</v>
      </c>
      <c r="AA18" s="39" t="n">
        <f aca="false">IF(OR(Z18=1,AA13&gt;=Assumptions!$E$22),1,0)</f>
        <v>1</v>
      </c>
      <c r="AB18" s="39" t="n">
        <f aca="false">IF(OR(AA18=1,AB13&gt;=Assumptions!$E$22),1,0)</f>
        <v>1</v>
      </c>
      <c r="AC18" s="39" t="n">
        <f aca="false">IF(OR(AB18=1,AC13&gt;=Assumptions!$E$22),1,0)</f>
        <v>1</v>
      </c>
      <c r="AD18" s="39" t="n">
        <f aca="false">IF(OR(AC18=1,AD13&gt;=Assumptions!$E$22),1,0)</f>
        <v>1</v>
      </c>
      <c r="AE18" s="39" t="n">
        <f aca="false">IF(OR(AD18=1,AE13&gt;=Assumptions!$E$22),1,0)</f>
        <v>1</v>
      </c>
      <c r="AF18" s="39" t="n">
        <f aca="false">IF(OR(AE18=1,AF13&gt;=Assumptions!$E$22),1,0)</f>
        <v>1</v>
      </c>
      <c r="AG18" s="39" t="n">
        <f aca="false">IF(OR(AF18=1,AG13&gt;=Assumptions!$E$22),1,0)</f>
        <v>1</v>
      </c>
      <c r="AH18" s="39" t="n">
        <f aca="false">IF(OR(AG18=1,AH13&gt;=Assumptions!$E$22),1,0)</f>
        <v>1</v>
      </c>
      <c r="AI18" s="39" t="n">
        <f aca="false">IF(OR(AH18=1,AI13&gt;=Assumptions!$E$22),1,0)</f>
        <v>1</v>
      </c>
      <c r="AJ18" s="39" t="n">
        <f aca="false">IF(OR(AI18=1,AJ13&gt;=Assumptions!$E$22),1,0)</f>
        <v>1</v>
      </c>
      <c r="AK18" s="39" t="n">
        <f aca="false">IF(OR(AJ18=1,AK13&gt;=Assumptions!$E$22),1,0)</f>
        <v>1</v>
      </c>
      <c r="AL18" s="39" t="n">
        <f aca="false">IF(OR(AK18=1,AL13&gt;=Assumptions!$E$22),1,0)</f>
        <v>1</v>
      </c>
      <c r="AM18" s="39" t="n">
        <f aca="false">IF(OR(AL18=1,AM13&gt;=Assumptions!$E$22),1,0)</f>
        <v>1</v>
      </c>
      <c r="AN18" s="40" t="n">
        <f aca="false">IF(OR(AM18=1,AN13&gt;=Assumptions!$E$22),1,0)</f>
        <v>1</v>
      </c>
      <c r="AO18" s="40" t="n">
        <f aca="false">IF(OR(AN18=1,AO13&gt;=Assumptions!$E$22),1,0)</f>
        <v>1</v>
      </c>
      <c r="AP18" s="40" t="n">
        <f aca="false">IF(OR(AO18=1,AP13&gt;=Assumptions!$E$22),1,0)</f>
        <v>1</v>
      </c>
      <c r="AQ18" s="40" t="n">
        <f aca="false">IF(OR(AP18=1,AQ13&gt;=Assumptions!$E$22),1,0)</f>
        <v>1</v>
      </c>
      <c r="AR18" s="40" t="n">
        <f aca="false">IF(OR(AQ18=1,AR13&gt;=Assumptions!$E$22),1,0)</f>
        <v>1</v>
      </c>
      <c r="AS18" s="40" t="n">
        <f aca="false">IF(OR(AR18=1,AS13&gt;=Assumptions!$E$22),1,0)</f>
        <v>1</v>
      </c>
      <c r="AT18" s="40" t="n">
        <f aca="false">IF(OR(AS18=1,AT13&gt;=Assumptions!$E$22),1,0)</f>
        <v>1</v>
      </c>
      <c r="AU18" s="40" t="n">
        <f aca="false">IF(OR(AT18=1,AU13&gt;=Assumptions!$E$22),1,0)</f>
        <v>1</v>
      </c>
      <c r="AV18" s="40" t="n">
        <f aca="false">IF(OR(AU18=1,AV13&gt;=Assumptions!$E$22),1,0)</f>
        <v>1</v>
      </c>
      <c r="AW18" s="40" t="n">
        <f aca="false">IF(OR(AV18=1,AW13&gt;=Assumptions!$E$22),1,0)</f>
        <v>1</v>
      </c>
      <c r="AX18" s="40" t="n">
        <f aca="false">IF(OR(AW18=1,AX13&gt;=Assumptions!$E$22),1,0)</f>
        <v>1</v>
      </c>
      <c r="AY18" s="40" t="n">
        <f aca="false">IF(OR(AX18=1,AY13&gt;=Assumptions!$E$22),1,0)</f>
        <v>1</v>
      </c>
      <c r="AZ18" s="40" t="n">
        <f aca="false">IF(OR(AY18=1,AZ13&gt;=Assumptions!$E$22),1,0)</f>
        <v>1</v>
      </c>
      <c r="BA18" s="40" t="n">
        <f aca="false">IF(OR(AZ18=1,BA13&gt;=Assumptions!$E$22),1,0)</f>
        <v>1</v>
      </c>
      <c r="BB18" s="40" t="n">
        <f aca="false">IF(OR(BA18=1,BB13&gt;=Assumptions!$E$22),1,0)</f>
        <v>1</v>
      </c>
      <c r="BC18" s="40" t="n">
        <f aca="false">IF(OR(BB18=1,BC13&gt;=Assumptions!$E$22),1,0)</f>
        <v>1</v>
      </c>
      <c r="BD18" s="40" t="n">
        <f aca="false">IF(OR(BC18=1,BD13&gt;=Assumptions!$E$22),1,0)</f>
        <v>1</v>
      </c>
      <c r="BE18" s="40" t="n">
        <f aca="false">IF(OR(BD18=1,BE13&gt;=Assumptions!$E$22),1,0)</f>
        <v>1</v>
      </c>
      <c r="BF18" s="40" t="n">
        <f aca="false">IF(OR(BE18=1,BF13&gt;=Assumptions!$E$22),1,0)</f>
        <v>1</v>
      </c>
      <c r="BG18" s="40" t="n">
        <f aca="false">IF(OR(BF18=1,BG13&gt;=Assumptions!$E$22),1,0)</f>
        <v>1</v>
      </c>
      <c r="BH18" s="40" t="n">
        <f aca="false">IF(OR(BG18=1,BH13&gt;=Assumptions!$E$22),1,0)</f>
        <v>1</v>
      </c>
      <c r="BI18" s="40" t="n">
        <f aca="false">IF(OR(BH18=1,BI13&gt;=Assumptions!$E$22),1,0)</f>
        <v>1</v>
      </c>
      <c r="BJ18" s="40" t="n">
        <f aca="false">IF(OR(BI18=1,BJ13&gt;=Assumptions!$E$22),1,0)</f>
        <v>1</v>
      </c>
      <c r="BK18" s="40" t="n">
        <f aca="false">IF(OR(BJ18=1,BK13&gt;=Assumptions!$E$22),1,0)</f>
        <v>1</v>
      </c>
    </row>
    <row r="19" customFormat="false" ht="15" hidden="false" customHeight="false" outlineLevel="0" collapsed="false">
      <c r="A19" s="28" t="s">
        <v>556</v>
      </c>
      <c r="B19" s="6" t="s">
        <v>557</v>
      </c>
      <c r="C19" s="38" t="n">
        <v>0</v>
      </c>
      <c r="D19" s="39" t="n">
        <f aca="false">IF(OR(C19=1,AND(D13&gt;=Assumptions!$E$23,D7&gt;=Assumptions!$E$24)),1,0)</f>
        <v>0</v>
      </c>
      <c r="E19" s="39" t="n">
        <f aca="false">IF(OR(D19=1,AND(E13&gt;=Assumptions!$E$23,E7&gt;=Assumptions!$E$24)),1,0)</f>
        <v>0</v>
      </c>
      <c r="F19" s="39" t="n">
        <f aca="false">IF(OR(E19=1,AND(F13&gt;=Assumptions!$E$23,F7&gt;=Assumptions!$E$24)),1,0)</f>
        <v>0</v>
      </c>
      <c r="G19" s="39" t="n">
        <f aca="false">IF(OR(F19=1,AND(G13&gt;=Assumptions!$E$23,G7&gt;=Assumptions!$E$24)),1,0)</f>
        <v>0</v>
      </c>
      <c r="H19" s="39" t="n">
        <f aca="false">IF(OR(G19=1,AND(H13&gt;=Assumptions!$E$23,H7&gt;=Assumptions!$E$24)),1,0)</f>
        <v>0</v>
      </c>
      <c r="I19" s="39" t="n">
        <f aca="false">IF(OR(H19=1,AND(I13&gt;=Assumptions!$E$23,I7&gt;=Assumptions!$E$24)),1,0)</f>
        <v>0</v>
      </c>
      <c r="J19" s="39" t="n">
        <f aca="false">IF(OR(I19=1,AND(J13&gt;=Assumptions!$E$23,J7&gt;=Assumptions!$E$24)),1,0)</f>
        <v>0</v>
      </c>
      <c r="K19" s="39" t="n">
        <f aca="false">IF(OR(J19=1,AND(K13&gt;=Assumptions!$E$23,K7&gt;=Assumptions!$E$24)),1,0)</f>
        <v>0</v>
      </c>
      <c r="L19" s="39" t="n">
        <f aca="false">IF(OR(K19=1,AND(L13&gt;=Assumptions!$E$23,L7&gt;=Assumptions!$E$24)),1,0)</f>
        <v>0</v>
      </c>
      <c r="M19" s="39" t="n">
        <f aca="false">IF(OR(L19=1,AND(M13&gt;=Assumptions!$E$23,M7&gt;=Assumptions!$E$24)),1,0)</f>
        <v>0</v>
      </c>
      <c r="N19" s="39" t="n">
        <f aca="false">IF(OR(M19=1,AND(N13&gt;=Assumptions!$E$23,N7&gt;=Assumptions!$E$24)),1,0)</f>
        <v>0</v>
      </c>
      <c r="O19" s="39" t="n">
        <f aca="false">IF(OR(N19=1,AND(O13&gt;=Assumptions!$E$23,O7&gt;=Assumptions!$E$24)),1,0)</f>
        <v>0</v>
      </c>
      <c r="P19" s="39" t="n">
        <f aca="false">IF(OR(O19=1,AND(P13&gt;=Assumptions!$E$23,P7&gt;=Assumptions!$E$24)),1,0)</f>
        <v>0</v>
      </c>
      <c r="Q19" s="39" t="n">
        <f aca="false">IF(OR(P19=1,AND(Q13&gt;=Assumptions!$E$23,Q7&gt;=Assumptions!$E$24)),1,0)</f>
        <v>0</v>
      </c>
      <c r="R19" s="39" t="n">
        <f aca="false">IF(OR(Q19=1,AND(R13&gt;=Assumptions!$E$23,R7&gt;=Assumptions!$E$24)),1,0)</f>
        <v>0</v>
      </c>
      <c r="S19" s="39" t="n">
        <f aca="false">IF(OR(R19=1,AND(S13&gt;=Assumptions!$E$23,S7&gt;=Assumptions!$E$24)),1,0)</f>
        <v>0</v>
      </c>
      <c r="T19" s="39" t="n">
        <f aca="false">IF(OR(S19=1,AND(T13&gt;=Assumptions!$E$23,T7&gt;=Assumptions!$E$24)),1,0)</f>
        <v>0</v>
      </c>
      <c r="U19" s="39" t="n">
        <f aca="false">IF(OR(T19=1,AND(U13&gt;=Assumptions!$E$23,U7&gt;=Assumptions!$E$24)),1,0)</f>
        <v>0</v>
      </c>
      <c r="V19" s="39" t="n">
        <f aca="false">IF(OR(U19=1,AND(V13&gt;=Assumptions!$E$23,V7&gt;=Assumptions!$E$24)),1,0)</f>
        <v>0</v>
      </c>
      <c r="W19" s="39" t="n">
        <f aca="false">IF(OR(V19=1,AND(W13&gt;=Assumptions!$E$23,W7&gt;=Assumptions!$E$24)),1,0)</f>
        <v>0</v>
      </c>
      <c r="X19" s="39" t="n">
        <f aca="false">IF(OR(W19=1,AND(X13&gt;=Assumptions!$E$23,X7&gt;=Assumptions!$E$24)),1,0)</f>
        <v>0</v>
      </c>
      <c r="Y19" s="39" t="n">
        <f aca="false">IF(OR(X19=1,AND(Y13&gt;=Assumptions!$E$23,Y7&gt;=Assumptions!$E$24)),1,0)</f>
        <v>0</v>
      </c>
      <c r="Z19" s="39" t="n">
        <f aca="false">IF(OR(Y19=1,AND(Z13&gt;=Assumptions!$E$23,Z7&gt;=Assumptions!$E$24)),1,0)</f>
        <v>0</v>
      </c>
      <c r="AA19" s="39" t="n">
        <f aca="false">IF(OR(Z19=1,AND(AA13&gt;=Assumptions!$E$23,AA7&gt;=Assumptions!$E$24)),1,0)</f>
        <v>0</v>
      </c>
      <c r="AB19" s="39" t="n">
        <f aca="false">IF(OR(AA19=1,AND(AB13&gt;=Assumptions!$E$23,AB7&gt;=Assumptions!$E$24)),1,0)</f>
        <v>0</v>
      </c>
      <c r="AC19" s="39" t="n">
        <f aca="false">IF(OR(AB19=1,AND(AC13&gt;=Assumptions!$E$23,AC7&gt;=Assumptions!$E$24)),1,0)</f>
        <v>0</v>
      </c>
      <c r="AD19" s="39" t="n">
        <f aca="false">IF(OR(AC19=1,AND(AD13&gt;=Assumptions!$E$23,AD7&gt;=Assumptions!$E$24)),1,0)</f>
        <v>0</v>
      </c>
      <c r="AE19" s="39" t="n">
        <f aca="false">IF(OR(AD19=1,AND(AE13&gt;=Assumptions!$E$23,AE7&gt;=Assumptions!$E$24)),1,0)</f>
        <v>0</v>
      </c>
      <c r="AF19" s="39" t="n">
        <f aca="false">IF(OR(AE19=1,AND(AF13&gt;=Assumptions!$E$23,AF7&gt;=Assumptions!$E$24)),1,0)</f>
        <v>0</v>
      </c>
      <c r="AG19" s="39" t="n">
        <f aca="false">IF(OR(AF19=1,AND(AG13&gt;=Assumptions!$E$23,AG7&gt;=Assumptions!$E$24)),1,0)</f>
        <v>0</v>
      </c>
      <c r="AH19" s="39" t="n">
        <f aca="false">IF(OR(AG19=1,AND(AH13&gt;=Assumptions!$E$23,AH7&gt;=Assumptions!$E$24)),1,0)</f>
        <v>1</v>
      </c>
      <c r="AI19" s="39" t="n">
        <f aca="false">IF(OR(AH19=1,AND(AI13&gt;=Assumptions!$E$23,AI7&gt;=Assumptions!$E$24)),1,0)</f>
        <v>1</v>
      </c>
      <c r="AJ19" s="39" t="n">
        <f aca="false">IF(OR(AI19=1,AND(AJ13&gt;=Assumptions!$E$23,AJ7&gt;=Assumptions!$E$24)),1,0)</f>
        <v>1</v>
      </c>
      <c r="AK19" s="39" t="n">
        <f aca="false">IF(OR(AJ19=1,AND(AK13&gt;=Assumptions!$E$23,AK7&gt;=Assumptions!$E$24)),1,0)</f>
        <v>1</v>
      </c>
      <c r="AL19" s="39" t="n">
        <f aca="false">IF(OR(AK19=1,AND(AL13&gt;=Assumptions!$E$23,AL7&gt;=Assumptions!$E$24)),1,0)</f>
        <v>1</v>
      </c>
      <c r="AM19" s="39" t="n">
        <f aca="false">IF(OR(AL19=1,AND(AM13&gt;=Assumptions!$E$23,AM7&gt;=Assumptions!$E$24)),1,0)</f>
        <v>1</v>
      </c>
      <c r="AN19" s="40" t="n">
        <f aca="false">IF(OR(AM19=1,AND(AN13&gt;=Assumptions!$E$23,AN7&gt;=Assumptions!$E$24)),1,0)</f>
        <v>1</v>
      </c>
      <c r="AO19" s="40" t="n">
        <f aca="false">IF(OR(AN19=1,AND(AO13&gt;=Assumptions!$E$23,AO7&gt;=Assumptions!$E$24)),1,0)</f>
        <v>1</v>
      </c>
      <c r="AP19" s="40" t="n">
        <f aca="false">IF(OR(AO19=1,AND(AP13&gt;=Assumptions!$E$23,AP7&gt;=Assumptions!$E$24)),1,0)</f>
        <v>1</v>
      </c>
      <c r="AQ19" s="40" t="n">
        <f aca="false">IF(OR(AP19=1,AND(AQ13&gt;=Assumptions!$E$23,AQ7&gt;=Assumptions!$E$24)),1,0)</f>
        <v>1</v>
      </c>
      <c r="AR19" s="40" t="n">
        <f aca="false">IF(OR(AQ19=1,AND(AR13&gt;=Assumptions!$E$23,AR7&gt;=Assumptions!$E$24)),1,0)</f>
        <v>1</v>
      </c>
      <c r="AS19" s="40" t="n">
        <f aca="false">IF(OR(AR19=1,AND(AS13&gt;=Assumptions!$E$23,AS7&gt;=Assumptions!$E$24)),1,0)</f>
        <v>1</v>
      </c>
      <c r="AT19" s="40" t="n">
        <f aca="false">IF(OR(AS19=1,AND(AT13&gt;=Assumptions!$E$23,AT7&gt;=Assumptions!$E$24)),1,0)</f>
        <v>1</v>
      </c>
      <c r="AU19" s="40" t="n">
        <f aca="false">IF(OR(AT19=1,AND(AU13&gt;=Assumptions!$E$23,AU7&gt;=Assumptions!$E$24)),1,0)</f>
        <v>1</v>
      </c>
      <c r="AV19" s="40" t="n">
        <f aca="false">IF(OR(AU19=1,AND(AV13&gt;=Assumptions!$E$23,AV7&gt;=Assumptions!$E$24)),1,0)</f>
        <v>1</v>
      </c>
      <c r="AW19" s="40" t="n">
        <f aca="false">IF(OR(AV19=1,AND(AW13&gt;=Assumptions!$E$23,AW7&gt;=Assumptions!$E$24)),1,0)</f>
        <v>1</v>
      </c>
      <c r="AX19" s="40" t="n">
        <f aca="false">IF(OR(AW19=1,AND(AX13&gt;=Assumptions!$E$23,AX7&gt;=Assumptions!$E$24)),1,0)</f>
        <v>1</v>
      </c>
      <c r="AY19" s="40" t="n">
        <f aca="false">IF(OR(AX19=1,AND(AY13&gt;=Assumptions!$E$23,AY7&gt;=Assumptions!$E$24)),1,0)</f>
        <v>1</v>
      </c>
      <c r="AZ19" s="40" t="n">
        <f aca="false">IF(OR(AY19=1,AND(AZ13&gt;=Assumptions!$E$23,AZ7&gt;=Assumptions!$E$24)),1,0)</f>
        <v>1</v>
      </c>
      <c r="BA19" s="40" t="n">
        <f aca="false">IF(OR(AZ19=1,AND(BA13&gt;=Assumptions!$E$23,BA7&gt;=Assumptions!$E$24)),1,0)</f>
        <v>1</v>
      </c>
      <c r="BB19" s="40" t="n">
        <f aca="false">IF(OR(BA19=1,AND(BB13&gt;=Assumptions!$E$23,BB7&gt;=Assumptions!$E$24)),1,0)</f>
        <v>1</v>
      </c>
      <c r="BC19" s="40" t="n">
        <f aca="false">IF(OR(BB19=1,AND(BC13&gt;=Assumptions!$E$23,BC7&gt;=Assumptions!$E$24)),1,0)</f>
        <v>1</v>
      </c>
      <c r="BD19" s="40" t="n">
        <f aca="false">IF(OR(BC19=1,AND(BD13&gt;=Assumptions!$E$23,BD7&gt;=Assumptions!$E$24)),1,0)</f>
        <v>1</v>
      </c>
      <c r="BE19" s="40" t="n">
        <f aca="false">IF(OR(BD19=1,AND(BE13&gt;=Assumptions!$E$23,BE7&gt;=Assumptions!$E$24)),1,0)</f>
        <v>1</v>
      </c>
      <c r="BF19" s="40" t="n">
        <f aca="false">IF(OR(BE19=1,AND(BF13&gt;=Assumptions!$E$23,BF7&gt;=Assumptions!$E$24)),1,0)</f>
        <v>1</v>
      </c>
      <c r="BG19" s="40" t="n">
        <f aca="false">IF(OR(BF19=1,AND(BG13&gt;=Assumptions!$E$23,BG7&gt;=Assumptions!$E$24)),1,0)</f>
        <v>1</v>
      </c>
      <c r="BH19" s="40" t="n">
        <f aca="false">IF(OR(BG19=1,AND(BH13&gt;=Assumptions!$E$23,BH7&gt;=Assumptions!$E$24)),1,0)</f>
        <v>1</v>
      </c>
      <c r="BI19" s="40" t="n">
        <f aca="false">IF(OR(BH19=1,AND(BI13&gt;=Assumptions!$E$23,BI7&gt;=Assumptions!$E$24)),1,0)</f>
        <v>1</v>
      </c>
      <c r="BJ19" s="40" t="n">
        <f aca="false">IF(OR(BI19=1,AND(BJ13&gt;=Assumptions!$E$23,BJ7&gt;=Assumptions!$E$24)),1,0)</f>
        <v>1</v>
      </c>
      <c r="BK19" s="40" t="n">
        <f aca="false">IF(OR(BJ19=1,AND(BK13&gt;=Assumptions!$E$23,BK7&gt;=Assumptions!$E$24)),1,0)</f>
        <v>1</v>
      </c>
    </row>
    <row r="20" customFormat="false" ht="15" hidden="false" customHeight="false" outlineLevel="0" collapsed="false">
      <c r="A20" s="28" t="s">
        <v>558</v>
      </c>
      <c r="B20" s="6" t="s">
        <v>559</v>
      </c>
      <c r="C20" s="32" t="n">
        <v>0</v>
      </c>
      <c r="D20" s="34" t="n">
        <f aca="false">IF(D19=1,C20+1,0)</f>
        <v>0</v>
      </c>
      <c r="E20" s="34" t="n">
        <f aca="false">IF(E19=1,D20+1,0)</f>
        <v>0</v>
      </c>
      <c r="F20" s="34" t="n">
        <f aca="false">IF(F19=1,E20+1,0)</f>
        <v>0</v>
      </c>
      <c r="G20" s="34" t="n">
        <f aca="false">IF(G19=1,F20+1,0)</f>
        <v>0</v>
      </c>
      <c r="H20" s="34" t="n">
        <f aca="false">IF(H19=1,G20+1,0)</f>
        <v>0</v>
      </c>
      <c r="I20" s="34" t="n">
        <f aca="false">IF(I19=1,H20+1,0)</f>
        <v>0</v>
      </c>
      <c r="J20" s="34" t="n">
        <f aca="false">IF(J19=1,I20+1,0)</f>
        <v>0</v>
      </c>
      <c r="K20" s="34" t="n">
        <f aca="false">IF(K19=1,J20+1,0)</f>
        <v>0</v>
      </c>
      <c r="L20" s="34" t="n">
        <f aca="false">IF(L19=1,K20+1,0)</f>
        <v>0</v>
      </c>
      <c r="M20" s="34" t="n">
        <f aca="false">IF(M19=1,L20+1,0)</f>
        <v>0</v>
      </c>
      <c r="N20" s="34" t="n">
        <f aca="false">IF(N19=1,M20+1,0)</f>
        <v>0</v>
      </c>
      <c r="O20" s="34" t="n">
        <f aca="false">IF(O19=1,N20+1,0)</f>
        <v>0</v>
      </c>
      <c r="P20" s="34" t="n">
        <f aca="false">IF(P19=1,O20+1,0)</f>
        <v>0</v>
      </c>
      <c r="Q20" s="34" t="n">
        <f aca="false">IF(Q19=1,P20+1,0)</f>
        <v>0</v>
      </c>
      <c r="R20" s="34" t="n">
        <f aca="false">IF(R19=1,Q20+1,0)</f>
        <v>0</v>
      </c>
      <c r="S20" s="34" t="n">
        <f aca="false">IF(S19=1,R20+1,0)</f>
        <v>0</v>
      </c>
      <c r="T20" s="34" t="n">
        <f aca="false">IF(T19=1,S20+1,0)</f>
        <v>0</v>
      </c>
      <c r="U20" s="34" t="n">
        <f aca="false">IF(U19=1,T20+1,0)</f>
        <v>0</v>
      </c>
      <c r="V20" s="34" t="n">
        <f aca="false">IF(V19=1,U20+1,0)</f>
        <v>0</v>
      </c>
      <c r="W20" s="34" t="n">
        <f aca="false">IF(W19=1,V20+1,0)</f>
        <v>0</v>
      </c>
      <c r="X20" s="34" t="n">
        <f aca="false">IF(X19=1,W20+1,0)</f>
        <v>0</v>
      </c>
      <c r="Y20" s="34" t="n">
        <f aca="false">IF(Y19=1,X20+1,0)</f>
        <v>0</v>
      </c>
      <c r="Z20" s="34" t="n">
        <f aca="false">IF(Z19=1,Y20+1,0)</f>
        <v>0</v>
      </c>
      <c r="AA20" s="34" t="n">
        <f aca="false">IF(AA19=1,Z20+1,0)</f>
        <v>0</v>
      </c>
      <c r="AB20" s="34" t="n">
        <f aca="false">IF(AB19=1,AA20+1,0)</f>
        <v>0</v>
      </c>
      <c r="AC20" s="34" t="n">
        <f aca="false">IF(AC19=1,AB20+1,0)</f>
        <v>0</v>
      </c>
      <c r="AD20" s="34" t="n">
        <f aca="false">IF(AD19=1,AC20+1,0)</f>
        <v>0</v>
      </c>
      <c r="AE20" s="34" t="n">
        <f aca="false">IF(AE19=1,AD20+1,0)</f>
        <v>0</v>
      </c>
      <c r="AF20" s="34" t="n">
        <f aca="false">IF(AF19=1,AE20+1,0)</f>
        <v>0</v>
      </c>
      <c r="AG20" s="34" t="n">
        <f aca="false">IF(AG19=1,AF20+1,0)</f>
        <v>0</v>
      </c>
      <c r="AH20" s="34" t="n">
        <f aca="false">IF(AH19=1,AG20+1,0)</f>
        <v>1</v>
      </c>
      <c r="AI20" s="34" t="n">
        <f aca="false">IF(AI19=1,AH20+1,0)</f>
        <v>2</v>
      </c>
      <c r="AJ20" s="34" t="n">
        <f aca="false">IF(AJ19=1,AI20+1,0)</f>
        <v>3</v>
      </c>
      <c r="AK20" s="34" t="n">
        <f aca="false">IF(AK19=1,AJ20+1,0)</f>
        <v>4</v>
      </c>
      <c r="AL20" s="34" t="n">
        <f aca="false">IF(AL19=1,AK20+1,0)</f>
        <v>5</v>
      </c>
      <c r="AM20" s="34" t="n">
        <f aca="false">IF(AM19=1,AL20+1,0)</f>
        <v>6</v>
      </c>
      <c r="AN20" s="35" t="n">
        <f aca="false">IF(AN19=1,AM20+1,0)</f>
        <v>7</v>
      </c>
      <c r="AO20" s="35" t="n">
        <f aca="false">IF(AO19=1,AN20+1,0)</f>
        <v>8</v>
      </c>
      <c r="AP20" s="35" t="n">
        <f aca="false">IF(AP19=1,AO20+1,0)</f>
        <v>9</v>
      </c>
      <c r="AQ20" s="35" t="n">
        <f aca="false">IF(AQ19=1,AP20+1,0)</f>
        <v>10</v>
      </c>
      <c r="AR20" s="35" t="n">
        <f aca="false">IF(AR19=1,AQ20+1,0)</f>
        <v>11</v>
      </c>
      <c r="AS20" s="35" t="n">
        <f aca="false">IF(AS19=1,AR20+1,0)</f>
        <v>12</v>
      </c>
      <c r="AT20" s="35" t="n">
        <f aca="false">IF(AT19=1,AS20+1,0)</f>
        <v>13</v>
      </c>
      <c r="AU20" s="35" t="n">
        <f aca="false">IF(AU19=1,AT20+1,0)</f>
        <v>14</v>
      </c>
      <c r="AV20" s="35" t="n">
        <f aca="false">IF(AV19=1,AU20+1,0)</f>
        <v>15</v>
      </c>
      <c r="AW20" s="35" t="n">
        <f aca="false">IF(AW19=1,AV20+1,0)</f>
        <v>16</v>
      </c>
      <c r="AX20" s="35" t="n">
        <f aca="false">IF(AX19=1,AW20+1,0)</f>
        <v>17</v>
      </c>
      <c r="AY20" s="35" t="n">
        <f aca="false">IF(AY19=1,AX20+1,0)</f>
        <v>18</v>
      </c>
      <c r="AZ20" s="35" t="n">
        <f aca="false">IF(AZ19=1,AY20+1,0)</f>
        <v>19</v>
      </c>
      <c r="BA20" s="35" t="n">
        <f aca="false">IF(BA19=1,AZ20+1,0)</f>
        <v>20</v>
      </c>
      <c r="BB20" s="35" t="n">
        <f aca="false">IF(BB19=1,BA20+1,0)</f>
        <v>21</v>
      </c>
      <c r="BC20" s="35" t="n">
        <f aca="false">IF(BC19=1,BB20+1,0)</f>
        <v>22</v>
      </c>
      <c r="BD20" s="35" t="n">
        <f aca="false">IF(BD19=1,BC20+1,0)</f>
        <v>23</v>
      </c>
      <c r="BE20" s="35" t="n">
        <f aca="false">IF(BE19=1,BD20+1,0)</f>
        <v>24</v>
      </c>
      <c r="BF20" s="35" t="n">
        <f aca="false">IF(BF19=1,BE20+1,0)</f>
        <v>25</v>
      </c>
      <c r="BG20" s="35" t="n">
        <f aca="false">IF(BG19=1,BF20+1,0)</f>
        <v>26</v>
      </c>
      <c r="BH20" s="35" t="n">
        <f aca="false">IF(BH19=1,BG20+1,0)</f>
        <v>27</v>
      </c>
      <c r="BI20" s="35" t="n">
        <f aca="false">IF(BI19=1,BH20+1,0)</f>
        <v>28</v>
      </c>
      <c r="BJ20" s="35" t="n">
        <f aca="false">IF(BJ19=1,BI20+1,0)</f>
        <v>29</v>
      </c>
      <c r="BK20" s="35" t="n">
        <f aca="false">IF(BK19=1,BJ20+1,0)</f>
        <v>30</v>
      </c>
    </row>
    <row r="21" customFormat="false" ht="15" hidden="false" customHeight="false" outlineLevel="0" collapsed="false">
      <c r="A21" s="28" t="s">
        <v>560</v>
      </c>
      <c r="B21" s="6" t="s">
        <v>561</v>
      </c>
      <c r="C21" s="18" t="n">
        <v>0</v>
      </c>
      <c r="D21" s="13" t="n">
        <f aca="false">MIN(1,D20/Assumptions!$E$77)</f>
        <v>0</v>
      </c>
      <c r="E21" s="13" t="n">
        <f aca="false">MIN(1,E20/Assumptions!$E$77)</f>
        <v>0</v>
      </c>
      <c r="F21" s="13" t="n">
        <f aca="false">MIN(1,F20/Assumptions!$E$77)</f>
        <v>0</v>
      </c>
      <c r="G21" s="13" t="n">
        <f aca="false">MIN(1,G20/Assumptions!$E$77)</f>
        <v>0</v>
      </c>
      <c r="H21" s="13" t="n">
        <f aca="false">MIN(1,H20/Assumptions!$E$77)</f>
        <v>0</v>
      </c>
      <c r="I21" s="13" t="n">
        <f aca="false">MIN(1,I20/Assumptions!$E$77)</f>
        <v>0</v>
      </c>
      <c r="J21" s="13" t="n">
        <f aca="false">MIN(1,J20/Assumptions!$E$77)</f>
        <v>0</v>
      </c>
      <c r="K21" s="13" t="n">
        <f aca="false">MIN(1,K20/Assumptions!$E$77)</f>
        <v>0</v>
      </c>
      <c r="L21" s="13" t="n">
        <f aca="false">MIN(1,L20/Assumptions!$E$77)</f>
        <v>0</v>
      </c>
      <c r="M21" s="13" t="n">
        <f aca="false">MIN(1,M20/Assumptions!$E$77)</f>
        <v>0</v>
      </c>
      <c r="N21" s="13" t="n">
        <f aca="false">MIN(1,N20/Assumptions!$E$77)</f>
        <v>0</v>
      </c>
      <c r="O21" s="13" t="n">
        <f aca="false">MIN(1,O20/Assumptions!$E$77)</f>
        <v>0</v>
      </c>
      <c r="P21" s="13" t="n">
        <f aca="false">MIN(1,P20/Assumptions!$E$77)</f>
        <v>0</v>
      </c>
      <c r="Q21" s="13" t="n">
        <f aca="false">MIN(1,Q20/Assumptions!$E$77)</f>
        <v>0</v>
      </c>
      <c r="R21" s="13" t="n">
        <f aca="false">MIN(1,R20/Assumptions!$E$77)</f>
        <v>0</v>
      </c>
      <c r="S21" s="13" t="n">
        <f aca="false">MIN(1,S20/Assumptions!$E$77)</f>
        <v>0</v>
      </c>
      <c r="T21" s="13" t="n">
        <f aca="false">MIN(1,T20/Assumptions!$E$77)</f>
        <v>0</v>
      </c>
      <c r="U21" s="13" t="n">
        <f aca="false">MIN(1,U20/Assumptions!$E$77)</f>
        <v>0</v>
      </c>
      <c r="V21" s="13" t="n">
        <f aca="false">MIN(1,V20/Assumptions!$E$77)</f>
        <v>0</v>
      </c>
      <c r="W21" s="13" t="n">
        <f aca="false">MIN(1,W20/Assumptions!$E$77)</f>
        <v>0</v>
      </c>
      <c r="X21" s="13" t="n">
        <f aca="false">MIN(1,X20/Assumptions!$E$77)</f>
        <v>0</v>
      </c>
      <c r="Y21" s="13" t="n">
        <f aca="false">MIN(1,Y20/Assumptions!$E$77)</f>
        <v>0</v>
      </c>
      <c r="Z21" s="13" t="n">
        <f aca="false">MIN(1,Z20/Assumptions!$E$77)</f>
        <v>0</v>
      </c>
      <c r="AA21" s="13" t="n">
        <f aca="false">MIN(1,AA20/Assumptions!$E$77)</f>
        <v>0</v>
      </c>
      <c r="AB21" s="13" t="n">
        <f aca="false">MIN(1,AB20/Assumptions!$E$77)</f>
        <v>0</v>
      </c>
      <c r="AC21" s="13" t="n">
        <f aca="false">MIN(1,AC20/Assumptions!$E$77)</f>
        <v>0</v>
      </c>
      <c r="AD21" s="13" t="n">
        <f aca="false">MIN(1,AD20/Assumptions!$E$77)</f>
        <v>0</v>
      </c>
      <c r="AE21" s="13" t="n">
        <f aca="false">MIN(1,AE20/Assumptions!$E$77)</f>
        <v>0</v>
      </c>
      <c r="AF21" s="13" t="n">
        <f aca="false">MIN(1,AF20/Assumptions!$E$77)</f>
        <v>0</v>
      </c>
      <c r="AG21" s="13" t="n">
        <f aca="false">MIN(1,AG20/Assumptions!$E$77)</f>
        <v>0</v>
      </c>
      <c r="AH21" s="13" t="n">
        <f aca="false">MIN(1,AH20/Assumptions!$E$77)</f>
        <v>0.166666666666667</v>
      </c>
      <c r="AI21" s="13" t="n">
        <f aca="false">MIN(1,AI20/Assumptions!$E$77)</f>
        <v>0.333333333333333</v>
      </c>
      <c r="AJ21" s="13" t="n">
        <f aca="false">MIN(1,AJ20/Assumptions!$E$77)</f>
        <v>0.5</v>
      </c>
      <c r="AK21" s="13" t="n">
        <f aca="false">MIN(1,AK20/Assumptions!$E$77)</f>
        <v>0.666666666666667</v>
      </c>
      <c r="AL21" s="13" t="n">
        <f aca="false">MIN(1,AL20/Assumptions!$E$77)</f>
        <v>0.833333333333333</v>
      </c>
      <c r="AM21" s="13" t="n">
        <f aca="false">MIN(1,AM20/Assumptions!$E$77)</f>
        <v>1</v>
      </c>
      <c r="AN21" s="41" t="n">
        <f aca="false">MIN(1,AN20/Assumptions!$E$77)</f>
        <v>1</v>
      </c>
      <c r="AO21" s="41" t="n">
        <f aca="false">MIN(1,AO20/Assumptions!$E$77)</f>
        <v>1</v>
      </c>
      <c r="AP21" s="41" t="n">
        <f aca="false">MIN(1,AP20/Assumptions!$E$77)</f>
        <v>1</v>
      </c>
      <c r="AQ21" s="41" t="n">
        <f aca="false">MIN(1,AQ20/Assumptions!$E$77)</f>
        <v>1</v>
      </c>
      <c r="AR21" s="41" t="n">
        <f aca="false">MIN(1,AR20/Assumptions!$E$77)</f>
        <v>1</v>
      </c>
      <c r="AS21" s="41" t="n">
        <f aca="false">MIN(1,AS20/Assumptions!$E$77)</f>
        <v>1</v>
      </c>
      <c r="AT21" s="41" t="n">
        <f aca="false">MIN(1,AT20/Assumptions!$E$77)</f>
        <v>1</v>
      </c>
      <c r="AU21" s="41" t="n">
        <f aca="false">MIN(1,AU20/Assumptions!$E$77)</f>
        <v>1</v>
      </c>
      <c r="AV21" s="41" t="n">
        <f aca="false">MIN(1,AV20/Assumptions!$E$77)</f>
        <v>1</v>
      </c>
      <c r="AW21" s="41" t="n">
        <f aca="false">MIN(1,AW20/Assumptions!$E$77)</f>
        <v>1</v>
      </c>
      <c r="AX21" s="41" t="n">
        <f aca="false">MIN(1,AX20/Assumptions!$E$77)</f>
        <v>1</v>
      </c>
      <c r="AY21" s="41" t="n">
        <f aca="false">MIN(1,AY20/Assumptions!$E$77)</f>
        <v>1</v>
      </c>
      <c r="AZ21" s="41" t="n">
        <f aca="false">MIN(1,AZ20/Assumptions!$E$77)</f>
        <v>1</v>
      </c>
      <c r="BA21" s="41" t="n">
        <f aca="false">MIN(1,BA20/Assumptions!$E$77)</f>
        <v>1</v>
      </c>
      <c r="BB21" s="41" t="n">
        <f aca="false">MIN(1,BB20/Assumptions!$E$77)</f>
        <v>1</v>
      </c>
      <c r="BC21" s="41" t="n">
        <f aca="false">MIN(1,BC20/Assumptions!$E$77)</f>
        <v>1</v>
      </c>
      <c r="BD21" s="41" t="n">
        <f aca="false">MIN(1,BD20/Assumptions!$E$77)</f>
        <v>1</v>
      </c>
      <c r="BE21" s="41" t="n">
        <f aca="false">MIN(1,BE20/Assumptions!$E$77)</f>
        <v>1</v>
      </c>
      <c r="BF21" s="41" t="n">
        <f aca="false">MIN(1,BF20/Assumptions!$E$77)</f>
        <v>1</v>
      </c>
      <c r="BG21" s="41" t="n">
        <f aca="false">MIN(1,BG20/Assumptions!$E$77)</f>
        <v>1</v>
      </c>
      <c r="BH21" s="41" t="n">
        <f aca="false">MIN(1,BH20/Assumptions!$E$77)</f>
        <v>1</v>
      </c>
      <c r="BI21" s="41" t="n">
        <f aca="false">MIN(1,BI20/Assumptions!$E$77)</f>
        <v>1</v>
      </c>
      <c r="BJ21" s="41" t="n">
        <f aca="false">MIN(1,BJ20/Assumptions!$E$77)</f>
        <v>1</v>
      </c>
      <c r="BK21" s="41" t="n">
        <f aca="false">MIN(1,BK20/Assumptions!$E$77)</f>
        <v>1</v>
      </c>
    </row>
    <row r="22" customFormat="false" ht="15" hidden="false" customHeight="false" outlineLevel="0" collapsed="false">
      <c r="B22" s="5" t="s">
        <v>562</v>
      </c>
    </row>
    <row r="23" customFormat="false" ht="15" hidden="false" customHeight="false" outlineLevel="0" collapsed="false">
      <c r="A23" s="28" t="s">
        <v>563</v>
      </c>
      <c r="B23" s="6" t="s">
        <v>564</v>
      </c>
      <c r="C23" s="32" t="n">
        <v>0</v>
      </c>
      <c r="D23" s="34" t="n">
        <f aca="false">C23+(D13*Assumptions!$E$13-C23)*Assumptions!$E$14</f>
        <v>0</v>
      </c>
      <c r="E23" s="34" t="n">
        <f aca="false">D23+(E13*Assumptions!$E$13-D23)*Assumptions!$E$14</f>
        <v>0</v>
      </c>
      <c r="F23" s="34" t="n">
        <f aca="false">E23+(F13*Assumptions!$E$13-E23)*Assumptions!$E$14</f>
        <v>0</v>
      </c>
      <c r="G23" s="34" t="n">
        <f aca="false">F23+(G13*Assumptions!$E$13-F23)*Assumptions!$E$14</f>
        <v>0</v>
      </c>
      <c r="H23" s="34" t="n">
        <f aca="false">G23+(H13*Assumptions!$E$13-G23)*Assumptions!$E$14</f>
        <v>126</v>
      </c>
      <c r="I23" s="34" t="n">
        <f aca="false">H23+(I13*Assumptions!$E$13-H23)*Assumptions!$E$14</f>
        <v>316.89</v>
      </c>
      <c r="J23" s="34" t="n">
        <f aca="false">I23+(J13*Assumptions!$E$13-I23)*Assumptions!$E$14</f>
        <v>513.04365</v>
      </c>
      <c r="K23" s="34" t="n">
        <f aca="false">J23+(K13*Assumptions!$E$13-J23)*Assumptions!$E$14</f>
        <v>812.33754525</v>
      </c>
      <c r="L23" s="34" t="n">
        <f aca="false">K23+(L13*Assumptions!$E$13-K23)*Assumptions!$E$14</f>
        <v>1140.81568957125</v>
      </c>
      <c r="M23" s="34" t="n">
        <f aca="false">L23+(M13*Assumptions!$E$13-L23)*Assumptions!$E$14</f>
        <v>1445.93453910268</v>
      </c>
      <c r="N23" s="34" t="n">
        <f aca="false">M23+(N13*Assumptions!$E$13-M23)*Assumptions!$E$14</f>
        <v>1815.13572618489</v>
      </c>
      <c r="O23" s="34" t="n">
        <f aca="false">N23+(O13*Assumptions!$E$13-N23)*Assumptions!$E$14</f>
        <v>2314.1473236518</v>
      </c>
      <c r="P23" s="34" t="n">
        <f aca="false">O23+(P13*Assumptions!$E$13-O23)*Assumptions!$E$14</f>
        <v>2838.21022548082</v>
      </c>
      <c r="Q23" s="34" t="n">
        <f aca="false">P23+(Q13*Assumptions!$E$13-P23)*Assumptions!$E$14</f>
        <v>3420.92089469308</v>
      </c>
      <c r="R23" s="34" t="n">
        <f aca="false">Q23+(R13*Assumptions!$E$13-Q23)*Assumptions!$E$14</f>
        <v>4103.64156595909</v>
      </c>
      <c r="S23" s="34" t="n">
        <f aca="false">R23+(S13*Assumptions!$E$13-R23)*Assumptions!$E$14</f>
        <v>4771.20935751586</v>
      </c>
      <c r="T23" s="34" t="n">
        <f aca="false">S23+(T13*Assumptions!$E$13-S23)*Assumptions!$E$14</f>
        <v>5465.89078693313</v>
      </c>
      <c r="U23" s="34" t="n">
        <f aca="false">T23+(U13*Assumptions!$E$13-T23)*Assumptions!$E$14</f>
        <v>6219.64464548614</v>
      </c>
      <c r="V23" s="34" t="n">
        <f aca="false">U23+(V13*Assumptions!$E$13-U23)*Assumptions!$E$14</f>
        <v>7057.6624190359</v>
      </c>
      <c r="W23" s="34" t="n">
        <f aca="false">V23+(W13*Assumptions!$E$13-V23)*Assumptions!$E$14</f>
        <v>7970.4305708512</v>
      </c>
      <c r="X23" s="34" t="n">
        <f aca="false">W23+(X13*Assumptions!$E$13-W23)*Assumptions!$E$14</f>
        <v>8936.34561955397</v>
      </c>
      <c r="Y23" s="34" t="n">
        <f aca="false">X23+(Y13*Assumptions!$E$13-X23)*Assumptions!$E$14</f>
        <v>9956.41691498326</v>
      </c>
      <c r="Z23" s="34" t="n">
        <f aca="false">Y23+(Z13*Assumptions!$E$13-Y23)*Assumptions!$E$14</f>
        <v>11010.8463730782</v>
      </c>
      <c r="AA23" s="34" t="n">
        <f aca="false">Z23+(AA13*Assumptions!$E$13-Z23)*Assumptions!$E$14</f>
        <v>12086.7778901648</v>
      </c>
      <c r="AB23" s="34" t="n">
        <f aca="false">AA23+(AB13*Assumptions!$E$13-AA23)*Assumptions!$E$14</f>
        <v>13175.8674600562</v>
      </c>
      <c r="AC23" s="34" t="n">
        <f aca="false">AB23+(AC13*Assumptions!$E$13-AB23)*Assumptions!$E$14</f>
        <v>14272.7037530138</v>
      </c>
      <c r="AD23" s="34" t="n">
        <f aca="false">AC23+(AD13*Assumptions!$E$13-AC23)*Assumptions!$E$14</f>
        <v>15373.7814948766</v>
      </c>
      <c r="AE23" s="34" t="n">
        <f aca="false">AD23+(AE13*Assumptions!$E$13-AD23)*Assumptions!$E$14</f>
        <v>16471.7941662562</v>
      </c>
      <c r="AF23" s="34" t="n">
        <f aca="false">AE23+(AF13*Assumptions!$E$13-AE23)*Assumptions!$E$14</f>
        <v>17693.1198597341</v>
      </c>
      <c r="AG23" s="34" t="n">
        <f aca="false">AF23+(AG13*Assumptions!$E$13-AF23)*Assumptions!$E$14</f>
        <v>18976.9047557197</v>
      </c>
      <c r="AH23" s="34" t="n">
        <f aca="false">AG23+(AH13*Assumptions!$E$13-AG23)*Assumptions!$E$14</f>
        <v>20258.659285407</v>
      </c>
      <c r="AI23" s="34" t="n">
        <f aca="false">AH23+(AI13*Assumptions!$E$13-AH23)*Assumptions!$E$14</f>
        <v>21638.2246617909</v>
      </c>
      <c r="AJ23" s="34" t="n">
        <f aca="false">AI23+(AJ13*Assumptions!$E$13-AI23)*Assumptions!$E$14</f>
        <v>23042.9307145463</v>
      </c>
      <c r="AK23" s="34" t="n">
        <f aca="false">AJ23+(AK13*Assumptions!$E$13-AJ23)*Assumptions!$E$14</f>
        <v>24416.0383785716</v>
      </c>
      <c r="AL23" s="34" t="n">
        <f aca="false">AK23+(AL13*Assumptions!$E$13-AK23)*Assumptions!$E$14</f>
        <v>25842.3463589762</v>
      </c>
      <c r="AM23" s="34" t="n">
        <f aca="false">AL23+(AM13*Assumptions!$E$13-AL23)*Assumptions!$E$14</f>
        <v>27264.9877250457</v>
      </c>
      <c r="AN23" s="35" t="n">
        <f aca="false">AM23+(AN13*Assumptions!$E$13-AM23)*Assumptions!$E$14</f>
        <v>28637.4926741152</v>
      </c>
      <c r="AO23" s="35" t="n">
        <f aca="false">AN23+(AO13*Assumptions!$E$13-AN23)*Assumptions!$E$14</f>
        <v>30051.3321312178</v>
      </c>
      <c r="AP23" s="35" t="n">
        <f aca="false">AO23+(AP13*Assumptions!$E$13-AO23)*Assumptions!$E$14</f>
        <v>31453.9733499389</v>
      </c>
      <c r="AQ23" s="35" t="n">
        <f aca="false">AP23+(AQ13*Assumptions!$E$13-AP23)*Assumptions!$E$14</f>
        <v>32801.7610301379</v>
      </c>
      <c r="AR23" s="35" t="n">
        <f aca="false">AQ23+(AR13*Assumptions!$E$13-AQ23)*Assumptions!$E$14</f>
        <v>34187.992846977</v>
      </c>
      <c r="AS23" s="35" t="n">
        <f aca="false">AR23+(AS13*Assumptions!$E$13-AR23)*Assumptions!$E$14</f>
        <v>35556.2808052617</v>
      </c>
      <c r="AT23" s="35" t="n">
        <f aca="false">AS23+(AT13*Assumptions!$E$13-AS23)*Assumptions!$E$14</f>
        <v>36865.5766963258</v>
      </c>
      <c r="AU23" s="35" t="n">
        <f aca="false">AT23+(AU13*Assumptions!$E$13-AT23)*Assumptions!$E$14</f>
        <v>38210.8691129239</v>
      </c>
      <c r="AV23" s="35" t="n">
        <f aca="false">AU23+(AV13*Assumptions!$E$13-AU23)*Assumptions!$E$14</f>
        <v>39536.865519808</v>
      </c>
      <c r="AW23" s="35" t="n">
        <f aca="false">AV23+(AW13*Assumptions!$E$13-AV23)*Assumptions!$E$14</f>
        <v>40803.2261753365</v>
      </c>
      <c r="AX23" s="35" t="n">
        <f aca="false">AW23+(AX13*Assumptions!$E$13-AW23)*Assumptions!$E$14</f>
        <v>42105.3966476182</v>
      </c>
      <c r="AY23" s="35" t="n">
        <f aca="false">AX23+(AY13*Assumptions!$E$13-AX23)*Assumptions!$E$14</f>
        <v>43388.3779600965</v>
      </c>
      <c r="AZ23" s="35" t="n">
        <f aca="false">AY23+(AZ13*Assumptions!$E$13-AY23)*Assumptions!$E$14</f>
        <v>44612.0177611202</v>
      </c>
      <c r="BA23" s="35" t="n">
        <f aca="false">AZ23+(BA13*Assumptions!$E$13-AZ23)*Assumptions!$E$14</f>
        <v>45871.8800504798</v>
      </c>
      <c r="BB23" s="35" t="n">
        <f aca="false">BA23+(BB13*Assumptions!$E$13-BA23)*Assumptions!$E$14</f>
        <v>47113.0395109772</v>
      </c>
      <c r="BC23" s="35" t="n">
        <f aca="false">BB23+(BC13*Assumptions!$E$13-BB23)*Assumptions!$E$14</f>
        <v>48290.3483981281</v>
      </c>
      <c r="BD23" s="35" t="n">
        <f aca="false">BC23+(BD13*Assumptions!$E$13-BC23)*Assumptions!$E$14</f>
        <v>49501.2360840363</v>
      </c>
      <c r="BE23" s="35" t="n">
        <f aca="false">BD23+(BE13*Assumptions!$E$13-BD23)*Assumptions!$E$14</f>
        <v>50691.9854354978</v>
      </c>
      <c r="BF23" s="35" t="n">
        <f aca="false">BE23+(BF13*Assumptions!$E$13-BE23)*Assumptions!$E$14</f>
        <v>51818.2297842347</v>
      </c>
      <c r="BG23" s="35" t="n">
        <f aca="false">BF23+(BG13*Assumptions!$E$13-BF23)*Assumptions!$E$14</f>
        <v>52977.9020221462</v>
      </c>
      <c r="BH23" s="35" t="n">
        <f aca="false">BG23+(BH13*Assumptions!$E$13-BG23)*Assumptions!$E$14</f>
        <v>54117.6081868528</v>
      </c>
      <c r="BI23" s="35" t="n">
        <f aca="false">BH23+(BI13*Assumptions!$E$13-BH23)*Assumptions!$E$14</f>
        <v>55193.1876158252</v>
      </c>
      <c r="BJ23" s="35" t="n">
        <f aca="false">BI23+(BJ13*Assumptions!$E$13-BI23)*Assumptions!$E$14</f>
        <v>56302.7031102418</v>
      </c>
      <c r="BK23" s="35" t="n">
        <f aca="false">BJ23+(BK13*Assumptions!$E$13-BJ23)*Assumptions!$E$14</f>
        <v>57392.8412142132</v>
      </c>
    </row>
    <row r="24" customFormat="false" ht="15" hidden="false" customHeight="false" outlineLevel="0" collapsed="false">
      <c r="A24" s="28" t="s">
        <v>565</v>
      </c>
      <c r="B24" s="6" t="s">
        <v>566</v>
      </c>
      <c r="C24" s="32" t="n">
        <v>0</v>
      </c>
      <c r="D24" s="34" t="n">
        <f aca="false">D23/Assumptions!$E$15</f>
        <v>0</v>
      </c>
      <c r="E24" s="34" t="n">
        <f aca="false">E23/Assumptions!$E$15</f>
        <v>0</v>
      </c>
      <c r="F24" s="34" t="n">
        <f aca="false">F23/Assumptions!$E$15</f>
        <v>0</v>
      </c>
      <c r="G24" s="34" t="n">
        <f aca="false">G23/Assumptions!$E$15</f>
        <v>0</v>
      </c>
      <c r="H24" s="34" t="n">
        <f aca="false">H23/Assumptions!$E$15</f>
        <v>90</v>
      </c>
      <c r="I24" s="34" t="n">
        <f aca="false">I23/Assumptions!$E$15</f>
        <v>226.35</v>
      </c>
      <c r="J24" s="34" t="n">
        <f aca="false">J23/Assumptions!$E$15</f>
        <v>366.45975</v>
      </c>
      <c r="K24" s="34" t="n">
        <f aca="false">K23/Assumptions!$E$15</f>
        <v>580.24110375</v>
      </c>
      <c r="L24" s="34" t="n">
        <f aca="false">L23/Assumptions!$E$15</f>
        <v>814.86834969375</v>
      </c>
      <c r="M24" s="34" t="n">
        <f aca="false">M23/Assumptions!$E$15</f>
        <v>1032.81038507334</v>
      </c>
      <c r="N24" s="34" t="n">
        <f aca="false">N23/Assumptions!$E$15</f>
        <v>1296.52551870349</v>
      </c>
      <c r="O24" s="34" t="n">
        <f aca="false">O23/Assumptions!$E$15</f>
        <v>1652.962374037</v>
      </c>
      <c r="P24" s="34" t="n">
        <f aca="false">P23/Assumptions!$E$15</f>
        <v>2027.29301820059</v>
      </c>
      <c r="Q24" s="34" t="n">
        <f aca="false">Q23/Assumptions!$E$15</f>
        <v>2443.51492478077</v>
      </c>
      <c r="R24" s="34" t="n">
        <f aca="false">R23/Assumptions!$E$15</f>
        <v>2931.17254711363</v>
      </c>
      <c r="S24" s="34" t="n">
        <f aca="false">S23/Assumptions!$E$15</f>
        <v>3408.0066839399</v>
      </c>
      <c r="T24" s="34" t="n">
        <f aca="false">T23/Assumptions!$E$15</f>
        <v>3904.20770495224</v>
      </c>
      <c r="U24" s="34" t="n">
        <f aca="false">U23/Assumptions!$E$15</f>
        <v>4442.60331820439</v>
      </c>
      <c r="V24" s="34" t="n">
        <f aca="false">V23/Assumptions!$E$15</f>
        <v>5041.1874421685</v>
      </c>
      <c r="W24" s="34" t="n">
        <f aca="false">W23/Assumptions!$E$15</f>
        <v>5693.16469346514</v>
      </c>
      <c r="X24" s="34" t="n">
        <f aca="false">X23/Assumptions!$E$15</f>
        <v>6383.10401396712</v>
      </c>
      <c r="Y24" s="34" t="n">
        <f aca="false">Y23/Assumptions!$E$15</f>
        <v>7111.72636784519</v>
      </c>
      <c r="Z24" s="34" t="n">
        <f aca="false">Z23/Assumptions!$E$15</f>
        <v>7864.89026648443</v>
      </c>
      <c r="AA24" s="34" t="n">
        <f aca="false">AA23/Assumptions!$E$15</f>
        <v>8633.41277868917</v>
      </c>
      <c r="AB24" s="34" t="n">
        <f aca="false">AB23/Assumptions!$E$15</f>
        <v>9411.33390004013</v>
      </c>
      <c r="AC24" s="34" t="n">
        <f aca="false">AC23/Assumptions!$E$15</f>
        <v>10194.7883950099</v>
      </c>
      <c r="AD24" s="34" t="n">
        <f aca="false">AD23/Assumptions!$E$15</f>
        <v>10981.2724963404</v>
      </c>
      <c r="AE24" s="34" t="n">
        <f aca="false">AE23/Assumptions!$E$15</f>
        <v>11765.5672616116</v>
      </c>
      <c r="AF24" s="34" t="n">
        <f aca="false">AF23/Assumptions!$E$15</f>
        <v>12637.9427569529</v>
      </c>
      <c r="AG24" s="34" t="n">
        <f aca="false">AG23/Assumptions!$E$15</f>
        <v>13554.9319683712</v>
      </c>
      <c r="AH24" s="34" t="n">
        <f aca="false">AH23/Assumptions!$E$15</f>
        <v>14470.4709181479</v>
      </c>
      <c r="AI24" s="34" t="n">
        <f aca="false">AI23/Assumptions!$E$15</f>
        <v>15455.8747584221</v>
      </c>
      <c r="AJ24" s="34" t="n">
        <f aca="false">AJ23/Assumptions!$E$15</f>
        <v>16459.2362246759</v>
      </c>
      <c r="AK24" s="34" t="n">
        <f aca="false">AK23/Assumptions!$E$15</f>
        <v>17440.0274132654</v>
      </c>
      <c r="AL24" s="34" t="n">
        <f aca="false">AL23/Assumptions!$E$15</f>
        <v>18458.8188278402</v>
      </c>
      <c r="AM24" s="34" t="n">
        <f aca="false">AM23/Assumptions!$E$15</f>
        <v>19474.9912321755</v>
      </c>
      <c r="AN24" s="35" t="n">
        <f aca="false">AN23/Assumptions!$E$15</f>
        <v>20455.3519100823</v>
      </c>
      <c r="AO24" s="35" t="n">
        <f aca="false">AO23/Assumptions!$E$15</f>
        <v>21465.2372365842</v>
      </c>
      <c r="AP24" s="35" t="n">
        <f aca="false">AP23/Assumptions!$E$15</f>
        <v>22467.1238213849</v>
      </c>
      <c r="AQ24" s="35" t="n">
        <f aca="false">AQ23/Assumptions!$E$15</f>
        <v>23429.8293072413</v>
      </c>
      <c r="AR24" s="35" t="n">
        <f aca="false">AR23/Assumptions!$E$15</f>
        <v>24419.9948906979</v>
      </c>
      <c r="AS24" s="35" t="n">
        <f aca="false">AS23/Assumptions!$E$15</f>
        <v>25397.3434323298</v>
      </c>
      <c r="AT24" s="35" t="n">
        <f aca="false">AT23/Assumptions!$E$15</f>
        <v>26332.5547830899</v>
      </c>
      <c r="AU24" s="35" t="n">
        <f aca="false">AU23/Assumptions!$E$15</f>
        <v>27293.4779378028</v>
      </c>
      <c r="AV24" s="35" t="n">
        <f aca="false">AV23/Assumptions!$E$15</f>
        <v>28240.6182284343</v>
      </c>
      <c r="AW24" s="35" t="n">
        <f aca="false">AW23/Assumptions!$E$15</f>
        <v>29145.1615538118</v>
      </c>
      <c r="AX24" s="35" t="n">
        <f aca="false">AX23/Assumptions!$E$15</f>
        <v>30075.2833197273</v>
      </c>
      <c r="AY24" s="35" t="n">
        <f aca="false">AY23/Assumptions!$E$15</f>
        <v>30991.6985429261</v>
      </c>
      <c r="AZ24" s="35" t="n">
        <f aca="false">AZ23/Assumptions!$E$15</f>
        <v>31865.7269722287</v>
      </c>
      <c r="BA24" s="35" t="n">
        <f aca="false">BA23/Assumptions!$E$15</f>
        <v>32765.6286074856</v>
      </c>
      <c r="BB24" s="35" t="n">
        <f aca="false">BB23/Assumptions!$E$15</f>
        <v>33652.1710792695</v>
      </c>
      <c r="BC24" s="35" t="n">
        <f aca="false">BC23/Assumptions!$E$15</f>
        <v>34493.1059986629</v>
      </c>
      <c r="BD24" s="35" t="n">
        <f aca="false">BD23/Assumptions!$E$15</f>
        <v>35358.0257743116</v>
      </c>
      <c r="BE24" s="35" t="n">
        <f aca="false">BE23/Assumptions!$E$15</f>
        <v>36208.5610253556</v>
      </c>
      <c r="BF24" s="35" t="n">
        <f aca="false">BF23/Assumptions!$E$15</f>
        <v>37013.0212744533</v>
      </c>
      <c r="BG24" s="35" t="n">
        <f aca="false">BG23/Assumptions!$E$15</f>
        <v>37841.3585872473</v>
      </c>
      <c r="BH24" s="35" t="n">
        <f aca="false">BH23/Assumptions!$E$15</f>
        <v>38655.4344191806</v>
      </c>
      <c r="BI24" s="35" t="n">
        <f aca="false">BI23/Assumptions!$E$15</f>
        <v>39423.7054398752</v>
      </c>
      <c r="BJ24" s="35" t="n">
        <f aca="false">BJ23/Assumptions!$E$15</f>
        <v>40216.2165073155</v>
      </c>
      <c r="BK24" s="35" t="n">
        <f aca="false">BK23/Assumptions!$E$15</f>
        <v>40994.8865815808</v>
      </c>
    </row>
    <row r="25" customFormat="false" ht="15" hidden="false" customHeight="false" outlineLevel="0" collapsed="false">
      <c r="A25" s="28" t="s">
        <v>567</v>
      </c>
      <c r="B25" s="6" t="s">
        <v>568</v>
      </c>
      <c r="C25" s="32" t="n">
        <v>0</v>
      </c>
      <c r="D25" s="34" t="n">
        <f aca="false">MAX(0,D24-C24)+C24*Assumptions!$E$16</f>
        <v>0</v>
      </c>
      <c r="E25" s="34" t="n">
        <f aca="false">MAX(0,E24-D24)+D24*Assumptions!$E$16</f>
        <v>0</v>
      </c>
      <c r="F25" s="34" t="n">
        <f aca="false">MAX(0,F24-E24)+E24*Assumptions!$E$16</f>
        <v>0</v>
      </c>
      <c r="G25" s="34" t="n">
        <f aca="false">MAX(0,G24-F24)+F24*Assumptions!$E$16</f>
        <v>0</v>
      </c>
      <c r="H25" s="34" t="n">
        <f aca="false">MAX(0,H24-G24)+G24*Assumptions!$E$16</f>
        <v>90</v>
      </c>
      <c r="I25" s="34" t="n">
        <f aca="false">MAX(0,I24-H24)+H24*Assumptions!$E$16</f>
        <v>139.95</v>
      </c>
      <c r="J25" s="34" t="n">
        <f aca="false">MAX(0,J24-I24)+I24*Assumptions!$E$16</f>
        <v>149.16375</v>
      </c>
      <c r="K25" s="34" t="n">
        <f aca="false">MAX(0,K24-J24)+J24*Assumptions!$E$16</f>
        <v>228.43974375</v>
      </c>
      <c r="L25" s="34" t="n">
        <f aca="false">MAX(0,L24-K24)+K24*Assumptions!$E$16</f>
        <v>257.83689009375</v>
      </c>
      <c r="M25" s="34" t="n">
        <f aca="false">MAX(0,M24-L24)+L24*Assumptions!$E$16</f>
        <v>250.536769367344</v>
      </c>
      <c r="N25" s="34" t="n">
        <f aca="false">MAX(0,N24-M24)+M24*Assumptions!$E$16</f>
        <v>305.027549033083</v>
      </c>
      <c r="O25" s="34" t="n">
        <f aca="false">MAX(0,O24-N24)+N24*Assumptions!$E$16</f>
        <v>408.29787608165</v>
      </c>
      <c r="P25" s="34" t="n">
        <f aca="false">MAX(0,P24-O24)+O24*Assumptions!$E$16</f>
        <v>440.449139125066</v>
      </c>
      <c r="Q25" s="34" t="n">
        <f aca="false">MAX(0,Q24-P24)+P24*Assumptions!$E$16</f>
        <v>497.313627308206</v>
      </c>
      <c r="R25" s="34" t="n">
        <f aca="false">MAX(0,R24-Q24)+Q24*Assumptions!$E$16</f>
        <v>585.398219324094</v>
      </c>
      <c r="S25" s="34" t="n">
        <f aca="false">MAX(0,S24-R24)+R24*Assumptions!$E$16</f>
        <v>594.081038710815</v>
      </c>
      <c r="T25" s="34" t="n">
        <f aca="false">MAX(0,T24-S24)+S24*Assumptions!$E$16</f>
        <v>632.521288369931</v>
      </c>
      <c r="U25" s="34" t="n">
        <f aca="false">MAX(0,U24-T24)+T24*Assumptions!$E$16</f>
        <v>694.563921450237</v>
      </c>
      <c r="V25" s="34" t="n">
        <f aca="false">MAX(0,V24-U24)+U24*Assumptions!$E$16</f>
        <v>776.28825669229</v>
      </c>
      <c r="W25" s="34" t="n">
        <f aca="false">MAX(0,W24-V24)+V24*Assumptions!$E$16</f>
        <v>853.62474898338</v>
      </c>
      <c r="X25" s="34" t="n">
        <f aca="false">MAX(0,X24-W24)+W24*Assumptions!$E$16</f>
        <v>917.665908240587</v>
      </c>
      <c r="Y25" s="34" t="n">
        <f aca="false">MAX(0,Y24-X24)+X24*Assumptions!$E$16</f>
        <v>983.946514436751</v>
      </c>
      <c r="Z25" s="34" t="n">
        <f aca="false">MAX(0,Z24-Y24)+Y24*Assumptions!$E$16</f>
        <v>1037.63295335305</v>
      </c>
      <c r="AA25" s="34" t="n">
        <f aca="false">MAX(0,AA24-Z24)+Z24*Assumptions!$E$16</f>
        <v>1083.11812286411</v>
      </c>
      <c r="AB25" s="34" t="n">
        <f aca="false">MAX(0,AB24-AA24)+AA24*Assumptions!$E$16</f>
        <v>1123.25763249853</v>
      </c>
      <c r="AC25" s="34" t="n">
        <f aca="false">MAX(0,AC24-AB24)+AB24*Assumptions!$E$16</f>
        <v>1159.90785097135</v>
      </c>
      <c r="AD25" s="34" t="n">
        <f aca="false">MAX(0,AD24-AC24)+AC24*Assumptions!$E$16</f>
        <v>1194.27563713097</v>
      </c>
      <c r="AE25" s="34" t="n">
        <f aca="false">MAX(0,AE24-AD24)+AD24*Assumptions!$E$16</f>
        <v>1223.54566512473</v>
      </c>
      <c r="AF25" s="34" t="n">
        <f aca="false">MAX(0,AF24-AE24)+AE24*Assumptions!$E$16</f>
        <v>1342.99818580583</v>
      </c>
      <c r="AG25" s="34" t="n">
        <f aca="false">MAX(0,AG24-AF24)+AF24*Assumptions!$E$16</f>
        <v>1422.50692169643</v>
      </c>
      <c r="AH25" s="34" t="n">
        <f aca="false">MAX(0,AH24-AG24)+AG24*Assumptions!$E$16</f>
        <v>1457.73622851147</v>
      </c>
      <c r="AI25" s="34" t="n">
        <f aca="false">MAX(0,AI24-AH24)+AH24*Assumptions!$E$16</f>
        <v>1564.22267700012</v>
      </c>
      <c r="AJ25" s="34" t="n">
        <f aca="false">MAX(0,AJ24-AI24)+AI24*Assumptions!$E$16</f>
        <v>1621.59645659073</v>
      </c>
      <c r="AK25" s="34" t="n">
        <f aca="false">MAX(0,AK24-AJ24)+AJ24*Assumptions!$E$16</f>
        <v>1639.16063757652</v>
      </c>
      <c r="AL25" s="34" t="n">
        <f aca="false">MAX(0,AL24-AK24)+AK24*Assumptions!$E$16</f>
        <v>1716.39251110538</v>
      </c>
      <c r="AM25" s="34" t="n">
        <f aca="false">MAX(0,AM24-AL24)+AL24*Assumptions!$E$16</f>
        <v>1754.52515744894</v>
      </c>
      <c r="AN25" s="35" t="n">
        <f aca="false">MAX(0,AN24-AM24)+AM24*Assumptions!$E$16</f>
        <v>1759.3603271938</v>
      </c>
      <c r="AO25" s="35" t="n">
        <f aca="false">MAX(0,AO24-AN24)+AN24*Assumptions!$E$16</f>
        <v>1828.09940290517</v>
      </c>
      <c r="AP25" s="35" t="n">
        <f aca="false">MAX(0,AP24-AO24)+AO24*Assumptions!$E$16</f>
        <v>1860.49607426413</v>
      </c>
      <c r="AQ25" s="35" t="n">
        <f aca="false">MAX(0,AQ24-AP24)+AP24*Assumptions!$E$16</f>
        <v>1861.39043871182</v>
      </c>
      <c r="AR25" s="35" t="n">
        <f aca="false">MAX(0,AR24-AQ24)+AQ24*Assumptions!$E$16</f>
        <v>1927.3587557462</v>
      </c>
      <c r="AS25" s="35" t="n">
        <f aca="false">MAX(0,AS24-AR24)+AR24*Assumptions!$E$16</f>
        <v>1954.14833725981</v>
      </c>
      <c r="AT25" s="35" t="n">
        <f aca="false">MAX(0,AT24-AS24)+AS24*Assumptions!$E$16</f>
        <v>1951.10508805328</v>
      </c>
      <c r="AU25" s="35" t="n">
        <f aca="false">MAX(0,AU24-AT24)+AT24*Assumptions!$E$16</f>
        <v>2014.22534603652</v>
      </c>
      <c r="AV25" s="35" t="n">
        <f aca="false">MAX(0,AV24-AU24)+AU24*Assumptions!$E$16</f>
        <v>2038.8794081436</v>
      </c>
      <c r="AW25" s="35" t="n">
        <f aca="false">MAX(0,AW24-AV24)+AV24*Assumptions!$E$16</f>
        <v>2034.1680545149</v>
      </c>
      <c r="AX25" s="35" t="n">
        <f aca="false">MAX(0,AX24-AW24)+AW24*Assumptions!$E$16</f>
        <v>2095.92822806792</v>
      </c>
      <c r="AY25" s="35" t="n">
        <f aca="false">MAX(0,AY24-AX24)+AX24*Assumptions!$E$16</f>
        <v>2119.42655598789</v>
      </c>
      <c r="AZ25" s="35" t="n">
        <f aca="false">MAX(0,AZ24-AY24)+AY24*Assumptions!$E$16</f>
        <v>2113.69637101971</v>
      </c>
      <c r="BA25" s="35" t="n">
        <f aca="false">MAX(0,BA24-AZ24)+AZ24*Assumptions!$E$16</f>
        <v>2174.53071414599</v>
      </c>
      <c r="BB25" s="35" t="n">
        <f aca="false">MAX(0,BB24-BA24)+BA24*Assumptions!$E$16</f>
        <v>2197.16761608332</v>
      </c>
      <c r="BC25" s="35" t="n">
        <f aca="false">MAX(0,BC24-BB24)+BB24*Assumptions!$E$16</f>
        <v>2187.02176256425</v>
      </c>
      <c r="BD25" s="35" t="n">
        <f aca="false">MAX(0,BD24-BC24)+BC24*Assumptions!$E$16</f>
        <v>2244.64401559521</v>
      </c>
      <c r="BE25" s="35" t="n">
        <f aca="false">MAX(0,BE24-BD24)+BD24*Assumptions!$E$16</f>
        <v>2264.85628201641</v>
      </c>
      <c r="BF25" s="35" t="n">
        <f aca="false">MAX(0,BF24-BE24)+BE24*Assumptions!$E$16</f>
        <v>2252.80269011199</v>
      </c>
      <c r="BG25" s="35" t="n">
        <f aca="false">MAX(0,BG24-BF24)+BF24*Assumptions!$E$16</f>
        <v>2308.8581637721</v>
      </c>
      <c r="BH25" s="35" t="n">
        <f aca="false">MAX(0,BH24-BG24)+BG24*Assumptions!$E$16</f>
        <v>2327.73017542318</v>
      </c>
      <c r="BI25" s="35" t="n">
        <f aca="false">MAX(0,BI24-BH24)+BH24*Assumptions!$E$16</f>
        <v>2314.48839746182</v>
      </c>
      <c r="BJ25" s="35" t="n">
        <f aca="false">MAX(0,BJ24-BI24)+BI24*Assumptions!$E$16</f>
        <v>2369.45928503538</v>
      </c>
      <c r="BK25" s="35" t="n">
        <f aca="false">MAX(0,BK24-BJ24)+BJ24*Assumptions!$E$16</f>
        <v>2387.31873455791</v>
      </c>
    </row>
    <row r="26" customFormat="false" ht="15" hidden="false" customHeight="false" outlineLevel="0" collapsed="false">
      <c r="B26" s="5" t="s">
        <v>569</v>
      </c>
    </row>
    <row r="27" customFormat="false" ht="15" hidden="false" customHeight="false" outlineLevel="0" collapsed="false">
      <c r="A27" s="28" t="s">
        <v>570</v>
      </c>
      <c r="B27" s="6" t="s">
        <v>571</v>
      </c>
      <c r="C27" s="36" t="n">
        <v>0</v>
      </c>
      <c r="D27" s="26" t="n">
        <f aca="false">C27*(1-Assumptions!$E$41)+D16*((1-(1-Assumptions!$E$30)^(1/12))*Assumptions!$E$40)*MAX(0,D13*Assumptions!$E$25-C27)</f>
        <v>0</v>
      </c>
      <c r="E27" s="26" t="n">
        <f aca="false">D27*(1-Assumptions!$E$41)+E16*((1-(1-Assumptions!$E$30)^(1/12))*Assumptions!$E$40)*MAX(0,E13*Assumptions!$E$25-D27)</f>
        <v>0</v>
      </c>
      <c r="F27" s="26" t="n">
        <f aca="false">E27*(1-Assumptions!$E$41)+F16*((1-(1-Assumptions!$E$30)^(1/12))*Assumptions!$E$40)*MAX(0,F13*Assumptions!$E$25-E27)</f>
        <v>0</v>
      </c>
      <c r="G27" s="26" t="n">
        <f aca="false">F27*(1-Assumptions!$E$41)+G16*((1-(1-Assumptions!$E$30)^(1/12))*Assumptions!$E$40)*MAX(0,G13*Assumptions!$E$25-F27)</f>
        <v>0</v>
      </c>
      <c r="H27" s="26" t="n">
        <f aca="false">G27*(1-Assumptions!$E$41)+H16*((1-(1-Assumptions!$E$30)^(1/12))*Assumptions!$E$40)*MAX(0,H13*Assumptions!$E$25-G27)</f>
        <v>0</v>
      </c>
      <c r="I27" s="26" t="n">
        <f aca="false">H27*(1-Assumptions!$E$41)+I16*((1-(1-Assumptions!$E$30)^(1/12))*Assumptions!$E$40)*MAX(0,I13*Assumptions!$E$25-H27)</f>
        <v>0</v>
      </c>
      <c r="J27" s="26" t="n">
        <f aca="false">I27*(1-Assumptions!$E$41)+J16*((1-(1-Assumptions!$E$30)^(1/12))*Assumptions!$E$40)*MAX(0,J13*Assumptions!$E$25-I27)</f>
        <v>0</v>
      </c>
      <c r="K27" s="26" t="n">
        <f aca="false">J27*(1-Assumptions!$E$41)+K16*((1-(1-Assumptions!$E$30)^(1/12))*Assumptions!$E$40)*MAX(0,K13*Assumptions!$E$25-J27)</f>
        <v>0</v>
      </c>
      <c r="L27" s="26" t="n">
        <f aca="false">K27*(1-Assumptions!$E$41)+L16*((1-(1-Assumptions!$E$30)^(1/12))*Assumptions!$E$40)*MAX(0,L13*Assumptions!$E$25-K27)</f>
        <v>0</v>
      </c>
      <c r="M27" s="26" t="n">
        <f aca="false">L27*(1-Assumptions!$E$41)+M16*((1-(1-Assumptions!$E$30)^(1/12))*Assumptions!$E$40)*MAX(0,M13*Assumptions!$E$25-L27)</f>
        <v>0</v>
      </c>
      <c r="N27" s="26" t="n">
        <f aca="false">M27*(1-Assumptions!$E$41)+N16*((1-(1-Assumptions!$E$30)^(1/12))*Assumptions!$E$40)*MAX(0,N13*Assumptions!$E$25-M27)</f>
        <v>0</v>
      </c>
      <c r="O27" s="26" t="n">
        <f aca="false">N27*(1-Assumptions!$E$41)+O16*((1-(1-Assumptions!$E$30)^(1/12))*Assumptions!$E$40)*MAX(0,O13*Assumptions!$E$25-N27)</f>
        <v>0</v>
      </c>
      <c r="P27" s="26" t="n">
        <f aca="false">O27*(1-Assumptions!$E$41)+P16*((1-(1-Assumptions!$E$30)^(1/12))*Assumptions!$E$40)*MAX(0,P13*Assumptions!$E$25-O27)</f>
        <v>0</v>
      </c>
      <c r="Q27" s="26" t="n">
        <f aca="false">P27*(1-Assumptions!$E$41)+Q16*((1-(1-Assumptions!$E$30)^(1/12))*Assumptions!$E$40)*MAX(0,Q13*Assumptions!$E$25-P27)</f>
        <v>0</v>
      </c>
      <c r="R27" s="26" t="n">
        <f aca="false">Q27*(1-Assumptions!$E$41)+R16*((1-(1-Assumptions!$E$30)^(1/12))*Assumptions!$E$40)*MAX(0,R13*Assumptions!$E$25-Q27)</f>
        <v>0</v>
      </c>
      <c r="S27" s="26" t="n">
        <f aca="false">R27*(1-Assumptions!$E$41)+S16*((1-(1-Assumptions!$E$30)^(1/12))*Assumptions!$E$40)*MAX(0,S13*Assumptions!$E$25-R27)</f>
        <v>0</v>
      </c>
      <c r="T27" s="26" t="n">
        <f aca="false">S27*(1-Assumptions!$E$41)+T16*((1-(1-Assumptions!$E$30)^(1/12))*Assumptions!$E$40)*MAX(0,T13*Assumptions!$E$25-S27)</f>
        <v>0</v>
      </c>
      <c r="U27" s="26" t="n">
        <f aca="false">T27*(1-Assumptions!$E$41)+U16*((1-(1-Assumptions!$E$30)^(1/12))*Assumptions!$E$40)*MAX(0,U13*Assumptions!$E$25-T27)</f>
        <v>0.65509330886447</v>
      </c>
      <c r="V27" s="26" t="n">
        <f aca="false">U27*(1-Assumptions!$E$41)+V16*((1-(1-Assumptions!$E$30)^(1/12))*Assumptions!$E$40)*MAX(0,V13*Assumptions!$E$25-U27)</f>
        <v>1.36396873064553</v>
      </c>
      <c r="W27" s="26" t="n">
        <f aca="false">V27*(1-Assumptions!$E$41)+W16*((1-(1-Assumptions!$E$30)^(1/12))*Assumptions!$E$40)*MAX(0,W13*Assumptions!$E$25-V27)</f>
        <v>2.12892967470463</v>
      </c>
      <c r="X27" s="26" t="n">
        <f aca="false">W27*(1-Assumptions!$E$41)+X16*((1-(1-Assumptions!$E$30)^(1/12))*Assumptions!$E$40)*MAX(0,X13*Assumptions!$E$25-W27)</f>
        <v>2.94838022386287</v>
      </c>
      <c r="Y27" s="26" t="n">
        <f aca="false">X27*(1-Assumptions!$E$41)+Y16*((1-(1-Assumptions!$E$30)^(1/12))*Assumptions!$E$40)*MAX(0,Y13*Assumptions!$E$25-X27)</f>
        <v>3.82449911329015</v>
      </c>
      <c r="Z27" s="26" t="n">
        <f aca="false">Y27*(1-Assumptions!$E$41)+Z16*((1-(1-Assumptions!$E$30)^(1/12))*Assumptions!$E$40)*MAX(0,Z13*Assumptions!$E$25-Y27)</f>
        <v>4.75433508780497</v>
      </c>
      <c r="AA27" s="26" t="n">
        <f aca="false">Z27*(1-Assumptions!$E$41)+AA16*((1-(1-Assumptions!$E$30)^(1/12))*Assumptions!$E$40)*MAX(0,AA13*Assumptions!$E$25-Z27)</f>
        <v>5.73508290990548</v>
      </c>
      <c r="AB27" s="26" t="n">
        <f aca="false">AA27*(1-Assumptions!$E$41)+AB16*((1-(1-Assumptions!$E$30)^(1/12))*Assumptions!$E$40)*MAX(0,AB13*Assumptions!$E$25-AA27)</f>
        <v>6.76407624247171</v>
      </c>
      <c r="AC27" s="26" t="n">
        <f aca="false">AB27*(1-Assumptions!$E$41)+AC16*((1-(1-Assumptions!$E$30)^(1/12))*Assumptions!$E$40)*MAX(0,AC13*Assumptions!$E$25-AB27)</f>
        <v>7.83878087681143</v>
      </c>
      <c r="AD27" s="26" t="n">
        <f aca="false">AC27*(1-Assumptions!$E$41)+AD16*((1-(1-Assumptions!$E$30)^(1/12))*Assumptions!$E$40)*MAX(0,AD13*Assumptions!$E$25-AC27)</f>
        <v>8.95678828931616</v>
      </c>
      <c r="AE27" s="26" t="n">
        <f aca="false">AD27*(1-Assumptions!$E$41)+AE16*((1-(1-Assumptions!$E$30)^(1/12))*Assumptions!$E$40)*MAX(0,AE13*Assumptions!$E$25-AD27)</f>
        <v>10.1145714536122</v>
      </c>
      <c r="AF27" s="26" t="n">
        <f aca="false">AE27*(1-Assumptions!$E$41)+AF16*((1-(1-Assumptions!$E$30)^(1/12))*Assumptions!$E$40)*MAX(0,AF13*Assumptions!$E$25-AE27)</f>
        <v>11.3409850735207</v>
      </c>
      <c r="AG27" s="26" t="n">
        <f aca="false">AF27*(1-Assumptions!$E$41)+AG16*((1-(1-Assumptions!$E$30)^(1/12))*Assumptions!$E$40)*MAX(0,AG13*Assumptions!$E$25-AF27)</f>
        <v>12.6283592948281</v>
      </c>
      <c r="AH27" s="26" t="n">
        <f aca="false">AG27*(1-Assumptions!$E$41)+AH16*((1-(1-Assumptions!$E$30)^(1/12))*Assumptions!$E$40)*MAX(0,AH13*Assumptions!$E$25-AG27)</f>
        <v>13.9632705762563</v>
      </c>
      <c r="AI27" s="26" t="n">
        <f aca="false">AH27*(1-Assumptions!$E$41)+AI16*((1-(1-Assumptions!$E$30)^(1/12))*Assumptions!$E$40)*MAX(0,AI13*Assumptions!$E$25-AH27)</f>
        <v>15.3677680666276</v>
      </c>
      <c r="AJ27" s="26" t="n">
        <f aca="false">AI27*(1-Assumptions!$E$41)+AJ16*((1-(1-Assumptions!$E$30)^(1/12))*Assumptions!$E$40)*MAX(0,AJ13*Assumptions!$E$25-AI27)</f>
        <v>16.8290404083947</v>
      </c>
      <c r="AK27" s="26" t="n">
        <f aca="false">AJ27*(1-Assumptions!$E$41)+AK16*((1-(1-Assumptions!$E$30)^(1/12))*Assumptions!$E$40)*MAX(0,AK13*Assumptions!$E$25-AJ27)</f>
        <v>18.3325621262923</v>
      </c>
      <c r="AL27" s="26" t="n">
        <f aca="false">AK27*(1-Assumptions!$E$41)+AL16*((1-(1-Assumptions!$E$30)^(1/12))*Assumptions!$E$40)*MAX(0,AL13*Assumptions!$E$25-AK27)</f>
        <v>19.8944011351915</v>
      </c>
      <c r="AM27" s="26" t="n">
        <f aca="false">AL27*(1-Assumptions!$E$41)+AM16*((1-(1-Assumptions!$E$30)^(1/12))*Assumptions!$E$40)*MAX(0,AM13*Assumptions!$E$25-AL27)</f>
        <v>21.5023383208888</v>
      </c>
      <c r="AN27" s="37" t="n">
        <f aca="false">AM27*(1-Assumptions!$E$41)+AN16*((1-(1-Assumptions!$E$30)^(1/12))*Assumptions!$E$40)*MAX(0,AN13*Assumptions!$E$25-AM27)</f>
        <v>23.1424110745364</v>
      </c>
      <c r="AO27" s="37" t="n">
        <f aca="false">AN27*(1-Assumptions!$E$41)+AO16*((1-(1-Assumptions!$E$30)^(1/12))*Assumptions!$E$40)*MAX(0,AO13*Assumptions!$E$25-AN27)</f>
        <v>24.8312222335062</v>
      </c>
      <c r="AP27" s="37" t="n">
        <f aca="false">AO27*(1-Assumptions!$E$41)+AP16*((1-(1-Assumptions!$E$30)^(1/12))*Assumptions!$E$40)*MAX(0,AP13*Assumptions!$E$25-AO27)</f>
        <v>26.5570610256393</v>
      </c>
      <c r="AQ27" s="37" t="n">
        <f aca="false">AP27*(1-Assumptions!$E$41)+AQ16*((1-(1-Assumptions!$E$30)^(1/12))*Assumptions!$E$40)*MAX(0,AQ13*Assumptions!$E$25-AP27)</f>
        <v>28.3064479009595</v>
      </c>
      <c r="AR27" s="37" t="n">
        <f aca="false">AQ27*(1-Assumptions!$E$41)+AR16*((1-(1-Assumptions!$E$30)^(1/12))*Assumptions!$E$40)*MAX(0,AR13*Assumptions!$E$25-AQ27)</f>
        <v>30.0964447068481</v>
      </c>
      <c r="AS27" s="37" t="n">
        <f aca="false">AR27*(1-Assumptions!$E$41)+AS16*((1-(1-Assumptions!$E$30)^(1/12))*Assumptions!$E$40)*MAX(0,AS13*Assumptions!$E$25-AR27)</f>
        <v>31.914538749493</v>
      </c>
      <c r="AT27" s="37" t="n">
        <f aca="false">AS27*(1-Assumptions!$E$41)+AT16*((1-(1-Assumptions!$E$30)^(1/12))*Assumptions!$E$40)*MAX(0,AT13*Assumptions!$E$25-AS27)</f>
        <v>33.7477433792456</v>
      </c>
      <c r="AU27" s="37" t="n">
        <f aca="false">AT27*(1-Assumptions!$E$41)+AU16*((1-(1-Assumptions!$E$30)^(1/12))*Assumptions!$E$40)*MAX(0,AU13*Assumptions!$E$25-AT27)</f>
        <v>35.6135885689771</v>
      </c>
      <c r="AV27" s="37" t="n">
        <f aca="false">AU27*(1-Assumptions!$E$41)+AV16*((1-(1-Assumptions!$E$30)^(1/12))*Assumptions!$E$40)*MAX(0,AV13*Assumptions!$E$25-AU27)</f>
        <v>37.500006188815</v>
      </c>
      <c r="AW27" s="37" t="n">
        <f aca="false">AV27*(1-Assumptions!$E$41)+AW16*((1-(1-Assumptions!$E$30)^(1/12))*Assumptions!$E$40)*MAX(0,AW13*Assumptions!$E$25-AV27)</f>
        <v>39.3944317458311</v>
      </c>
      <c r="AX27" s="37" t="n">
        <f aca="false">AW27*(1-Assumptions!$E$41)+AX16*((1-(1-Assumptions!$E$30)^(1/12))*Assumptions!$E$40)*MAX(0,AX13*Assumptions!$E$25-AW27)</f>
        <v>41.3147960606319</v>
      </c>
      <c r="AY27" s="37" t="n">
        <f aca="false">AX27*(1-Assumptions!$E$41)+AY16*((1-(1-Assumptions!$E$30)^(1/12))*Assumptions!$E$40)*MAX(0,AY13*Assumptions!$E$25-AX27)</f>
        <v>43.24941158695</v>
      </c>
      <c r="AZ27" s="37" t="n">
        <f aca="false">AY27*(1-Assumptions!$E$41)+AZ16*((1-(1-Assumptions!$E$30)^(1/12))*Assumptions!$E$40)*MAX(0,AZ13*Assumptions!$E$25-AY27)</f>
        <v>45.1860751453971</v>
      </c>
      <c r="BA27" s="37" t="n">
        <f aca="false">AZ27*(1-Assumptions!$E$41)+BA16*((1-(1-Assumptions!$E$30)^(1/12))*Assumptions!$E$40)*MAX(0,BA13*Assumptions!$E$25-AZ27)</f>
        <v>47.1430605457913</v>
      </c>
      <c r="BB27" s="37" t="n">
        <f aca="false">BA27*(1-Assumptions!$E$41)+BB16*((1-(1-Assumptions!$E$30)^(1/12))*Assumptions!$E$40)*MAX(0,BB13*Assumptions!$E$25-BA27)</f>
        <v>49.1090058065001</v>
      </c>
      <c r="BC27" s="37" t="n">
        <f aca="false">BB27*(1-Assumptions!$E$41)+BC16*((1-(1-Assumptions!$E$30)^(1/12))*Assumptions!$E$40)*MAX(0,BC13*Assumptions!$E$25-BB27)</f>
        <v>51.070778686997</v>
      </c>
      <c r="BD27" s="37" t="n">
        <f aca="false">BC27*(1-Assumptions!$E$41)+BD16*((1-(1-Assumptions!$E$30)^(1/12))*Assumptions!$E$40)*MAX(0,BD13*Assumptions!$E$25-BC27)</f>
        <v>53.0470247608194</v>
      </c>
      <c r="BE27" s="37" t="n">
        <f aca="false">BD27*(1-Assumptions!$E$41)+BE16*((1-(1-Assumptions!$E$30)^(1/12))*Assumptions!$E$40)*MAX(0,BE13*Assumptions!$E$25-BD27)</f>
        <v>55.0267347497184</v>
      </c>
      <c r="BF27" s="37" t="n">
        <f aca="false">BE27*(1-Assumptions!$E$41)+BF16*((1-(1-Assumptions!$E$30)^(1/12))*Assumptions!$E$40)*MAX(0,BF13*Assumptions!$E$25-BE27)</f>
        <v>56.9971109950563</v>
      </c>
      <c r="BG27" s="37" t="n">
        <f aca="false">BF27*(1-Assumptions!$E$41)+BG16*((1-(1-Assumptions!$E$30)^(1/12))*Assumptions!$E$40)*MAX(0,BG13*Assumptions!$E$25-BF27)</f>
        <v>58.9771164239064</v>
      </c>
      <c r="BH27" s="37" t="n">
        <f aca="false">BG27*(1-Assumptions!$E$41)+BH16*((1-(1-Assumptions!$E$30)^(1/12))*Assumptions!$E$40)*MAX(0,BH13*Assumptions!$E$25-BG27)</f>
        <v>60.9560427328596</v>
      </c>
      <c r="BI27" s="37" t="n">
        <f aca="false">BH27*(1-Assumptions!$E$41)+BI16*((1-(1-Assumptions!$E$30)^(1/12))*Assumptions!$E$40)*MAX(0,BI13*Assumptions!$E$25-BH27)</f>
        <v>62.9213776677061</v>
      </c>
      <c r="BJ27" s="37" t="n">
        <f aca="false">BI27*(1-Assumptions!$E$41)+BJ16*((1-(1-Assumptions!$E$30)^(1/12))*Assumptions!$E$40)*MAX(0,BJ13*Assumptions!$E$25-BI27)</f>
        <v>64.8923547584501</v>
      </c>
      <c r="BK27" s="37" t="n">
        <f aca="false">BJ27*(1-Assumptions!$E$41)+BK16*((1-(1-Assumptions!$E$30)^(1/12))*Assumptions!$E$40)*MAX(0,BK13*Assumptions!$E$25-BJ27)</f>
        <v>66.8585222345757</v>
      </c>
    </row>
    <row r="28" customFormat="false" ht="15" hidden="false" customHeight="false" outlineLevel="0" collapsed="false">
      <c r="A28" s="28" t="s">
        <v>572</v>
      </c>
      <c r="B28" s="6" t="s">
        <v>573</v>
      </c>
      <c r="C28" s="36" t="n">
        <v>0</v>
      </c>
      <c r="D28" s="26" t="n">
        <f aca="false">C28*(1-Assumptions!$E$41)+D16*((1-(1-Assumptions!$E$31)^(1/12))*Assumptions!$E$40)*MAX(0,D13*Assumptions!$E$26-C28)</f>
        <v>0</v>
      </c>
      <c r="E28" s="26" t="n">
        <f aca="false">D28*(1-Assumptions!$E$41)+E16*((1-(1-Assumptions!$E$31)^(1/12))*Assumptions!$E$40)*MAX(0,E13*Assumptions!$E$26-D28)</f>
        <v>0</v>
      </c>
      <c r="F28" s="26" t="n">
        <f aca="false">E28*(1-Assumptions!$E$41)+F16*((1-(1-Assumptions!$E$31)^(1/12))*Assumptions!$E$40)*MAX(0,F13*Assumptions!$E$26-E28)</f>
        <v>0</v>
      </c>
      <c r="G28" s="26" t="n">
        <f aca="false">F28*(1-Assumptions!$E$41)+G16*((1-(1-Assumptions!$E$31)^(1/12))*Assumptions!$E$40)*MAX(0,G13*Assumptions!$E$26-F28)</f>
        <v>0</v>
      </c>
      <c r="H28" s="26" t="n">
        <f aca="false">G28*(1-Assumptions!$E$41)+H16*((1-(1-Assumptions!$E$31)^(1/12))*Assumptions!$E$40)*MAX(0,H13*Assumptions!$E$26-G28)</f>
        <v>0</v>
      </c>
      <c r="I28" s="26" t="n">
        <f aca="false">H28*(1-Assumptions!$E$41)+I16*((1-(1-Assumptions!$E$31)^(1/12))*Assumptions!$E$40)*MAX(0,I13*Assumptions!$E$26-H28)</f>
        <v>0</v>
      </c>
      <c r="J28" s="26" t="n">
        <f aca="false">I28*(1-Assumptions!$E$41)+J16*((1-(1-Assumptions!$E$31)^(1/12))*Assumptions!$E$40)*MAX(0,J13*Assumptions!$E$26-I28)</f>
        <v>0</v>
      </c>
      <c r="K28" s="26" t="n">
        <f aca="false">J28*(1-Assumptions!$E$41)+K16*((1-(1-Assumptions!$E$31)^(1/12))*Assumptions!$E$40)*MAX(0,K13*Assumptions!$E$26-J28)</f>
        <v>0</v>
      </c>
      <c r="L28" s="26" t="n">
        <f aca="false">K28*(1-Assumptions!$E$41)+L16*((1-(1-Assumptions!$E$31)^(1/12))*Assumptions!$E$40)*MAX(0,L13*Assumptions!$E$26-K28)</f>
        <v>0</v>
      </c>
      <c r="M28" s="26" t="n">
        <f aca="false">L28*(1-Assumptions!$E$41)+M16*((1-(1-Assumptions!$E$31)^(1/12))*Assumptions!$E$40)*MAX(0,M13*Assumptions!$E$26-L28)</f>
        <v>0</v>
      </c>
      <c r="N28" s="26" t="n">
        <f aca="false">M28*(1-Assumptions!$E$41)+N16*((1-(1-Assumptions!$E$31)^(1/12))*Assumptions!$E$40)*MAX(0,N13*Assumptions!$E$26-M28)</f>
        <v>0</v>
      </c>
      <c r="O28" s="26" t="n">
        <f aca="false">N28*(1-Assumptions!$E$41)+O16*((1-(1-Assumptions!$E$31)^(1/12))*Assumptions!$E$40)*MAX(0,O13*Assumptions!$E$26-N28)</f>
        <v>0</v>
      </c>
      <c r="P28" s="26" t="n">
        <f aca="false">O28*(1-Assumptions!$E$41)+P16*((1-(1-Assumptions!$E$31)^(1/12))*Assumptions!$E$40)*MAX(0,P13*Assumptions!$E$26-O28)</f>
        <v>0</v>
      </c>
      <c r="Q28" s="26" t="n">
        <f aca="false">P28*(1-Assumptions!$E$41)+Q16*((1-(1-Assumptions!$E$31)^(1/12))*Assumptions!$E$40)*MAX(0,Q13*Assumptions!$E$26-P28)</f>
        <v>0</v>
      </c>
      <c r="R28" s="26" t="n">
        <f aca="false">Q28*(1-Assumptions!$E$41)+R16*((1-(1-Assumptions!$E$31)^(1/12))*Assumptions!$E$40)*MAX(0,R13*Assumptions!$E$26-Q28)</f>
        <v>0</v>
      </c>
      <c r="S28" s="26" t="n">
        <f aca="false">R28*(1-Assumptions!$E$41)+S16*((1-(1-Assumptions!$E$31)^(1/12))*Assumptions!$E$40)*MAX(0,S13*Assumptions!$E$26-R28)</f>
        <v>0</v>
      </c>
      <c r="T28" s="26" t="n">
        <f aca="false">S28*(1-Assumptions!$E$41)+T16*((1-(1-Assumptions!$E$31)^(1/12))*Assumptions!$E$40)*MAX(0,T13*Assumptions!$E$26-S28)</f>
        <v>0</v>
      </c>
      <c r="U28" s="26" t="n">
        <f aca="false">T28*(1-Assumptions!$E$41)+U16*((1-(1-Assumptions!$E$31)^(1/12))*Assumptions!$E$40)*MAX(0,U13*Assumptions!$E$26-T28)</f>
        <v>0.269125916708618</v>
      </c>
      <c r="V28" s="26" t="n">
        <f aca="false">U28*(1-Assumptions!$E$41)+V16*((1-(1-Assumptions!$E$31)^(1/12))*Assumptions!$E$40)*MAX(0,V13*Assumptions!$E$26-U28)</f>
        <v>0.562453150949591</v>
      </c>
      <c r="W28" s="26" t="n">
        <f aca="false">V28*(1-Assumptions!$E$41)+W16*((1-(1-Assumptions!$E$31)^(1/12))*Assumptions!$E$40)*MAX(0,W13*Assumptions!$E$26-V28)</f>
        <v>0.881015415779742</v>
      </c>
      <c r="X28" s="26" t="n">
        <f aca="false">W28*(1-Assumptions!$E$41)+X16*((1-(1-Assumptions!$E$31)^(1/12))*Assumptions!$E$40)*MAX(0,X13*Assumptions!$E$26-W28)</f>
        <v>1.22424835774874</v>
      </c>
      <c r="Y28" s="26" t="n">
        <f aca="false">X28*(1-Assumptions!$E$41)+Y16*((1-(1-Assumptions!$E$31)^(1/12))*Assumptions!$E$40)*MAX(0,Y13*Assumptions!$E$26-X28)</f>
        <v>1.59312949133503</v>
      </c>
      <c r="Z28" s="26" t="n">
        <f aca="false">Y28*(1-Assumptions!$E$41)+Z16*((1-(1-Assumptions!$E$31)^(1/12))*Assumptions!$E$40)*MAX(0,Z13*Assumptions!$E$26-Y28)</f>
        <v>1.98653248355637</v>
      </c>
      <c r="AA28" s="26" t="n">
        <f aca="false">Z28*(1-Assumptions!$E$41)+AA16*((1-(1-Assumptions!$E$31)^(1/12))*Assumptions!$E$40)*MAX(0,AA13*Assumptions!$E$26-Z28)</f>
        <v>2.40337800300798</v>
      </c>
      <c r="AB28" s="26" t="n">
        <f aca="false">AA28*(1-Assumptions!$E$41)+AB16*((1-(1-Assumptions!$E$31)^(1/12))*Assumptions!$E$40)*MAX(0,AB13*Assumptions!$E$26-AA28)</f>
        <v>2.84263179262472</v>
      </c>
      <c r="AC28" s="26" t="n">
        <f aca="false">AB28*(1-Assumptions!$E$41)+AC16*((1-(1-Assumptions!$E$31)^(1/12))*Assumptions!$E$40)*MAX(0,AC13*Assumptions!$E$26-AB28)</f>
        <v>3.30330282096929</v>
      </c>
      <c r="AD28" s="26" t="n">
        <f aca="false">AC28*(1-Assumptions!$E$41)+AD16*((1-(1-Assumptions!$E$31)^(1/12))*Assumptions!$E$40)*MAX(0,AD13*Assumptions!$E$26-AC28)</f>
        <v>3.78444150885396</v>
      </c>
      <c r="AE28" s="26" t="n">
        <f aca="false">AD28*(1-Assumptions!$E$41)+AE16*((1-(1-Assumptions!$E$31)^(1/12))*Assumptions!$E$40)*MAX(0,AE13*Assumptions!$E$26-AD28)</f>
        <v>4.28462940866394</v>
      </c>
      <c r="AF28" s="26" t="n">
        <f aca="false">AE28*(1-Assumptions!$E$41)+AF16*((1-(1-Assumptions!$E$31)^(1/12))*Assumptions!$E$40)*MAX(0,AF13*Assumptions!$E$26-AE28)</f>
        <v>4.81573857830141</v>
      </c>
      <c r="AG28" s="26" t="n">
        <f aca="false">AF28*(1-Assumptions!$E$41)+AG16*((1-(1-Assumptions!$E$31)^(1/12))*Assumptions!$E$40)*MAX(0,AG13*Assumptions!$E$26-AF28)</f>
        <v>5.37472808602838</v>
      </c>
      <c r="AH28" s="26" t="n">
        <f aca="false">AG28*(1-Assumptions!$E$41)+AH16*((1-(1-Assumptions!$E$31)^(1/12))*Assumptions!$E$40)*MAX(0,AH13*Assumptions!$E$26-AG28)</f>
        <v>5.95616413732241</v>
      </c>
      <c r="AI28" s="26" t="n">
        <f aca="false">AH28*(1-Assumptions!$E$41)+AI16*((1-(1-Assumptions!$E$31)^(1/12))*Assumptions!$E$40)*MAX(0,AI13*Assumptions!$E$26-AH28)</f>
        <v>6.56913940660866</v>
      </c>
      <c r="AJ28" s="26" t="n">
        <f aca="false">AI28*(1-Assumptions!$E$41)+AJ16*((1-(1-Assumptions!$E$31)^(1/12))*Assumptions!$E$40)*MAX(0,AJ13*Assumptions!$E$26-AI28)</f>
        <v>7.20849465273212</v>
      </c>
      <c r="AK28" s="26" t="n">
        <f aca="false">AJ28*(1-Assumptions!$E$41)+AK16*((1-(1-Assumptions!$E$31)^(1/12))*Assumptions!$E$40)*MAX(0,AK13*Assumptions!$E$26-AJ28)</f>
        <v>7.86832102420777</v>
      </c>
      <c r="AL28" s="26" t="n">
        <f aca="false">AK28*(1-Assumptions!$E$41)+AL16*((1-(1-Assumptions!$E$31)^(1/12))*Assumptions!$E$40)*MAX(0,AL13*Assumptions!$E$26-AK28)</f>
        <v>8.55522898523621</v>
      </c>
      <c r="AM28" s="26" t="n">
        <f aca="false">AL28*(1-Assumptions!$E$41)+AM16*((1-(1-Assumptions!$E$31)^(1/12))*Assumptions!$E$40)*MAX(0,AM13*Assumptions!$E$26-AL28)</f>
        <v>9.2642593867626</v>
      </c>
      <c r="AN28" s="37" t="n">
        <f aca="false">AM28*(1-Assumptions!$E$41)+AN16*((1-(1-Assumptions!$E$31)^(1/12))*Assumptions!$E$40)*MAX(0,AN13*Assumptions!$E$26-AM28)</f>
        <v>9.98969505947785</v>
      </c>
      <c r="AO28" s="37" t="n">
        <f aca="false">AN28*(1-Assumptions!$E$41)+AO16*((1-(1-Assumptions!$E$31)^(1/12))*Assumptions!$E$40)*MAX(0,AO13*Assumptions!$E$26-AN28)</f>
        <v>10.7383300855496</v>
      </c>
      <c r="AP28" s="37" t="n">
        <f aca="false">AO28*(1-Assumptions!$E$41)+AP16*((1-(1-Assumptions!$E$31)^(1/12))*Assumptions!$E$40)*MAX(0,AP13*Assumptions!$E$26-AO28)</f>
        <v>11.5053812012972</v>
      </c>
      <c r="AQ28" s="37" t="n">
        <f aca="false">AP28*(1-Assumptions!$E$41)+AQ16*((1-(1-Assumptions!$E$31)^(1/12))*Assumptions!$E$40)*MAX(0,AQ13*Assumptions!$E$26-AP28)</f>
        <v>12.285299708283</v>
      </c>
      <c r="AR28" s="37" t="n">
        <f aca="false">AQ28*(1-Assumptions!$E$41)+AR16*((1-(1-Assumptions!$E$31)^(1/12))*Assumptions!$E$40)*MAX(0,AR13*Assumptions!$E$26-AQ28)</f>
        <v>13.0850410501578</v>
      </c>
      <c r="AS28" s="37" t="n">
        <f aca="false">AR28*(1-Assumptions!$E$41)+AS16*((1-(1-Assumptions!$E$31)^(1/12))*Assumptions!$E$40)*MAX(0,AS13*Assumptions!$E$26-AR28)</f>
        <v>13.8994678884316</v>
      </c>
      <c r="AT28" s="37" t="n">
        <f aca="false">AS28*(1-Assumptions!$E$41)+AT16*((1-(1-Assumptions!$E$31)^(1/12))*Assumptions!$E$40)*MAX(0,AT13*Assumptions!$E$26-AS28)</f>
        <v>14.7232078107653</v>
      </c>
      <c r="AU28" s="37" t="n">
        <f aca="false">AT28*(1-Assumptions!$E$41)+AU16*((1-(1-Assumptions!$E$31)^(1/12))*Assumptions!$E$40)*MAX(0,AU13*Assumptions!$E$26-AT28)</f>
        <v>15.5633850177841</v>
      </c>
      <c r="AV28" s="37" t="n">
        <f aca="false">AU28*(1-Assumptions!$E$41)+AV16*((1-(1-Assumptions!$E$31)^(1/12))*Assumptions!$E$40)*MAX(0,AV13*Assumptions!$E$26-AU28)</f>
        <v>16.4150237100925</v>
      </c>
      <c r="AW28" s="37" t="n">
        <f aca="false">AV28*(1-Assumptions!$E$41)+AW16*((1-(1-Assumptions!$E$31)^(1/12))*Assumptions!$E$40)*MAX(0,AW13*Assumptions!$E$26-AV28)</f>
        <v>17.2729060950879</v>
      </c>
      <c r="AX28" s="37" t="n">
        <f aca="false">AW28*(1-Assumptions!$E$41)+AX16*((1-(1-Assumptions!$E$31)^(1/12))*Assumptions!$E$40)*MAX(0,AX13*Assumptions!$E$26-AW28)</f>
        <v>18.1443043600974</v>
      </c>
      <c r="AY28" s="37" t="n">
        <f aca="false">AX28*(1-Assumptions!$E$41)+AY16*((1-(1-Assumptions!$E$31)^(1/12))*Assumptions!$E$40)*MAX(0,AY13*Assumptions!$E$26-AX28)</f>
        <v>19.024384334009</v>
      </c>
      <c r="AZ28" s="37" t="n">
        <f aca="false">AY28*(1-Assumptions!$E$41)+AZ16*((1-(1-Assumptions!$E$31)^(1/12))*Assumptions!$E$40)*MAX(0,AZ13*Assumptions!$E$26-AY28)</f>
        <v>19.9080637574742</v>
      </c>
      <c r="BA28" s="37" t="n">
        <f aca="false">AZ28*(1-Assumptions!$E$41)+BA16*((1-(1-Assumptions!$E$31)^(1/12))*Assumptions!$E$40)*MAX(0,BA13*Assumptions!$E$26-AZ28)</f>
        <v>20.8027445086619</v>
      </c>
      <c r="BB28" s="37" t="n">
        <f aca="false">BA28*(1-Assumptions!$E$41)+BB16*((1-(1-Assumptions!$E$31)^(1/12))*Assumptions!$E$40)*MAX(0,BB13*Assumptions!$E$26-BA28)</f>
        <v>21.7037165071735</v>
      </c>
      <c r="BC28" s="37" t="n">
        <f aca="false">BB28*(1-Assumptions!$E$41)+BC16*((1-(1-Assumptions!$E$31)^(1/12))*Assumptions!$E$40)*MAX(0,BC13*Assumptions!$E$26-BB28)</f>
        <v>22.6055075970475</v>
      </c>
      <c r="BD28" s="37" t="n">
        <f aca="false">BC28*(1-Assumptions!$E$41)+BD16*((1-(1-Assumptions!$E$31)^(1/12))*Assumptions!$E$40)*MAX(0,BD13*Assumptions!$E$26-BC28)</f>
        <v>23.5156615118522</v>
      </c>
      <c r="BE28" s="37" t="n">
        <f aca="false">BD28*(1-Assumptions!$E$41)+BE16*((1-(1-Assumptions!$E$31)^(1/12))*Assumptions!$E$40)*MAX(0,BE13*Assumptions!$E$26-BD28)</f>
        <v>24.4296038330423</v>
      </c>
      <c r="BF28" s="37" t="n">
        <f aca="false">BE28*(1-Assumptions!$E$41)+BF16*((1-(1-Assumptions!$E$31)^(1/12))*Assumptions!$E$40)*MAX(0,BF13*Assumptions!$E$26-BE28)</f>
        <v>25.3419921309205</v>
      </c>
      <c r="BG28" s="37" t="n">
        <f aca="false">BF28*(1-Assumptions!$E$41)+BG16*((1-(1-Assumptions!$E$31)^(1/12))*Assumptions!$E$40)*MAX(0,BG13*Assumptions!$E$26-BF28)</f>
        <v>26.2604941771149</v>
      </c>
      <c r="BH28" s="37" t="n">
        <f aca="false">BG28*(1-Assumptions!$E$41)+BH16*((1-(1-Assumptions!$E$31)^(1/12))*Assumptions!$E$40)*MAX(0,BH13*Assumptions!$E$26-BG28)</f>
        <v>27.180654140184</v>
      </c>
      <c r="BI28" s="37" t="n">
        <f aca="false">BH28*(1-Assumptions!$E$41)+BI16*((1-(1-Assumptions!$E$31)^(1/12))*Assumptions!$E$40)*MAX(0,BI13*Assumptions!$E$26-BH28)</f>
        <v>28.0972429540973</v>
      </c>
      <c r="BJ28" s="37" t="n">
        <f aca="false">BI28*(1-Assumptions!$E$41)+BJ16*((1-(1-Assumptions!$E$31)^(1/12))*Assumptions!$E$40)*MAX(0,BJ13*Assumptions!$E$26-BI28)</f>
        <v>29.0180367489045</v>
      </c>
      <c r="BK28" s="37" t="n">
        <f aca="false">BJ28*(1-Assumptions!$E$41)+BK16*((1-(1-Assumptions!$E$31)^(1/12))*Assumptions!$E$40)*MAX(0,BK13*Assumptions!$E$26-BJ28)</f>
        <v>29.9386832555801</v>
      </c>
    </row>
    <row r="29" customFormat="false" ht="15" hidden="false" customHeight="false" outlineLevel="0" collapsed="false">
      <c r="A29" s="28" t="s">
        <v>574</v>
      </c>
      <c r="B29" s="6" t="s">
        <v>575</v>
      </c>
      <c r="C29" s="36" t="n">
        <v>0</v>
      </c>
      <c r="D29" s="26" t="n">
        <f aca="false">C29*(1-Assumptions!$E$41)+D17*((1-(1-Assumptions!$E$32)^(1/12))*Assumptions!$E$40)*MAX(0,D13*Assumptions!$E$27-C29)</f>
        <v>0</v>
      </c>
      <c r="E29" s="26" t="n">
        <f aca="false">D29*(1-Assumptions!$E$41)+E17*((1-(1-Assumptions!$E$32)^(1/12))*Assumptions!$E$40)*MAX(0,E13*Assumptions!$E$27-D29)</f>
        <v>0</v>
      </c>
      <c r="F29" s="26" t="n">
        <f aca="false">E29*(1-Assumptions!$E$41)+F17*((1-(1-Assumptions!$E$32)^(1/12))*Assumptions!$E$40)*MAX(0,F13*Assumptions!$E$27-E29)</f>
        <v>0</v>
      </c>
      <c r="G29" s="26" t="n">
        <f aca="false">F29*(1-Assumptions!$E$41)+G17*((1-(1-Assumptions!$E$32)^(1/12))*Assumptions!$E$40)*MAX(0,G13*Assumptions!$E$27-F29)</f>
        <v>0</v>
      </c>
      <c r="H29" s="26" t="n">
        <f aca="false">G29*(1-Assumptions!$E$41)+H17*((1-(1-Assumptions!$E$32)^(1/12))*Assumptions!$E$40)*MAX(0,H13*Assumptions!$E$27-G29)</f>
        <v>0</v>
      </c>
      <c r="I29" s="26" t="n">
        <f aca="false">H29*(1-Assumptions!$E$41)+I17*((1-(1-Assumptions!$E$32)^(1/12))*Assumptions!$E$40)*MAX(0,I13*Assumptions!$E$27-H29)</f>
        <v>0</v>
      </c>
      <c r="J29" s="26" t="n">
        <f aca="false">I29*(1-Assumptions!$E$41)+J17*((1-(1-Assumptions!$E$32)^(1/12))*Assumptions!$E$40)*MAX(0,J13*Assumptions!$E$27-I29)</f>
        <v>0</v>
      </c>
      <c r="K29" s="26" t="n">
        <f aca="false">J29*(1-Assumptions!$E$41)+K17*((1-(1-Assumptions!$E$32)^(1/12))*Assumptions!$E$40)*MAX(0,K13*Assumptions!$E$27-J29)</f>
        <v>0</v>
      </c>
      <c r="L29" s="26" t="n">
        <f aca="false">K29*(1-Assumptions!$E$41)+L17*((1-(1-Assumptions!$E$32)^(1/12))*Assumptions!$E$40)*MAX(0,L13*Assumptions!$E$27-K29)</f>
        <v>0</v>
      </c>
      <c r="M29" s="26" t="n">
        <f aca="false">L29*(1-Assumptions!$E$41)+M17*((1-(1-Assumptions!$E$32)^(1/12))*Assumptions!$E$40)*MAX(0,M13*Assumptions!$E$27-L29)</f>
        <v>0</v>
      </c>
      <c r="N29" s="26" t="n">
        <f aca="false">M29*(1-Assumptions!$E$41)+N17*((1-(1-Assumptions!$E$32)^(1/12))*Assumptions!$E$40)*MAX(0,N13*Assumptions!$E$27-M29)</f>
        <v>0</v>
      </c>
      <c r="O29" s="26" t="n">
        <f aca="false">N29*(1-Assumptions!$E$41)+O17*((1-(1-Assumptions!$E$32)^(1/12))*Assumptions!$E$40)*MAX(0,O13*Assumptions!$E$27-N29)</f>
        <v>0.360174220899156</v>
      </c>
      <c r="P29" s="26" t="n">
        <f aca="false">O29*(1-Assumptions!$E$41)+P17*((1-(1-Assumptions!$E$32)^(1/12))*Assumptions!$E$40)*MAX(0,P13*Assumptions!$E$27-O29)</f>
        <v>0.757944709756382</v>
      </c>
      <c r="Q29" s="26" t="n">
        <f aca="false">P29*(1-Assumptions!$E$41)+Q17*((1-(1-Assumptions!$E$32)^(1/12))*Assumptions!$E$40)*MAX(0,Q13*Assumptions!$E$27-P29)</f>
        <v>1.20406860037512</v>
      </c>
      <c r="R29" s="26" t="n">
        <f aca="false">Q29*(1-Assumptions!$E$41)+R17*((1-(1-Assumptions!$E$32)^(1/12))*Assumptions!$E$40)*MAX(0,R13*Assumptions!$E$27-Q29)</f>
        <v>1.71473157836523</v>
      </c>
      <c r="S29" s="26" t="n">
        <f aca="false">R29*(1-Assumptions!$E$41)+S17*((1-(1-Assumptions!$E$32)^(1/12))*Assumptions!$E$40)*MAX(0,S13*Assumptions!$E$27-R29)</f>
        <v>2.2598549742938</v>
      </c>
      <c r="T29" s="26" t="n">
        <f aca="false">S29*(1-Assumptions!$E$41)+T17*((1-(1-Assumptions!$E$32)^(1/12))*Assumptions!$E$40)*MAX(0,T13*Assumptions!$E$27-S29)</f>
        <v>2.84870558985315</v>
      </c>
      <c r="U29" s="26" t="n">
        <f aca="false">T29*(1-Assumptions!$E$41)+U17*((1-(1-Assumptions!$E$32)^(1/12))*Assumptions!$E$40)*MAX(0,U13*Assumptions!$E$27-T29)</f>
        <v>3.49131031093103</v>
      </c>
      <c r="V29" s="26" t="n">
        <f aca="false">U29*(1-Assumptions!$E$41)+V17*((1-(1-Assumptions!$E$32)^(1/12))*Assumptions!$E$40)*MAX(0,V13*Assumptions!$E$27-U29)</f>
        <v>4.19838026391897</v>
      </c>
      <c r="W29" s="26" t="n">
        <f aca="false">V29*(1-Assumptions!$E$41)+W17*((1-(1-Assumptions!$E$32)^(1/12))*Assumptions!$E$40)*MAX(0,W13*Assumptions!$E$27-V29)</f>
        <v>4.97163870001327</v>
      </c>
      <c r="X29" s="26" t="n">
        <f aca="false">W29*(1-Assumptions!$E$41)+X17*((1-(1-Assumptions!$E$32)^(1/12))*Assumptions!$E$40)*MAX(0,X13*Assumptions!$E$27-W29)</f>
        <v>5.80778918386005</v>
      </c>
      <c r="Y29" s="26" t="n">
        <f aca="false">X29*(1-Assumptions!$E$41)+Y17*((1-(1-Assumptions!$E$32)^(1/12))*Assumptions!$E$40)*MAX(0,Y13*Assumptions!$E$27-X29)</f>
        <v>6.70855085313485</v>
      </c>
      <c r="Z29" s="26" t="n">
        <f aca="false">Y29*(1-Assumptions!$E$41)+Z17*((1-(1-Assumptions!$E$32)^(1/12))*Assumptions!$E$40)*MAX(0,Z13*Assumptions!$E$27-Y29)</f>
        <v>7.66902486878443</v>
      </c>
      <c r="AA29" s="26" t="n">
        <f aca="false">Z29*(1-Assumptions!$E$41)+AA17*((1-(1-Assumptions!$E$32)^(1/12))*Assumptions!$E$40)*MAX(0,AA13*Assumptions!$E$27-Z29)</f>
        <v>8.68466753538208</v>
      </c>
      <c r="AB29" s="26" t="n">
        <f aca="false">AA29*(1-Assumptions!$E$41)+AB17*((1-(1-Assumptions!$E$32)^(1/12))*Assumptions!$E$40)*MAX(0,AB13*Assumptions!$E$27-AA29)</f>
        <v>9.75126478578542</v>
      </c>
      <c r="AC29" s="26" t="n">
        <f aca="false">AB29*(1-Assumptions!$E$41)+AC17*((1-(1-Assumptions!$E$32)^(1/12))*Assumptions!$E$40)*MAX(0,AC13*Assumptions!$E$27-AB29)</f>
        <v>10.8649084955221</v>
      </c>
      <c r="AD29" s="26" t="n">
        <f aca="false">AC29*(1-Assumptions!$E$41)+AD17*((1-(1-Assumptions!$E$32)^(1/12))*Assumptions!$E$40)*MAX(0,AD13*Assumptions!$E$27-AC29)</f>
        <v>12.0219744957433</v>
      </c>
      <c r="AE29" s="26" t="n">
        <f aca="false">AD29*(1-Assumptions!$E$41)+AE17*((1-(1-Assumptions!$E$32)^(1/12))*Assumptions!$E$40)*MAX(0,AE13*Assumptions!$E$27-AD29)</f>
        <v>13.2175018248857</v>
      </c>
      <c r="AF29" s="26" t="n">
        <f aca="false">AE29*(1-Assumptions!$E$41)+AF17*((1-(1-Assumptions!$E$32)^(1/12))*Assumptions!$E$40)*MAX(0,AF13*Assumptions!$E$27-AE29)</f>
        <v>14.4885216209894</v>
      </c>
      <c r="AG29" s="26" t="n">
        <f aca="false">AF29*(1-Assumptions!$E$41)+AG17*((1-(1-Assumptions!$E$32)^(1/12))*Assumptions!$E$40)*MAX(0,AG13*Assumptions!$E$27-AF29)</f>
        <v>15.8240045129212</v>
      </c>
      <c r="AH29" s="26" t="n">
        <f aca="false">AG29*(1-Assumptions!$E$41)+AH17*((1-(1-Assumptions!$E$32)^(1/12))*Assumptions!$E$40)*MAX(0,AH13*Assumptions!$E$27-AG29)</f>
        <v>17.2057942506139</v>
      </c>
      <c r="AI29" s="26" t="n">
        <f aca="false">AH29*(1-Assumptions!$E$41)+AI17*((1-(1-Assumptions!$E$32)^(1/12))*Assumptions!$E$40)*MAX(0,AI13*Assumptions!$E$27-AH29)</f>
        <v>18.6620484460116</v>
      </c>
      <c r="AJ29" s="26" t="n">
        <f aca="false">AI29*(1-Assumptions!$E$41)+AJ17*((1-(1-Assumptions!$E$32)^(1/12))*Assumptions!$E$40)*MAX(0,AJ13*Assumptions!$E$27-AI29)</f>
        <v>20.175225222076</v>
      </c>
      <c r="AK29" s="26" t="n">
        <f aca="false">AJ29*(1-Assumptions!$E$41)+AK17*((1-(1-Assumptions!$E$32)^(1/12))*Assumptions!$E$40)*MAX(0,AK13*Assumptions!$E$27-AJ29)</f>
        <v>21.726022416902</v>
      </c>
      <c r="AL29" s="26" t="n">
        <f aca="false">AK29*(1-Assumptions!$E$41)+AL17*((1-(1-Assumptions!$E$32)^(1/12))*Assumptions!$E$40)*MAX(0,AL13*Assumptions!$E$27-AK29)</f>
        <v>23.3351578076913</v>
      </c>
      <c r="AM29" s="26" t="n">
        <f aca="false">AL29*(1-Assumptions!$E$41)+AM17*((1-(1-Assumptions!$E$32)^(1/12))*Assumptions!$E$40)*MAX(0,AM13*Assumptions!$E$27-AL29)</f>
        <v>24.9863055634061</v>
      </c>
      <c r="AN29" s="37" t="n">
        <f aca="false">AM29*(1-Assumptions!$E$41)+AN17*((1-(1-Assumptions!$E$32)^(1/12))*Assumptions!$E$40)*MAX(0,AN13*Assumptions!$E$27-AM29)</f>
        <v>26.6612915046429</v>
      </c>
      <c r="AO29" s="37" t="n">
        <f aca="false">AN29*(1-Assumptions!$E$41)+AO17*((1-(1-Assumptions!$E$32)^(1/12))*Assumptions!$E$40)*MAX(0,AO13*Assumptions!$E$27-AN29)</f>
        <v>28.3818796531407</v>
      </c>
      <c r="AP29" s="37" t="n">
        <f aca="false">AO29*(1-Assumptions!$E$41)+AP17*((1-(1-Assumptions!$E$32)^(1/12))*Assumptions!$E$40)*MAX(0,AP13*Assumptions!$E$27-AO29)</f>
        <v>30.1327145563822</v>
      </c>
      <c r="AQ29" s="37" t="n">
        <f aca="false">AP29*(1-Assumptions!$E$41)+AQ17*((1-(1-Assumptions!$E$32)^(1/12))*Assumptions!$E$40)*MAX(0,AQ13*Assumptions!$E$27-AP29)</f>
        <v>31.896521998338</v>
      </c>
      <c r="AR29" s="37" t="n">
        <f aca="false">AQ29*(1-Assumptions!$E$41)+AR17*((1-(1-Assumptions!$E$32)^(1/12))*Assumptions!$E$40)*MAX(0,AR13*Assumptions!$E$27-AQ29)</f>
        <v>33.6959006089567</v>
      </c>
      <c r="AS29" s="37" t="n">
        <f aca="false">AR29*(1-Assumptions!$E$41)+AS17*((1-(1-Assumptions!$E$32)^(1/12))*Assumptions!$E$40)*MAX(0,AS13*Assumptions!$E$27-AR29)</f>
        <v>35.514668547775</v>
      </c>
      <c r="AT29" s="37" t="n">
        <f aca="false">AS29*(1-Assumptions!$E$41)+AT17*((1-(1-Assumptions!$E$32)^(1/12))*Assumptions!$E$40)*MAX(0,AT13*Assumptions!$E$27-AS29)</f>
        <v>37.3364079611745</v>
      </c>
      <c r="AU29" s="37" t="n">
        <f aca="false">AT29*(1-Assumptions!$E$41)+AU17*((1-(1-Assumptions!$E$32)^(1/12))*Assumptions!$E$40)*MAX(0,AU13*Assumptions!$E$27-AT29)</f>
        <v>39.1845112890666</v>
      </c>
      <c r="AV29" s="37" t="n">
        <f aca="false">AU29*(1-Assumptions!$E$41)+AV17*((1-(1-Assumptions!$E$32)^(1/12))*Assumptions!$E$40)*MAX(0,AV13*Assumptions!$E$27-AU29)</f>
        <v>41.0435324495629</v>
      </c>
      <c r="AW29" s="37" t="n">
        <f aca="false">AV29*(1-Assumptions!$E$41)+AW17*((1-(1-Assumptions!$E$32)^(1/12))*Assumptions!$E$40)*MAX(0,AW13*Assumptions!$E$27-AV29)</f>
        <v>42.8977354744126</v>
      </c>
      <c r="AX29" s="37" t="n">
        <f aca="false">AW29*(1-Assumptions!$E$41)+AX17*((1-(1-Assumptions!$E$32)^(1/12))*Assumptions!$E$40)*MAX(0,AX13*Assumptions!$E$27-AW29)</f>
        <v>44.771144694136</v>
      </c>
      <c r="AY29" s="37" t="n">
        <f aca="false">AX29*(1-Assumptions!$E$41)+AY17*((1-(1-Assumptions!$E$32)^(1/12))*Assumptions!$E$40)*MAX(0,AY13*Assumptions!$E$27-AX29)</f>
        <v>46.6488995228967</v>
      </c>
      <c r="AZ29" s="37" t="n">
        <f aca="false">AY29*(1-Assumptions!$E$41)+AZ17*((1-(1-Assumptions!$E$32)^(1/12))*Assumptions!$E$40)*MAX(0,AZ13*Assumptions!$E$27-AY29)</f>
        <v>48.5158064358439</v>
      </c>
      <c r="BA29" s="37" t="n">
        <f aca="false">AZ29*(1-Assumptions!$E$41)+BA17*((1-(1-Assumptions!$E$32)^(1/12))*Assumptions!$E$40)*MAX(0,BA13*Assumptions!$E$27-AZ29)</f>
        <v>50.3963922563683</v>
      </c>
      <c r="BB29" s="37" t="n">
        <f aca="false">BA29*(1-Assumptions!$E$41)+BB17*((1-(1-Assumptions!$E$32)^(1/12))*Assumptions!$E$40)*MAX(0,BB13*Assumptions!$E$27-BA29)</f>
        <v>52.276261820508</v>
      </c>
      <c r="BC29" s="37" t="n">
        <f aca="false">BB29*(1-Assumptions!$E$41)+BC17*((1-(1-Assumptions!$E$32)^(1/12))*Assumptions!$E$40)*MAX(0,BC13*Assumptions!$E$27-BB29)</f>
        <v>54.1390522890891</v>
      </c>
      <c r="BD29" s="37" t="n">
        <f aca="false">BC29*(1-Assumptions!$E$41)+BD17*((1-(1-Assumptions!$E$32)^(1/12))*Assumptions!$E$40)*MAX(0,BD13*Assumptions!$E$27-BC29)</f>
        <v>56.0098283023243</v>
      </c>
      <c r="BE29" s="37" t="n">
        <f aca="false">BD29*(1-Assumptions!$E$41)+BE17*((1-(1-Assumptions!$E$32)^(1/12))*Assumptions!$E$40)*MAX(0,BE13*Assumptions!$E$27-BD29)</f>
        <v>57.8746925968879</v>
      </c>
      <c r="BF29" s="37" t="n">
        <f aca="false">BE29*(1-Assumptions!$E$41)+BF17*((1-(1-Assumptions!$E$32)^(1/12))*Assumptions!$E$40)*MAX(0,BF13*Assumptions!$E$27-BE29)</f>
        <v>59.7177431995874</v>
      </c>
      <c r="BG29" s="37" t="n">
        <f aca="false">BF29*(1-Assumptions!$E$41)+BG17*((1-(1-Assumptions!$E$32)^(1/12))*Assumptions!$E$40)*MAX(0,BG13*Assumptions!$E$27-BF29)</f>
        <v>61.5644712566483</v>
      </c>
      <c r="BH29" s="37" t="n">
        <f aca="false">BG29*(1-Assumptions!$E$41)+BH17*((1-(1-Assumptions!$E$32)^(1/12))*Assumptions!$E$40)*MAX(0,BH13*Assumptions!$E$27-BG29)</f>
        <v>63.401374133465</v>
      </c>
      <c r="BI29" s="37" t="n">
        <f aca="false">BH29*(1-Assumptions!$E$41)+BI17*((1-(1-Assumptions!$E$32)^(1/12))*Assumptions!$E$40)*MAX(0,BI13*Assumptions!$E$27-BH29)</f>
        <v>65.2129149126999</v>
      </c>
      <c r="BJ29" s="37" t="n">
        <f aca="false">BI29*(1-Assumptions!$E$41)+BJ17*((1-(1-Assumptions!$E$32)^(1/12))*Assumptions!$E$40)*MAX(0,BJ13*Assumptions!$E$27-BI29)</f>
        <v>67.0249223625342</v>
      </c>
      <c r="BK29" s="37" t="n">
        <f aca="false">BJ29*(1-Assumptions!$E$41)+BK17*((1-(1-Assumptions!$E$32)^(1/12))*Assumptions!$E$40)*MAX(0,BK13*Assumptions!$E$27-BJ29)</f>
        <v>68.8242060217796</v>
      </c>
    </row>
    <row r="30" customFormat="false" ht="15" hidden="false" customHeight="false" outlineLevel="0" collapsed="false">
      <c r="A30" s="28" t="s">
        <v>576</v>
      </c>
      <c r="B30" s="6" t="s">
        <v>577</v>
      </c>
      <c r="C30" s="36" t="n">
        <v>0</v>
      </c>
      <c r="D30" s="26" t="n">
        <f aca="false">C30*(1-Assumptions!$E$41)+D16*((1-(1-Assumptions!$E$33)^(1/12))*Assumptions!$E$40)*MAX(0,D13*Assumptions!$E$28-C30)</f>
        <v>0</v>
      </c>
      <c r="E30" s="26" t="n">
        <f aca="false">D30*(1-Assumptions!$E$41)+E16*((1-(1-Assumptions!$E$33)^(1/12))*Assumptions!$E$40)*MAX(0,E13*Assumptions!$E$28-D30)</f>
        <v>0</v>
      </c>
      <c r="F30" s="26" t="n">
        <f aca="false">E30*(1-Assumptions!$E$41)+F16*((1-(1-Assumptions!$E$33)^(1/12))*Assumptions!$E$40)*MAX(0,F13*Assumptions!$E$28-E30)</f>
        <v>0</v>
      </c>
      <c r="G30" s="26" t="n">
        <f aca="false">F30*(1-Assumptions!$E$41)+G16*((1-(1-Assumptions!$E$33)^(1/12))*Assumptions!$E$40)*MAX(0,G13*Assumptions!$E$28-F30)</f>
        <v>0</v>
      </c>
      <c r="H30" s="26" t="n">
        <f aca="false">G30*(1-Assumptions!$E$41)+H16*((1-(1-Assumptions!$E$33)^(1/12))*Assumptions!$E$40)*MAX(0,H13*Assumptions!$E$28-G30)</f>
        <v>0</v>
      </c>
      <c r="I30" s="26" t="n">
        <f aca="false">H30*(1-Assumptions!$E$41)+I16*((1-(1-Assumptions!$E$33)^(1/12))*Assumptions!$E$40)*MAX(0,I13*Assumptions!$E$28-H30)</f>
        <v>0</v>
      </c>
      <c r="J30" s="26" t="n">
        <f aca="false">I30*(1-Assumptions!$E$41)+J16*((1-(1-Assumptions!$E$33)^(1/12))*Assumptions!$E$40)*MAX(0,J13*Assumptions!$E$28-I30)</f>
        <v>0</v>
      </c>
      <c r="K30" s="26" t="n">
        <f aca="false">J30*(1-Assumptions!$E$41)+K16*((1-(1-Assumptions!$E$33)^(1/12))*Assumptions!$E$40)*MAX(0,K13*Assumptions!$E$28-J30)</f>
        <v>0</v>
      </c>
      <c r="L30" s="26" t="n">
        <f aca="false">K30*(1-Assumptions!$E$41)+L16*((1-(1-Assumptions!$E$33)^(1/12))*Assumptions!$E$40)*MAX(0,L13*Assumptions!$E$28-K30)</f>
        <v>0</v>
      </c>
      <c r="M30" s="26" t="n">
        <f aca="false">L30*(1-Assumptions!$E$41)+M16*((1-(1-Assumptions!$E$33)^(1/12))*Assumptions!$E$40)*MAX(0,M13*Assumptions!$E$28-L30)</f>
        <v>0</v>
      </c>
      <c r="N30" s="26" t="n">
        <f aca="false">M30*(1-Assumptions!$E$41)+N16*((1-(1-Assumptions!$E$33)^(1/12))*Assumptions!$E$40)*MAX(0,N13*Assumptions!$E$28-M30)</f>
        <v>0</v>
      </c>
      <c r="O30" s="26" t="n">
        <f aca="false">N30*(1-Assumptions!$E$41)+O16*((1-(1-Assumptions!$E$33)^(1/12))*Assumptions!$E$40)*MAX(0,O13*Assumptions!$E$28-N30)</f>
        <v>0</v>
      </c>
      <c r="P30" s="26" t="n">
        <f aca="false">O30*(1-Assumptions!$E$41)+P16*((1-(1-Assumptions!$E$33)^(1/12))*Assumptions!$E$40)*MAX(0,P13*Assumptions!$E$28-O30)</f>
        <v>0</v>
      </c>
      <c r="Q30" s="26" t="n">
        <f aca="false">P30*(1-Assumptions!$E$41)+Q16*((1-(1-Assumptions!$E$33)^(1/12))*Assumptions!$E$40)*MAX(0,Q13*Assumptions!$E$28-P30)</f>
        <v>0</v>
      </c>
      <c r="R30" s="26" t="n">
        <f aca="false">Q30*(1-Assumptions!$E$41)+R16*((1-(1-Assumptions!$E$33)^(1/12))*Assumptions!$E$40)*MAX(0,R13*Assumptions!$E$28-Q30)</f>
        <v>0</v>
      </c>
      <c r="S30" s="26" t="n">
        <f aca="false">R30*(1-Assumptions!$E$41)+S16*((1-(1-Assumptions!$E$33)^(1/12))*Assumptions!$E$40)*MAX(0,S13*Assumptions!$E$28-R30)</f>
        <v>0</v>
      </c>
      <c r="T30" s="26" t="n">
        <f aca="false">S30*(1-Assumptions!$E$41)+T16*((1-(1-Assumptions!$E$33)^(1/12))*Assumptions!$E$40)*MAX(0,T13*Assumptions!$E$28-S30)</f>
        <v>0</v>
      </c>
      <c r="U30" s="26" t="n">
        <f aca="false">T30*(1-Assumptions!$E$41)+U16*((1-(1-Assumptions!$E$33)^(1/12))*Assumptions!$E$40)*MAX(0,U13*Assumptions!$E$28-T30)</f>
        <v>0.163994800451279</v>
      </c>
      <c r="V30" s="26" t="n">
        <f aca="false">U30*(1-Assumptions!$E$41)+V16*((1-(1-Assumptions!$E$33)^(1/12))*Assumptions!$E$40)*MAX(0,V13*Assumptions!$E$28-U30)</f>
        <v>0.342268615671174</v>
      </c>
      <c r="W30" s="26" t="n">
        <f aca="false">V30*(1-Assumptions!$E$41)+W16*((1-(1-Assumptions!$E$33)^(1/12))*Assumptions!$E$40)*MAX(0,W13*Assumptions!$E$28-V30)</f>
        <v>0.535429585340124</v>
      </c>
      <c r="X30" s="26" t="n">
        <f aca="false">W30*(1-Assumptions!$E$41)+X16*((1-(1-Assumptions!$E$33)^(1/12))*Assumptions!$E$40)*MAX(0,X13*Assumptions!$E$28-W30)</f>
        <v>0.743111196847835</v>
      </c>
      <c r="Y30" s="26" t="n">
        <f aca="false">X30*(1-Assumptions!$E$41)+Y16*((1-(1-Assumptions!$E$33)^(1/12))*Assumptions!$E$40)*MAX(0,Y13*Assumptions!$E$28-X30)</f>
        <v>0.965888456399453</v>
      </c>
      <c r="Z30" s="26" t="n">
        <f aca="false">Y30*(1-Assumptions!$E$41)+Z16*((1-(1-Assumptions!$E$33)^(1/12))*Assumptions!$E$40)*MAX(0,Z13*Assumptions!$E$28-Y30)</f>
        <v>1.20305356427888</v>
      </c>
      <c r="AA30" s="26" t="n">
        <f aca="false">Z30*(1-Assumptions!$E$41)+AA16*((1-(1-Assumptions!$E$33)^(1/12))*Assumptions!$E$40)*MAX(0,AA13*Assumptions!$E$28-Z30)</f>
        <v>1.45393025401204</v>
      </c>
      <c r="AB30" s="26" t="n">
        <f aca="false">AA30*(1-Assumptions!$E$41)+AB16*((1-(1-Assumptions!$E$33)^(1/12))*Assumptions!$E$40)*MAX(0,AB13*Assumptions!$E$28-AA30)</f>
        <v>1.71787241051661</v>
      </c>
      <c r="AC30" s="26" t="n">
        <f aca="false">AB30*(1-Assumptions!$E$41)+AC16*((1-(1-Assumptions!$E$33)^(1/12))*Assumptions!$E$40)*MAX(0,AC13*Assumptions!$E$28-AB30)</f>
        <v>1.9942627484709</v>
      </c>
      <c r="AD30" s="26" t="n">
        <f aca="false">AC30*(1-Assumptions!$E$41)+AD16*((1-(1-Assumptions!$E$33)^(1/12))*Assumptions!$E$40)*MAX(0,AD13*Assumptions!$E$28-AC30)</f>
        <v>2.2825115482826</v>
      </c>
      <c r="AE30" s="26" t="n">
        <f aca="false">AD30*(1-Assumptions!$E$41)+AE16*((1-(1-Assumptions!$E$33)^(1/12))*Assumptions!$E$40)*MAX(0,AE13*Assumptions!$E$28-AD30)</f>
        <v>2.58174551429278</v>
      </c>
      <c r="AF30" s="26" t="n">
        <f aca="false">AE30*(1-Assumptions!$E$41)+AF16*((1-(1-Assumptions!$E$33)^(1/12))*Assumptions!$E$40)*MAX(0,AF13*Assumptions!$E$28-AE30)</f>
        <v>2.89919292191325</v>
      </c>
      <c r="AG30" s="26" t="n">
        <f aca="false">AF30*(1-Assumptions!$E$41)+AG16*((1-(1-Assumptions!$E$33)^(1/12))*Assumptions!$E$40)*MAX(0,AG13*Assumptions!$E$28-AF30)</f>
        <v>3.23297425982526</v>
      </c>
      <c r="AH30" s="26" t="n">
        <f aca="false">AG30*(1-Assumptions!$E$41)+AH16*((1-(1-Assumptions!$E$33)^(1/12))*Assumptions!$E$40)*MAX(0,AH13*Assumptions!$E$28-AG30)</f>
        <v>3.57975834236782</v>
      </c>
      <c r="AI30" s="26" t="n">
        <f aca="false">AH30*(1-Assumptions!$E$41)+AI16*((1-(1-Assumptions!$E$33)^(1/12))*Assumptions!$E$40)*MAX(0,AI13*Assumptions!$E$28-AH30)</f>
        <v>3.94507617210787</v>
      </c>
      <c r="AJ30" s="26" t="n">
        <f aca="false">AI30*(1-Assumptions!$E$41)+AJ16*((1-(1-Assumptions!$E$33)^(1/12))*Assumptions!$E$40)*MAX(0,AJ13*Assumptions!$E$28-AI30)</f>
        <v>4.32575879162768</v>
      </c>
      <c r="AK30" s="26" t="n">
        <f aca="false">AJ30*(1-Assumptions!$E$41)+AK16*((1-(1-Assumptions!$E$33)^(1/12))*Assumptions!$E$40)*MAX(0,AK13*Assumptions!$E$28-AJ30)</f>
        <v>4.71819052961126</v>
      </c>
      <c r="AL30" s="26" t="n">
        <f aca="false">AK30*(1-Assumptions!$E$41)+AL16*((1-(1-Assumptions!$E$33)^(1/12))*Assumptions!$E$40)*MAX(0,AL13*Assumptions!$E$28-AK30)</f>
        <v>5.12639543194002</v>
      </c>
      <c r="AM30" s="26" t="n">
        <f aca="false">AL30*(1-Assumptions!$E$41)+AM16*((1-(1-Assumptions!$E$33)^(1/12))*Assumptions!$E$40)*MAX(0,AM13*Assumptions!$E$28-AL30)</f>
        <v>5.54733615044624</v>
      </c>
      <c r="AN30" s="37" t="n">
        <f aca="false">AM30*(1-Assumptions!$E$41)+AN16*((1-(1-Assumptions!$E$33)^(1/12))*Assumptions!$E$40)*MAX(0,AN13*Assumptions!$E$28-AM30)</f>
        <v>5.97752272953756</v>
      </c>
      <c r="AO30" s="37" t="n">
        <f aca="false">AN30*(1-Assumptions!$E$41)+AO16*((1-(1-Assumptions!$E$33)^(1/12))*Assumptions!$E$40)*MAX(0,AO13*Assumptions!$E$28-AN30)</f>
        <v>6.42109929600049</v>
      </c>
      <c r="AP30" s="37" t="n">
        <f aca="false">AO30*(1-Assumptions!$E$41)+AP16*((1-(1-Assumptions!$E$33)^(1/12))*Assumptions!$E$40)*MAX(0,AP13*Assumptions!$E$28-AO30)</f>
        <v>6.87514319518119</v>
      </c>
      <c r="AQ30" s="37" t="n">
        <f aca="false">AP30*(1-Assumptions!$E$41)+AQ16*((1-(1-Assumptions!$E$33)^(1/12))*Assumptions!$E$40)*MAX(0,AQ13*Assumptions!$E$28-AP30)</f>
        <v>7.33627401424711</v>
      </c>
      <c r="AR30" s="37" t="n">
        <f aca="false">AQ30*(1-Assumptions!$E$41)+AR16*((1-(1-Assumptions!$E$33)^(1/12))*Assumptions!$E$40)*MAX(0,AR13*Assumptions!$E$28-AQ30)</f>
        <v>7.80874049830739</v>
      </c>
      <c r="AS30" s="37" t="n">
        <f aca="false">AR30*(1-Assumptions!$E$41)+AS16*((1-(1-Assumptions!$E$33)^(1/12))*Assumptions!$E$40)*MAX(0,AS13*Assumptions!$E$28-AR30)</f>
        <v>8.28940997017963</v>
      </c>
      <c r="AT30" s="37" t="n">
        <f aca="false">AS30*(1-Assumptions!$E$41)+AT16*((1-(1-Assumptions!$E$33)^(1/12))*Assumptions!$E$40)*MAX(0,AT13*Assumptions!$E$28-AS30)</f>
        <v>8.77501554255221</v>
      </c>
      <c r="AU30" s="37" t="n">
        <f aca="false">AT30*(1-Assumptions!$E$41)+AU16*((1-(1-Assumptions!$E$33)^(1/12))*Assumptions!$E$40)*MAX(0,AU13*Assumptions!$E$28-AT30)</f>
        <v>9.26991432612038</v>
      </c>
      <c r="AV30" s="37" t="n">
        <f aca="false">AU30*(1-Assumptions!$E$41)+AV16*((1-(1-Assumptions!$E$33)^(1/12))*Assumptions!$E$40)*MAX(0,AV13*Assumptions!$E$28-AU30)</f>
        <v>9.77107707696768</v>
      </c>
      <c r="AW30" s="37" t="n">
        <f aca="false">AV30*(1-Assumptions!$E$41)+AW16*((1-(1-Assumptions!$E$33)^(1/12))*Assumptions!$E$40)*MAX(0,AW13*Assumptions!$E$28-AV30)</f>
        <v>10.2753356264016</v>
      </c>
      <c r="AX30" s="37" t="n">
        <f aca="false">AW30*(1-Assumptions!$E$41)+AX16*((1-(1-Assumptions!$E$33)^(1/12))*Assumptions!$E$40)*MAX(0,AX13*Assumptions!$E$28-AW30)</f>
        <v>10.7871412972543</v>
      </c>
      <c r="AY30" s="37" t="n">
        <f aca="false">AX30*(1-Assumptions!$E$41)+AY16*((1-(1-Assumptions!$E$33)^(1/12))*Assumptions!$E$40)*MAX(0,AY13*Assumptions!$E$28-AX30)</f>
        <v>11.3035547503338</v>
      </c>
      <c r="AZ30" s="37" t="n">
        <f aca="false">AY30*(1-Assumptions!$E$41)+AZ16*((1-(1-Assumptions!$E$33)^(1/12))*Assumptions!$E$40)*MAX(0,AZ13*Assumptions!$E$28-AY30)</f>
        <v>11.821493604631</v>
      </c>
      <c r="BA30" s="37" t="n">
        <f aca="false">AZ30*(1-Assumptions!$E$41)+BA16*((1-(1-Assumptions!$E$33)^(1/12))*Assumptions!$E$40)*MAX(0,BA13*Assumptions!$E$28-AZ30)</f>
        <v>12.3454910356712</v>
      </c>
      <c r="BB30" s="37" t="n">
        <f aca="false">BA30*(1-Assumptions!$E$41)+BB16*((1-(1-Assumptions!$E$33)^(1/12))*Assumptions!$E$40)*MAX(0,BB13*Assumptions!$E$28-BA30)</f>
        <v>12.8726857960589</v>
      </c>
      <c r="BC30" s="37" t="n">
        <f aca="false">BB30*(1-Assumptions!$E$41)+BC16*((1-(1-Assumptions!$E$33)^(1/12))*Assumptions!$E$40)*MAX(0,BC13*Assumptions!$E$28-BB30)</f>
        <v>13.3997600693068</v>
      </c>
      <c r="BD30" s="37" t="n">
        <f aca="false">BC30*(1-Assumptions!$E$41)+BD16*((1-(1-Assumptions!$E$33)^(1/12))*Assumptions!$E$40)*MAX(0,BD13*Assumptions!$E$28-BC30)</f>
        <v>13.9313362092875</v>
      </c>
      <c r="BE30" s="37" t="n">
        <f aca="false">BD30*(1-Assumptions!$E$41)+BE16*((1-(1-Assumptions!$E$33)^(1/12))*Assumptions!$E$40)*MAX(0,BE13*Assumptions!$E$28-BD30)</f>
        <v>14.4646380070603</v>
      </c>
      <c r="BF30" s="37" t="n">
        <f aca="false">BE30*(1-Assumptions!$E$41)+BF16*((1-(1-Assumptions!$E$33)^(1/12))*Assumptions!$E$40)*MAX(0,BF13*Assumptions!$E$28-BE30)</f>
        <v>14.9964287285609</v>
      </c>
      <c r="BG30" s="37" t="n">
        <f aca="false">BF30*(1-Assumptions!$E$41)+BG16*((1-(1-Assumptions!$E$33)^(1/12))*Assumptions!$E$40)*MAX(0,BG13*Assumptions!$E$28-BF30)</f>
        <v>15.5314080298642</v>
      </c>
      <c r="BH30" s="37" t="n">
        <f aca="false">BG30*(1-Assumptions!$E$41)+BH16*((1-(1-Assumptions!$E$33)^(1/12))*Assumptions!$E$40)*MAX(0,BH13*Assumptions!$E$28-BG30)</f>
        <v>16.0668733921247</v>
      </c>
      <c r="BI30" s="37" t="n">
        <f aca="false">BH30*(1-Assumptions!$E$41)+BI16*((1-(1-Assumptions!$E$33)^(1/12))*Assumptions!$E$40)*MAX(0,BI13*Assumptions!$E$28-BH30)</f>
        <v>16.5996583200168</v>
      </c>
      <c r="BJ30" s="37" t="n">
        <f aca="false">BI30*(1-Assumptions!$E$41)+BJ16*((1-(1-Assumptions!$E$33)^(1/12))*Assumptions!$E$40)*MAX(0,BJ13*Assumptions!$E$28-BI30)</f>
        <v>17.1345294107064</v>
      </c>
      <c r="BK30" s="37" t="n">
        <f aca="false">BJ30*(1-Assumptions!$E$41)+BK16*((1-(1-Assumptions!$E$33)^(1/12))*Assumptions!$E$40)*MAX(0,BK13*Assumptions!$E$28-BJ30)</f>
        <v>17.6688479357654</v>
      </c>
    </row>
    <row r="31" customFormat="false" ht="15" hidden="false" customHeight="false" outlineLevel="0" collapsed="false">
      <c r="A31" s="28" t="s">
        <v>578</v>
      </c>
      <c r="B31" s="6" t="s">
        <v>579</v>
      </c>
      <c r="C31" s="36" t="n">
        <v>0</v>
      </c>
      <c r="D31" s="26" t="n">
        <f aca="false">C31*(1-Assumptions!$E$41)+D16*((1-(1-Assumptions!$E$34)^(1/12))*Assumptions!$E$40)*MAX(0,D13*Assumptions!$E$29-C31)</f>
        <v>0</v>
      </c>
      <c r="E31" s="26" t="n">
        <f aca="false">D31*(1-Assumptions!$E$41)+E16*((1-(1-Assumptions!$E$34)^(1/12))*Assumptions!$E$40)*MAX(0,E13*Assumptions!$E$29-D31)</f>
        <v>0</v>
      </c>
      <c r="F31" s="26" t="n">
        <f aca="false">E31*(1-Assumptions!$E$41)+F16*((1-(1-Assumptions!$E$34)^(1/12))*Assumptions!$E$40)*MAX(0,F13*Assumptions!$E$29-E31)</f>
        <v>0</v>
      </c>
      <c r="G31" s="26" t="n">
        <f aca="false">F31*(1-Assumptions!$E$41)+G16*((1-(1-Assumptions!$E$34)^(1/12))*Assumptions!$E$40)*MAX(0,G13*Assumptions!$E$29-F31)</f>
        <v>0</v>
      </c>
      <c r="H31" s="26" t="n">
        <f aca="false">G31*(1-Assumptions!$E$41)+H16*((1-(1-Assumptions!$E$34)^(1/12))*Assumptions!$E$40)*MAX(0,H13*Assumptions!$E$29-G31)</f>
        <v>0</v>
      </c>
      <c r="I31" s="26" t="n">
        <f aca="false">H31*(1-Assumptions!$E$41)+I16*((1-(1-Assumptions!$E$34)^(1/12))*Assumptions!$E$40)*MAX(0,I13*Assumptions!$E$29-H31)</f>
        <v>0</v>
      </c>
      <c r="J31" s="26" t="n">
        <f aca="false">I31*(1-Assumptions!$E$41)+J16*((1-(1-Assumptions!$E$34)^(1/12))*Assumptions!$E$40)*MAX(0,J13*Assumptions!$E$29-I31)</f>
        <v>0</v>
      </c>
      <c r="K31" s="26" t="n">
        <f aca="false">J31*(1-Assumptions!$E$41)+K16*((1-(1-Assumptions!$E$34)^(1/12))*Assumptions!$E$40)*MAX(0,K13*Assumptions!$E$29-J31)</f>
        <v>0</v>
      </c>
      <c r="L31" s="26" t="n">
        <f aca="false">K31*(1-Assumptions!$E$41)+L16*((1-(1-Assumptions!$E$34)^(1/12))*Assumptions!$E$40)*MAX(0,L13*Assumptions!$E$29-K31)</f>
        <v>0</v>
      </c>
      <c r="M31" s="26" t="n">
        <f aca="false">L31*(1-Assumptions!$E$41)+M16*((1-(1-Assumptions!$E$34)^(1/12))*Assumptions!$E$40)*MAX(0,M13*Assumptions!$E$29-L31)</f>
        <v>0</v>
      </c>
      <c r="N31" s="26" t="n">
        <f aca="false">M31*(1-Assumptions!$E$41)+N16*((1-(1-Assumptions!$E$34)^(1/12))*Assumptions!$E$40)*MAX(0,N13*Assumptions!$E$29-M31)</f>
        <v>0</v>
      </c>
      <c r="O31" s="26" t="n">
        <f aca="false">N31*(1-Assumptions!$E$41)+O16*((1-(1-Assumptions!$E$34)^(1/12))*Assumptions!$E$40)*MAX(0,O13*Assumptions!$E$29-N31)</f>
        <v>0</v>
      </c>
      <c r="P31" s="26" t="n">
        <f aca="false">O31*(1-Assumptions!$E$41)+P16*((1-(1-Assumptions!$E$34)^(1/12))*Assumptions!$E$40)*MAX(0,P13*Assumptions!$E$29-O31)</f>
        <v>0</v>
      </c>
      <c r="Q31" s="26" t="n">
        <f aca="false">P31*(1-Assumptions!$E$41)+Q16*((1-(1-Assumptions!$E$34)^(1/12))*Assumptions!$E$40)*MAX(0,Q13*Assumptions!$E$29-P31)</f>
        <v>0</v>
      </c>
      <c r="R31" s="26" t="n">
        <f aca="false">Q31*(1-Assumptions!$E$41)+R16*((1-(1-Assumptions!$E$34)^(1/12))*Assumptions!$E$40)*MAX(0,R13*Assumptions!$E$29-Q31)</f>
        <v>0</v>
      </c>
      <c r="S31" s="26" t="n">
        <f aca="false">R31*(1-Assumptions!$E$41)+S16*((1-(1-Assumptions!$E$34)^(1/12))*Assumptions!$E$40)*MAX(0,S13*Assumptions!$E$29-R31)</f>
        <v>0</v>
      </c>
      <c r="T31" s="26" t="n">
        <f aca="false">S31*(1-Assumptions!$E$41)+T16*((1-(1-Assumptions!$E$34)^(1/12))*Assumptions!$E$40)*MAX(0,T13*Assumptions!$E$29-S31)</f>
        <v>0</v>
      </c>
      <c r="U31" s="26" t="n">
        <f aca="false">T31*(1-Assumptions!$E$41)+U16*((1-(1-Assumptions!$E$34)^(1/12))*Assumptions!$E$40)*MAX(0,U13*Assumptions!$E$29-T31)</f>
        <v>0.0346661144378072</v>
      </c>
      <c r="V31" s="26" t="n">
        <f aca="false">U31*(1-Assumptions!$E$41)+V16*((1-(1-Assumptions!$E$34)^(1/12))*Assumptions!$E$40)*MAX(0,V13*Assumptions!$E$29-U31)</f>
        <v>0.072669069521653</v>
      </c>
      <c r="W31" s="26" t="n">
        <f aca="false">V31*(1-Assumptions!$E$41)+W16*((1-(1-Assumptions!$E$34)^(1/12))*Assumptions!$E$40)*MAX(0,W13*Assumptions!$E$29-V31)</f>
        <v>0.114154233533587</v>
      </c>
      <c r="X31" s="26" t="n">
        <f aca="false">W31*(1-Assumptions!$E$41)+X16*((1-(1-Assumptions!$E$34)^(1/12))*Assumptions!$E$40)*MAX(0,X13*Assumptions!$E$29-W31)</f>
        <v>0.159061552183007</v>
      </c>
      <c r="Y31" s="26" t="n">
        <f aca="false">X31*(1-Assumptions!$E$41)+Y16*((1-(1-Assumptions!$E$34)^(1/12))*Assumptions!$E$40)*MAX(0,Y13*Assumptions!$E$29-X31)</f>
        <v>0.207528685877367</v>
      </c>
      <c r="Z31" s="26" t="n">
        <f aca="false">Y31*(1-Assumptions!$E$41)+Z16*((1-(1-Assumptions!$E$34)^(1/12))*Assumptions!$E$40)*MAX(0,Z13*Assumptions!$E$29-Y31)</f>
        <v>0.259422693036278</v>
      </c>
      <c r="AA31" s="26" t="n">
        <f aca="false">Z31*(1-Assumptions!$E$41)+AA16*((1-(1-Assumptions!$E$34)^(1/12))*Assumptions!$E$40)*MAX(0,AA13*Assumptions!$E$29-Z31)</f>
        <v>0.314615351815727</v>
      </c>
      <c r="AB31" s="26" t="n">
        <f aca="false">AA31*(1-Assumptions!$E$41)+AB16*((1-(1-Assumptions!$E$34)^(1/12))*Assumptions!$E$40)*MAX(0,AB13*Assumptions!$E$29-AA31)</f>
        <v>0.372982995918046</v>
      </c>
      <c r="AC31" s="26" t="n">
        <f aca="false">AB31*(1-Assumptions!$E$41)+AC16*((1-(1-Assumptions!$E$34)^(1/12))*Assumptions!$E$40)*MAX(0,AC13*Assumptions!$E$29-AB31)</f>
        <v>0.434406356064905</v>
      </c>
      <c r="AD31" s="26" t="n">
        <f aca="false">AC31*(1-Assumptions!$E$41)+AD16*((1-(1-Assumptions!$E$34)^(1/12))*Assumptions!$E$40)*MAX(0,AD13*Assumptions!$E$29-AC31)</f>
        <v>0.498770406938727</v>
      </c>
      <c r="AE31" s="26" t="n">
        <f aca="false">AD31*(1-Assumptions!$E$41)+AE16*((1-(1-Assumptions!$E$34)^(1/12))*Assumptions!$E$40)*MAX(0,AE13*Assumptions!$E$29-AD31)</f>
        <v>0.565898704108185</v>
      </c>
      <c r="AF31" s="26" t="n">
        <f aca="false">AE31*(1-Assumptions!$E$41)+AF16*((1-(1-Assumptions!$E$34)^(1/12))*Assumptions!$E$40)*MAX(0,AF13*Assumptions!$E$29-AE31)</f>
        <v>0.637325381984536</v>
      </c>
      <c r="AG31" s="26" t="n">
        <f aca="false">AF31*(1-Assumptions!$E$41)+AG16*((1-(1-Assumptions!$E$34)^(1/12))*Assumptions!$E$40)*MAX(0,AG13*Assumptions!$E$29-AF31)</f>
        <v>0.712673146291658</v>
      </c>
      <c r="AH31" s="26" t="n">
        <f aca="false">AG31*(1-Assumptions!$E$41)+AH16*((1-(1-Assumptions!$E$34)^(1/12))*Assumptions!$E$40)*MAX(0,AH13*Assumptions!$E$29-AG31)</f>
        <v>0.791253504513322</v>
      </c>
      <c r="AI31" s="26" t="n">
        <f aca="false">AH31*(1-Assumptions!$E$41)+AI16*((1-(1-Assumptions!$E$34)^(1/12))*Assumptions!$E$40)*MAX(0,AI13*Assumptions!$E$29-AH31)</f>
        <v>0.874244295877293</v>
      </c>
      <c r="AJ31" s="26" t="n">
        <f aca="false">AI31*(1-Assumptions!$E$41)+AJ16*((1-(1-Assumptions!$E$34)^(1/12))*Assumptions!$E$40)*MAX(0,AJ13*Assumptions!$E$29-AI31)</f>
        <v>0.960994758494965</v>
      </c>
      <c r="AK31" s="26" t="n">
        <f aca="false">AJ31*(1-Assumptions!$E$41)+AK16*((1-(1-Assumptions!$E$34)^(1/12))*Assumptions!$E$40)*MAX(0,AK13*Assumptions!$E$29-AJ31)</f>
        <v>1.05075289300331</v>
      </c>
      <c r="AL31" s="26" t="n">
        <f aca="false">AK31*(1-Assumptions!$E$41)+AL16*((1-(1-Assumptions!$E$34)^(1/12))*Assumptions!$E$40)*MAX(0,AL13*Assumptions!$E$29-AK31)</f>
        <v>1.14437418224681</v>
      </c>
      <c r="AM31" s="26" t="n">
        <f aca="false">AL31*(1-Assumptions!$E$41)+AM16*((1-(1-Assumptions!$E$34)^(1/12))*Assumptions!$E$40)*MAX(0,AM13*Assumptions!$E$29-AL31)</f>
        <v>1.24122908103101</v>
      </c>
      <c r="AN31" s="37" t="n">
        <f aca="false">AM31*(1-Assumptions!$E$41)+AN16*((1-(1-Assumptions!$E$34)^(1/12))*Assumptions!$E$40)*MAX(0,AN13*Assumptions!$E$29-AM31)</f>
        <v>1.34058604272991</v>
      </c>
      <c r="AO31" s="37" t="n">
        <f aca="false">AN31*(1-Assumptions!$E$41)+AO16*((1-(1-Assumptions!$E$34)^(1/12))*Assumptions!$E$40)*MAX(0,AO13*Assumptions!$E$29-AN31)</f>
        <v>1.44332026569945</v>
      </c>
      <c r="AP31" s="37" t="n">
        <f aca="false">AO31*(1-Assumptions!$E$41)+AP16*((1-(1-Assumptions!$E$34)^(1/12))*Assumptions!$E$40)*MAX(0,AP13*Assumptions!$E$29-AO31)</f>
        <v>1.54882120883852</v>
      </c>
      <c r="AQ31" s="37" t="n">
        <f aca="false">AP31*(1-Assumptions!$E$41)+AQ16*((1-(1-Assumptions!$E$34)^(1/12))*Assumptions!$E$40)*MAX(0,AQ13*Assumptions!$E$29-AP31)</f>
        <v>1.65637564311113</v>
      </c>
      <c r="AR31" s="37" t="n">
        <f aca="false">AQ31*(1-Assumptions!$E$41)+AR16*((1-(1-Assumptions!$E$34)^(1/12))*Assumptions!$E$40)*MAX(0,AR13*Assumptions!$E$29-AQ31)</f>
        <v>1.76687642201302</v>
      </c>
      <c r="AS31" s="37" t="n">
        <f aca="false">AR31*(1-Assumptions!$E$41)+AS16*((1-(1-Assumptions!$E$34)^(1/12))*Assumptions!$E$40)*MAX(0,AS13*Assumptions!$E$29-AR31)</f>
        <v>1.8796645050572</v>
      </c>
      <c r="AT31" s="37" t="n">
        <f aca="false">AS31*(1-Assumptions!$E$41)+AT16*((1-(1-Assumptions!$E$34)^(1/12))*Assumptions!$E$40)*MAX(0,AT13*Assumptions!$E$29-AS31)</f>
        <v>1.99404628993835</v>
      </c>
      <c r="AU31" s="37" t="n">
        <f aca="false">AT31*(1-Assumptions!$E$41)+AU16*((1-(1-Assumptions!$E$34)^(1/12))*Assumptions!$E$40)*MAX(0,AU13*Assumptions!$E$29-AT31)</f>
        <v>2.11093353637592</v>
      </c>
      <c r="AV31" s="37" t="n">
        <f aca="false">AU31*(1-Assumptions!$E$41)+AV16*((1-(1-Assumptions!$E$34)^(1/12))*Assumptions!$E$40)*MAX(0,AV13*Assumptions!$E$29-AU31)</f>
        <v>2.22968541500786</v>
      </c>
      <c r="AW31" s="37" t="n">
        <f aca="false">AV31*(1-Assumptions!$E$41)+AW16*((1-(1-Assumptions!$E$34)^(1/12))*Assumptions!$E$40)*MAX(0,AW13*Assumptions!$E$29-AV31)</f>
        <v>2.34962586408193</v>
      </c>
      <c r="AX31" s="37" t="n">
        <f aca="false">AW31*(1-Assumptions!$E$41)+AX16*((1-(1-Assumptions!$E$34)^(1/12))*Assumptions!$E$40)*MAX(0,AX13*Assumptions!$E$29-AW31)</f>
        <v>2.47168353697452</v>
      </c>
      <c r="AY31" s="37" t="n">
        <f aca="false">AX31*(1-Assumptions!$E$41)+AY16*((1-(1-Assumptions!$E$34)^(1/12))*Assumptions!$E$40)*MAX(0,AY13*Assumptions!$E$29-AX31)</f>
        <v>2.5952338739385</v>
      </c>
      <c r="AZ31" s="37" t="n">
        <f aca="false">AY31*(1-Assumptions!$E$41)+AZ16*((1-(1-Assumptions!$E$34)^(1/12))*Assumptions!$E$40)*MAX(0,AZ13*Assumptions!$E$29-AY31)</f>
        <v>2.71961648085512</v>
      </c>
      <c r="BA31" s="37" t="n">
        <f aca="false">AZ31*(1-Assumptions!$E$41)+BA16*((1-(1-Assumptions!$E$34)^(1/12))*Assumptions!$E$40)*MAX(0,BA13*Assumptions!$E$29-AZ31)</f>
        <v>2.8457750980474</v>
      </c>
      <c r="BB31" s="37" t="n">
        <f aca="false">BA31*(1-Assumptions!$E$41)+BB16*((1-(1-Assumptions!$E$34)^(1/12))*Assumptions!$E$40)*MAX(0,BB13*Assumptions!$E$29-BA31)</f>
        <v>2.97309969258286</v>
      </c>
      <c r="BC31" s="37" t="n">
        <f aca="false">BB31*(1-Assumptions!$E$41)+BC16*((1-(1-Assumptions!$E$34)^(1/12))*Assumptions!$E$40)*MAX(0,BC13*Assumptions!$E$29-BB31)</f>
        <v>3.10087834156967</v>
      </c>
      <c r="BD31" s="37" t="n">
        <f aca="false">BC31*(1-Assumptions!$E$41)+BD16*((1-(1-Assumptions!$E$34)^(1/12))*Assumptions!$E$40)*MAX(0,BD13*Assumptions!$E$29-BC31)</f>
        <v>3.230071478346</v>
      </c>
      <c r="BE31" s="37" t="n">
        <f aca="false">BD31*(1-Assumptions!$E$41)+BE16*((1-(1-Assumptions!$E$34)^(1/12))*Assumptions!$E$40)*MAX(0,BE13*Assumptions!$E$29-BD31)</f>
        <v>3.36008513500294</v>
      </c>
      <c r="BF31" s="37" t="n">
        <f aca="false">BE31*(1-Assumptions!$E$41)+BF16*((1-(1-Assumptions!$E$34)^(1/12))*Assumptions!$E$40)*MAX(0,BF13*Assumptions!$E$29-BE31)</f>
        <v>3.49022284803896</v>
      </c>
      <c r="BG31" s="37" t="n">
        <f aca="false">BF31*(1-Assumptions!$E$41)+BG16*((1-(1-Assumptions!$E$34)^(1/12))*Assumptions!$E$40)*MAX(0,BG13*Assumptions!$E$29-BF31)</f>
        <v>3.6214599261289</v>
      </c>
      <c r="BH31" s="37" t="n">
        <f aca="false">BG31*(1-Assumptions!$E$41)+BH16*((1-(1-Assumptions!$E$34)^(1/12))*Assumptions!$E$40)*MAX(0,BH13*Assumptions!$E$29-BG31)</f>
        <v>3.75321671347464</v>
      </c>
      <c r="BI31" s="37" t="n">
        <f aca="false">BH31*(1-Assumptions!$E$41)+BI16*((1-(1-Assumptions!$E$34)^(1/12))*Assumptions!$E$40)*MAX(0,BI13*Assumptions!$E$29-BH31)</f>
        <v>3.88481051556147</v>
      </c>
      <c r="BJ31" s="37" t="n">
        <f aca="false">BI31*(1-Assumptions!$E$41)+BJ16*((1-(1-Assumptions!$E$34)^(1/12))*Assumptions!$E$40)*MAX(0,BJ13*Assumptions!$E$29-BI31)</f>
        <v>4.01722988632811</v>
      </c>
      <c r="BK31" s="37" t="n">
        <f aca="false">BJ31*(1-Assumptions!$E$41)+BK16*((1-(1-Assumptions!$E$34)^(1/12))*Assumptions!$E$40)*MAX(0,BK13*Assumptions!$E$29-BJ31)</f>
        <v>4.14990791024173</v>
      </c>
    </row>
    <row r="32" customFormat="false" ht="15" hidden="false" customHeight="false" outlineLevel="0" collapsed="false">
      <c r="A32" s="28" t="s">
        <v>580</v>
      </c>
      <c r="B32" s="6" t="s">
        <v>581</v>
      </c>
      <c r="C32" s="36" t="n">
        <v>0</v>
      </c>
      <c r="D32" s="26" t="n">
        <f aca="false">D27+D28+D29+D30+D31</f>
        <v>0</v>
      </c>
      <c r="E32" s="26" t="n">
        <f aca="false">E27+E28+E29+E30+E31</f>
        <v>0</v>
      </c>
      <c r="F32" s="26" t="n">
        <f aca="false">F27+F28+F29+F30+F31</f>
        <v>0</v>
      </c>
      <c r="G32" s="26" t="n">
        <f aca="false">G27+G28+G29+G30+G31</f>
        <v>0</v>
      </c>
      <c r="H32" s="26" t="n">
        <f aca="false">H27+H28+H29+H30+H31</f>
        <v>0</v>
      </c>
      <c r="I32" s="26" t="n">
        <f aca="false">I27+I28+I29+I30+I31</f>
        <v>0</v>
      </c>
      <c r="J32" s="26" t="n">
        <f aca="false">J27+J28+J29+J30+J31</f>
        <v>0</v>
      </c>
      <c r="K32" s="26" t="n">
        <f aca="false">K27+K28+K29+K30+K31</f>
        <v>0</v>
      </c>
      <c r="L32" s="26" t="n">
        <f aca="false">L27+L28+L29+L30+L31</f>
        <v>0</v>
      </c>
      <c r="M32" s="26" t="n">
        <f aca="false">M27+M28+M29+M30+M31</f>
        <v>0</v>
      </c>
      <c r="N32" s="26" t="n">
        <f aca="false">N27+N28+N29+N30+N31</f>
        <v>0</v>
      </c>
      <c r="O32" s="26" t="n">
        <f aca="false">O27+O28+O29+O30+O31</f>
        <v>0.360174220899156</v>
      </c>
      <c r="P32" s="26" t="n">
        <f aca="false">P27+P28+P29+P30+P31</f>
        <v>0.757944709756382</v>
      </c>
      <c r="Q32" s="26" t="n">
        <f aca="false">Q27+Q28+Q29+Q30+Q31</f>
        <v>1.20406860037512</v>
      </c>
      <c r="R32" s="26" t="n">
        <f aca="false">R27+R28+R29+R30+R31</f>
        <v>1.71473157836523</v>
      </c>
      <c r="S32" s="26" t="n">
        <f aca="false">S27+S28+S29+S30+S31</f>
        <v>2.2598549742938</v>
      </c>
      <c r="T32" s="26" t="n">
        <f aca="false">T27+T28+T29+T30+T31</f>
        <v>2.84870558985315</v>
      </c>
      <c r="U32" s="26" t="n">
        <f aca="false">U27+U28+U29+U30+U31</f>
        <v>4.6141904513932</v>
      </c>
      <c r="V32" s="26" t="n">
        <f aca="false">V27+V28+V29+V30+V31</f>
        <v>6.53973983070692</v>
      </c>
      <c r="W32" s="26" t="n">
        <f aca="false">W27+W28+W29+W30+W31</f>
        <v>8.63116760937135</v>
      </c>
      <c r="X32" s="26" t="n">
        <f aca="false">X27+X28+X29+X30+X31</f>
        <v>10.8825905145025</v>
      </c>
      <c r="Y32" s="26" t="n">
        <f aca="false">Y27+Y28+Y29+Y30+Y31</f>
        <v>13.2995966000368</v>
      </c>
      <c r="Z32" s="26" t="n">
        <f aca="false">Z27+Z28+Z29+Z30+Z31</f>
        <v>15.8723686974609</v>
      </c>
      <c r="AA32" s="26" t="n">
        <f aca="false">AA27+AA28+AA29+AA30+AA31</f>
        <v>18.5916740541233</v>
      </c>
      <c r="AB32" s="26" t="n">
        <f aca="false">AB27+AB28+AB29+AB30+AB31</f>
        <v>21.4488282273165</v>
      </c>
      <c r="AC32" s="26" t="n">
        <f aca="false">AC27+AC28+AC29+AC30+AC31</f>
        <v>24.4356612978386</v>
      </c>
      <c r="AD32" s="26" t="n">
        <f aca="false">AD27+AD28+AD29+AD30+AD31</f>
        <v>27.5444862491347</v>
      </c>
      <c r="AE32" s="26" t="n">
        <f aca="false">AE27+AE28+AE29+AE30+AE31</f>
        <v>30.7643469055628</v>
      </c>
      <c r="AF32" s="26" t="n">
        <f aca="false">AF27+AF28+AF29+AF30+AF31</f>
        <v>34.1817635767093</v>
      </c>
      <c r="AG32" s="26" t="n">
        <f aca="false">AG27+AG28+AG29+AG30+AG31</f>
        <v>37.7727392998946</v>
      </c>
      <c r="AH32" s="26" t="n">
        <f aca="false">AH27+AH28+AH29+AH30+AH31</f>
        <v>41.4962408110738</v>
      </c>
      <c r="AI32" s="26" t="n">
        <f aca="false">AI27+AI28+AI29+AI30+AI31</f>
        <v>45.418276387233</v>
      </c>
      <c r="AJ32" s="26" t="n">
        <f aca="false">AJ27+AJ28+AJ29+AJ30+AJ31</f>
        <v>49.4995138333255</v>
      </c>
      <c r="AK32" s="26" t="n">
        <f aca="false">AK27+AK28+AK29+AK30+AK31</f>
        <v>53.6958489900167</v>
      </c>
      <c r="AL32" s="26" t="n">
        <f aca="false">AL27+AL28+AL29+AL30+AL31</f>
        <v>58.0555575423058</v>
      </c>
      <c r="AM32" s="26" t="n">
        <f aca="false">AM27+AM28+AM29+AM30+AM31</f>
        <v>62.5414685025348</v>
      </c>
      <c r="AN32" s="37" t="n">
        <f aca="false">AN27+AN28+AN29+AN30+AN31</f>
        <v>67.1115064109246</v>
      </c>
      <c r="AO32" s="37" t="n">
        <f aca="false">AO27+AO28+AO29+AO30+AO31</f>
        <v>71.8158515338964</v>
      </c>
      <c r="AP32" s="37" t="n">
        <f aca="false">AP27+AP28+AP29+AP30+AP31</f>
        <v>76.6191211873384</v>
      </c>
      <c r="AQ32" s="37" t="n">
        <f aca="false">AQ27+AQ28+AQ29+AQ30+AQ31</f>
        <v>81.4809192649387</v>
      </c>
      <c r="AR32" s="37" t="n">
        <f aca="false">AR27+AR28+AR29+AR30+AR31</f>
        <v>86.453003286283</v>
      </c>
      <c r="AS32" s="37" t="n">
        <f aca="false">AS27+AS28+AS29+AS30+AS31</f>
        <v>91.4977496609365</v>
      </c>
      <c r="AT32" s="37" t="n">
        <f aca="false">AT27+AT28+AT29+AT30+AT31</f>
        <v>96.5764209836759</v>
      </c>
      <c r="AU32" s="37" t="n">
        <f aca="false">AU27+AU28+AU29+AU30+AU31</f>
        <v>101.742332738324</v>
      </c>
      <c r="AV32" s="37" t="n">
        <f aca="false">AV27+AV28+AV29+AV30+AV31</f>
        <v>106.959324840446</v>
      </c>
      <c r="AW32" s="37" t="n">
        <f aca="false">AW27+AW28+AW29+AW30+AW31</f>
        <v>112.190034805815</v>
      </c>
      <c r="AX32" s="37" t="n">
        <f aca="false">AX27+AX28+AX29+AX30+AX31</f>
        <v>117.489069949094</v>
      </c>
      <c r="AY32" s="37" t="n">
        <f aca="false">AY27+AY28+AY29+AY30+AY31</f>
        <v>122.821484068128</v>
      </c>
      <c r="AZ32" s="37" t="n">
        <f aca="false">AZ27+AZ28+AZ29+AZ30+AZ31</f>
        <v>128.151055424201</v>
      </c>
      <c r="BA32" s="37" t="n">
        <f aca="false">BA27+BA28+BA29+BA30+BA31</f>
        <v>133.53346344454</v>
      </c>
      <c r="BB32" s="37" t="n">
        <f aca="false">BB27+BB28+BB29+BB30+BB31</f>
        <v>138.934769622823</v>
      </c>
      <c r="BC32" s="37" t="n">
        <f aca="false">BC27+BC28+BC29+BC30+BC31</f>
        <v>144.31597698401</v>
      </c>
      <c r="BD32" s="37" t="n">
        <f aca="false">BD27+BD28+BD29+BD30+BD31</f>
        <v>149.733922262629</v>
      </c>
      <c r="BE32" s="37" t="n">
        <f aca="false">BE27+BE28+BE29+BE30+BE31</f>
        <v>155.155754321712</v>
      </c>
      <c r="BF32" s="37" t="n">
        <f aca="false">BF27+BF28+BF29+BF30+BF31</f>
        <v>160.543497902164</v>
      </c>
      <c r="BG32" s="37" t="n">
        <f aca="false">BG27+BG28+BG29+BG30+BG31</f>
        <v>165.954949813663</v>
      </c>
      <c r="BH32" s="37" t="n">
        <f aca="false">BH27+BH28+BH29+BH30+BH31</f>
        <v>171.358161112108</v>
      </c>
      <c r="BI32" s="37" t="n">
        <f aca="false">BI27+BI28+BI29+BI30+BI31</f>
        <v>176.716004370082</v>
      </c>
      <c r="BJ32" s="37" t="n">
        <f aca="false">BJ27+BJ28+BJ29+BJ30+BJ31</f>
        <v>182.087073166923</v>
      </c>
      <c r="BK32" s="37" t="n">
        <f aca="false">BK27+BK28+BK29+BK30+BK31</f>
        <v>187.440167357942</v>
      </c>
    </row>
    <row r="33" customFormat="false" ht="15" hidden="false" customHeight="false" outlineLevel="0" collapsed="false">
      <c r="A33" s="28" t="s">
        <v>582</v>
      </c>
      <c r="B33" s="6" t="s">
        <v>583</v>
      </c>
      <c r="C33" s="42"/>
      <c r="D33" s="26" t="n">
        <f aca="false">D27*(1-Assumptions!$E$35)+D28*(1-Assumptions!$E$36)+D29*(1-Assumptions!$E$37)+D30*(1-Assumptions!$E$38)+D31*(1-Assumptions!$E$39)</f>
        <v>0</v>
      </c>
      <c r="E33" s="26" t="n">
        <f aca="false">E27*(1-Assumptions!$E$35)+E28*(1-Assumptions!$E$36)+E29*(1-Assumptions!$E$37)+E30*(1-Assumptions!$E$38)+E31*(1-Assumptions!$E$39)</f>
        <v>0</v>
      </c>
      <c r="F33" s="26" t="n">
        <f aca="false">F27*(1-Assumptions!$E$35)+F28*(1-Assumptions!$E$36)+F29*(1-Assumptions!$E$37)+F30*(1-Assumptions!$E$38)+F31*(1-Assumptions!$E$39)</f>
        <v>0</v>
      </c>
      <c r="G33" s="26" t="n">
        <f aca="false">G27*(1-Assumptions!$E$35)+G28*(1-Assumptions!$E$36)+G29*(1-Assumptions!$E$37)+G30*(1-Assumptions!$E$38)+G31*(1-Assumptions!$E$39)</f>
        <v>0</v>
      </c>
      <c r="H33" s="26" t="n">
        <f aca="false">H27*(1-Assumptions!$E$35)+H28*(1-Assumptions!$E$36)+H29*(1-Assumptions!$E$37)+H30*(1-Assumptions!$E$38)+H31*(1-Assumptions!$E$39)</f>
        <v>0</v>
      </c>
      <c r="I33" s="26" t="n">
        <f aca="false">I27*(1-Assumptions!$E$35)+I28*(1-Assumptions!$E$36)+I29*(1-Assumptions!$E$37)+I30*(1-Assumptions!$E$38)+I31*(1-Assumptions!$E$39)</f>
        <v>0</v>
      </c>
      <c r="J33" s="26" t="n">
        <f aca="false">J27*(1-Assumptions!$E$35)+J28*(1-Assumptions!$E$36)+J29*(1-Assumptions!$E$37)+J30*(1-Assumptions!$E$38)+J31*(1-Assumptions!$E$39)</f>
        <v>0</v>
      </c>
      <c r="K33" s="26" t="n">
        <f aca="false">K27*(1-Assumptions!$E$35)+K28*(1-Assumptions!$E$36)+K29*(1-Assumptions!$E$37)+K30*(1-Assumptions!$E$38)+K31*(1-Assumptions!$E$39)</f>
        <v>0</v>
      </c>
      <c r="L33" s="26" t="n">
        <f aca="false">L27*(1-Assumptions!$E$35)+L28*(1-Assumptions!$E$36)+L29*(1-Assumptions!$E$37)+L30*(1-Assumptions!$E$38)+L31*(1-Assumptions!$E$39)</f>
        <v>0</v>
      </c>
      <c r="M33" s="26" t="n">
        <f aca="false">M27*(1-Assumptions!$E$35)+M28*(1-Assumptions!$E$36)+M29*(1-Assumptions!$E$37)+M30*(1-Assumptions!$E$38)+M31*(1-Assumptions!$E$39)</f>
        <v>0</v>
      </c>
      <c r="N33" s="26" t="n">
        <f aca="false">N27*(1-Assumptions!$E$35)+N28*(1-Assumptions!$E$36)+N29*(1-Assumptions!$E$37)+N30*(1-Assumptions!$E$38)+N31*(1-Assumptions!$E$39)</f>
        <v>0</v>
      </c>
      <c r="O33" s="26" t="n">
        <f aca="false">O27*(1-Assumptions!$E$35)+O28*(1-Assumptions!$E$36)+O29*(1-Assumptions!$E$37)+O30*(1-Assumptions!$E$38)+O31*(1-Assumptions!$E$39)</f>
        <v>0.0540261331348735</v>
      </c>
      <c r="P33" s="26" t="n">
        <f aca="false">P27*(1-Assumptions!$E$35)+P28*(1-Assumptions!$E$36)+P29*(1-Assumptions!$E$37)+P30*(1-Assumptions!$E$38)+P31*(1-Assumptions!$E$39)</f>
        <v>0.113691706463457</v>
      </c>
      <c r="Q33" s="26" t="n">
        <f aca="false">Q27*(1-Assumptions!$E$35)+Q28*(1-Assumptions!$E$36)+Q29*(1-Assumptions!$E$37)+Q30*(1-Assumptions!$E$38)+Q31*(1-Assumptions!$E$39)</f>
        <v>0.180610290056268</v>
      </c>
      <c r="R33" s="26" t="n">
        <f aca="false">R27*(1-Assumptions!$E$35)+R28*(1-Assumptions!$E$36)+R29*(1-Assumptions!$E$37)+R30*(1-Assumptions!$E$38)+R31*(1-Assumptions!$E$39)</f>
        <v>0.257209736754785</v>
      </c>
      <c r="S33" s="26" t="n">
        <f aca="false">S27*(1-Assumptions!$E$35)+S28*(1-Assumptions!$E$36)+S29*(1-Assumptions!$E$37)+S30*(1-Assumptions!$E$38)+S31*(1-Assumptions!$E$39)</f>
        <v>0.33897824614407</v>
      </c>
      <c r="T33" s="26" t="n">
        <f aca="false">T27*(1-Assumptions!$E$35)+T28*(1-Assumptions!$E$36)+T29*(1-Assumptions!$E$37)+T30*(1-Assumptions!$E$38)+T31*(1-Assumptions!$E$39)</f>
        <v>0.427305838477973</v>
      </c>
      <c r="U33" s="26" t="n">
        <f aca="false">U27*(1-Assumptions!$E$35)+U28*(1-Assumptions!$E$36)+U29*(1-Assumptions!$E$37)+U30*(1-Assumptions!$E$38)+U31*(1-Assumptions!$E$39)</f>
        <v>1.55116728568779</v>
      </c>
      <c r="V33" s="26" t="n">
        <f aca="false">V27*(1-Assumptions!$E$35)+V28*(1-Assumptions!$E$36)+V29*(1-Assumptions!$E$37)+V30*(1-Assumptions!$E$38)+V31*(1-Assumptions!$E$39)</f>
        <v>2.77211492759468</v>
      </c>
      <c r="W33" s="26" t="n">
        <f aca="false">W27*(1-Assumptions!$E$35)+W28*(1-Assumptions!$E$36)+W29*(1-Assumptions!$E$37)+W30*(1-Assumptions!$E$38)+W31*(1-Assumptions!$E$39)</f>
        <v>4.09414858423382</v>
      </c>
      <c r="X33" s="26" t="n">
        <f aca="false">X27*(1-Assumptions!$E$35)+X28*(1-Assumptions!$E$36)+X29*(1-Assumptions!$E$37)+X30*(1-Assumptions!$E$38)+X31*(1-Assumptions!$E$39)</f>
        <v>5.51440492008653</v>
      </c>
      <c r="Y33" s="26" t="n">
        <f aca="false">Y27*(1-Assumptions!$E$35)+Y28*(1-Assumptions!$E$36)+Y29*(1-Assumptions!$E$37)+Y30*(1-Assumptions!$E$38)+Y31*(1-Assumptions!$E$39)</f>
        <v>7.03668040772113</v>
      </c>
      <c r="Z33" s="26" t="n">
        <f aca="false">Z27*(1-Assumptions!$E$35)+Z28*(1-Assumptions!$E$36)+Z29*(1-Assumptions!$E$37)+Z30*(1-Assumptions!$E$38)+Z31*(1-Assumptions!$E$39)</f>
        <v>8.65573811114244</v>
      </c>
      <c r="AA33" s="26" t="n">
        <f aca="false">AA27*(1-Assumptions!$E$35)+AA28*(1-Assumptions!$E$36)+AA29*(1-Assumptions!$E$37)+AA30*(1-Assumptions!$E$38)+AA31*(1-Assumptions!$E$39)</f>
        <v>10.3666045271993</v>
      </c>
      <c r="AB33" s="26" t="n">
        <f aca="false">AB27*(1-Assumptions!$E$35)+AB28*(1-Assumptions!$E$36)+AB29*(1-Assumptions!$E$37)+AB30*(1-Assumptions!$E$38)+AB31*(1-Assumptions!$E$39)</f>
        <v>12.1645560344891</v>
      </c>
      <c r="AC33" s="26" t="n">
        <f aca="false">AC27*(1-Assumptions!$E$35)+AC28*(1-Assumptions!$E$36)+AC29*(1-Assumptions!$E$37)+AC30*(1-Assumptions!$E$38)+AC31*(1-Assumptions!$E$39)</f>
        <v>14.0451060672145</v>
      </c>
      <c r="AD33" s="26" t="n">
        <f aca="false">AD27*(1-Assumptions!$E$35)+AD28*(1-Assumptions!$E$36)+AD29*(1-Assumptions!$E$37)+AD30*(1-Assumptions!$E$38)+AD31*(1-Assumptions!$E$39)</f>
        <v>16.0039929733596</v>
      </c>
      <c r="AE33" s="26" t="n">
        <f aca="false">AE27*(1-Assumptions!$E$35)+AE28*(1-Assumptions!$E$36)+AE29*(1-Assumptions!$E$37)+AE30*(1-Assumptions!$E$38)+AE31*(1-Assumptions!$E$39)</f>
        <v>18.0349866570084</v>
      </c>
      <c r="AF33" s="26" t="n">
        <f aca="false">AF27*(1-Assumptions!$E$35)+AF28*(1-Assumptions!$E$36)+AF29*(1-Assumptions!$E$37)+AF30*(1-Assumptions!$E$38)+AF31*(1-Assumptions!$E$39)</f>
        <v>20.1889261397032</v>
      </c>
      <c r="AG33" s="26" t="n">
        <f aca="false">AG27*(1-Assumptions!$E$35)+AG28*(1-Assumptions!$E$36)+AG29*(1-Assumptions!$E$37)+AG30*(1-Assumptions!$E$38)+AG31*(1-Assumptions!$E$39)</f>
        <v>22.4522888169212</v>
      </c>
      <c r="AH33" s="26" t="n">
        <f aca="false">AH27*(1-Assumptions!$E$35)+AH28*(1-Assumptions!$E$36)+AH29*(1-Assumptions!$E$37)+AH30*(1-Assumptions!$E$38)+AH31*(1-Assumptions!$E$39)</f>
        <v>24.8014164596626</v>
      </c>
      <c r="AI33" s="26" t="n">
        <f aca="false">AI27*(1-Assumptions!$E$35)+AI28*(1-Assumptions!$E$36)+AI29*(1-Assumptions!$E$37)+AI30*(1-Assumptions!$E$38)+AI31*(1-Assumptions!$E$39)</f>
        <v>27.275166982829</v>
      </c>
      <c r="AJ33" s="26" t="n">
        <f aca="false">AJ27*(1-Assumptions!$E$35)+AJ28*(1-Assumptions!$E$36)+AJ29*(1-Assumptions!$E$37)+AJ30*(1-Assumptions!$E$38)+AJ31*(1-Assumptions!$E$39)</f>
        <v>29.8509680040162</v>
      </c>
      <c r="AK33" s="26" t="n">
        <f aca="false">AK27*(1-Assumptions!$E$35)+AK28*(1-Assumptions!$E$36)+AK29*(1-Assumptions!$E$37)+AK30*(1-Assumptions!$E$38)+AK31*(1-Assumptions!$E$39)</f>
        <v>32.5032286192416</v>
      </c>
      <c r="AL33" s="26" t="n">
        <f aca="false">AL27*(1-Assumptions!$E$35)+AL28*(1-Assumptions!$E$36)+AL29*(1-Assumptions!$E$37)+AL30*(1-Assumptions!$E$38)+AL31*(1-Assumptions!$E$39)</f>
        <v>35.2602732701648</v>
      </c>
      <c r="AM33" s="26" t="n">
        <f aca="false">AM27*(1-Assumptions!$E$35)+AM28*(1-Assumptions!$E$36)+AM29*(1-Assumptions!$E$37)+AM30*(1-Assumptions!$E$38)+AM31*(1-Assumptions!$E$39)</f>
        <v>38.1005780431231</v>
      </c>
      <c r="AN33" s="37" t="n">
        <f aca="false">AN27*(1-Assumptions!$E$35)+AN28*(1-Assumptions!$E$36)+AN29*(1-Assumptions!$E$37)+AN30*(1-Assumptions!$E$38)+AN31*(1-Assumptions!$E$39)</f>
        <v>40.9995465064162</v>
      </c>
      <c r="AO33" s="37" t="n">
        <f aca="false">AO27*(1-Assumptions!$E$35)+AO28*(1-Assumptions!$E$36)+AO29*(1-Assumptions!$E$37)+AO30*(1-Assumptions!$E$38)+AO31*(1-Assumptions!$E$39)</f>
        <v>43.9864464239739</v>
      </c>
      <c r="AP33" s="37" t="n">
        <f aca="false">AP27*(1-Assumptions!$E$35)+AP28*(1-Assumptions!$E$36)+AP29*(1-Assumptions!$E$37)+AP30*(1-Assumptions!$E$38)+AP31*(1-Assumptions!$E$39)</f>
        <v>47.0406487445123</v>
      </c>
      <c r="AQ33" s="37" t="n">
        <f aca="false">AQ27*(1-Assumptions!$E$35)+AQ28*(1-Assumptions!$E$36)+AQ29*(1-Assumptions!$E$37)+AQ30*(1-Assumptions!$E$38)+AQ31*(1-Assumptions!$E$39)</f>
        <v>50.1384059816152</v>
      </c>
      <c r="AR33" s="37" t="n">
        <f aca="false">AR27*(1-Assumptions!$E$35)+AR28*(1-Assumptions!$E$36)+AR29*(1-Assumptions!$E$37)+AR30*(1-Assumptions!$E$38)+AR31*(1-Assumptions!$E$39)</f>
        <v>53.3097913313273</v>
      </c>
      <c r="AS33" s="37" t="n">
        <f aca="false">AS27*(1-Assumptions!$E$35)+AS28*(1-Assumptions!$E$36)+AS29*(1-Assumptions!$E$37)+AS30*(1-Assumptions!$E$38)+AS31*(1-Assumptions!$E$39)</f>
        <v>56.5327580723776</v>
      </c>
      <c r="AT33" s="37" t="n">
        <f aca="false">AT27*(1-Assumptions!$E$35)+AT28*(1-Assumptions!$E$36)+AT29*(1-Assumptions!$E$37)+AT30*(1-Assumptions!$E$38)+AT31*(1-Assumptions!$E$39)</f>
        <v>59.7844219944114</v>
      </c>
      <c r="AU33" s="37" t="n">
        <f aca="false">AU27*(1-Assumptions!$E$35)+AU28*(1-Assumptions!$E$36)+AU29*(1-Assumptions!$E$37)+AU30*(1-Assumptions!$E$38)+AU31*(1-Assumptions!$E$39)</f>
        <v>63.0956751654433</v>
      </c>
      <c r="AV33" s="37" t="n">
        <f aca="false">AV27*(1-Assumptions!$E$35)+AV28*(1-Assumptions!$E$36)+AV29*(1-Assumptions!$E$37)+AV30*(1-Assumptions!$E$38)+AV31*(1-Assumptions!$E$39)</f>
        <v>66.4452476402818</v>
      </c>
      <c r="AW33" s="37" t="n">
        <f aca="false">AW27*(1-Assumptions!$E$35)+AW28*(1-Assumptions!$E$36)+AW29*(1-Assumptions!$E$37)+AW30*(1-Assumptions!$E$38)+AW31*(1-Assumptions!$E$39)</f>
        <v>69.810992072598</v>
      </c>
      <c r="AX33" s="37" t="n">
        <f aca="false">AX27*(1-Assumptions!$E$35)+AX28*(1-Assumptions!$E$36)+AX29*(1-Assumptions!$E$37)+AX30*(1-Assumptions!$E$38)+AX31*(1-Assumptions!$E$39)</f>
        <v>73.2244995488658</v>
      </c>
      <c r="AY33" s="37" t="n">
        <f aca="false">AY27*(1-Assumptions!$E$35)+AY28*(1-Assumptions!$E$36)+AY29*(1-Assumptions!$E$37)+AY30*(1-Assumptions!$E$38)+AY31*(1-Assumptions!$E$39)</f>
        <v>76.6651632525176</v>
      </c>
      <c r="AZ33" s="37" t="n">
        <f aca="false">AZ27*(1-Assumptions!$E$35)+AZ28*(1-Assumptions!$E$36)+AZ29*(1-Assumptions!$E$37)+AZ30*(1-Assumptions!$E$38)+AZ31*(1-Assumptions!$E$39)</f>
        <v>80.1114649272011</v>
      </c>
      <c r="BA33" s="37" t="n">
        <f aca="false">BA27*(1-Assumptions!$E$35)+BA28*(1-Assumptions!$E$36)+BA29*(1-Assumptions!$E$37)+BA30*(1-Assumptions!$E$38)+BA31*(1-Assumptions!$E$39)</f>
        <v>83.5955924632031</v>
      </c>
      <c r="BB33" s="37" t="n">
        <f aca="false">BB27*(1-Assumptions!$E$35)+BB28*(1-Assumptions!$E$36)+BB29*(1-Assumptions!$E$37)+BB30*(1-Assumptions!$E$38)+BB31*(1-Assumptions!$E$39)</f>
        <v>87.0975052208901</v>
      </c>
      <c r="BC33" s="37" t="n">
        <f aca="false">BC27*(1-Assumptions!$E$35)+BC28*(1-Assumptions!$E$36)+BC29*(1-Assumptions!$E$37)+BC30*(1-Assumptions!$E$38)+BC31*(1-Assumptions!$E$39)</f>
        <v>90.5940402032901</v>
      </c>
      <c r="BD33" s="37" t="n">
        <f aca="false">BD27*(1-Assumptions!$E$35)+BD28*(1-Assumptions!$E$36)+BD29*(1-Assumptions!$E$37)+BD30*(1-Assumptions!$E$38)+BD31*(1-Assumptions!$E$39)</f>
        <v>94.1180330292339</v>
      </c>
      <c r="BE33" s="37" t="n">
        <f aca="false">BE27*(1-Assumptions!$E$35)+BE28*(1-Assumptions!$E$36)+BE29*(1-Assumptions!$E$37)+BE30*(1-Assumptions!$E$38)+BE31*(1-Assumptions!$E$39)</f>
        <v>97.650057283101</v>
      </c>
      <c r="BF33" s="37" t="n">
        <f aca="false">BF27*(1-Assumptions!$E$35)+BF28*(1-Assumptions!$E$36)+BF29*(1-Assumptions!$E$37)+BF30*(1-Assumptions!$E$38)+BF31*(1-Assumptions!$E$39)</f>
        <v>101.167532407648</v>
      </c>
      <c r="BG33" s="37" t="n">
        <f aca="false">BG27*(1-Assumptions!$E$35)+BG28*(1-Assumptions!$E$36)+BG29*(1-Assumptions!$E$37)+BG30*(1-Assumptions!$E$38)+BG31*(1-Assumptions!$E$39)</f>
        <v>104.703846306501</v>
      </c>
      <c r="BH33" s="37" t="n">
        <f aca="false">BH27*(1-Assumptions!$E$35)+BH28*(1-Assumptions!$E$36)+BH29*(1-Assumptions!$E$37)+BH30*(1-Assumptions!$E$38)+BH31*(1-Assumptions!$E$39)</f>
        <v>108.240096237373</v>
      </c>
      <c r="BI33" s="37" t="n">
        <f aca="false">BI27*(1-Assumptions!$E$35)+BI28*(1-Assumptions!$E$36)+BI29*(1-Assumptions!$E$37)+BI30*(1-Assumptions!$E$38)+BI31*(1-Assumptions!$E$39)</f>
        <v>111.754198167191</v>
      </c>
      <c r="BJ33" s="37" t="n">
        <f aca="false">BJ27*(1-Assumptions!$E$35)+BJ28*(1-Assumptions!$E$36)+BJ29*(1-Assumptions!$E$37)+BJ30*(1-Assumptions!$E$38)+BJ31*(1-Assumptions!$E$39)</f>
        <v>115.28001076019</v>
      </c>
      <c r="BK33" s="37" t="n">
        <f aca="false">BK27*(1-Assumptions!$E$35)+BK28*(1-Assumptions!$E$36)+BK29*(1-Assumptions!$E$37)+BK30*(1-Assumptions!$E$38)+BK31*(1-Assumptions!$E$39)</f>
        <v>118.799077584192</v>
      </c>
    </row>
    <row r="34" customFormat="false" ht="15" hidden="false" customHeight="false" outlineLevel="0" collapsed="false">
      <c r="A34" s="28" t="s">
        <v>584</v>
      </c>
      <c r="B34" s="6" t="s">
        <v>585</v>
      </c>
      <c r="C34" s="42"/>
      <c r="D34" s="26" t="n">
        <f aca="false">D27*Assumptions!$E$35+D28*Assumptions!$E$36+D29*Assumptions!$E$37+D30*Assumptions!$E$38+D31*Assumptions!$E$39</f>
        <v>0</v>
      </c>
      <c r="E34" s="26" t="n">
        <f aca="false">E27*Assumptions!$E$35+E28*Assumptions!$E$36+E29*Assumptions!$E$37+E30*Assumptions!$E$38+E31*Assumptions!$E$39</f>
        <v>0</v>
      </c>
      <c r="F34" s="26" t="n">
        <f aca="false">F27*Assumptions!$E$35+F28*Assumptions!$E$36+F29*Assumptions!$E$37+F30*Assumptions!$E$38+F31*Assumptions!$E$39</f>
        <v>0</v>
      </c>
      <c r="G34" s="26" t="n">
        <f aca="false">G27*Assumptions!$E$35+G28*Assumptions!$E$36+G29*Assumptions!$E$37+G30*Assumptions!$E$38+G31*Assumptions!$E$39</f>
        <v>0</v>
      </c>
      <c r="H34" s="26" t="n">
        <f aca="false">H27*Assumptions!$E$35+H28*Assumptions!$E$36+H29*Assumptions!$E$37+H30*Assumptions!$E$38+H31*Assumptions!$E$39</f>
        <v>0</v>
      </c>
      <c r="I34" s="26" t="n">
        <f aca="false">I27*Assumptions!$E$35+I28*Assumptions!$E$36+I29*Assumptions!$E$37+I30*Assumptions!$E$38+I31*Assumptions!$E$39</f>
        <v>0</v>
      </c>
      <c r="J34" s="26" t="n">
        <f aca="false">J27*Assumptions!$E$35+J28*Assumptions!$E$36+J29*Assumptions!$E$37+J30*Assumptions!$E$38+J31*Assumptions!$E$39</f>
        <v>0</v>
      </c>
      <c r="K34" s="26" t="n">
        <f aca="false">K27*Assumptions!$E$35+K28*Assumptions!$E$36+K29*Assumptions!$E$37+K30*Assumptions!$E$38+K31*Assumptions!$E$39</f>
        <v>0</v>
      </c>
      <c r="L34" s="26" t="n">
        <f aca="false">L27*Assumptions!$E$35+L28*Assumptions!$E$36+L29*Assumptions!$E$37+L30*Assumptions!$E$38+L31*Assumptions!$E$39</f>
        <v>0</v>
      </c>
      <c r="M34" s="26" t="n">
        <f aca="false">M27*Assumptions!$E$35+M28*Assumptions!$E$36+M29*Assumptions!$E$37+M30*Assumptions!$E$38+M31*Assumptions!$E$39</f>
        <v>0</v>
      </c>
      <c r="N34" s="26" t="n">
        <f aca="false">N27*Assumptions!$E$35+N28*Assumptions!$E$36+N29*Assumptions!$E$37+N30*Assumptions!$E$38+N31*Assumptions!$E$39</f>
        <v>0</v>
      </c>
      <c r="O34" s="26" t="n">
        <f aca="false">O27*Assumptions!$E$35+O28*Assumptions!$E$36+O29*Assumptions!$E$37+O30*Assumptions!$E$38+O31*Assumptions!$E$39</f>
        <v>0.306148087764283</v>
      </c>
      <c r="P34" s="26" t="n">
        <f aca="false">P27*Assumptions!$E$35+P28*Assumptions!$E$36+P29*Assumptions!$E$37+P30*Assumptions!$E$38+P31*Assumptions!$E$39</f>
        <v>0.644253003292925</v>
      </c>
      <c r="Q34" s="26" t="n">
        <f aca="false">Q27*Assumptions!$E$35+Q28*Assumptions!$E$36+Q29*Assumptions!$E$37+Q30*Assumptions!$E$38+Q31*Assumptions!$E$39</f>
        <v>1.02345831031885</v>
      </c>
      <c r="R34" s="26" t="n">
        <f aca="false">R27*Assumptions!$E$35+R28*Assumptions!$E$36+R29*Assumptions!$E$37+R30*Assumptions!$E$38+R31*Assumptions!$E$39</f>
        <v>1.45752184161045</v>
      </c>
      <c r="S34" s="26" t="n">
        <f aca="false">S27*Assumptions!$E$35+S28*Assumptions!$E$36+S29*Assumptions!$E$37+S30*Assumptions!$E$38+S31*Assumptions!$E$39</f>
        <v>1.92087672814973</v>
      </c>
      <c r="T34" s="26" t="n">
        <f aca="false">T27*Assumptions!$E$35+T28*Assumptions!$E$36+T29*Assumptions!$E$37+T30*Assumptions!$E$38+T31*Assumptions!$E$39</f>
        <v>2.42139975137518</v>
      </c>
      <c r="U34" s="26" t="n">
        <f aca="false">U27*Assumptions!$E$35+U28*Assumptions!$E$36+U29*Assumptions!$E$37+U30*Assumptions!$E$38+U31*Assumptions!$E$39</f>
        <v>3.06302316570541</v>
      </c>
      <c r="V34" s="26" t="n">
        <f aca="false">V27*Assumptions!$E$35+V28*Assumptions!$E$36+V29*Assumptions!$E$37+V30*Assumptions!$E$38+V31*Assumptions!$E$39</f>
        <v>3.76762490311224</v>
      </c>
      <c r="W34" s="26" t="n">
        <f aca="false">W27*Assumptions!$E$35+W28*Assumptions!$E$36+W29*Assumptions!$E$37+W30*Assumptions!$E$38+W31*Assumptions!$E$39</f>
        <v>4.53701902513754</v>
      </c>
      <c r="X34" s="26" t="n">
        <f aca="false">X27*Assumptions!$E$35+X28*Assumptions!$E$36+X29*Assumptions!$E$37+X30*Assumptions!$E$38+X31*Assumptions!$E$39</f>
        <v>5.36818559441598</v>
      </c>
      <c r="Y34" s="26" t="n">
        <f aca="false">Y27*Assumptions!$E$35+Y28*Assumptions!$E$36+Y29*Assumptions!$E$37+Y30*Assumptions!$E$38+Y31*Assumptions!$E$39</f>
        <v>6.26291619231572</v>
      </c>
      <c r="Z34" s="26" t="n">
        <f aca="false">Z27*Assumptions!$E$35+Z28*Assumptions!$E$36+Z29*Assumptions!$E$37+Z30*Assumptions!$E$38+Z31*Assumptions!$E$39</f>
        <v>7.21663058631849</v>
      </c>
      <c r="AA34" s="26" t="n">
        <f aca="false">AA27*Assumptions!$E$35+AA28*Assumptions!$E$36+AA29*Assumptions!$E$37+AA30*Assumptions!$E$38+AA31*Assumptions!$E$39</f>
        <v>8.22506952692406</v>
      </c>
      <c r="AB34" s="26" t="n">
        <f aca="false">AB27*Assumptions!$E$35+AB28*Assumptions!$E$36+AB29*Assumptions!$E$37+AB30*Assumptions!$E$38+AB31*Assumptions!$E$39</f>
        <v>9.28427219282741</v>
      </c>
      <c r="AC34" s="26" t="n">
        <f aca="false">AC27*Assumptions!$E$35+AC28*Assumptions!$E$36+AC29*Assumptions!$E$37+AC30*Assumptions!$E$38+AC31*Assumptions!$E$39</f>
        <v>10.3905552306241</v>
      </c>
      <c r="AD34" s="26" t="n">
        <f aca="false">AD27*Assumptions!$E$35+AD28*Assumptions!$E$36+AD29*Assumptions!$E$37+AD30*Assumptions!$E$38+AD31*Assumptions!$E$39</f>
        <v>11.5404932757751</v>
      </c>
      <c r="AE34" s="26" t="n">
        <f aca="false">AE27*Assumptions!$E$35+AE28*Assumptions!$E$36+AE29*Assumptions!$E$37+AE30*Assumptions!$E$38+AE31*Assumptions!$E$39</f>
        <v>12.7293602485545</v>
      </c>
      <c r="AF34" s="26" t="n">
        <f aca="false">AF27*Assumptions!$E$35+AF28*Assumptions!$E$36+AF29*Assumptions!$E$37+AF30*Assumptions!$E$38+AF31*Assumptions!$E$39</f>
        <v>13.9928374370061</v>
      </c>
      <c r="AG34" s="26" t="n">
        <f aca="false">AG27*Assumptions!$E$35+AG28*Assumptions!$E$36+AG29*Assumptions!$E$37+AG30*Assumptions!$E$38+AG31*Assumptions!$E$39</f>
        <v>15.3204504829734</v>
      </c>
      <c r="AH34" s="26" t="n">
        <f aca="false">AH27*Assumptions!$E$35+AH28*Assumptions!$E$36+AH29*Assumptions!$E$37+AH30*Assumptions!$E$38+AH31*Assumptions!$E$39</f>
        <v>16.6948243514111</v>
      </c>
      <c r="AI34" s="26" t="n">
        <f aca="false">AI27*Assumptions!$E$35+AI28*Assumptions!$E$36+AI29*Assumptions!$E$37+AI30*Assumptions!$E$38+AI31*Assumptions!$E$39</f>
        <v>18.143109404404</v>
      </c>
      <c r="AJ34" s="26" t="n">
        <f aca="false">AJ27*Assumptions!$E$35+AJ28*Assumptions!$E$36+AJ29*Assumptions!$E$37+AJ30*Assumptions!$E$38+AJ31*Assumptions!$E$39</f>
        <v>19.6485458293093</v>
      </c>
      <c r="AK34" s="26" t="n">
        <f aca="false">AK27*Assumptions!$E$35+AK28*Assumptions!$E$36+AK29*Assumptions!$E$37+AK30*Assumptions!$E$38+AK31*Assumptions!$E$39</f>
        <v>21.1926203707751</v>
      </c>
      <c r="AL34" s="26" t="n">
        <f aca="false">AL27*Assumptions!$E$35+AL28*Assumptions!$E$36+AL29*Assumptions!$E$37+AL30*Assumptions!$E$38+AL31*Assumptions!$E$39</f>
        <v>22.795284272141</v>
      </c>
      <c r="AM34" s="26" t="n">
        <f aca="false">AM27*Assumptions!$E$35+AM28*Assumptions!$E$36+AM29*Assumptions!$E$37+AM30*Assumptions!$E$38+AM31*Assumptions!$E$39</f>
        <v>24.4408904594116</v>
      </c>
      <c r="AN34" s="37" t="n">
        <f aca="false">AN27*Assumptions!$E$35+AN28*Assumptions!$E$36+AN29*Assumptions!$E$37+AN30*Assumptions!$E$38+AN31*Assumptions!$E$39</f>
        <v>26.1119599045084</v>
      </c>
      <c r="AO34" s="37" t="n">
        <f aca="false">AO27*Assumptions!$E$35+AO28*Assumptions!$E$36+AO29*Assumptions!$E$37+AO30*Assumptions!$E$38+AO31*Assumptions!$E$39</f>
        <v>27.8294051099226</v>
      </c>
      <c r="AP34" s="37" t="n">
        <f aca="false">AP27*Assumptions!$E$35+AP28*Assumptions!$E$36+AP29*Assumptions!$E$37+AP30*Assumptions!$E$38+AP31*Assumptions!$E$39</f>
        <v>29.5784724428261</v>
      </c>
      <c r="AQ34" s="37" t="n">
        <f aca="false">AQ27*Assumptions!$E$35+AQ28*Assumptions!$E$36+AQ29*Assumptions!$E$37+AQ30*Assumptions!$E$38+AQ31*Assumptions!$E$39</f>
        <v>31.3425132833235</v>
      </c>
      <c r="AR34" s="37" t="n">
        <f aca="false">AR27*Assumptions!$E$35+AR28*Assumptions!$E$36+AR29*Assumptions!$E$37+AR30*Assumptions!$E$38+AR31*Assumptions!$E$39</f>
        <v>33.1432119549557</v>
      </c>
      <c r="AS34" s="37" t="n">
        <f aca="false">AS27*Assumptions!$E$35+AS28*Assumptions!$E$36+AS29*Assumptions!$E$37+AS30*Assumptions!$E$38+AS31*Assumptions!$E$39</f>
        <v>34.9649915885589</v>
      </c>
      <c r="AT34" s="37" t="n">
        <f aca="false">AT27*Assumptions!$E$35+AT28*Assumptions!$E$36+AT29*Assumptions!$E$37+AT30*Assumptions!$E$38+AT31*Assumptions!$E$39</f>
        <v>36.7919989892645</v>
      </c>
      <c r="AU34" s="37" t="n">
        <f aca="false">AU27*Assumptions!$E$35+AU28*Assumptions!$E$36+AU29*Assumptions!$E$37+AU30*Assumptions!$E$38+AU31*Assumptions!$E$39</f>
        <v>38.6466575728808</v>
      </c>
      <c r="AV34" s="37" t="n">
        <f aca="false">AV27*Assumptions!$E$35+AV28*Assumptions!$E$36+AV29*Assumptions!$E$37+AV30*Assumptions!$E$38+AV31*Assumptions!$E$39</f>
        <v>40.5140772001641</v>
      </c>
      <c r="AW34" s="37" t="n">
        <f aca="false">AW27*Assumptions!$E$35+AW28*Assumptions!$E$36+AW29*Assumptions!$E$37+AW30*Assumptions!$E$38+AW31*Assumptions!$E$39</f>
        <v>42.3790427332171</v>
      </c>
      <c r="AX34" s="37" t="n">
        <f aca="false">AX27*Assumptions!$E$35+AX28*Assumptions!$E$36+AX29*Assumptions!$E$37+AX30*Assumptions!$E$38+AX31*Assumptions!$E$39</f>
        <v>44.2645704002284</v>
      </c>
      <c r="AY34" s="37" t="n">
        <f aca="false">AY27*Assumptions!$E$35+AY28*Assumptions!$E$36+AY29*Assumptions!$E$37+AY30*Assumptions!$E$38+AY31*Assumptions!$E$39</f>
        <v>46.1563208156103</v>
      </c>
      <c r="AZ34" s="37" t="n">
        <f aca="false">AZ27*Assumptions!$E$35+AZ28*Assumptions!$E$36+AZ29*Assumptions!$E$37+AZ30*Assumptions!$E$38+AZ31*Assumptions!$E$39</f>
        <v>48.0395904970001</v>
      </c>
      <c r="BA34" s="37" t="n">
        <f aca="false">BA27*Assumptions!$E$35+BA28*Assumptions!$E$36+BA29*Assumptions!$E$37+BA30*Assumptions!$E$38+BA31*Assumptions!$E$39</f>
        <v>49.9378709813371</v>
      </c>
      <c r="BB34" s="37" t="n">
        <f aca="false">BB27*Assumptions!$E$35+BB28*Assumptions!$E$36+BB29*Assumptions!$E$37+BB30*Assumptions!$E$38+BB31*Assumptions!$E$39</f>
        <v>51.8372644019331</v>
      </c>
      <c r="BC34" s="37" t="n">
        <f aca="false">BC27*Assumptions!$E$35+BC28*Assumptions!$E$36+BC29*Assumptions!$E$37+BC30*Assumptions!$E$38+BC31*Assumptions!$E$39</f>
        <v>53.72193678072</v>
      </c>
      <c r="BD34" s="37" t="n">
        <f aca="false">BD27*Assumptions!$E$35+BD28*Assumptions!$E$36+BD29*Assumptions!$E$37+BD30*Assumptions!$E$38+BD31*Assumptions!$E$39</f>
        <v>55.6158892333955</v>
      </c>
      <c r="BE34" s="37" t="n">
        <f aca="false">BE27*Assumptions!$E$35+BE28*Assumptions!$E$36+BE29*Assumptions!$E$37+BE30*Assumptions!$E$38+BE31*Assumptions!$E$39</f>
        <v>57.5056970386109</v>
      </c>
      <c r="BF34" s="37" t="n">
        <f aca="false">BF27*Assumptions!$E$35+BF28*Assumptions!$E$36+BF29*Assumptions!$E$37+BF30*Assumptions!$E$38+BF31*Assumptions!$E$39</f>
        <v>59.3759654945164</v>
      </c>
      <c r="BG34" s="37" t="n">
        <f aca="false">BG27*Assumptions!$E$35+BG28*Assumptions!$E$36+BG29*Assumptions!$E$37+BG30*Assumptions!$E$38+BG31*Assumptions!$E$39</f>
        <v>61.2511035071614</v>
      </c>
      <c r="BH34" s="37" t="n">
        <f aca="false">BH27*Assumptions!$E$35+BH28*Assumptions!$E$36+BH29*Assumptions!$E$37+BH30*Assumptions!$E$38+BH31*Assumptions!$E$39</f>
        <v>63.1180648747348</v>
      </c>
      <c r="BI34" s="37" t="n">
        <f aca="false">BI27*Assumptions!$E$35+BI28*Assumptions!$E$36+BI29*Assumptions!$E$37+BI30*Assumptions!$E$38+BI31*Assumptions!$E$39</f>
        <v>64.9618062028901</v>
      </c>
      <c r="BJ34" s="37" t="n">
        <f aca="false">BJ27*Assumptions!$E$35+BJ28*Assumptions!$E$36+BJ29*Assumptions!$E$37+BJ30*Assumptions!$E$38+BJ31*Assumptions!$E$39</f>
        <v>66.8070624067337</v>
      </c>
      <c r="BK34" s="37" t="n">
        <f aca="false">BK27*Assumptions!$E$35+BK28*Assumptions!$E$36+BK29*Assumptions!$E$37+BK30*Assumptions!$E$38+BK31*Assumptions!$E$39</f>
        <v>68.6410897737501</v>
      </c>
    </row>
    <row r="35" customFormat="false" ht="15" hidden="false" customHeight="false" outlineLevel="0" collapsed="false">
      <c r="A35" s="28" t="s">
        <v>586</v>
      </c>
      <c r="B35" s="6" t="s">
        <v>587</v>
      </c>
      <c r="C35" s="42"/>
      <c r="D35" s="26" t="n">
        <f aca="false">MAX(0,D32-C32*(1-Assumptions!$E$41))</f>
        <v>0</v>
      </c>
      <c r="E35" s="26" t="n">
        <f aca="false">MAX(0,E32-D32*(1-Assumptions!$E$41))</f>
        <v>0</v>
      </c>
      <c r="F35" s="26" t="n">
        <f aca="false">MAX(0,F32-E32*(1-Assumptions!$E$41))</f>
        <v>0</v>
      </c>
      <c r="G35" s="26" t="n">
        <f aca="false">MAX(0,G32-F32*(1-Assumptions!$E$41))</f>
        <v>0</v>
      </c>
      <c r="H35" s="26" t="n">
        <f aca="false">MAX(0,H32-G32*(1-Assumptions!$E$41))</f>
        <v>0</v>
      </c>
      <c r="I35" s="26" t="n">
        <f aca="false">MAX(0,I32-H32*(1-Assumptions!$E$41))</f>
        <v>0</v>
      </c>
      <c r="J35" s="26" t="n">
        <f aca="false">MAX(0,J32-I32*(1-Assumptions!$E$41))</f>
        <v>0</v>
      </c>
      <c r="K35" s="26" t="n">
        <f aca="false">MAX(0,K32-J32*(1-Assumptions!$E$41))</f>
        <v>0</v>
      </c>
      <c r="L35" s="26" t="n">
        <f aca="false">MAX(0,L32-K32*(1-Assumptions!$E$41))</f>
        <v>0</v>
      </c>
      <c r="M35" s="26" t="n">
        <f aca="false">MAX(0,M32-L32*(1-Assumptions!$E$41))</f>
        <v>0</v>
      </c>
      <c r="N35" s="26" t="n">
        <f aca="false">MAX(0,N32-M32*(1-Assumptions!$E$41))</f>
        <v>0</v>
      </c>
      <c r="O35" s="26" t="n">
        <f aca="false">MAX(0,O32-N32*(1-Assumptions!$E$41))</f>
        <v>0.360174220899156</v>
      </c>
      <c r="P35" s="26" t="n">
        <f aca="false">MAX(0,P32-O32*(1-Assumptions!$E$41))</f>
        <v>0.4085757154842</v>
      </c>
      <c r="Q35" s="26" t="n">
        <f aca="false">MAX(0,Q32-P32*(1-Assumptions!$E$41))</f>
        <v>0.468862231911429</v>
      </c>
      <c r="R35" s="26" t="n">
        <f aca="false">MAX(0,R32-Q32*(1-Assumptions!$E$41))</f>
        <v>0.546785036001364</v>
      </c>
      <c r="S35" s="26" t="n">
        <f aca="false">MAX(0,S32-R32*(1-Assumptions!$E$41))</f>
        <v>0.596565343279529</v>
      </c>
      <c r="T35" s="26" t="n">
        <f aca="false">MAX(0,T32-S32*(1-Assumptions!$E$41))</f>
        <v>0.656646264788165</v>
      </c>
      <c r="U35" s="26" t="n">
        <f aca="false">MAX(0,U32-T32*(1-Assumptions!$E$41))</f>
        <v>1.85094602923564</v>
      </c>
      <c r="V35" s="26" t="n">
        <f aca="false">MAX(0,V32-U32*(1-Assumptions!$E$41))</f>
        <v>2.06397509285552</v>
      </c>
      <c r="W35" s="26" t="n">
        <f aca="false">MAX(0,W32-V32*(1-Assumptions!$E$41))</f>
        <v>2.28761997358564</v>
      </c>
      <c r="X35" s="26" t="n">
        <f aca="false">MAX(0,X32-W32*(1-Assumptions!$E$41))</f>
        <v>2.51035793341229</v>
      </c>
      <c r="Y35" s="26" t="n">
        <f aca="false">MAX(0,Y32-X32*(1-Assumptions!$E$41))</f>
        <v>2.74348380096941</v>
      </c>
      <c r="Z35" s="26" t="n">
        <f aca="false">MAX(0,Z32-Y32*(1-Assumptions!$E$41))</f>
        <v>2.97175999542519</v>
      </c>
      <c r="AA35" s="26" t="n">
        <f aca="false">MAX(0,AA32-Z32*(1-Assumptions!$E$41))</f>
        <v>3.1954764175862</v>
      </c>
      <c r="AB35" s="26" t="n">
        <f aca="false">MAX(0,AB32-AA32*(1-Assumptions!$E$41))</f>
        <v>3.4149043948169</v>
      </c>
      <c r="AC35" s="26" t="n">
        <f aca="false">MAX(0,AC32-AB32*(1-Assumptions!$E$41))</f>
        <v>3.63029791734157</v>
      </c>
      <c r="AD35" s="26" t="n">
        <f aca="false">MAX(0,AD32-AC32*(1-Assumptions!$E$41))</f>
        <v>3.84189479023129</v>
      </c>
      <c r="AE35" s="26" t="n">
        <f aca="false">MAX(0,AE32-AD32*(1-Assumptions!$E$41))</f>
        <v>4.04619524390214</v>
      </c>
      <c r="AF35" s="26" t="n">
        <f aca="false">MAX(0,AF32-AE32*(1-Assumptions!$E$41))</f>
        <v>4.34034707831333</v>
      </c>
      <c r="AG35" s="26" t="n">
        <f aca="false">MAX(0,AG32-AF32*(1-Assumptions!$E$41))</f>
        <v>4.61642863048667</v>
      </c>
      <c r="AH35" s="26" t="n">
        <f aca="false">MAX(0,AH32-AG32*(1-Assumptions!$E$41))</f>
        <v>4.85668369017594</v>
      </c>
      <c r="AI35" s="26" t="n">
        <f aca="false">MAX(0,AI32-AH32*(1-Assumptions!$E$41))</f>
        <v>5.16692280049147</v>
      </c>
      <c r="AJ35" s="26" t="n">
        <f aca="false">MAX(0,AJ32-AI32*(1-Assumptions!$E$41))</f>
        <v>5.4437857377095</v>
      </c>
      <c r="AK35" s="26" t="n">
        <f aca="false">MAX(0,AK32-AJ32*(1-Assumptions!$E$41))</f>
        <v>5.68132057169098</v>
      </c>
      <c r="AL35" s="26" t="n">
        <f aca="false">MAX(0,AL32-AK32*(1-Assumptions!$E$41))</f>
        <v>5.9705840219896</v>
      </c>
      <c r="AM35" s="26" t="n">
        <f aca="false">MAX(0,AM32-AL32*(1-Assumptions!$E$41))</f>
        <v>6.22757768649812</v>
      </c>
      <c r="AN35" s="37" t="n">
        <f aca="false">MAX(0,AN32-AM32*(1-Assumptions!$E$41))</f>
        <v>6.44628196346591</v>
      </c>
      <c r="AO35" s="37" t="n">
        <f aca="false">MAX(0,AO32-AN32*(1-Assumptions!$E$41))</f>
        <v>6.71769031529955</v>
      </c>
      <c r="AP35" s="37" t="n">
        <f aca="false">MAX(0,AP32-AO32*(1-Assumptions!$E$41))</f>
        <v>6.95774519945883</v>
      </c>
      <c r="AQ35" s="37" t="n">
        <f aca="false">MAX(0,AQ32-AP32*(1-Assumptions!$E$41))</f>
        <v>7.16037171322053</v>
      </c>
      <c r="AR35" s="37" t="n">
        <f aca="false">MAX(0,AR32-AQ32*(1-Assumptions!$E$41))</f>
        <v>7.41651159929241</v>
      </c>
      <c r="AS35" s="37" t="n">
        <f aca="false">MAX(0,AS32-AR32*(1-Assumptions!$E$41))</f>
        <v>7.63833647324204</v>
      </c>
      <c r="AT35" s="37" t="n">
        <f aca="false">MAX(0,AT32-AS32*(1-Assumptions!$E$41))</f>
        <v>7.8236038125675</v>
      </c>
      <c r="AU35" s="37" t="n">
        <f aca="false">MAX(0,AU32-AT32*(1-Assumptions!$E$41))</f>
        <v>8.06320438415847</v>
      </c>
      <c r="AV35" s="37" t="n">
        <f aca="false">MAX(0,AV32-AU32*(1-Assumptions!$E$41))</f>
        <v>8.2692620842715</v>
      </c>
      <c r="AW35" s="37" t="n">
        <f aca="false">MAX(0,AW32-AV32*(1-Assumptions!$E$41))</f>
        <v>8.43948971058262</v>
      </c>
      <c r="AX35" s="37" t="n">
        <f aca="false">MAX(0,AX32-AW32*(1-Assumptions!$E$41))</f>
        <v>8.66473618745346</v>
      </c>
      <c r="AY35" s="37" t="n">
        <f aca="false">MAX(0,AY32-AX32*(1-Assumptions!$E$41))</f>
        <v>8.85708621750665</v>
      </c>
      <c r="AZ35" s="37" t="n">
        <f aca="false">MAX(0,AZ32-AY32*(1-Assumptions!$E$41))</f>
        <v>9.01421587811714</v>
      </c>
      <c r="BA35" s="37" t="n">
        <f aca="false">MAX(0,BA32-AZ32*(1-Assumptions!$E$41))</f>
        <v>9.22693968306496</v>
      </c>
      <c r="BB35" s="37" t="n">
        <f aca="false">MAX(0,BB32-BA32*(1-Assumptions!$E$41))</f>
        <v>9.40731008161927</v>
      </c>
      <c r="BC35" s="37" t="n">
        <f aca="false">MAX(0,BC32-BB32*(1-Assumptions!$E$41))</f>
        <v>9.54925044987149</v>
      </c>
      <c r="BD35" s="37" t="n">
        <f aca="false">MAX(0,BD32-BC32*(1-Assumptions!$E$41))</f>
        <v>9.74742458813964</v>
      </c>
      <c r="BE35" s="37" t="n">
        <f aca="false">MAX(0,BE32-BD32*(1-Assumptions!$E$41))</f>
        <v>9.91384972696136</v>
      </c>
      <c r="BF35" s="37" t="n">
        <f aca="false">MAX(0,BF32-BE32*(1-Assumptions!$E$41))</f>
        <v>10.0424162101036</v>
      </c>
      <c r="BG35" s="37" t="n">
        <f aca="false">MAX(0,BG32-BF32*(1-Assumptions!$E$41))</f>
        <v>10.2277568485638</v>
      </c>
      <c r="BH35" s="37" t="n">
        <f aca="false">MAX(0,BH32-BG32*(1-Assumptions!$E$41))</f>
        <v>10.3818597928549</v>
      </c>
      <c r="BI35" s="37" t="n">
        <f aca="false">MAX(0,BI32-BH32*(1-Assumptions!$E$41))</f>
        <v>10.4985880913369</v>
      </c>
      <c r="BJ35" s="37" t="n">
        <f aca="false">MAX(0,BJ32-BI32*(1-Assumptions!$E$41))</f>
        <v>10.6725489279442</v>
      </c>
      <c r="BK35" s="37" t="n">
        <f aca="false">MAX(0,BK32-BJ32*(1-Assumptions!$E$41))</f>
        <v>10.8157063860269</v>
      </c>
    </row>
    <row r="36" customFormat="false" ht="15" hidden="false" customHeight="false" outlineLevel="0" collapsed="false">
      <c r="B36" s="5" t="s">
        <v>588</v>
      </c>
    </row>
    <row r="37" customFormat="false" ht="15" hidden="false" customHeight="false" outlineLevel="0" collapsed="false">
      <c r="A37" s="28" t="s">
        <v>589</v>
      </c>
      <c r="B37" s="6" t="s">
        <v>590</v>
      </c>
      <c r="C37" s="43"/>
      <c r="D37" s="17" t="n">
        <f aca="false">D33*Assumptions!$E$42</f>
        <v>0</v>
      </c>
      <c r="E37" s="17" t="n">
        <f aca="false">E33*Assumptions!$E$42</f>
        <v>0</v>
      </c>
      <c r="F37" s="17" t="n">
        <f aca="false">F33*Assumptions!$E$42</f>
        <v>0</v>
      </c>
      <c r="G37" s="17" t="n">
        <f aca="false">G33*Assumptions!$E$42</f>
        <v>0</v>
      </c>
      <c r="H37" s="17" t="n">
        <f aca="false">H33*Assumptions!$E$42</f>
        <v>0</v>
      </c>
      <c r="I37" s="17" t="n">
        <f aca="false">I33*Assumptions!$E$42</f>
        <v>0</v>
      </c>
      <c r="J37" s="17" t="n">
        <f aca="false">J33*Assumptions!$E$42</f>
        <v>0</v>
      </c>
      <c r="K37" s="17" t="n">
        <f aca="false">K33*Assumptions!$E$42</f>
        <v>0</v>
      </c>
      <c r="L37" s="17" t="n">
        <f aca="false">L33*Assumptions!$E$42</f>
        <v>0</v>
      </c>
      <c r="M37" s="17" t="n">
        <f aca="false">M33*Assumptions!$E$42</f>
        <v>0</v>
      </c>
      <c r="N37" s="17" t="n">
        <f aca="false">N33*Assumptions!$E$42</f>
        <v>0</v>
      </c>
      <c r="O37" s="17" t="n">
        <f aca="false">O33*Assumptions!$E$42</f>
        <v>2.10701919226007</v>
      </c>
      <c r="P37" s="17" t="n">
        <f aca="false">P33*Assumptions!$E$42</f>
        <v>4.43397655207484</v>
      </c>
      <c r="Q37" s="17" t="n">
        <f aca="false">Q33*Assumptions!$E$42</f>
        <v>7.04380131219445</v>
      </c>
      <c r="R37" s="17" t="n">
        <f aca="false">R33*Assumptions!$E$42</f>
        <v>10.0311797334366</v>
      </c>
      <c r="S37" s="17" t="n">
        <f aca="false">S33*Assumptions!$E$42</f>
        <v>13.2201515996187</v>
      </c>
      <c r="T37" s="17" t="n">
        <f aca="false">T33*Assumptions!$E$42</f>
        <v>16.664927700641</v>
      </c>
      <c r="U37" s="17" t="n">
        <f aca="false">U33*Assumptions!$E$42</f>
        <v>60.4955241418238</v>
      </c>
      <c r="V37" s="17" t="n">
        <f aca="false">V33*Assumptions!$E$42</f>
        <v>108.112482176193</v>
      </c>
      <c r="W37" s="17" t="n">
        <f aca="false">W33*Assumptions!$E$42</f>
        <v>159.671794785119</v>
      </c>
      <c r="X37" s="17" t="n">
        <f aca="false">X33*Assumptions!$E$42</f>
        <v>215.061791883375</v>
      </c>
      <c r="Y37" s="17" t="n">
        <f aca="false">Y33*Assumptions!$E$42</f>
        <v>274.430535901124</v>
      </c>
      <c r="Z37" s="17" t="n">
        <f aca="false">Z33*Assumptions!$E$42</f>
        <v>337.573786334555</v>
      </c>
      <c r="AA37" s="17" t="n">
        <f aca="false">AA33*Assumptions!$E$42</f>
        <v>404.297576560771</v>
      </c>
      <c r="AB37" s="17" t="n">
        <f aca="false">AB33*Assumptions!$E$42</f>
        <v>474.417685345075</v>
      </c>
      <c r="AC37" s="17" t="n">
        <f aca="false">AC33*Assumptions!$E$42</f>
        <v>547.759136621366</v>
      </c>
      <c r="AD37" s="17" t="n">
        <f aca="false">AD33*Assumptions!$E$42</f>
        <v>624.155725961026</v>
      </c>
      <c r="AE37" s="17" t="n">
        <f aca="false">AE33*Assumptions!$E$42</f>
        <v>703.364479623326</v>
      </c>
      <c r="AF37" s="17" t="n">
        <f aca="false">AF33*Assumptions!$E$42</f>
        <v>787.368119448425</v>
      </c>
      <c r="AG37" s="17" t="n">
        <f aca="false">AG33*Assumptions!$E$42</f>
        <v>875.639263859927</v>
      </c>
      <c r="AH37" s="17" t="n">
        <f aca="false">AH33*Assumptions!$E$42</f>
        <v>967.255241926843</v>
      </c>
      <c r="AI37" s="17" t="n">
        <f aca="false">AI33*Assumptions!$E$42</f>
        <v>1063.73151233033</v>
      </c>
      <c r="AJ37" s="17" t="n">
        <f aca="false">AJ33*Assumptions!$E$42</f>
        <v>1164.18775215663</v>
      </c>
      <c r="AK37" s="17" t="n">
        <f aca="false">AK33*Assumptions!$E$42</f>
        <v>1267.62591615042</v>
      </c>
      <c r="AL37" s="17" t="n">
        <f aca="false">AL33*Assumptions!$E$42</f>
        <v>1375.15065753643</v>
      </c>
      <c r="AM37" s="17" t="n">
        <f aca="false">AM33*Assumptions!$E$42</f>
        <v>1485.9225436818</v>
      </c>
      <c r="AN37" s="44" t="n">
        <f aca="false">AN33*Assumptions!$E$42</f>
        <v>1598.98231375023</v>
      </c>
      <c r="AO37" s="44" t="n">
        <f aca="false">AO33*Assumptions!$E$42</f>
        <v>1715.47141053498</v>
      </c>
      <c r="AP37" s="44" t="n">
        <f aca="false">AP33*Assumptions!$E$42</f>
        <v>1834.58530103598</v>
      </c>
      <c r="AQ37" s="44" t="n">
        <f aca="false">AQ33*Assumptions!$E$42</f>
        <v>1955.39783328299</v>
      </c>
      <c r="AR37" s="44" t="n">
        <f aca="false">AR33*Assumptions!$E$42</f>
        <v>2079.08186192176</v>
      </c>
      <c r="AS37" s="44" t="n">
        <f aca="false">AS33*Assumptions!$E$42</f>
        <v>2204.77756482273</v>
      </c>
      <c r="AT37" s="44" t="n">
        <f aca="false">AT33*Assumptions!$E$42</f>
        <v>2331.59245778204</v>
      </c>
      <c r="AU37" s="44" t="n">
        <f aca="false">AU33*Assumptions!$E$42</f>
        <v>2460.73133145229</v>
      </c>
      <c r="AV37" s="44" t="n">
        <f aca="false">AV33*Assumptions!$E$42</f>
        <v>2591.36465797099</v>
      </c>
      <c r="AW37" s="44" t="n">
        <f aca="false">AW33*Assumptions!$E$42</f>
        <v>2722.62869083132</v>
      </c>
      <c r="AX37" s="44" t="n">
        <f aca="false">AX33*Assumptions!$E$42</f>
        <v>2855.75548240576</v>
      </c>
      <c r="AY37" s="44" t="n">
        <f aca="false">AY33*Assumptions!$E$42</f>
        <v>2989.94136684819</v>
      </c>
      <c r="AZ37" s="44" t="n">
        <f aca="false">AZ33*Assumptions!$E$42</f>
        <v>3124.34713216084</v>
      </c>
      <c r="BA37" s="44" t="n">
        <f aca="false">BA33*Assumptions!$E$42</f>
        <v>3260.22810606492</v>
      </c>
      <c r="BB37" s="44" t="n">
        <f aca="false">BB33*Assumptions!$E$42</f>
        <v>3396.80270361472</v>
      </c>
      <c r="BC37" s="44" t="n">
        <f aca="false">BC33*Assumptions!$E$42</f>
        <v>3533.16756792831</v>
      </c>
      <c r="BD37" s="44" t="n">
        <f aca="false">BD33*Assumptions!$E$42</f>
        <v>3670.60328814012</v>
      </c>
      <c r="BE37" s="44" t="n">
        <f aca="false">BE33*Assumptions!$E$42</f>
        <v>3808.35223404094</v>
      </c>
      <c r="BF37" s="44" t="n">
        <f aca="false">BF33*Assumptions!$E$42</f>
        <v>3945.53376389826</v>
      </c>
      <c r="BG37" s="44" t="n">
        <f aca="false">BG33*Assumptions!$E$42</f>
        <v>4083.45000595356</v>
      </c>
      <c r="BH37" s="44" t="n">
        <f aca="false">BH33*Assumptions!$E$42</f>
        <v>4221.36375325755</v>
      </c>
      <c r="BI37" s="44" t="n">
        <f aca="false">BI33*Assumptions!$E$42</f>
        <v>4358.41372852047</v>
      </c>
      <c r="BJ37" s="44" t="n">
        <f aca="false">BJ33*Assumptions!$E$42</f>
        <v>4495.92041964739</v>
      </c>
      <c r="BK37" s="44" t="n">
        <f aca="false">BK33*Assumptions!$E$42</f>
        <v>4633.16402578351</v>
      </c>
    </row>
    <row r="38" customFormat="false" ht="15" hidden="false" customHeight="false" outlineLevel="0" collapsed="false">
      <c r="A38" s="28" t="s">
        <v>591</v>
      </c>
      <c r="B38" s="6" t="s">
        <v>592</v>
      </c>
      <c r="C38" s="43"/>
      <c r="D38" s="17" t="n">
        <f aca="false">D34*Assumptions!$E$43</f>
        <v>0</v>
      </c>
      <c r="E38" s="17" t="n">
        <f aca="false">E34*Assumptions!$E$43</f>
        <v>0</v>
      </c>
      <c r="F38" s="17" t="n">
        <f aca="false">F34*Assumptions!$E$43</f>
        <v>0</v>
      </c>
      <c r="G38" s="17" t="n">
        <f aca="false">G34*Assumptions!$E$43</f>
        <v>0</v>
      </c>
      <c r="H38" s="17" t="n">
        <f aca="false">H34*Assumptions!$E$43</f>
        <v>0</v>
      </c>
      <c r="I38" s="17" t="n">
        <f aca="false">I34*Assumptions!$E$43</f>
        <v>0</v>
      </c>
      <c r="J38" s="17" t="n">
        <f aca="false">J34*Assumptions!$E$43</f>
        <v>0</v>
      </c>
      <c r="K38" s="17" t="n">
        <f aca="false">K34*Assumptions!$E$43</f>
        <v>0</v>
      </c>
      <c r="L38" s="17" t="n">
        <f aca="false">L34*Assumptions!$E$43</f>
        <v>0</v>
      </c>
      <c r="M38" s="17" t="n">
        <f aca="false">M34*Assumptions!$E$43</f>
        <v>0</v>
      </c>
      <c r="N38" s="17" t="n">
        <f aca="false">N34*Assumptions!$E$43</f>
        <v>0</v>
      </c>
      <c r="O38" s="17" t="n">
        <f aca="false">O34*Assumptions!$E$43</f>
        <v>24.1856989333784</v>
      </c>
      <c r="P38" s="17" t="n">
        <f aca="false">P34*Assumptions!$E$43</f>
        <v>50.8959872601411</v>
      </c>
      <c r="Q38" s="17" t="n">
        <f aca="false">Q34*Assumptions!$E$43</f>
        <v>80.8532065151893</v>
      </c>
      <c r="R38" s="17" t="n">
        <f aca="false">R34*Assumptions!$E$43</f>
        <v>115.144225487225</v>
      </c>
      <c r="S38" s="17" t="n">
        <f aca="false">S34*Assumptions!$E$43</f>
        <v>151.749261523829</v>
      </c>
      <c r="T38" s="17" t="n">
        <f aca="false">T34*Assumptions!$E$43</f>
        <v>191.290580358639</v>
      </c>
      <c r="U38" s="17" t="n">
        <f aca="false">U34*Assumptions!$E$43</f>
        <v>241.978830090727</v>
      </c>
      <c r="V38" s="17" t="n">
        <f aca="false">V34*Assumptions!$E$43</f>
        <v>297.642367345867</v>
      </c>
      <c r="W38" s="17" t="n">
        <f aca="false">W34*Assumptions!$E$43</f>
        <v>358.424502985865</v>
      </c>
      <c r="X38" s="17" t="n">
        <f aca="false">X34*Assumptions!$E$43</f>
        <v>424.086661958862</v>
      </c>
      <c r="Y38" s="17" t="n">
        <f aca="false">Y34*Assumptions!$E$43</f>
        <v>494.770379192942</v>
      </c>
      <c r="Z38" s="17" t="n">
        <f aca="false">Z34*Assumptions!$E$43</f>
        <v>570.113816319161</v>
      </c>
      <c r="AA38" s="17" t="n">
        <f aca="false">AA34*Assumptions!$E$43</f>
        <v>649.780492627</v>
      </c>
      <c r="AB38" s="17" t="n">
        <f aca="false">AB34*Assumptions!$E$43</f>
        <v>733.457503233365</v>
      </c>
      <c r="AC38" s="17" t="n">
        <f aca="false">AC34*Assumptions!$E$43</f>
        <v>820.8538632193</v>
      </c>
      <c r="AD38" s="17" t="n">
        <f aca="false">AD34*Assumptions!$E$43</f>
        <v>911.69896878623</v>
      </c>
      <c r="AE38" s="17" t="n">
        <f aca="false">AE34*Assumptions!$E$43</f>
        <v>1005.6194596358</v>
      </c>
      <c r="AF38" s="17" t="n">
        <f aca="false">AF34*Assumptions!$E$43</f>
        <v>1105.43415752348</v>
      </c>
      <c r="AG38" s="17" t="n">
        <f aca="false">AG34*Assumptions!$E$43</f>
        <v>1210.3155881549</v>
      </c>
      <c r="AH38" s="17" t="n">
        <f aca="false">AH34*Assumptions!$E$43</f>
        <v>1318.89112376148</v>
      </c>
      <c r="AI38" s="17" t="n">
        <f aca="false">AI34*Assumptions!$E$43</f>
        <v>1433.30564294792</v>
      </c>
      <c r="AJ38" s="17" t="n">
        <f aca="false">AJ34*Assumptions!$E$43</f>
        <v>1552.23512051543</v>
      </c>
      <c r="AK38" s="17" t="n">
        <f aca="false">AK34*Assumptions!$E$43</f>
        <v>1674.21700929123</v>
      </c>
      <c r="AL38" s="17" t="n">
        <f aca="false">AL34*Assumptions!$E$43</f>
        <v>1800.82745749914</v>
      </c>
      <c r="AM38" s="17" t="n">
        <f aca="false">AM34*Assumptions!$E$43</f>
        <v>1930.83034629352</v>
      </c>
      <c r="AN38" s="44" t="n">
        <f aca="false">AN34*Assumptions!$E$43</f>
        <v>2062.84483245616</v>
      </c>
      <c r="AO38" s="44" t="n">
        <f aca="false">AO34*Assumptions!$E$43</f>
        <v>2198.52300368388</v>
      </c>
      <c r="AP38" s="44" t="n">
        <f aca="false">AP34*Assumptions!$E$43</f>
        <v>2336.69932298326</v>
      </c>
      <c r="AQ38" s="44" t="n">
        <f aca="false">AQ34*Assumptions!$E$43</f>
        <v>2476.05854938256</v>
      </c>
      <c r="AR38" s="44" t="n">
        <f aca="false">AR34*Assumptions!$E$43</f>
        <v>2618.3137444415</v>
      </c>
      <c r="AS38" s="44" t="n">
        <f aca="false">AS34*Assumptions!$E$43</f>
        <v>2762.23433549615</v>
      </c>
      <c r="AT38" s="44" t="n">
        <f aca="false">AT34*Assumptions!$E$43</f>
        <v>2906.5679201519</v>
      </c>
      <c r="AU38" s="44" t="n">
        <f aca="false">AU34*Assumptions!$E$43</f>
        <v>3053.08594825758</v>
      </c>
      <c r="AV38" s="44" t="n">
        <f aca="false">AV34*Assumptions!$E$43</f>
        <v>3200.61209881297</v>
      </c>
      <c r="AW38" s="44" t="n">
        <f aca="false">AW34*Assumptions!$E$43</f>
        <v>3347.94437592415</v>
      </c>
      <c r="AX38" s="44" t="n">
        <f aca="false">AX34*Assumptions!$E$43</f>
        <v>3496.90106161804</v>
      </c>
      <c r="AY38" s="44" t="n">
        <f aca="false">AY34*Assumptions!$E$43</f>
        <v>3646.34934443321</v>
      </c>
      <c r="AZ38" s="44" t="n">
        <f aca="false">AZ34*Assumptions!$E$43</f>
        <v>3795.12764926301</v>
      </c>
      <c r="BA38" s="44" t="n">
        <f aca="false">BA34*Assumptions!$E$43</f>
        <v>3945.09180752563</v>
      </c>
      <c r="BB38" s="44" t="n">
        <f aca="false">BB34*Assumptions!$E$43</f>
        <v>4095.14388775272</v>
      </c>
      <c r="BC38" s="44" t="n">
        <f aca="false">BC34*Assumptions!$E$43</f>
        <v>4244.03300567688</v>
      </c>
      <c r="BD38" s="44" t="n">
        <f aca="false">BD34*Assumptions!$E$43</f>
        <v>4393.65524943824</v>
      </c>
      <c r="BE38" s="44" t="n">
        <f aca="false">BE34*Assumptions!$E$43</f>
        <v>4542.95006605026</v>
      </c>
      <c r="BF38" s="44" t="n">
        <f aca="false">BF34*Assumptions!$E$43</f>
        <v>4690.70127406679</v>
      </c>
      <c r="BG38" s="44" t="n">
        <f aca="false">BG34*Assumptions!$E$43</f>
        <v>4838.83717706575</v>
      </c>
      <c r="BH38" s="44" t="n">
        <f aca="false">BH34*Assumptions!$E$43</f>
        <v>4986.32712510405</v>
      </c>
      <c r="BI38" s="44" t="n">
        <f aca="false">BI34*Assumptions!$E$43</f>
        <v>5131.98269002832</v>
      </c>
      <c r="BJ38" s="44" t="n">
        <f aca="false">BJ34*Assumptions!$E$43</f>
        <v>5277.75793013196</v>
      </c>
      <c r="BK38" s="44" t="n">
        <f aca="false">BK34*Assumptions!$E$43</f>
        <v>5422.64609212625</v>
      </c>
    </row>
    <row r="39" customFormat="false" ht="15" hidden="false" customHeight="false" outlineLevel="0" collapsed="false">
      <c r="A39" s="28" t="s">
        <v>593</v>
      </c>
      <c r="B39" s="6" t="s">
        <v>594</v>
      </c>
      <c r="C39" s="43"/>
      <c r="D39" s="17" t="n">
        <f aca="false">(D33*Assumptions!$E$46+D34*Assumptions!$E$47)*Assumptions!$E$45</f>
        <v>0</v>
      </c>
      <c r="E39" s="17" t="n">
        <f aca="false">(E33*Assumptions!$E$46+E34*Assumptions!$E$47)*Assumptions!$E$45</f>
        <v>0</v>
      </c>
      <c r="F39" s="17" t="n">
        <f aca="false">(F33*Assumptions!$E$46+F34*Assumptions!$E$47)*Assumptions!$E$45</f>
        <v>0</v>
      </c>
      <c r="G39" s="17" t="n">
        <f aca="false">(G33*Assumptions!$E$46+G34*Assumptions!$E$47)*Assumptions!$E$45</f>
        <v>0</v>
      </c>
      <c r="H39" s="17" t="n">
        <f aca="false">(H33*Assumptions!$E$46+H34*Assumptions!$E$47)*Assumptions!$E$45</f>
        <v>0</v>
      </c>
      <c r="I39" s="17" t="n">
        <f aca="false">(I33*Assumptions!$E$46+I34*Assumptions!$E$47)*Assumptions!$E$45</f>
        <v>0</v>
      </c>
      <c r="J39" s="17" t="n">
        <f aca="false">(J33*Assumptions!$E$46+J34*Assumptions!$E$47)*Assumptions!$E$45</f>
        <v>0</v>
      </c>
      <c r="K39" s="17" t="n">
        <f aca="false">(K33*Assumptions!$E$46+K34*Assumptions!$E$47)*Assumptions!$E$45</f>
        <v>0</v>
      </c>
      <c r="L39" s="17" t="n">
        <f aca="false">(L33*Assumptions!$E$46+L34*Assumptions!$E$47)*Assumptions!$E$45</f>
        <v>0</v>
      </c>
      <c r="M39" s="17" t="n">
        <f aca="false">(M33*Assumptions!$E$46+M34*Assumptions!$E$47)*Assumptions!$E$45</f>
        <v>0</v>
      </c>
      <c r="N39" s="17" t="n">
        <f aca="false">(N33*Assumptions!$E$46+N34*Assumptions!$E$47)*Assumptions!$E$45</f>
        <v>0</v>
      </c>
      <c r="O39" s="17" t="n">
        <f aca="false">(O33*Assumptions!$E$46+O34*Assumptions!$E$47)*Assumptions!$E$45</f>
        <v>1183.17231565373</v>
      </c>
      <c r="P39" s="17" t="n">
        <f aca="false">(P33*Assumptions!$E$46+P34*Assumptions!$E$47)*Assumptions!$E$45</f>
        <v>2489.84837154972</v>
      </c>
      <c r="Q39" s="17" t="n">
        <f aca="false">(Q33*Assumptions!$E$46+Q34*Assumptions!$E$47)*Assumptions!$E$45</f>
        <v>3955.36535223227</v>
      </c>
      <c r="R39" s="17" t="n">
        <f aca="false">(R33*Assumptions!$E$46+R34*Assumptions!$E$47)*Assumptions!$E$45</f>
        <v>5632.89323492978</v>
      </c>
      <c r="S39" s="17" t="n">
        <f aca="false">(S33*Assumptions!$E$46+S34*Assumptions!$E$47)*Assumptions!$E$45</f>
        <v>7423.62359055514</v>
      </c>
      <c r="T39" s="17" t="n">
        <f aca="false">(T33*Assumptions!$E$46+T34*Assumptions!$E$47)*Assumptions!$E$45</f>
        <v>9357.99786266761</v>
      </c>
      <c r="U39" s="17" t="n">
        <f aca="false">(U33*Assumptions!$E$46+U34*Assumptions!$E$47)*Assumptions!$E$45</f>
        <v>13353.6343250712</v>
      </c>
      <c r="V39" s="17" t="n">
        <f aca="false">(V33*Assumptions!$E$46+V34*Assumptions!$E$47)*Assumptions!$E$45</f>
        <v>17721.6220425961</v>
      </c>
      <c r="W39" s="17" t="n">
        <f aca="false">(W33*Assumptions!$E$46+W34*Assumptions!$E$47)*Assumptions!$E$45</f>
        <v>22474.4913668459</v>
      </c>
      <c r="X39" s="17" t="n">
        <f aca="false">(X33*Assumptions!$E$46+X34*Assumptions!$E$47)*Assumptions!$E$45</f>
        <v>27597.0755200273</v>
      </c>
      <c r="Y39" s="17" t="n">
        <f aca="false">(Y33*Assumptions!$E$46+Y34*Assumptions!$E$47)*Assumptions!$E$45</f>
        <v>33101.5189039183</v>
      </c>
      <c r="Z39" s="17" t="n">
        <f aca="false">(Z33*Assumptions!$E$46+Z34*Assumptions!$E$47)*Assumptions!$E$45</f>
        <v>38963.4772774602</v>
      </c>
      <c r="AA39" s="17" t="n">
        <f aca="false">(AA33*Assumptions!$E$46+AA34*Assumptions!$E$47)*Assumptions!$E$45</f>
        <v>45160.1570877255</v>
      </c>
      <c r="AB39" s="17" t="n">
        <f aca="false">(AB33*Assumptions!$E$46+AB34*Assumptions!$E$47)*Assumptions!$E$45</f>
        <v>51670.2139459123</v>
      </c>
      <c r="AC39" s="17" t="n">
        <f aca="false">(AC33*Assumptions!$E$46+AC34*Assumptions!$E$47)*Assumptions!$E$45</f>
        <v>58473.6579310684</v>
      </c>
      <c r="AD39" s="17" t="n">
        <f aca="false">(AD33*Assumptions!$E$46+AD34*Assumptions!$E$47)*Assumptions!$E$45</f>
        <v>65551.7652528297</v>
      </c>
      <c r="AE39" s="17" t="n">
        <f aca="false">(AE33*Assumptions!$E$46+AE34*Assumptions!$E$47)*Assumptions!$E$45</f>
        <v>72878.1768803086</v>
      </c>
      <c r="AF39" s="17" t="n">
        <f aca="false">(AF33*Assumptions!$E$46+AF34*Assumptions!$E$47)*Assumptions!$E$45</f>
        <v>80657.6039827766</v>
      </c>
      <c r="AG39" s="17" t="n">
        <f aca="false">(AG33*Assumptions!$E$46+AG34*Assumptions!$E$47)*Assumptions!$E$45</f>
        <v>88832.0549640862</v>
      </c>
      <c r="AH39" s="17" t="n">
        <f aca="false">(AH33*Assumptions!$E$46+AH34*Assumptions!$E$47)*Assumptions!$E$45</f>
        <v>97303.4923545739</v>
      </c>
      <c r="AI39" s="17" t="n">
        <f aca="false">(AI33*Assumptions!$E$46+AI34*Assumptions!$E$47)*Assumptions!$E$45</f>
        <v>106227.944330098</v>
      </c>
      <c r="AJ39" s="17" t="n">
        <f aca="false">(AJ33*Assumptions!$E$46+AJ34*Assumptions!$E$47)*Assumptions!$E$45</f>
        <v>115511.216991538</v>
      </c>
      <c r="AK39" s="17" t="n">
        <f aca="false">(AK33*Assumptions!$E$46+AK34*Assumptions!$E$47)*Assumptions!$E$45</f>
        <v>125048.276263653</v>
      </c>
      <c r="AL39" s="17" t="n">
        <f aca="false">(AL33*Assumptions!$E$46+AL34*Assumptions!$E$47)*Assumptions!$E$45</f>
        <v>134953.433284955</v>
      </c>
      <c r="AM39" s="17" t="n">
        <f aca="false">(AM33*Assumptions!$E$46+AM34*Assumptions!$E$47)*Assumptions!$E$45</f>
        <v>145138.072718567</v>
      </c>
      <c r="AN39" s="44" t="n">
        <f aca="false">(AN33*Assumptions!$E$46+AN34*Assumptions!$E$47)*Assumptions!$E$45</f>
        <v>155502.375415855</v>
      </c>
      <c r="AO39" s="44" t="n">
        <f aca="false">(AO33*Assumptions!$E$46+AO34*Assumptions!$E$47)*Assumptions!$E$45</f>
        <v>166165.528031682</v>
      </c>
      <c r="AP39" s="44" t="n">
        <f aca="false">(AP33*Assumptions!$E$46+AP34*Assumptions!$E$47)*Assumptions!$E$45</f>
        <v>177043.473910942</v>
      </c>
      <c r="AQ39" s="44" t="n">
        <f aca="false">(AQ33*Assumptions!$E$46+AQ34*Assumptions!$E$47)*Assumptions!$E$45</f>
        <v>188040.656792388</v>
      </c>
      <c r="AR39" s="44" t="n">
        <f aca="false">(AR33*Assumptions!$E$46+AR34*Assumptions!$E$47)*Assumptions!$E$45</f>
        <v>199280.250034832</v>
      </c>
      <c r="AS39" s="44" t="n">
        <f aca="false">(AS33*Assumptions!$E$46+AS34*Assumptions!$E$47)*Assumptions!$E$45</f>
        <v>210673.106827378</v>
      </c>
      <c r="AT39" s="44" t="n">
        <f aca="false">(AT33*Assumptions!$E$46+AT34*Assumptions!$E$47)*Assumptions!$E$45</f>
        <v>222127.829352969</v>
      </c>
      <c r="AU39" s="44" t="n">
        <f aca="false">(AU33*Assumptions!$E$46+AU34*Assumptions!$E$47)*Assumptions!$E$45</f>
        <v>233771.480010536</v>
      </c>
      <c r="AV39" s="44" t="n">
        <f aca="false">(AV33*Assumptions!$E$46+AV34*Assumptions!$E$47)*Assumptions!$E$45</f>
        <v>245518.549381014</v>
      </c>
      <c r="AW39" s="44" t="n">
        <f aca="false">(AW33*Assumptions!$E$46+AW34*Assumptions!$E$47)*Assumptions!$E$45</f>
        <v>257281.041948479</v>
      </c>
      <c r="AX39" s="44" t="n">
        <f aca="false">(AX33*Assumptions!$E$46+AX34*Assumptions!$E$47)*Assumptions!$E$45</f>
        <v>269189.202764121</v>
      </c>
      <c r="AY39" s="44" t="n">
        <f aca="false">(AY33*Assumptions!$E$46+AY34*Assumptions!$E$47)*Assumptions!$E$45</f>
        <v>281160.499814974</v>
      </c>
      <c r="AZ39" s="44" t="n">
        <f aca="false">(AZ33*Assumptions!$E$46+AZ34*Assumptions!$E$47)*Assumptions!$E$45</f>
        <v>293109.723180002</v>
      </c>
      <c r="BA39" s="44" t="n">
        <f aca="false">(BA33*Assumptions!$E$46+BA34*Assumptions!$E$47)*Assumptions!$E$45</f>
        <v>305169.724227618</v>
      </c>
      <c r="BB39" s="44" t="n">
        <f aca="false">(BB33*Assumptions!$E$46+BB34*Assumptions!$E$47)*Assumptions!$E$45</f>
        <v>317260.409678294</v>
      </c>
      <c r="BC39" s="44" t="n">
        <f aca="false">(BC33*Assumptions!$E$46+BC34*Assumptions!$E$47)*Assumptions!$E$45</f>
        <v>329290.032715527</v>
      </c>
      <c r="BD39" s="44" t="n">
        <f aca="false">(BD33*Assumptions!$E$46+BD34*Assumptions!$E$47)*Assumptions!$E$45</f>
        <v>341394.250784074</v>
      </c>
      <c r="BE39" s="44" t="n">
        <f aca="false">(BE33*Assumptions!$E$46+BE34*Assumptions!$E$47)*Assumptions!$E$45</f>
        <v>353495.59526365</v>
      </c>
      <c r="BF39" s="44" t="n">
        <f aca="false">(BF33*Assumptions!$E$46+BF34*Assumptions!$E$47)*Assumptions!$E$45</f>
        <v>365504.77439173</v>
      </c>
      <c r="BG39" s="44" t="n">
        <f aca="false">(BG33*Assumptions!$E$46+BG34*Assumptions!$E$47)*Assumptions!$E$45</f>
        <v>377559.742085533</v>
      </c>
      <c r="BH39" s="44" t="n">
        <f aca="false">(BH33*Assumptions!$E$46+BH34*Assumptions!$E$47)*Assumptions!$E$45</f>
        <v>389585.177905105</v>
      </c>
      <c r="BI39" s="44" t="n">
        <f aca="false">(BI33*Assumptions!$E$46+BI34*Assumptions!$E$47)*Assumptions!$E$45</f>
        <v>401493.799581192</v>
      </c>
      <c r="BJ39" s="44" t="n">
        <f aca="false">(BJ33*Assumptions!$E$46+BJ34*Assumptions!$E$47)*Assumptions!$E$45</f>
        <v>413425.440804526</v>
      </c>
      <c r="BK39" s="44" t="n">
        <f aca="false">(BK33*Assumptions!$E$46+BK34*Assumptions!$E$47)*Assumptions!$E$45</f>
        <v>425306.539561789</v>
      </c>
    </row>
    <row r="40" customFormat="false" ht="15" hidden="false" customHeight="false" outlineLevel="0" collapsed="false">
      <c r="A40" s="28" t="s">
        <v>595</v>
      </c>
      <c r="B40" s="6" t="s">
        <v>596</v>
      </c>
      <c r="C40" s="43"/>
      <c r="D40" s="17" t="n">
        <f aca="false">D39*Assumptions!$E$44</f>
        <v>0</v>
      </c>
      <c r="E40" s="17" t="n">
        <f aca="false">E39*Assumptions!$E$44</f>
        <v>0</v>
      </c>
      <c r="F40" s="17" t="n">
        <f aca="false">F39*Assumptions!$E$44</f>
        <v>0</v>
      </c>
      <c r="G40" s="17" t="n">
        <f aca="false">G39*Assumptions!$E$44</f>
        <v>0</v>
      </c>
      <c r="H40" s="17" t="n">
        <f aca="false">H39*Assumptions!$E$44</f>
        <v>0</v>
      </c>
      <c r="I40" s="17" t="n">
        <f aca="false">I39*Assumptions!$E$44</f>
        <v>0</v>
      </c>
      <c r="J40" s="17" t="n">
        <f aca="false">J39*Assumptions!$E$44</f>
        <v>0</v>
      </c>
      <c r="K40" s="17" t="n">
        <f aca="false">K39*Assumptions!$E$44</f>
        <v>0</v>
      </c>
      <c r="L40" s="17" t="n">
        <f aca="false">L39*Assumptions!$E$44</f>
        <v>0</v>
      </c>
      <c r="M40" s="17" t="n">
        <f aca="false">M39*Assumptions!$E$44</f>
        <v>0</v>
      </c>
      <c r="N40" s="17" t="n">
        <f aca="false">N39*Assumptions!$E$44</f>
        <v>0</v>
      </c>
      <c r="O40" s="17" t="n">
        <f aca="false">O39*Assumptions!$E$44</f>
        <v>8.87379236740297</v>
      </c>
      <c r="P40" s="17" t="n">
        <f aca="false">P39*Assumptions!$E$44</f>
        <v>18.6738627866229</v>
      </c>
      <c r="Q40" s="17" t="n">
        <f aca="false">Q39*Assumptions!$E$44</f>
        <v>29.665240141742</v>
      </c>
      <c r="R40" s="17" t="n">
        <f aca="false">R39*Assumptions!$E$44</f>
        <v>42.2466992619734</v>
      </c>
      <c r="S40" s="17" t="n">
        <f aca="false">S39*Assumptions!$E$44</f>
        <v>55.6771769291636</v>
      </c>
      <c r="T40" s="17" t="n">
        <f aca="false">T39*Assumptions!$E$44</f>
        <v>70.1849839700071</v>
      </c>
      <c r="U40" s="17" t="n">
        <f aca="false">U39*Assumptions!$E$44</f>
        <v>100.152257438034</v>
      </c>
      <c r="V40" s="17" t="n">
        <f aca="false">V39*Assumptions!$E$44</f>
        <v>132.912165319471</v>
      </c>
      <c r="W40" s="17" t="n">
        <f aca="false">W39*Assumptions!$E$44</f>
        <v>168.558685251344</v>
      </c>
      <c r="X40" s="17" t="n">
        <f aca="false">X39*Assumptions!$E$44</f>
        <v>206.978066400205</v>
      </c>
      <c r="Y40" s="17" t="n">
        <f aca="false">Y39*Assumptions!$E$44</f>
        <v>248.261391779387</v>
      </c>
      <c r="Z40" s="17" t="n">
        <f aca="false">Z39*Assumptions!$E$44</f>
        <v>292.226079580952</v>
      </c>
      <c r="AA40" s="17" t="n">
        <f aca="false">AA39*Assumptions!$E$44</f>
        <v>338.701178157941</v>
      </c>
      <c r="AB40" s="17" t="n">
        <f aca="false">AB39*Assumptions!$E$44</f>
        <v>387.526604594342</v>
      </c>
      <c r="AC40" s="17" t="n">
        <f aca="false">AC39*Assumptions!$E$44</f>
        <v>438.552434483013</v>
      </c>
      <c r="AD40" s="17" t="n">
        <f aca="false">AD39*Assumptions!$E$44</f>
        <v>491.638239396223</v>
      </c>
      <c r="AE40" s="17" t="n">
        <f aca="false">AE39*Assumptions!$E$44</f>
        <v>546.586326602314</v>
      </c>
      <c r="AF40" s="17" t="n">
        <f aca="false">AF39*Assumptions!$E$44</f>
        <v>604.932029870824</v>
      </c>
      <c r="AG40" s="17" t="n">
        <f aca="false">AG39*Assumptions!$E$44</f>
        <v>666.240412230646</v>
      </c>
      <c r="AH40" s="17" t="n">
        <f aca="false">AH39*Assumptions!$E$44</f>
        <v>729.776192659305</v>
      </c>
      <c r="AI40" s="17" t="n">
        <f aca="false">AI39*Assumptions!$E$44</f>
        <v>796.709582475735</v>
      </c>
      <c r="AJ40" s="17" t="n">
        <f aca="false">AJ39*Assumptions!$E$44</f>
        <v>866.334127436533</v>
      </c>
      <c r="AK40" s="17" t="n">
        <f aca="false">AK39*Assumptions!$E$44</f>
        <v>937.862071977396</v>
      </c>
      <c r="AL40" s="17" t="n">
        <f aca="false">AL39*Assumptions!$E$44</f>
        <v>1012.15074963716</v>
      </c>
      <c r="AM40" s="17" t="n">
        <f aca="false">AM39*Assumptions!$E$44</f>
        <v>1088.53554538925</v>
      </c>
      <c r="AN40" s="44" t="n">
        <f aca="false">AN39*Assumptions!$E$44</f>
        <v>1166.26781561891</v>
      </c>
      <c r="AO40" s="44" t="n">
        <f aca="false">AO39*Assumptions!$E$44</f>
        <v>1246.24146023762</v>
      </c>
      <c r="AP40" s="44" t="n">
        <f aca="false">AP39*Assumptions!$E$44</f>
        <v>1327.82605433207</v>
      </c>
      <c r="AQ40" s="44" t="n">
        <f aca="false">AQ39*Assumptions!$E$44</f>
        <v>1410.30492594291</v>
      </c>
      <c r="AR40" s="44" t="n">
        <f aca="false">AR39*Assumptions!$E$44</f>
        <v>1494.60187526124</v>
      </c>
      <c r="AS40" s="44" t="n">
        <f aca="false">AS39*Assumptions!$E$44</f>
        <v>1580.04830120534</v>
      </c>
      <c r="AT40" s="44" t="n">
        <f aca="false">AT39*Assumptions!$E$44</f>
        <v>1665.95872014727</v>
      </c>
      <c r="AU40" s="44" t="n">
        <f aca="false">AU39*Assumptions!$E$44</f>
        <v>1753.28610007902</v>
      </c>
      <c r="AV40" s="44" t="n">
        <f aca="false">AV39*Assumptions!$E$44</f>
        <v>1841.3891203576</v>
      </c>
      <c r="AW40" s="44" t="n">
        <f aca="false">AW39*Assumptions!$E$44</f>
        <v>1929.60781461359</v>
      </c>
      <c r="AX40" s="44" t="n">
        <f aca="false">AX39*Assumptions!$E$44</f>
        <v>2018.91902073091</v>
      </c>
      <c r="AY40" s="44" t="n">
        <f aca="false">AY39*Assumptions!$E$44</f>
        <v>2108.7037486123</v>
      </c>
      <c r="AZ40" s="44" t="n">
        <f aca="false">AZ39*Assumptions!$E$44</f>
        <v>2198.32292385002</v>
      </c>
      <c r="BA40" s="44" t="n">
        <f aca="false">BA39*Assumptions!$E$44</f>
        <v>2288.77293170714</v>
      </c>
      <c r="BB40" s="44" t="n">
        <f aca="false">BB39*Assumptions!$E$44</f>
        <v>2379.45307258721</v>
      </c>
      <c r="BC40" s="44" t="n">
        <f aca="false">BC39*Assumptions!$E$44</f>
        <v>2469.67524536645</v>
      </c>
      <c r="BD40" s="44" t="n">
        <f aca="false">BD39*Assumptions!$E$44</f>
        <v>2560.45688088056</v>
      </c>
      <c r="BE40" s="44" t="n">
        <f aca="false">BE39*Assumptions!$E$44</f>
        <v>2651.21696447738</v>
      </c>
      <c r="BF40" s="44" t="n">
        <f aca="false">BF39*Assumptions!$E$44</f>
        <v>2741.28580793798</v>
      </c>
      <c r="BG40" s="44" t="n">
        <f aca="false">BG39*Assumptions!$E$44</f>
        <v>2831.6980656415</v>
      </c>
      <c r="BH40" s="44" t="n">
        <f aca="false">BH39*Assumptions!$E$44</f>
        <v>2921.88883428829</v>
      </c>
      <c r="BI40" s="44" t="n">
        <f aca="false">BI39*Assumptions!$E$44</f>
        <v>3011.20349685894</v>
      </c>
      <c r="BJ40" s="44" t="n">
        <f aca="false">BJ39*Assumptions!$E$44</f>
        <v>3100.69080603394</v>
      </c>
      <c r="BK40" s="44" t="n">
        <f aca="false">BK39*Assumptions!$E$44</f>
        <v>3189.79904671342</v>
      </c>
    </row>
    <row r="41" customFormat="false" ht="15" hidden="false" customHeight="false" outlineLevel="0" collapsed="false">
      <c r="A41" s="28" t="s">
        <v>597</v>
      </c>
      <c r="B41" s="6" t="s">
        <v>598</v>
      </c>
      <c r="C41" s="43"/>
      <c r="D41" s="17" t="n">
        <f aca="false">D24*Assumptions!$E$17*Assumptions!$E$68*Assumptions!$E$69*Assumptions!$E$70*Assumptions!$E$71/1000*D21</f>
        <v>0</v>
      </c>
      <c r="E41" s="17" t="n">
        <f aca="false">E24*Assumptions!$E$17*Assumptions!$E$68*Assumptions!$E$69*Assumptions!$E$70*Assumptions!$E$71/1000*E21</f>
        <v>0</v>
      </c>
      <c r="F41" s="17" t="n">
        <f aca="false">F24*Assumptions!$E$17*Assumptions!$E$68*Assumptions!$E$69*Assumptions!$E$70*Assumptions!$E$71/1000*F21</f>
        <v>0</v>
      </c>
      <c r="G41" s="17" t="n">
        <f aca="false">G24*Assumptions!$E$17*Assumptions!$E$68*Assumptions!$E$69*Assumptions!$E$70*Assumptions!$E$71/1000*G21</f>
        <v>0</v>
      </c>
      <c r="H41" s="17" t="n">
        <f aca="false">H24*Assumptions!$E$17*Assumptions!$E$68*Assumptions!$E$69*Assumptions!$E$70*Assumptions!$E$71/1000*H21</f>
        <v>0</v>
      </c>
      <c r="I41" s="17" t="n">
        <f aca="false">I24*Assumptions!$E$17*Assumptions!$E$68*Assumptions!$E$69*Assumptions!$E$70*Assumptions!$E$71/1000*I21</f>
        <v>0</v>
      </c>
      <c r="J41" s="17" t="n">
        <f aca="false">J24*Assumptions!$E$17*Assumptions!$E$68*Assumptions!$E$69*Assumptions!$E$70*Assumptions!$E$71/1000*J21</f>
        <v>0</v>
      </c>
      <c r="K41" s="17" t="n">
        <f aca="false">K24*Assumptions!$E$17*Assumptions!$E$68*Assumptions!$E$69*Assumptions!$E$70*Assumptions!$E$71/1000*K21</f>
        <v>0</v>
      </c>
      <c r="L41" s="17" t="n">
        <f aca="false">L24*Assumptions!$E$17*Assumptions!$E$68*Assumptions!$E$69*Assumptions!$E$70*Assumptions!$E$71/1000*L21</f>
        <v>0</v>
      </c>
      <c r="M41" s="17" t="n">
        <f aca="false">M24*Assumptions!$E$17*Assumptions!$E$68*Assumptions!$E$69*Assumptions!$E$70*Assumptions!$E$71/1000*M21</f>
        <v>0</v>
      </c>
      <c r="N41" s="17" t="n">
        <f aca="false">N24*Assumptions!$E$17*Assumptions!$E$68*Assumptions!$E$69*Assumptions!$E$70*Assumptions!$E$71/1000*N21</f>
        <v>0</v>
      </c>
      <c r="O41" s="17" t="n">
        <f aca="false">O24*Assumptions!$E$17*Assumptions!$E$68*Assumptions!$E$69*Assumptions!$E$70*Assumptions!$E$71/1000*O21</f>
        <v>0</v>
      </c>
      <c r="P41" s="17" t="n">
        <f aca="false">P24*Assumptions!$E$17*Assumptions!$E$68*Assumptions!$E$69*Assumptions!$E$70*Assumptions!$E$71/1000*P21</f>
        <v>0</v>
      </c>
      <c r="Q41" s="17" t="n">
        <f aca="false">Q24*Assumptions!$E$17*Assumptions!$E$68*Assumptions!$E$69*Assumptions!$E$70*Assumptions!$E$71/1000*Q21</f>
        <v>0</v>
      </c>
      <c r="R41" s="17" t="n">
        <f aca="false">R24*Assumptions!$E$17*Assumptions!$E$68*Assumptions!$E$69*Assumptions!$E$70*Assumptions!$E$71/1000*R21</f>
        <v>0</v>
      </c>
      <c r="S41" s="17" t="n">
        <f aca="false">S24*Assumptions!$E$17*Assumptions!$E$68*Assumptions!$E$69*Assumptions!$E$70*Assumptions!$E$71/1000*S21</f>
        <v>0</v>
      </c>
      <c r="T41" s="17" t="n">
        <f aca="false">T24*Assumptions!$E$17*Assumptions!$E$68*Assumptions!$E$69*Assumptions!$E$70*Assumptions!$E$71/1000*T21</f>
        <v>0</v>
      </c>
      <c r="U41" s="17" t="n">
        <f aca="false">U24*Assumptions!$E$17*Assumptions!$E$68*Assumptions!$E$69*Assumptions!$E$70*Assumptions!$E$71/1000*U21</f>
        <v>0</v>
      </c>
      <c r="V41" s="17" t="n">
        <f aca="false">V24*Assumptions!$E$17*Assumptions!$E$68*Assumptions!$E$69*Assumptions!$E$70*Assumptions!$E$71/1000*V21</f>
        <v>0</v>
      </c>
      <c r="W41" s="17" t="n">
        <f aca="false">W24*Assumptions!$E$17*Assumptions!$E$68*Assumptions!$E$69*Assumptions!$E$70*Assumptions!$E$71/1000*W21</f>
        <v>0</v>
      </c>
      <c r="X41" s="17" t="n">
        <f aca="false">X24*Assumptions!$E$17*Assumptions!$E$68*Assumptions!$E$69*Assumptions!$E$70*Assumptions!$E$71/1000*X21</f>
        <v>0</v>
      </c>
      <c r="Y41" s="17" t="n">
        <f aca="false">Y24*Assumptions!$E$17*Assumptions!$E$68*Assumptions!$E$69*Assumptions!$E$70*Assumptions!$E$71/1000*Y21</f>
        <v>0</v>
      </c>
      <c r="Z41" s="17" t="n">
        <f aca="false">Z24*Assumptions!$E$17*Assumptions!$E$68*Assumptions!$E$69*Assumptions!$E$70*Assumptions!$E$71/1000*Z21</f>
        <v>0</v>
      </c>
      <c r="AA41" s="17" t="n">
        <f aca="false">AA24*Assumptions!$E$17*Assumptions!$E$68*Assumptions!$E$69*Assumptions!$E$70*Assumptions!$E$71/1000*AA21</f>
        <v>0</v>
      </c>
      <c r="AB41" s="17" t="n">
        <f aca="false">AB24*Assumptions!$E$17*Assumptions!$E$68*Assumptions!$E$69*Assumptions!$E$70*Assumptions!$E$71/1000*AB21</f>
        <v>0</v>
      </c>
      <c r="AC41" s="17" t="n">
        <f aca="false">AC24*Assumptions!$E$17*Assumptions!$E$68*Assumptions!$E$69*Assumptions!$E$70*Assumptions!$E$71/1000*AC21</f>
        <v>0</v>
      </c>
      <c r="AD41" s="17" t="n">
        <f aca="false">AD24*Assumptions!$E$17*Assumptions!$E$68*Assumptions!$E$69*Assumptions!$E$70*Assumptions!$E$71/1000*AD21</f>
        <v>0</v>
      </c>
      <c r="AE41" s="17" t="n">
        <f aca="false">AE24*Assumptions!$E$17*Assumptions!$E$68*Assumptions!$E$69*Assumptions!$E$70*Assumptions!$E$71/1000*AE21</f>
        <v>0</v>
      </c>
      <c r="AF41" s="17" t="n">
        <f aca="false">AF24*Assumptions!$E$17*Assumptions!$E$68*Assumptions!$E$69*Assumptions!$E$70*Assumptions!$E$71/1000*AF21</f>
        <v>0</v>
      </c>
      <c r="AG41" s="17" t="n">
        <f aca="false">AG24*Assumptions!$E$17*Assumptions!$E$68*Assumptions!$E$69*Assumptions!$E$70*Assumptions!$E$71/1000*AG21</f>
        <v>0</v>
      </c>
      <c r="AH41" s="17" t="n">
        <f aca="false">AH24*Assumptions!$E$17*Assumptions!$E$68*Assumptions!$E$69*Assumptions!$E$70*Assumptions!$E$71/1000*AH21</f>
        <v>24.3103911424884</v>
      </c>
      <c r="AI41" s="17" t="n">
        <f aca="false">AI24*Assumptions!$E$17*Assumptions!$E$68*Assumptions!$E$69*Assumptions!$E$70*Assumptions!$E$71/1000*AI21</f>
        <v>51.9317391882982</v>
      </c>
      <c r="AJ41" s="17" t="n">
        <f aca="false">AJ24*Assumptions!$E$17*Assumptions!$E$68*Assumptions!$E$69*Assumptions!$E$70*Assumptions!$E$71/1000*AJ21</f>
        <v>82.9545505723666</v>
      </c>
      <c r="AK41" s="17" t="n">
        <f aca="false">AK24*Assumptions!$E$17*Assumptions!$E$68*Assumptions!$E$69*Assumptions!$E$70*Assumptions!$E$71/1000*AK21</f>
        <v>117.196984217143</v>
      </c>
      <c r="AL41" s="17" t="n">
        <f aca="false">AL24*Assumptions!$E$17*Assumptions!$E$68*Assumptions!$E$69*Assumptions!$E$70*Assumptions!$E$71/1000*AL21</f>
        <v>155.054078153857</v>
      </c>
      <c r="AM41" s="17" t="n">
        <f aca="false">AM24*Assumptions!$E$17*Assumptions!$E$68*Assumptions!$E$69*Assumptions!$E$70*Assumptions!$E$71/1000*AM21</f>
        <v>196.307911620329</v>
      </c>
      <c r="AN41" s="44" t="n">
        <f aca="false">AN24*Assumptions!$E$17*Assumptions!$E$68*Assumptions!$E$69*Assumptions!$E$70*Assumptions!$E$71/1000*AN21</f>
        <v>206.189947253629</v>
      </c>
      <c r="AO41" s="44" t="n">
        <f aca="false">AO24*Assumptions!$E$17*Assumptions!$E$68*Assumptions!$E$69*Assumptions!$E$70*Assumptions!$E$71/1000*AO21</f>
        <v>216.369591344768</v>
      </c>
      <c r="AP41" s="44" t="n">
        <f aca="false">AP24*Assumptions!$E$17*Assumptions!$E$68*Assumptions!$E$69*Assumptions!$E$70*Assumptions!$E$71/1000*AP21</f>
        <v>226.46860811956</v>
      </c>
      <c r="AQ41" s="44" t="n">
        <f aca="false">AQ24*Assumptions!$E$17*Assumptions!$E$68*Assumptions!$E$69*Assumptions!$E$70*Assumptions!$E$71/1000*AQ21</f>
        <v>236.172679416993</v>
      </c>
      <c r="AR41" s="44" t="n">
        <f aca="false">AR24*Assumptions!$E$17*Assumptions!$E$68*Assumptions!$E$69*Assumptions!$E$70*Assumptions!$E$71/1000*AR21</f>
        <v>246.153548498235</v>
      </c>
      <c r="AS41" s="44" t="n">
        <f aca="false">AS24*Assumptions!$E$17*Assumptions!$E$68*Assumptions!$E$69*Assumptions!$E$70*Assumptions!$E$71/1000*AS21</f>
        <v>256.005221797884</v>
      </c>
      <c r="AT41" s="44" t="n">
        <f aca="false">AT24*Assumptions!$E$17*Assumptions!$E$68*Assumptions!$E$69*Assumptions!$E$70*Assumptions!$E$71/1000*AT21</f>
        <v>265.432152213546</v>
      </c>
      <c r="AU41" s="44" t="n">
        <f aca="false">AU24*Assumptions!$E$17*Assumptions!$E$68*Assumptions!$E$69*Assumptions!$E$70*Assumptions!$E$71/1000*AU21</f>
        <v>275.118257613052</v>
      </c>
      <c r="AV41" s="44" t="n">
        <f aca="false">AV24*Assumptions!$E$17*Assumptions!$E$68*Assumptions!$E$69*Assumptions!$E$70*Assumptions!$E$71/1000*AV21</f>
        <v>284.665431742618</v>
      </c>
      <c r="AW41" s="44" t="n">
        <f aca="false">AW24*Assumptions!$E$17*Assumptions!$E$68*Assumptions!$E$69*Assumptions!$E$70*Assumptions!$E$71/1000*AW21</f>
        <v>293.783228462423</v>
      </c>
      <c r="AX41" s="44" t="n">
        <f aca="false">AX24*Assumptions!$E$17*Assumptions!$E$68*Assumptions!$E$69*Assumptions!$E$70*Assumptions!$E$71/1000*AX21</f>
        <v>303.158855862851</v>
      </c>
      <c r="AY41" s="44" t="n">
        <f aca="false">AY24*Assumptions!$E$17*Assumptions!$E$68*Assumptions!$E$69*Assumptions!$E$70*Assumptions!$E$71/1000*AY21</f>
        <v>312.396321312695</v>
      </c>
      <c r="AZ41" s="44" t="n">
        <f aca="false">AZ24*Assumptions!$E$17*Assumptions!$E$68*Assumptions!$E$69*Assumptions!$E$70*Assumptions!$E$71/1000*AZ21</f>
        <v>321.206527880066</v>
      </c>
      <c r="BA41" s="44" t="n">
        <f aca="false">BA24*Assumptions!$E$17*Assumptions!$E$68*Assumptions!$E$69*Assumptions!$E$70*Assumptions!$E$71/1000*BA21</f>
        <v>330.277536363455</v>
      </c>
      <c r="BB41" s="44" t="n">
        <f aca="false">BB24*Assumptions!$E$17*Assumptions!$E$68*Assumptions!$E$69*Assumptions!$E$70*Assumptions!$E$71/1000*BB21</f>
        <v>339.213884479036</v>
      </c>
      <c r="BC41" s="44" t="n">
        <f aca="false">BC24*Assumptions!$E$17*Assumptions!$E$68*Assumptions!$E$69*Assumptions!$E$70*Assumptions!$E$71/1000*BC21</f>
        <v>347.690508466522</v>
      </c>
      <c r="BD41" s="44" t="n">
        <f aca="false">BD24*Assumptions!$E$17*Assumptions!$E$68*Assumptions!$E$69*Assumptions!$E$70*Assumptions!$E$71/1000*BD21</f>
        <v>356.408899805061</v>
      </c>
      <c r="BE41" s="44" t="n">
        <f aca="false">BE24*Assumptions!$E$17*Assumptions!$E$68*Assumptions!$E$69*Assumptions!$E$70*Assumptions!$E$71/1000*BE21</f>
        <v>364.982295135584</v>
      </c>
      <c r="BF41" s="44" t="n">
        <f aca="false">BF24*Assumptions!$E$17*Assumptions!$E$68*Assumptions!$E$69*Assumptions!$E$70*Assumptions!$E$71/1000*BF21</f>
        <v>373.09125444649</v>
      </c>
      <c r="BG41" s="44" t="n">
        <f aca="false">BG24*Assumptions!$E$17*Assumptions!$E$68*Assumptions!$E$69*Assumptions!$E$70*Assumptions!$E$71/1000*BG21</f>
        <v>381.440894559453</v>
      </c>
      <c r="BH41" s="44" t="n">
        <f aca="false">BH24*Assumptions!$E$17*Assumptions!$E$68*Assumptions!$E$69*Assumptions!$E$70*Assumptions!$E$71/1000*BH21</f>
        <v>389.64677894534</v>
      </c>
      <c r="BI41" s="44" t="n">
        <f aca="false">BI24*Assumptions!$E$17*Assumptions!$E$68*Assumptions!$E$69*Assumptions!$E$70*Assumptions!$E$71/1000*BI21</f>
        <v>397.390950833942</v>
      </c>
      <c r="BJ41" s="44" t="n">
        <f aca="false">BJ24*Assumptions!$E$17*Assumptions!$E$68*Assumptions!$E$69*Assumptions!$E$70*Assumptions!$E$71/1000*BJ21</f>
        <v>405.379462393741</v>
      </c>
      <c r="BK41" s="44" t="n">
        <f aca="false">BK24*Assumptions!$E$17*Assumptions!$E$68*Assumptions!$E$69*Assumptions!$E$70*Assumptions!$E$71/1000*BK21</f>
        <v>413.228456742335</v>
      </c>
    </row>
    <row r="42" customFormat="false" ht="15" hidden="false" customHeight="false" outlineLevel="0" collapsed="false">
      <c r="A42" s="28" t="s">
        <v>599</v>
      </c>
      <c r="B42" s="6" t="s">
        <v>600</v>
      </c>
      <c r="C42" s="43"/>
      <c r="D42" s="17" t="n">
        <f aca="false">D13*Assumptions!$E$72*Assumptions!$E$73*D21</f>
        <v>0</v>
      </c>
      <c r="E42" s="17" t="n">
        <f aca="false">E13*Assumptions!$E$72*Assumptions!$E$73*E21</f>
        <v>0</v>
      </c>
      <c r="F42" s="17" t="n">
        <f aca="false">F13*Assumptions!$E$72*Assumptions!$E$73*F21</f>
        <v>0</v>
      </c>
      <c r="G42" s="17" t="n">
        <f aca="false">G13*Assumptions!$E$72*Assumptions!$E$73*G21</f>
        <v>0</v>
      </c>
      <c r="H42" s="17" t="n">
        <f aca="false">H13*Assumptions!$E$72*Assumptions!$E$73*H21</f>
        <v>0</v>
      </c>
      <c r="I42" s="17" t="n">
        <f aca="false">I13*Assumptions!$E$72*Assumptions!$E$73*I21</f>
        <v>0</v>
      </c>
      <c r="J42" s="17" t="n">
        <f aca="false">J13*Assumptions!$E$72*Assumptions!$E$73*J21</f>
        <v>0</v>
      </c>
      <c r="K42" s="17" t="n">
        <f aca="false">K13*Assumptions!$E$72*Assumptions!$E$73*K21</f>
        <v>0</v>
      </c>
      <c r="L42" s="17" t="n">
        <f aca="false">L13*Assumptions!$E$72*Assumptions!$E$73*L21</f>
        <v>0</v>
      </c>
      <c r="M42" s="17" t="n">
        <f aca="false">M13*Assumptions!$E$72*Assumptions!$E$73*M21</f>
        <v>0</v>
      </c>
      <c r="N42" s="17" t="n">
        <f aca="false">N13*Assumptions!$E$72*Assumptions!$E$73*N21</f>
        <v>0</v>
      </c>
      <c r="O42" s="17" t="n">
        <f aca="false">O13*Assumptions!$E$72*Assumptions!$E$73*O21</f>
        <v>0</v>
      </c>
      <c r="P42" s="17" t="n">
        <f aca="false">P13*Assumptions!$E$72*Assumptions!$E$73*P21</f>
        <v>0</v>
      </c>
      <c r="Q42" s="17" t="n">
        <f aca="false">Q13*Assumptions!$E$72*Assumptions!$E$73*Q21</f>
        <v>0</v>
      </c>
      <c r="R42" s="17" t="n">
        <f aca="false">R13*Assumptions!$E$72*Assumptions!$E$73*R21</f>
        <v>0</v>
      </c>
      <c r="S42" s="17" t="n">
        <f aca="false">S13*Assumptions!$E$72*Assumptions!$E$73*S21</f>
        <v>0</v>
      </c>
      <c r="T42" s="17" t="n">
        <f aca="false">T13*Assumptions!$E$72*Assumptions!$E$73*T21</f>
        <v>0</v>
      </c>
      <c r="U42" s="17" t="n">
        <f aca="false">U13*Assumptions!$E$72*Assumptions!$E$73*U21</f>
        <v>0</v>
      </c>
      <c r="V42" s="17" t="n">
        <f aca="false">V13*Assumptions!$E$72*Assumptions!$E$73*V21</f>
        <v>0</v>
      </c>
      <c r="W42" s="17" t="n">
        <f aca="false">W13*Assumptions!$E$72*Assumptions!$E$73*W21</f>
        <v>0</v>
      </c>
      <c r="X42" s="17" t="n">
        <f aca="false">X13*Assumptions!$E$72*Assumptions!$E$73*X21</f>
        <v>0</v>
      </c>
      <c r="Y42" s="17" t="n">
        <f aca="false">Y13*Assumptions!$E$72*Assumptions!$E$73*Y21</f>
        <v>0</v>
      </c>
      <c r="Z42" s="17" t="n">
        <f aca="false">Z13*Assumptions!$E$72*Assumptions!$E$73*Z21</f>
        <v>0</v>
      </c>
      <c r="AA42" s="17" t="n">
        <f aca="false">AA13*Assumptions!$E$72*Assumptions!$E$73*AA21</f>
        <v>0</v>
      </c>
      <c r="AB42" s="17" t="n">
        <f aca="false">AB13*Assumptions!$E$72*Assumptions!$E$73*AB21</f>
        <v>0</v>
      </c>
      <c r="AC42" s="17" t="n">
        <f aca="false">AC13*Assumptions!$E$72*Assumptions!$E$73*AC21</f>
        <v>0</v>
      </c>
      <c r="AD42" s="17" t="n">
        <f aca="false">AD13*Assumptions!$E$72*Assumptions!$E$73*AD21</f>
        <v>0</v>
      </c>
      <c r="AE42" s="17" t="n">
        <f aca="false">AE13*Assumptions!$E$72*Assumptions!$E$73*AE21</f>
        <v>0</v>
      </c>
      <c r="AF42" s="17" t="n">
        <f aca="false">AF13*Assumptions!$E$72*Assumptions!$E$73*AF21</f>
        <v>0</v>
      </c>
      <c r="AG42" s="17" t="n">
        <f aca="false">AG13*Assumptions!$E$72*Assumptions!$E$73*AG21</f>
        <v>0</v>
      </c>
      <c r="AH42" s="17" t="n">
        <f aca="false">AH13*Assumptions!$E$72*Assumptions!$E$73*AH21</f>
        <v>113.195302774131</v>
      </c>
      <c r="AI42" s="17" t="n">
        <f aca="false">AI13*Assumptions!$E$72*Assumptions!$E$73*AI21</f>
        <v>242.002746465038</v>
      </c>
      <c r="AJ42" s="17" t="n">
        <f aca="false">AJ13*Assumptions!$E$72*Assumptions!$E$73*AJ21</f>
        <v>384.775057902094</v>
      </c>
      <c r="AK42" s="17" t="n">
        <f aca="false">AK13*Assumptions!$E$72*Assumptions!$E$73*AK21</f>
        <v>539.321909378084</v>
      </c>
      <c r="AL42" s="17" t="n">
        <f aca="false">AL13*Assumptions!$E$72*Assumptions!$E$73*AL21</f>
        <v>712.280100921766</v>
      </c>
      <c r="AM42" s="17" t="n">
        <f aca="false">AM13*Assumptions!$E$72*Assumptions!$E$73*AM21</f>
        <v>897.211079289527</v>
      </c>
      <c r="AN42" s="44" t="n">
        <f aca="false">AN13*Assumptions!$E$72*Assumptions!$E$73*AN21</f>
        <v>935.592913100184</v>
      </c>
      <c r="AO42" s="44" t="n">
        <f aca="false">AO13*Assumptions!$E$72*Assumptions!$E$73*AO21</f>
        <v>980.311019403681</v>
      </c>
      <c r="AP42" s="44" t="n">
        <f aca="false">AP13*Assumptions!$E$72*Assumptions!$E$73*AP21</f>
        <v>1021.76635411263</v>
      </c>
      <c r="AQ42" s="44" t="n">
        <f aca="false">AQ13*Assumptions!$E$72*Assumptions!$E$73*AQ21</f>
        <v>1059.14385880094</v>
      </c>
      <c r="AR42" s="44" t="n">
        <f aca="false">AR13*Assumptions!$E$72*Assumptions!$E$73*AR21</f>
        <v>1102.87270091892</v>
      </c>
      <c r="AS42" s="44" t="n">
        <f aca="false">AS13*Assumptions!$E$72*Assumptions!$E$73*AS21</f>
        <v>1142.92161040514</v>
      </c>
      <c r="AT42" s="44" t="n">
        <f aca="false">AT13*Assumptions!$E$72*Assumptions!$E$73*AT21</f>
        <v>1178.91378624906</v>
      </c>
      <c r="AU42" s="44" t="n">
        <f aca="false">AU13*Assumptions!$E$72*Assumptions!$E$73*AU21</f>
        <v>1221.27807945533</v>
      </c>
      <c r="AV42" s="44" t="n">
        <f aca="false">AV13*Assumptions!$E$72*Assumptions!$E$73*AV21</f>
        <v>1259.9829082635</v>
      </c>
      <c r="AW42" s="44" t="n">
        <f aca="false">AW13*Assumptions!$E$72*Assumptions!$E$73*AW21</f>
        <v>1294.65116463954</v>
      </c>
      <c r="AX42" s="44" t="n">
        <f aca="false">AX13*Assumptions!$E$72*Assumptions!$E$73*AX21</f>
        <v>1335.71139716995</v>
      </c>
      <c r="AY42" s="44" t="n">
        <f aca="false">AY13*Assumptions!$E$72*Assumptions!$E$73*AY21</f>
        <v>1373.1317262124</v>
      </c>
      <c r="AZ42" s="44" t="n">
        <f aca="false">AZ13*Assumptions!$E$72*Assumptions!$E$73*AZ21</f>
        <v>1406.53475031922</v>
      </c>
      <c r="BA42" s="44" t="n">
        <f aca="false">BA13*Assumptions!$E$72*Assumptions!$E$73*BA21</f>
        <v>1446.34872906443</v>
      </c>
      <c r="BB42" s="44" t="n">
        <f aca="false">BB13*Assumptions!$E$72*Assumptions!$E$73*BB21</f>
        <v>1482.54149812846</v>
      </c>
      <c r="BC42" s="44" t="n">
        <f aca="false">BC13*Assumptions!$E$72*Assumptions!$E$73*BC21</f>
        <v>1514.30337565653</v>
      </c>
      <c r="BD42" s="44" t="n">
        <f aca="false">BD13*Assumptions!$E$72*Assumptions!$E$73*BD21</f>
        <v>1552.50082502169</v>
      </c>
      <c r="BE42" s="44" t="n">
        <f aca="false">BE13*Assumptions!$E$72*Assumptions!$E$73*BE21</f>
        <v>1587.10131264636</v>
      </c>
      <c r="BF42" s="44" t="n">
        <f aca="false">BF13*Assumptions!$E$72*Assumptions!$E$73*BF21</f>
        <v>1617.29479295667</v>
      </c>
      <c r="BG42" s="44" t="n">
        <f aca="false">BG13*Assumptions!$E$72*Assumptions!$E$73*BG21</f>
        <v>1653.94737106232</v>
      </c>
      <c r="BH42" s="44" t="n">
        <f aca="false">BH13*Assumptions!$E$72*Assumptions!$E$73*BH21</f>
        <v>1687.02616049638</v>
      </c>
      <c r="BI42" s="44" t="n">
        <f aca="false">BI13*Assumptions!$E$72*Assumptions!$E$73*BI21</f>
        <v>1715.72076808894</v>
      </c>
      <c r="BJ42" s="44" t="n">
        <f aca="false">BJ13*Assumptions!$E$72*Assumptions!$E$73*BJ21</f>
        <v>1750.8969565676</v>
      </c>
      <c r="BK42" s="44" t="n">
        <f aca="false">BK13*Assumptions!$E$72*Assumptions!$E$73*BK21</f>
        <v>1782.52150221909</v>
      </c>
    </row>
    <row r="43" customFormat="false" ht="15" hidden="false" customHeight="false" outlineLevel="0" collapsed="false">
      <c r="A43" s="28" t="s">
        <v>601</v>
      </c>
      <c r="B43" s="6" t="s">
        <v>602</v>
      </c>
      <c r="C43" s="43"/>
      <c r="D43" s="17" t="n">
        <f aca="false">D13*Assumptions!$E$74*Assumptions!$E$75*Assumptions!$E$76*D21</f>
        <v>0</v>
      </c>
      <c r="E43" s="17" t="n">
        <f aca="false">E13*Assumptions!$E$74*Assumptions!$E$75*Assumptions!$E$76*E21</f>
        <v>0</v>
      </c>
      <c r="F43" s="17" t="n">
        <f aca="false">F13*Assumptions!$E$74*Assumptions!$E$75*Assumptions!$E$76*F21</f>
        <v>0</v>
      </c>
      <c r="G43" s="17" t="n">
        <f aca="false">G13*Assumptions!$E$74*Assumptions!$E$75*Assumptions!$E$76*G21</f>
        <v>0</v>
      </c>
      <c r="H43" s="17" t="n">
        <f aca="false">H13*Assumptions!$E$74*Assumptions!$E$75*Assumptions!$E$76*H21</f>
        <v>0</v>
      </c>
      <c r="I43" s="17" t="n">
        <f aca="false">I13*Assumptions!$E$74*Assumptions!$E$75*Assumptions!$E$76*I21</f>
        <v>0</v>
      </c>
      <c r="J43" s="17" t="n">
        <f aca="false">J13*Assumptions!$E$74*Assumptions!$E$75*Assumptions!$E$76*J21</f>
        <v>0</v>
      </c>
      <c r="K43" s="17" t="n">
        <f aca="false">K13*Assumptions!$E$74*Assumptions!$E$75*Assumptions!$E$76*K21</f>
        <v>0</v>
      </c>
      <c r="L43" s="17" t="n">
        <f aca="false">L13*Assumptions!$E$74*Assumptions!$E$75*Assumptions!$E$76*L21</f>
        <v>0</v>
      </c>
      <c r="M43" s="17" t="n">
        <f aca="false">M13*Assumptions!$E$74*Assumptions!$E$75*Assumptions!$E$76*M21</f>
        <v>0</v>
      </c>
      <c r="N43" s="17" t="n">
        <f aca="false">N13*Assumptions!$E$74*Assumptions!$E$75*Assumptions!$E$76*N21</f>
        <v>0</v>
      </c>
      <c r="O43" s="17" t="n">
        <f aca="false">O13*Assumptions!$E$74*Assumptions!$E$75*Assumptions!$E$76*O21</f>
        <v>0</v>
      </c>
      <c r="P43" s="17" t="n">
        <f aca="false">P13*Assumptions!$E$74*Assumptions!$E$75*Assumptions!$E$76*P21</f>
        <v>0</v>
      </c>
      <c r="Q43" s="17" t="n">
        <f aca="false">Q13*Assumptions!$E$74*Assumptions!$E$75*Assumptions!$E$76*Q21</f>
        <v>0</v>
      </c>
      <c r="R43" s="17" t="n">
        <f aca="false">R13*Assumptions!$E$74*Assumptions!$E$75*Assumptions!$E$76*R21</f>
        <v>0</v>
      </c>
      <c r="S43" s="17" t="n">
        <f aca="false">S13*Assumptions!$E$74*Assumptions!$E$75*Assumptions!$E$76*S21</f>
        <v>0</v>
      </c>
      <c r="T43" s="17" t="n">
        <f aca="false">T13*Assumptions!$E$74*Assumptions!$E$75*Assumptions!$E$76*T21</f>
        <v>0</v>
      </c>
      <c r="U43" s="17" t="n">
        <f aca="false">U13*Assumptions!$E$74*Assumptions!$E$75*Assumptions!$E$76*U21</f>
        <v>0</v>
      </c>
      <c r="V43" s="17" t="n">
        <f aca="false">V13*Assumptions!$E$74*Assumptions!$E$75*Assumptions!$E$76*V21</f>
        <v>0</v>
      </c>
      <c r="W43" s="17" t="n">
        <f aca="false">W13*Assumptions!$E$74*Assumptions!$E$75*Assumptions!$E$76*W21</f>
        <v>0</v>
      </c>
      <c r="X43" s="17" t="n">
        <f aca="false">X13*Assumptions!$E$74*Assumptions!$E$75*Assumptions!$E$76*X21</f>
        <v>0</v>
      </c>
      <c r="Y43" s="17" t="n">
        <f aca="false">Y13*Assumptions!$E$74*Assumptions!$E$75*Assumptions!$E$76*Y21</f>
        <v>0</v>
      </c>
      <c r="Z43" s="17" t="n">
        <f aca="false">Z13*Assumptions!$E$74*Assumptions!$E$75*Assumptions!$E$76*Z21</f>
        <v>0</v>
      </c>
      <c r="AA43" s="17" t="n">
        <f aca="false">AA13*Assumptions!$E$74*Assumptions!$E$75*Assumptions!$E$76*AA21</f>
        <v>0</v>
      </c>
      <c r="AB43" s="17" t="n">
        <f aca="false">AB13*Assumptions!$E$74*Assumptions!$E$75*Assumptions!$E$76*AB21</f>
        <v>0</v>
      </c>
      <c r="AC43" s="17" t="n">
        <f aca="false">AC13*Assumptions!$E$74*Assumptions!$E$75*Assumptions!$E$76*AC21</f>
        <v>0</v>
      </c>
      <c r="AD43" s="17" t="n">
        <f aca="false">AD13*Assumptions!$E$74*Assumptions!$E$75*Assumptions!$E$76*AD21</f>
        <v>0</v>
      </c>
      <c r="AE43" s="17" t="n">
        <f aca="false">AE13*Assumptions!$E$74*Assumptions!$E$75*Assumptions!$E$76*AE21</f>
        <v>0</v>
      </c>
      <c r="AF43" s="17" t="n">
        <f aca="false">AF13*Assumptions!$E$74*Assumptions!$E$75*Assumptions!$E$76*AF21</f>
        <v>0</v>
      </c>
      <c r="AG43" s="17" t="n">
        <f aca="false">AG13*Assumptions!$E$74*Assumptions!$E$75*Assumptions!$E$76*AG21</f>
        <v>0</v>
      </c>
      <c r="AH43" s="17" t="n">
        <f aca="false">AH13*Assumptions!$E$74*Assumptions!$E$75*Assumptions!$E$76*AH21</f>
        <v>100.618046910339</v>
      </c>
      <c r="AI43" s="17" t="n">
        <f aca="false">AI13*Assumptions!$E$74*Assumptions!$E$75*Assumptions!$E$76*AI21</f>
        <v>215.113552413367</v>
      </c>
      <c r="AJ43" s="17" t="n">
        <f aca="false">AJ13*Assumptions!$E$74*Assumptions!$E$75*Assumptions!$E$76*AJ21</f>
        <v>342.02227369075</v>
      </c>
      <c r="AK43" s="17" t="n">
        <f aca="false">AK13*Assumptions!$E$74*Assumptions!$E$75*Assumptions!$E$76*AK21</f>
        <v>479.397252780519</v>
      </c>
      <c r="AL43" s="17" t="n">
        <f aca="false">AL13*Assumptions!$E$74*Assumptions!$E$75*Assumptions!$E$76*AL21</f>
        <v>633.137867486014</v>
      </c>
      <c r="AM43" s="17" t="n">
        <f aca="false">AM13*Assumptions!$E$74*Assumptions!$E$75*Assumptions!$E$76*AM21</f>
        <v>797.520959368468</v>
      </c>
      <c r="AN43" s="44" t="n">
        <f aca="false">AN13*Assumptions!$E$74*Assumptions!$E$75*Assumptions!$E$76*AN21</f>
        <v>831.638144977941</v>
      </c>
      <c r="AO43" s="44" t="n">
        <f aca="false">AO13*Assumptions!$E$74*Assumptions!$E$75*Assumptions!$E$76*AO21</f>
        <v>871.387572803272</v>
      </c>
      <c r="AP43" s="44" t="n">
        <f aca="false">AP13*Assumptions!$E$74*Assumptions!$E$75*Assumptions!$E$76*AP21</f>
        <v>908.236759211223</v>
      </c>
      <c r="AQ43" s="44" t="n">
        <f aca="false">AQ13*Assumptions!$E$74*Assumptions!$E$75*Assumptions!$E$76*AQ21</f>
        <v>941.461207823055</v>
      </c>
      <c r="AR43" s="44" t="n">
        <f aca="false">AR13*Assumptions!$E$74*Assumptions!$E$75*Assumptions!$E$76*AR21</f>
        <v>980.331289705709</v>
      </c>
      <c r="AS43" s="44" t="n">
        <f aca="false">AS13*Assumptions!$E$74*Assumptions!$E$75*Assumptions!$E$76*AS21</f>
        <v>1015.93032036012</v>
      </c>
      <c r="AT43" s="44" t="n">
        <f aca="false">AT13*Assumptions!$E$74*Assumptions!$E$75*Assumptions!$E$76*AT21</f>
        <v>1047.92336555472</v>
      </c>
      <c r="AU43" s="44" t="n">
        <f aca="false">AU13*Assumptions!$E$74*Assumptions!$E$75*Assumptions!$E$76*AU21</f>
        <v>1085.5805150714</v>
      </c>
      <c r="AV43" s="44" t="n">
        <f aca="false">AV13*Assumptions!$E$74*Assumptions!$E$75*Assumptions!$E$76*AV21</f>
        <v>1119.98480734533</v>
      </c>
      <c r="AW43" s="44" t="n">
        <f aca="false">AW13*Assumptions!$E$74*Assumptions!$E$75*Assumptions!$E$76*AW21</f>
        <v>1150.80103523515</v>
      </c>
      <c r="AX43" s="44" t="n">
        <f aca="false">AX13*Assumptions!$E$74*Assumptions!$E$75*Assumptions!$E$76*AX21</f>
        <v>1187.29901970662</v>
      </c>
      <c r="AY43" s="44" t="n">
        <f aca="false">AY13*Assumptions!$E$74*Assumptions!$E$75*Assumptions!$E$76*AY21</f>
        <v>1220.56153441102</v>
      </c>
      <c r="AZ43" s="44" t="n">
        <f aca="false">AZ13*Assumptions!$E$74*Assumptions!$E$75*Assumptions!$E$76*AZ21</f>
        <v>1250.25311139486</v>
      </c>
      <c r="BA43" s="44" t="n">
        <f aca="false">BA13*Assumptions!$E$74*Assumptions!$E$75*Assumptions!$E$76*BA21</f>
        <v>1285.64331472394</v>
      </c>
      <c r="BB43" s="44" t="n">
        <f aca="false">BB13*Assumptions!$E$74*Assumptions!$E$75*Assumptions!$E$76*BB21</f>
        <v>1317.81466500308</v>
      </c>
      <c r="BC43" s="44" t="n">
        <f aca="false">BC13*Assumptions!$E$74*Assumptions!$E$75*Assumptions!$E$76*BC21</f>
        <v>1346.04744502803</v>
      </c>
      <c r="BD43" s="44" t="n">
        <f aca="false">BD13*Assumptions!$E$74*Assumptions!$E$75*Assumptions!$E$76*BD21</f>
        <v>1380.00073335261</v>
      </c>
      <c r="BE43" s="44" t="n">
        <f aca="false">BE13*Assumptions!$E$74*Assumptions!$E$75*Assumptions!$E$76*BE21</f>
        <v>1410.75672235232</v>
      </c>
      <c r="BF43" s="44" t="n">
        <f aca="false">BF13*Assumptions!$E$74*Assumptions!$E$75*Assumptions!$E$76*BF21</f>
        <v>1437.59537151704</v>
      </c>
      <c r="BG43" s="44" t="n">
        <f aca="false">BG13*Assumptions!$E$74*Assumptions!$E$75*Assumptions!$E$76*BG21</f>
        <v>1470.17544094428</v>
      </c>
      <c r="BH43" s="44" t="n">
        <f aca="false">BH13*Assumptions!$E$74*Assumptions!$E$75*Assumptions!$E$76*BH21</f>
        <v>1499.57880933012</v>
      </c>
      <c r="BI43" s="44" t="n">
        <f aca="false">BI13*Assumptions!$E$74*Assumptions!$E$75*Assumptions!$E$76*BI21</f>
        <v>1525.08512719016</v>
      </c>
      <c r="BJ43" s="44" t="n">
        <f aca="false">BJ13*Assumptions!$E$74*Assumptions!$E$75*Assumptions!$E$76*BJ21</f>
        <v>1556.35285028231</v>
      </c>
      <c r="BK43" s="44" t="n">
        <f aca="false">BK13*Assumptions!$E$74*Assumptions!$E$75*Assumptions!$E$76*BK21</f>
        <v>1584.46355752808</v>
      </c>
    </row>
    <row r="44" customFormat="false" ht="15" hidden="false" customHeight="false" outlineLevel="0" collapsed="false">
      <c r="A44" s="28" t="s">
        <v>603</v>
      </c>
      <c r="B44" s="6" t="s">
        <v>604</v>
      </c>
      <c r="C44" s="42"/>
      <c r="D44" s="26" t="n">
        <f aca="false">D10*Assumptions!$E$80/12*D18</f>
        <v>0</v>
      </c>
      <c r="E44" s="26" t="n">
        <f aca="false">E10*Assumptions!$E$80/12*E18</f>
        <v>0</v>
      </c>
      <c r="F44" s="26" t="n">
        <f aca="false">F10*Assumptions!$E$80/12*F18</f>
        <v>0</v>
      </c>
      <c r="G44" s="26" t="n">
        <f aca="false">G10*Assumptions!$E$80/12*G18</f>
        <v>0</v>
      </c>
      <c r="H44" s="26" t="n">
        <f aca="false">H10*Assumptions!$E$80/12*H18</f>
        <v>0</v>
      </c>
      <c r="I44" s="26" t="n">
        <f aca="false">I10*Assumptions!$E$80/12*I18</f>
        <v>0</v>
      </c>
      <c r="J44" s="26" t="n">
        <f aca="false">J10*Assumptions!$E$80/12*J18</f>
        <v>0</v>
      </c>
      <c r="K44" s="26" t="n">
        <f aca="false">K10*Assumptions!$E$80/12*K18</f>
        <v>0</v>
      </c>
      <c r="L44" s="26" t="n">
        <f aca="false">L10*Assumptions!$E$80/12*L18</f>
        <v>0</v>
      </c>
      <c r="M44" s="26" t="n">
        <f aca="false">M10*Assumptions!$E$80/12*M18</f>
        <v>0</v>
      </c>
      <c r="N44" s="26" t="n">
        <f aca="false">N10*Assumptions!$E$80/12*N18</f>
        <v>0</v>
      </c>
      <c r="O44" s="26" t="n">
        <f aca="false">O10*Assumptions!$E$80/12*O18</f>
        <v>0</v>
      </c>
      <c r="P44" s="26" t="n">
        <f aca="false">P10*Assumptions!$E$80/12*P18</f>
        <v>0</v>
      </c>
      <c r="Q44" s="26" t="n">
        <f aca="false">Q10*Assumptions!$E$80/12*Q18</f>
        <v>0</v>
      </c>
      <c r="R44" s="26" t="n">
        <f aca="false">R10*Assumptions!$E$80/12*R18</f>
        <v>0</v>
      </c>
      <c r="S44" s="26" t="n">
        <f aca="false">S10*Assumptions!$E$80/12*S18</f>
        <v>0</v>
      </c>
      <c r="T44" s="26" t="n">
        <f aca="false">T10*Assumptions!$E$80/12*T18</f>
        <v>0</v>
      </c>
      <c r="U44" s="26" t="n">
        <f aca="false">U10*Assumptions!$E$80/12*U18</f>
        <v>0.333333333333333</v>
      </c>
      <c r="V44" s="26" t="n">
        <f aca="false">V10*Assumptions!$E$80/12*V18</f>
        <v>0.333333333333333</v>
      </c>
      <c r="W44" s="26" t="n">
        <f aca="false">W10*Assumptions!$E$80/12*W18</f>
        <v>0.416666666666667</v>
      </c>
      <c r="X44" s="26" t="n">
        <f aca="false">X10*Assumptions!$E$80/12*X18</f>
        <v>0.5</v>
      </c>
      <c r="Y44" s="26" t="n">
        <f aca="false">Y10*Assumptions!$E$80/12*Y18</f>
        <v>0.5</v>
      </c>
      <c r="Z44" s="26" t="n">
        <f aca="false">Z10*Assumptions!$E$80/12*Z18</f>
        <v>0.583333333333333</v>
      </c>
      <c r="AA44" s="26" t="n">
        <f aca="false">AA10*Assumptions!$E$80/12*AA18</f>
        <v>0.666666666666667</v>
      </c>
      <c r="AB44" s="26" t="n">
        <f aca="false">AB10*Assumptions!$E$80/12*AB18</f>
        <v>0.75</v>
      </c>
      <c r="AC44" s="26" t="n">
        <f aca="false">AC10*Assumptions!$E$80/12*AC18</f>
        <v>0.833333333333333</v>
      </c>
      <c r="AD44" s="26" t="n">
        <f aca="false">AD10*Assumptions!$E$80/12*AD18</f>
        <v>0.916666666666667</v>
      </c>
      <c r="AE44" s="26" t="n">
        <f aca="false">AE10*Assumptions!$E$80/12*AE18</f>
        <v>1</v>
      </c>
      <c r="AF44" s="26" t="n">
        <f aca="false">AF10*Assumptions!$E$80/12*AF18</f>
        <v>1.08333333333333</v>
      </c>
      <c r="AG44" s="26" t="n">
        <f aca="false">AG10*Assumptions!$E$80/12*AG18</f>
        <v>1.16666666666667</v>
      </c>
      <c r="AH44" s="26" t="n">
        <f aca="false">AH10*Assumptions!$E$80/12*AH18</f>
        <v>1.25</v>
      </c>
      <c r="AI44" s="26" t="n">
        <f aca="false">AI10*Assumptions!$E$80/12*AI18</f>
        <v>1.33333333333333</v>
      </c>
      <c r="AJ44" s="26" t="n">
        <f aca="false">AJ10*Assumptions!$E$80/12*AJ18</f>
        <v>1.41666666666667</v>
      </c>
      <c r="AK44" s="26" t="n">
        <f aca="false">AK10*Assumptions!$E$80/12*AK18</f>
        <v>1.5</v>
      </c>
      <c r="AL44" s="26" t="n">
        <f aca="false">AL10*Assumptions!$E$80/12*AL18</f>
        <v>1.66666666666667</v>
      </c>
      <c r="AM44" s="26" t="n">
        <f aca="false">AM10*Assumptions!$E$80/12*AM18</f>
        <v>1.75</v>
      </c>
      <c r="AN44" s="37" t="n">
        <f aca="false">AN10*Assumptions!$E$80/12*AN18</f>
        <v>1.83333333333333</v>
      </c>
      <c r="AO44" s="37" t="n">
        <f aca="false">AO10*Assumptions!$E$80/12*AO18</f>
        <v>2</v>
      </c>
      <c r="AP44" s="37" t="n">
        <f aca="false">AP10*Assumptions!$E$80/12*AP18</f>
        <v>2.08333333333333</v>
      </c>
      <c r="AQ44" s="37" t="n">
        <f aca="false">AQ10*Assumptions!$E$80/12*AQ18</f>
        <v>2.16666666666667</v>
      </c>
      <c r="AR44" s="37" t="n">
        <f aca="false">AR10*Assumptions!$E$80/12*AR18</f>
        <v>2.33333333333333</v>
      </c>
      <c r="AS44" s="37" t="n">
        <f aca="false">AS10*Assumptions!$E$80/12*AS18</f>
        <v>2.41666666666667</v>
      </c>
      <c r="AT44" s="37" t="n">
        <f aca="false">AT10*Assumptions!$E$80/12*AT18</f>
        <v>2.5</v>
      </c>
      <c r="AU44" s="37" t="n">
        <f aca="false">AU10*Assumptions!$E$80/12*AU18</f>
        <v>2.66666666666667</v>
      </c>
      <c r="AV44" s="37" t="n">
        <f aca="false">AV10*Assumptions!$E$80/12*AV18</f>
        <v>2.75</v>
      </c>
      <c r="AW44" s="37" t="n">
        <f aca="false">AW10*Assumptions!$E$80/12*AW18</f>
        <v>2.83333333333333</v>
      </c>
      <c r="AX44" s="37" t="n">
        <f aca="false">AX10*Assumptions!$E$80/12*AX18</f>
        <v>3</v>
      </c>
      <c r="AY44" s="37" t="n">
        <f aca="false">AY10*Assumptions!$E$80/12*AY18</f>
        <v>3.08333333333333</v>
      </c>
      <c r="AZ44" s="37" t="n">
        <f aca="false">AZ10*Assumptions!$E$80/12*AZ18</f>
        <v>3.16666666666667</v>
      </c>
      <c r="BA44" s="37" t="n">
        <f aca="false">BA10*Assumptions!$E$80/12*BA18</f>
        <v>3.33333333333333</v>
      </c>
      <c r="BB44" s="37" t="n">
        <f aca="false">BB10*Assumptions!$E$80/12*BB18</f>
        <v>3.41666666666667</v>
      </c>
      <c r="BC44" s="37" t="n">
        <f aca="false">BC10*Assumptions!$E$80/12*BC18</f>
        <v>3.5</v>
      </c>
      <c r="BD44" s="37" t="n">
        <f aca="false">BD10*Assumptions!$E$80/12*BD18</f>
        <v>3.66666666666667</v>
      </c>
      <c r="BE44" s="37" t="n">
        <f aca="false">BE10*Assumptions!$E$80/12*BE18</f>
        <v>3.75</v>
      </c>
      <c r="BF44" s="37" t="n">
        <f aca="false">BF10*Assumptions!$E$80/12*BF18</f>
        <v>3.83333333333333</v>
      </c>
      <c r="BG44" s="37" t="n">
        <f aca="false">BG10*Assumptions!$E$80/12*BG18</f>
        <v>4</v>
      </c>
      <c r="BH44" s="37" t="n">
        <f aca="false">BH10*Assumptions!$E$80/12*BH18</f>
        <v>4.08333333333333</v>
      </c>
      <c r="BI44" s="37" t="n">
        <f aca="false">BI10*Assumptions!$E$80/12*BI18</f>
        <v>4.16666666666667</v>
      </c>
      <c r="BJ44" s="37" t="n">
        <f aca="false">BJ10*Assumptions!$E$80/12*BJ18</f>
        <v>4.33333333333333</v>
      </c>
      <c r="BK44" s="37" t="n">
        <f aca="false">BK10*Assumptions!$E$80/12*BK18</f>
        <v>4.41666666666667</v>
      </c>
    </row>
    <row r="45" customFormat="false" ht="15" hidden="false" customHeight="false" outlineLevel="0" collapsed="false">
      <c r="A45" s="28" t="s">
        <v>605</v>
      </c>
      <c r="B45" s="6" t="s">
        <v>606</v>
      </c>
      <c r="C45" s="43"/>
      <c r="D45" s="17" t="n">
        <f aca="false">D44*Assumptions!$E$81</f>
        <v>0</v>
      </c>
      <c r="E45" s="17" t="n">
        <f aca="false">E44*Assumptions!$E$81</f>
        <v>0</v>
      </c>
      <c r="F45" s="17" t="n">
        <f aca="false">F44*Assumptions!$E$81</f>
        <v>0</v>
      </c>
      <c r="G45" s="17" t="n">
        <f aca="false">G44*Assumptions!$E$81</f>
        <v>0</v>
      </c>
      <c r="H45" s="17" t="n">
        <f aca="false">H44*Assumptions!$E$81</f>
        <v>0</v>
      </c>
      <c r="I45" s="17" t="n">
        <f aca="false">I44*Assumptions!$E$81</f>
        <v>0</v>
      </c>
      <c r="J45" s="17" t="n">
        <f aca="false">J44*Assumptions!$E$81</f>
        <v>0</v>
      </c>
      <c r="K45" s="17" t="n">
        <f aca="false">K44*Assumptions!$E$81</f>
        <v>0</v>
      </c>
      <c r="L45" s="17" t="n">
        <f aca="false">L44*Assumptions!$E$81</f>
        <v>0</v>
      </c>
      <c r="M45" s="17" t="n">
        <f aca="false">M44*Assumptions!$E$81</f>
        <v>0</v>
      </c>
      <c r="N45" s="17" t="n">
        <f aca="false">N44*Assumptions!$E$81</f>
        <v>0</v>
      </c>
      <c r="O45" s="17" t="n">
        <f aca="false">O44*Assumptions!$E$81</f>
        <v>0</v>
      </c>
      <c r="P45" s="17" t="n">
        <f aca="false">P44*Assumptions!$E$81</f>
        <v>0</v>
      </c>
      <c r="Q45" s="17" t="n">
        <f aca="false">Q44*Assumptions!$E$81</f>
        <v>0</v>
      </c>
      <c r="R45" s="17" t="n">
        <f aca="false">R44*Assumptions!$E$81</f>
        <v>0</v>
      </c>
      <c r="S45" s="17" t="n">
        <f aca="false">S44*Assumptions!$E$81</f>
        <v>0</v>
      </c>
      <c r="T45" s="17" t="n">
        <f aca="false">T44*Assumptions!$E$81</f>
        <v>0</v>
      </c>
      <c r="U45" s="17" t="n">
        <f aca="false">U44*Assumptions!$E$81</f>
        <v>750</v>
      </c>
      <c r="V45" s="17" t="n">
        <f aca="false">V44*Assumptions!$E$81</f>
        <v>750</v>
      </c>
      <c r="W45" s="17" t="n">
        <f aca="false">W44*Assumptions!$E$81</f>
        <v>937.5</v>
      </c>
      <c r="X45" s="17" t="n">
        <f aca="false">X44*Assumptions!$E$81</f>
        <v>1125</v>
      </c>
      <c r="Y45" s="17" t="n">
        <f aca="false">Y44*Assumptions!$E$81</f>
        <v>1125</v>
      </c>
      <c r="Z45" s="17" t="n">
        <f aca="false">Z44*Assumptions!$E$81</f>
        <v>1312.5</v>
      </c>
      <c r="AA45" s="17" t="n">
        <f aca="false">AA44*Assumptions!$E$81</f>
        <v>1500</v>
      </c>
      <c r="AB45" s="17" t="n">
        <f aca="false">AB44*Assumptions!$E$81</f>
        <v>1687.5</v>
      </c>
      <c r="AC45" s="17" t="n">
        <f aca="false">AC44*Assumptions!$E$81</f>
        <v>1875</v>
      </c>
      <c r="AD45" s="17" t="n">
        <f aca="false">AD44*Assumptions!$E$81</f>
        <v>2062.5</v>
      </c>
      <c r="AE45" s="17" t="n">
        <f aca="false">AE44*Assumptions!$E$81</f>
        <v>2250</v>
      </c>
      <c r="AF45" s="17" t="n">
        <f aca="false">AF44*Assumptions!$E$81</f>
        <v>2437.5</v>
      </c>
      <c r="AG45" s="17" t="n">
        <f aca="false">AG44*Assumptions!$E$81</f>
        <v>2625</v>
      </c>
      <c r="AH45" s="17" t="n">
        <f aca="false">AH44*Assumptions!$E$81</f>
        <v>2812.5</v>
      </c>
      <c r="AI45" s="17" t="n">
        <f aca="false">AI44*Assumptions!$E$81</f>
        <v>3000</v>
      </c>
      <c r="AJ45" s="17" t="n">
        <f aca="false">AJ44*Assumptions!$E$81</f>
        <v>3187.5</v>
      </c>
      <c r="AK45" s="17" t="n">
        <f aca="false">AK44*Assumptions!$E$81</f>
        <v>3375</v>
      </c>
      <c r="AL45" s="17" t="n">
        <f aca="false">AL44*Assumptions!$E$81</f>
        <v>3750</v>
      </c>
      <c r="AM45" s="17" t="n">
        <f aca="false">AM44*Assumptions!$E$81</f>
        <v>3937.5</v>
      </c>
      <c r="AN45" s="44" t="n">
        <f aca="false">AN44*Assumptions!$E$81</f>
        <v>4125</v>
      </c>
      <c r="AO45" s="44" t="n">
        <f aca="false">AO44*Assumptions!$E$81</f>
        <v>4500</v>
      </c>
      <c r="AP45" s="44" t="n">
        <f aca="false">AP44*Assumptions!$E$81</f>
        <v>4687.5</v>
      </c>
      <c r="AQ45" s="44" t="n">
        <f aca="false">AQ44*Assumptions!$E$81</f>
        <v>4875</v>
      </c>
      <c r="AR45" s="44" t="n">
        <f aca="false">AR44*Assumptions!$E$81</f>
        <v>5250</v>
      </c>
      <c r="AS45" s="44" t="n">
        <f aca="false">AS44*Assumptions!$E$81</f>
        <v>5437.5</v>
      </c>
      <c r="AT45" s="44" t="n">
        <f aca="false">AT44*Assumptions!$E$81</f>
        <v>5625</v>
      </c>
      <c r="AU45" s="44" t="n">
        <f aca="false">AU44*Assumptions!$E$81</f>
        <v>6000</v>
      </c>
      <c r="AV45" s="44" t="n">
        <f aca="false">AV44*Assumptions!$E$81</f>
        <v>6187.5</v>
      </c>
      <c r="AW45" s="44" t="n">
        <f aca="false">AW44*Assumptions!$E$81</f>
        <v>6375</v>
      </c>
      <c r="AX45" s="44" t="n">
        <f aca="false">AX44*Assumptions!$E$81</f>
        <v>6750</v>
      </c>
      <c r="AY45" s="44" t="n">
        <f aca="false">AY44*Assumptions!$E$81</f>
        <v>6937.5</v>
      </c>
      <c r="AZ45" s="44" t="n">
        <f aca="false">AZ44*Assumptions!$E$81</f>
        <v>7125</v>
      </c>
      <c r="BA45" s="44" t="n">
        <f aca="false">BA44*Assumptions!$E$81</f>
        <v>7500</v>
      </c>
      <c r="BB45" s="44" t="n">
        <f aca="false">BB44*Assumptions!$E$81</f>
        <v>7687.5</v>
      </c>
      <c r="BC45" s="44" t="n">
        <f aca="false">BC44*Assumptions!$E$81</f>
        <v>7875</v>
      </c>
      <c r="BD45" s="44" t="n">
        <f aca="false">BD44*Assumptions!$E$81</f>
        <v>8250</v>
      </c>
      <c r="BE45" s="44" t="n">
        <f aca="false">BE44*Assumptions!$E$81</f>
        <v>8437.5</v>
      </c>
      <c r="BF45" s="44" t="n">
        <f aca="false">BF44*Assumptions!$E$81</f>
        <v>8625</v>
      </c>
      <c r="BG45" s="44" t="n">
        <f aca="false">BG44*Assumptions!$E$81</f>
        <v>9000</v>
      </c>
      <c r="BH45" s="44" t="n">
        <f aca="false">BH44*Assumptions!$E$81</f>
        <v>9187.5</v>
      </c>
      <c r="BI45" s="44" t="n">
        <f aca="false">BI44*Assumptions!$E$81</f>
        <v>9375</v>
      </c>
      <c r="BJ45" s="44" t="n">
        <f aca="false">BJ44*Assumptions!$E$81</f>
        <v>9750</v>
      </c>
      <c r="BK45" s="44" t="n">
        <f aca="false">BK44*Assumptions!$E$81</f>
        <v>9937.5</v>
      </c>
    </row>
    <row r="46" customFormat="false" ht="15" hidden="false" customHeight="false" outlineLevel="0" collapsed="false">
      <c r="A46" s="28" t="s">
        <v>607</v>
      </c>
      <c r="B46" s="5" t="s">
        <v>608</v>
      </c>
      <c r="C46" s="43"/>
      <c r="D46" s="45" t="n">
        <f aca="false">D37+D38+D40+D41+D42+D43+D45</f>
        <v>0</v>
      </c>
      <c r="E46" s="45" t="n">
        <f aca="false">E37+E38+E40+E41+E42+E43+E45</f>
        <v>0</v>
      </c>
      <c r="F46" s="45" t="n">
        <f aca="false">F37+F38+F40+F41+F42+F43+F45</f>
        <v>0</v>
      </c>
      <c r="G46" s="45" t="n">
        <f aca="false">G37+G38+G40+G41+G42+G43+G45</f>
        <v>0</v>
      </c>
      <c r="H46" s="45" t="n">
        <f aca="false">H37+H38+H40+H41+H42+H43+H45</f>
        <v>0</v>
      </c>
      <c r="I46" s="45" t="n">
        <f aca="false">I37+I38+I40+I41+I42+I43+I45</f>
        <v>0</v>
      </c>
      <c r="J46" s="45" t="n">
        <f aca="false">J37+J38+J40+J41+J42+J43+J45</f>
        <v>0</v>
      </c>
      <c r="K46" s="45" t="n">
        <f aca="false">K37+K38+K40+K41+K42+K43+K45</f>
        <v>0</v>
      </c>
      <c r="L46" s="45" t="n">
        <f aca="false">L37+L38+L40+L41+L42+L43+L45</f>
        <v>0</v>
      </c>
      <c r="M46" s="45" t="n">
        <f aca="false">M37+M38+M40+M41+M42+M43+M45</f>
        <v>0</v>
      </c>
      <c r="N46" s="45" t="n">
        <f aca="false">N37+N38+N40+N41+N42+N43+N45</f>
        <v>0</v>
      </c>
      <c r="O46" s="45" t="n">
        <f aca="false">O37+O38+O40+O41+O42+O43+O45</f>
        <v>35.1665104930414</v>
      </c>
      <c r="P46" s="45" t="n">
        <f aca="false">P37+P38+P40+P41+P42+P43+P45</f>
        <v>74.0038265988388</v>
      </c>
      <c r="Q46" s="45" t="n">
        <f aca="false">Q37+Q38+Q40+Q41+Q42+Q43+Q45</f>
        <v>117.562247969126</v>
      </c>
      <c r="R46" s="45" t="n">
        <f aca="false">R37+R38+R40+R41+R42+R43+R45</f>
        <v>167.422104482635</v>
      </c>
      <c r="S46" s="45" t="n">
        <f aca="false">S37+S38+S40+S41+S42+S43+S45</f>
        <v>220.646590052611</v>
      </c>
      <c r="T46" s="45" t="n">
        <f aca="false">T37+T38+T40+T41+T42+T43+T45</f>
        <v>278.140492029287</v>
      </c>
      <c r="U46" s="45" t="n">
        <f aca="false">U37+U38+U40+U41+U42+U43+U45</f>
        <v>1152.62661167059</v>
      </c>
      <c r="V46" s="45" t="n">
        <f aca="false">V37+V38+V40+V41+V42+V43+V45</f>
        <v>1288.66701484153</v>
      </c>
      <c r="W46" s="45" t="n">
        <f aca="false">W37+W38+W40+W41+W42+W43+W45</f>
        <v>1624.15498302233</v>
      </c>
      <c r="X46" s="45" t="n">
        <f aca="false">X37+X38+X40+X41+X42+X43+X45</f>
        <v>1971.12652024244</v>
      </c>
      <c r="Y46" s="45" t="n">
        <f aca="false">Y37+Y38+Y40+Y41+Y42+Y43+Y45</f>
        <v>2142.46230687345</v>
      </c>
      <c r="Z46" s="45" t="n">
        <f aca="false">Z37+Z38+Z40+Z41+Z42+Z43+Z45</f>
        <v>2512.41368223467</v>
      </c>
      <c r="AA46" s="45" t="n">
        <f aca="false">AA37+AA38+AA40+AA41+AA42+AA43+AA45</f>
        <v>2892.77924734571</v>
      </c>
      <c r="AB46" s="45" t="n">
        <f aca="false">AB37+AB38+AB40+AB41+AB42+AB43+AB45</f>
        <v>3282.90179317278</v>
      </c>
      <c r="AC46" s="45" t="n">
        <f aca="false">AC37+AC38+AC40+AC41+AC42+AC43+AC45</f>
        <v>3682.16543432368</v>
      </c>
      <c r="AD46" s="45" t="n">
        <f aca="false">AD37+AD38+AD40+AD41+AD42+AD43+AD45</f>
        <v>4089.99293414348</v>
      </c>
      <c r="AE46" s="45" t="n">
        <f aca="false">AE37+AE38+AE40+AE41+AE42+AE43+AE45</f>
        <v>4505.57026586144</v>
      </c>
      <c r="AF46" s="45" t="n">
        <f aca="false">AF37+AF38+AF40+AF41+AF42+AF43+AF45</f>
        <v>4935.23430684273</v>
      </c>
      <c r="AG46" s="45" t="n">
        <f aca="false">AG37+AG38+AG40+AG41+AG42+AG43+AG45</f>
        <v>5377.19526424548</v>
      </c>
      <c r="AH46" s="45" t="n">
        <f aca="false">AH37+AH38+AH40+AH41+AH42+AH43+AH45</f>
        <v>6066.54629917458</v>
      </c>
      <c r="AI46" s="45" t="n">
        <f aca="false">AI37+AI38+AI40+AI41+AI42+AI43+AI45</f>
        <v>6802.79477582069</v>
      </c>
      <c r="AJ46" s="45" t="n">
        <f aca="false">AJ37+AJ38+AJ40+AJ41+AJ42+AJ43+AJ45</f>
        <v>7580.00888227381</v>
      </c>
      <c r="AK46" s="45" t="n">
        <f aca="false">AK37+AK38+AK40+AK41+AK42+AK43+AK45</f>
        <v>8390.6211437948</v>
      </c>
      <c r="AL46" s="45" t="n">
        <f aca="false">AL37+AL38+AL40+AL41+AL42+AL43+AL45</f>
        <v>9438.60091123436</v>
      </c>
      <c r="AM46" s="45" t="n">
        <f aca="false">AM37+AM38+AM40+AM41+AM42+AM43+AM45</f>
        <v>10333.8283856429</v>
      </c>
      <c r="AN46" s="46" t="n">
        <f aca="false">AN37+AN38+AN40+AN41+AN42+AN43+AN45</f>
        <v>10926.5159671571</v>
      </c>
      <c r="AO46" s="46" t="n">
        <f aca="false">AO37+AO38+AO40+AO41+AO42+AO43+AO45</f>
        <v>11728.3040580082</v>
      </c>
      <c r="AP46" s="46" t="n">
        <f aca="false">AP37+AP38+AP40+AP41+AP42+AP43+AP45</f>
        <v>12343.0823997947</v>
      </c>
      <c r="AQ46" s="46" t="n">
        <f aca="false">AQ37+AQ38+AQ40+AQ41+AQ42+AQ43+AQ45</f>
        <v>12953.5390546494</v>
      </c>
      <c r="AR46" s="46" t="n">
        <f aca="false">AR37+AR38+AR40+AR41+AR42+AR43+AR45</f>
        <v>13771.3550207474</v>
      </c>
      <c r="AS46" s="46" t="n">
        <f aca="false">AS37+AS38+AS40+AS41+AS42+AS43+AS45</f>
        <v>14399.4173540874</v>
      </c>
      <c r="AT46" s="46" t="n">
        <f aca="false">AT37+AT38+AT40+AT41+AT42+AT43+AT45</f>
        <v>15021.3884020985</v>
      </c>
      <c r="AU46" s="46" t="n">
        <f aca="false">AU37+AU38+AU40+AU41+AU42+AU43+AU45</f>
        <v>15849.0802319287</v>
      </c>
      <c r="AV46" s="46" t="n">
        <f aca="false">AV37+AV38+AV40+AV41+AV42+AV43+AV45</f>
        <v>16485.499024493</v>
      </c>
      <c r="AW46" s="46" t="n">
        <f aca="false">AW37+AW38+AW40+AW41+AW42+AW43+AW45</f>
        <v>17114.4163097062</v>
      </c>
      <c r="AX46" s="46" t="n">
        <f aca="false">AX37+AX38+AX40+AX41+AX42+AX43+AX45</f>
        <v>17947.7448374941</v>
      </c>
      <c r="AY46" s="46" t="n">
        <f aca="false">AY37+AY38+AY40+AY41+AY42+AY43+AY45</f>
        <v>18588.5840418298</v>
      </c>
      <c r="AZ46" s="46" t="n">
        <f aca="false">AZ37+AZ38+AZ40+AZ41+AZ42+AZ43+AZ45</f>
        <v>19220.792094868</v>
      </c>
      <c r="BA46" s="46" t="n">
        <f aca="false">BA37+BA38+BA40+BA41+BA42+BA43+BA45</f>
        <v>20056.3624254495</v>
      </c>
      <c r="BB46" s="46" t="n">
        <f aca="false">BB37+BB38+BB40+BB41+BB42+BB43+BB45</f>
        <v>20698.4697115652</v>
      </c>
      <c r="BC46" s="46" t="n">
        <f aca="false">BC37+BC38+BC40+BC41+BC42+BC43+BC45</f>
        <v>21329.9171481227</v>
      </c>
      <c r="BD46" s="46" t="n">
        <f aca="false">BD37+BD38+BD40+BD41+BD42+BD43+BD45</f>
        <v>22163.6258766383</v>
      </c>
      <c r="BE46" s="46" t="n">
        <f aca="false">BE37+BE38+BE40+BE41+BE42+BE43+BE45</f>
        <v>22802.8595947028</v>
      </c>
      <c r="BF46" s="46" t="n">
        <f aca="false">BF37+BF38+BF40+BF41+BF42+BF43+BF45</f>
        <v>23430.5022648232</v>
      </c>
      <c r="BG46" s="46" t="n">
        <f aca="false">BG37+BG38+BG40+BG41+BG42+BG43+BG45</f>
        <v>24259.5489552269</v>
      </c>
      <c r="BH46" s="46" t="n">
        <f aca="false">BH37+BH38+BH40+BH41+BH42+BH43+BH45</f>
        <v>24893.3314614217</v>
      </c>
      <c r="BI46" s="46" t="n">
        <f aca="false">BI37+BI38+BI40+BI41+BI42+BI43+BI45</f>
        <v>25514.7967615208</v>
      </c>
      <c r="BJ46" s="46" t="n">
        <f aca="false">BJ37+BJ38+BJ40+BJ41+BJ42+BJ43+BJ45</f>
        <v>26336.998425057</v>
      </c>
      <c r="BK46" s="46" t="n">
        <f aca="false">BK37+BK38+BK40+BK41+BK42+BK43+BK45</f>
        <v>26963.3226811127</v>
      </c>
    </row>
    <row r="47" customFormat="false" ht="15" hidden="false" customHeight="false" outlineLevel="0" collapsed="false">
      <c r="A47" s="28" t="s">
        <v>609</v>
      </c>
      <c r="B47" s="6" t="s">
        <v>610</v>
      </c>
      <c r="C47" s="43"/>
      <c r="D47" s="17" t="n">
        <f aca="false">D37+D38</f>
        <v>0</v>
      </c>
      <c r="E47" s="17" t="n">
        <f aca="false">E37+E38</f>
        <v>0</v>
      </c>
      <c r="F47" s="17" t="n">
        <f aca="false">F37+F38</f>
        <v>0</v>
      </c>
      <c r="G47" s="17" t="n">
        <f aca="false">G37+G38</f>
        <v>0</v>
      </c>
      <c r="H47" s="17" t="n">
        <f aca="false">H37+H38</f>
        <v>0</v>
      </c>
      <c r="I47" s="17" t="n">
        <f aca="false">I37+I38</f>
        <v>0</v>
      </c>
      <c r="J47" s="17" t="n">
        <f aca="false">J37+J38</f>
        <v>0</v>
      </c>
      <c r="K47" s="17" t="n">
        <f aca="false">K37+K38</f>
        <v>0</v>
      </c>
      <c r="L47" s="17" t="n">
        <f aca="false">L37+L38</f>
        <v>0</v>
      </c>
      <c r="M47" s="17" t="n">
        <f aca="false">M37+M38</f>
        <v>0</v>
      </c>
      <c r="N47" s="17" t="n">
        <f aca="false">N37+N38</f>
        <v>0</v>
      </c>
      <c r="O47" s="17" t="n">
        <f aca="false">O37+O38</f>
        <v>26.2927181256384</v>
      </c>
      <c r="P47" s="17" t="n">
        <f aca="false">P37+P38</f>
        <v>55.3299638122159</v>
      </c>
      <c r="Q47" s="17" t="n">
        <f aca="false">Q37+Q38</f>
        <v>87.8970078273837</v>
      </c>
      <c r="R47" s="17" t="n">
        <f aca="false">R37+R38</f>
        <v>125.175405220662</v>
      </c>
      <c r="S47" s="17" t="n">
        <f aca="false">S37+S38</f>
        <v>164.969413123448</v>
      </c>
      <c r="T47" s="17" t="n">
        <f aca="false">T37+T38</f>
        <v>207.95550805928</v>
      </c>
      <c r="U47" s="17" t="n">
        <f aca="false">U37+U38</f>
        <v>302.474354232551</v>
      </c>
      <c r="V47" s="17" t="n">
        <f aca="false">V37+V38</f>
        <v>405.754849522059</v>
      </c>
      <c r="W47" s="17" t="n">
        <f aca="false">W37+W38</f>
        <v>518.096297770984</v>
      </c>
      <c r="X47" s="17" t="n">
        <f aca="false">X37+X38</f>
        <v>639.148453842237</v>
      </c>
      <c r="Y47" s="17" t="n">
        <f aca="false">Y37+Y38</f>
        <v>769.200915094066</v>
      </c>
      <c r="Z47" s="17" t="n">
        <f aca="false">Z37+Z38</f>
        <v>907.687602653716</v>
      </c>
      <c r="AA47" s="17" t="n">
        <f aca="false">AA37+AA38</f>
        <v>1054.07806918777</v>
      </c>
      <c r="AB47" s="17" t="n">
        <f aca="false">AB37+AB38</f>
        <v>1207.87518857844</v>
      </c>
      <c r="AC47" s="17" t="n">
        <f aca="false">AC37+AC38</f>
        <v>1368.61299984067</v>
      </c>
      <c r="AD47" s="17" t="n">
        <f aca="false">AD37+AD38</f>
        <v>1535.85469474726</v>
      </c>
      <c r="AE47" s="17" t="n">
        <f aca="false">AE37+AE38</f>
        <v>1708.98393925913</v>
      </c>
      <c r="AF47" s="17" t="n">
        <f aca="false">AF37+AF38</f>
        <v>1892.8022769719</v>
      </c>
      <c r="AG47" s="17" t="n">
        <f aca="false">AG37+AG38</f>
        <v>2085.95485201483</v>
      </c>
      <c r="AH47" s="17" t="n">
        <f aca="false">AH37+AH38</f>
        <v>2286.14636568832</v>
      </c>
      <c r="AI47" s="17" t="n">
        <f aca="false">AI37+AI38</f>
        <v>2497.03715527825</v>
      </c>
      <c r="AJ47" s="17" t="n">
        <f aca="false">AJ37+AJ38</f>
        <v>2716.42287267207</v>
      </c>
      <c r="AK47" s="17" t="n">
        <f aca="false">AK37+AK38</f>
        <v>2941.84292544166</v>
      </c>
      <c r="AL47" s="17" t="n">
        <f aca="false">AL37+AL38</f>
        <v>3175.97811503557</v>
      </c>
      <c r="AM47" s="17" t="n">
        <f aca="false">AM37+AM38</f>
        <v>3416.75288997532</v>
      </c>
      <c r="AN47" s="44" t="n">
        <f aca="false">AN37+AN38</f>
        <v>3661.8271462064</v>
      </c>
      <c r="AO47" s="44" t="n">
        <f aca="false">AO37+AO38</f>
        <v>3913.99441421886</v>
      </c>
      <c r="AP47" s="44" t="n">
        <f aca="false">AP37+AP38</f>
        <v>4171.28462401924</v>
      </c>
      <c r="AQ47" s="44" t="n">
        <f aca="false">AQ37+AQ38</f>
        <v>4431.45638266555</v>
      </c>
      <c r="AR47" s="44" t="n">
        <f aca="false">AR37+AR38</f>
        <v>4697.39560636327</v>
      </c>
      <c r="AS47" s="44" t="n">
        <f aca="false">AS37+AS38</f>
        <v>4967.01190031888</v>
      </c>
      <c r="AT47" s="44" t="n">
        <f aca="false">AT37+AT38</f>
        <v>5238.16037793394</v>
      </c>
      <c r="AU47" s="44" t="n">
        <f aca="false">AU37+AU38</f>
        <v>5513.81727970987</v>
      </c>
      <c r="AV47" s="44" t="n">
        <f aca="false">AV37+AV38</f>
        <v>5791.97675678396</v>
      </c>
      <c r="AW47" s="44" t="n">
        <f aca="false">AW37+AW38</f>
        <v>6070.57306675548</v>
      </c>
      <c r="AX47" s="44" t="n">
        <f aca="false">AX37+AX38</f>
        <v>6352.65654402381</v>
      </c>
      <c r="AY47" s="44" t="n">
        <f aca="false">AY37+AY38</f>
        <v>6636.2907112814</v>
      </c>
      <c r="AZ47" s="44" t="n">
        <f aca="false">AZ37+AZ38</f>
        <v>6919.47478142386</v>
      </c>
      <c r="BA47" s="44" t="n">
        <f aca="false">BA37+BA38</f>
        <v>7205.31991359055</v>
      </c>
      <c r="BB47" s="44" t="n">
        <f aca="false">BB37+BB38</f>
        <v>7491.94659136743</v>
      </c>
      <c r="BC47" s="44" t="n">
        <f aca="false">BC37+BC38</f>
        <v>7777.20057360519</v>
      </c>
      <c r="BD47" s="44" t="n">
        <f aca="false">BD37+BD38</f>
        <v>8064.25853757836</v>
      </c>
      <c r="BE47" s="44" t="n">
        <f aca="false">BE37+BE38</f>
        <v>8351.30230009119</v>
      </c>
      <c r="BF47" s="44" t="n">
        <f aca="false">BF37+BF38</f>
        <v>8636.23503796505</v>
      </c>
      <c r="BG47" s="44" t="n">
        <f aca="false">BG37+BG38</f>
        <v>8922.28718301931</v>
      </c>
      <c r="BH47" s="44" t="n">
        <f aca="false">BH37+BH38</f>
        <v>9207.6908783616</v>
      </c>
      <c r="BI47" s="44" t="n">
        <f aca="false">BI37+BI38</f>
        <v>9490.39641854879</v>
      </c>
      <c r="BJ47" s="44" t="n">
        <f aca="false">BJ37+BJ38</f>
        <v>9773.67834977936</v>
      </c>
      <c r="BK47" s="44" t="n">
        <f aca="false">BK37+BK38</f>
        <v>10055.8101179098</v>
      </c>
    </row>
    <row r="48" customFormat="false" ht="15" hidden="false" customHeight="false" outlineLevel="0" collapsed="false">
      <c r="B48" s="5" t="s">
        <v>611</v>
      </c>
    </row>
    <row r="49" customFormat="false" ht="15" hidden="false" customHeight="false" outlineLevel="0" collapsed="false">
      <c r="A49" s="28" t="s">
        <v>612</v>
      </c>
      <c r="B49" s="6" t="s">
        <v>613</v>
      </c>
      <c r="C49" s="43"/>
      <c r="D49" s="17" t="n">
        <f aca="false">D12*(Assumptions!$E$60+Assumptions!$E$63/60*Assumptions!$E$62)</f>
        <v>0</v>
      </c>
      <c r="E49" s="17" t="n">
        <f aca="false">E12*(Assumptions!$E$60+Assumptions!$E$63/60*Assumptions!$E$62)</f>
        <v>0</v>
      </c>
      <c r="F49" s="17" t="n">
        <f aca="false">F12*(Assumptions!$E$60+Assumptions!$E$63/60*Assumptions!$E$62)</f>
        <v>0</v>
      </c>
      <c r="G49" s="17" t="n">
        <f aca="false">G12*(Assumptions!$E$60+Assumptions!$E$63/60*Assumptions!$E$62)</f>
        <v>0</v>
      </c>
      <c r="H49" s="17" t="n">
        <f aca="false">H12*(Assumptions!$E$60+Assumptions!$E$63/60*Assumptions!$E$62)</f>
        <v>24.6666666666667</v>
      </c>
      <c r="I49" s="17" t="n">
        <f aca="false">I12*(Assumptions!$E$60+Assumptions!$E$63/60*Assumptions!$E$62)</f>
        <v>46.0033333333333</v>
      </c>
      <c r="J49" s="17" t="n">
        <f aca="false">J12*(Assumptions!$E$60+Assumptions!$E$63/60*Assumptions!$E$62)</f>
        <v>60.1132833333333</v>
      </c>
      <c r="K49" s="17" t="n">
        <f aca="false">K12*(Assumptions!$E$60+Assumptions!$E$63/60*Assumptions!$E$62)</f>
        <v>93.7449174166667</v>
      </c>
      <c r="L49" s="17" t="n">
        <f aca="false">L12*(Assumptions!$E$60+Assumptions!$E$63/60*Assumptions!$E$62)</f>
        <v>119.965410322083</v>
      </c>
      <c r="M49" s="17" t="n">
        <f aca="false">M12*(Assumptions!$E$60+Assumptions!$E$63/60*Assumptions!$E$62)</f>
        <v>137.899262500585</v>
      </c>
      <c r="N49" s="17" t="n">
        <f aca="false">N12*(Assumptions!$E$60+Assumptions!$E$63/60*Assumptions!$E$62)</f>
        <v>171.350773563077</v>
      </c>
      <c r="O49" s="17" t="n">
        <f aca="false">O12*(Assumptions!$E$60+Assumptions!$E$63/60*Assumptions!$E$62)</f>
        <v>222.06051195963</v>
      </c>
      <c r="P49" s="17" t="n">
        <f aca="false">P12*(Assumptions!$E$60+Assumptions!$E$63/60*Assumptions!$E$62)</f>
        <v>261.156270946903</v>
      </c>
      <c r="Q49" s="17" t="n">
        <f aca="false">Q12*(Assumptions!$E$60+Assumptions!$E$63/60*Assumptions!$E$62)</f>
        <v>308.545593549366</v>
      </c>
      <c r="R49" s="17" t="n">
        <f aca="false">R12*(Assumptions!$E$60+Assumptions!$E$63/60*Assumptions!$E$62)</f>
        <v>368.050742979459</v>
      </c>
      <c r="S49" s="17" t="n">
        <f aca="false">S12*(Assumptions!$E$60+Assumptions!$E$63/60*Assumptions!$E$62)</f>
        <v>411.8633151681</v>
      </c>
      <c r="T49" s="17" t="n">
        <f aca="false">T12*(Assumptions!$E$60+Assumptions!$E$63/60*Assumptions!$E$62)</f>
        <v>462.912032107245</v>
      </c>
      <c r="U49" s="17" t="n">
        <f aca="false">U12*(Assumptions!$E$60+Assumptions!$E$63/60*Assumptions!$E$62)</f>
        <v>522.075018292303</v>
      </c>
      <c r="V49" s="17" t="n">
        <f aca="false">V12*(Assumptions!$E$60+Assumptions!$E$63/60*Assumptions!$E$62)</f>
        <v>590.217226351252</v>
      </c>
      <c r="W49" s="17" t="n">
        <f aca="false">W12*(Assumptions!$E$60+Assumptions!$E$63/60*Assumptions!$E$62)</f>
        <v>662.27063462265</v>
      </c>
      <c r="X49" s="17" t="n">
        <f aca="false">X12*(Assumptions!$E$60+Assumptions!$E$63/60*Assumptions!$E$62)</f>
        <v>735.21657510331</v>
      </c>
      <c r="Y49" s="17" t="n">
        <f aca="false">Y12*(Assumptions!$E$60+Assumptions!$E$63/60*Assumptions!$E$62)</f>
        <v>812.001659810094</v>
      </c>
      <c r="Z49" s="17" t="n">
        <f aca="false">Z12*(Assumptions!$E$60+Assumptions!$E$63/60*Assumptions!$E$62)</f>
        <v>888.621634912942</v>
      </c>
      <c r="AA49" s="17" t="n">
        <f aca="false">AA12*(Assumptions!$E$60+Assumptions!$E$63/60*Assumptions!$E$62)</f>
        <v>965.078977055915</v>
      </c>
      <c r="AB49" s="17" t="n">
        <f aca="false">AB12*(Assumptions!$E$60+Assumptions!$E$63/60*Assumptions!$E$62)</f>
        <v>1041.37612573341</v>
      </c>
      <c r="AC49" s="17" t="n">
        <f aca="false">AC12*(Assumptions!$E$60+Assumptions!$E$63/60*Assumptions!$E$62)</f>
        <v>1117.51548384741</v>
      </c>
      <c r="AD49" s="17" t="n">
        <f aca="false">AD12*(Assumptions!$E$60+Assumptions!$E$63/60*Assumptions!$E$62)</f>
        <v>1193.49941825636</v>
      </c>
      <c r="AE49" s="17" t="n">
        <f aca="false">AE12*(Assumptions!$E$60+Assumptions!$E$63/60*Assumptions!$E$62)</f>
        <v>1268.34359364919</v>
      </c>
      <c r="AF49" s="17" t="n">
        <f aca="false">AF12*(Assumptions!$E$60+Assumptions!$E$63/60*Assumptions!$E$62)</f>
        <v>1367.71843974445</v>
      </c>
      <c r="AG49" s="17" t="n">
        <f aca="false">AG12*(Assumptions!$E$60+Assumptions!$E$63/60*Assumptions!$E$62)</f>
        <v>1463.62932981495</v>
      </c>
      <c r="AH49" s="17" t="n">
        <f aca="false">AH12*(Assumptions!$E$60+Assumptions!$E$63/60*Assumptions!$E$62)</f>
        <v>1551.19488986772</v>
      </c>
      <c r="AI49" s="17" t="n">
        <f aca="false">AI12*(Assumptions!$E$60+Assumptions!$E$63/60*Assumptions!$E$62)</f>
        <v>1658.16696651971</v>
      </c>
      <c r="AJ49" s="17" t="n">
        <f aca="false">AJ12*(Assumptions!$E$60+Assumptions!$E$63/60*Assumptions!$E$62)</f>
        <v>1757.61446202191</v>
      </c>
      <c r="AK49" s="17" t="n">
        <f aca="false">AK12*(Assumptions!$E$60+Assumptions!$E$63/60*Assumptions!$E$62)</f>
        <v>1847.67691175825</v>
      </c>
      <c r="AL49" s="17" t="n">
        <f aca="false">AL12*(Assumptions!$E$60+Assumptions!$E$63/60*Assumptions!$E$62)</f>
        <v>1952.17509141521</v>
      </c>
      <c r="AM49" s="17" t="n">
        <f aca="false">AM12*(Assumptions!$E$60+Assumptions!$E$63/60*Assumptions!$E$62)</f>
        <v>2049.18579837731</v>
      </c>
      <c r="AN49" s="44" t="n">
        <f aca="false">AN12*(Assumptions!$E$60+Assumptions!$E$63/60*Assumptions!$E$62)</f>
        <v>2136.84801140165</v>
      </c>
      <c r="AO49" s="44" t="n">
        <f aca="false">AO12*(Assumptions!$E$60+Assumptions!$E$63/60*Assumptions!$E$62)</f>
        <v>2238.9819578973</v>
      </c>
      <c r="AP49" s="44" t="n">
        <f aca="false">AP12*(Assumptions!$E$60+Assumptions!$E$63/60*Assumptions!$E$62)</f>
        <v>2333.6638951955</v>
      </c>
      <c r="AQ49" s="44" t="n">
        <f aca="false">AQ12*(Assumptions!$E$60+Assumptions!$E$63/60*Assumptions!$E$62)</f>
        <v>2419.0322701009</v>
      </c>
      <c r="AR49" s="44" t="n">
        <f aca="false">AR12*(Assumptions!$E$60+Assumptions!$E$63/60*Assumptions!$E$62)</f>
        <v>2518.90678604939</v>
      </c>
      <c r="AS49" s="44" t="n">
        <f aca="false">AS12*(Assumptions!$E$60+Assumptions!$E$63/60*Assumptions!$E$62)</f>
        <v>2610.37651759198</v>
      </c>
      <c r="AT49" s="44" t="n">
        <f aca="false">AT12*(Assumptions!$E$60+Assumptions!$E$63/60*Assumptions!$E$62)</f>
        <v>2692.5808698281</v>
      </c>
      <c r="AU49" s="44" t="n">
        <f aca="false">AU12*(Assumptions!$E$60+Assumptions!$E$63/60*Assumptions!$E$62)</f>
        <v>2789.33882344735</v>
      </c>
      <c r="AV49" s="44" t="n">
        <f aca="false">AV12*(Assumptions!$E$60+Assumptions!$E$63/60*Assumptions!$E$62)</f>
        <v>2877.73874109564</v>
      </c>
      <c r="AW49" s="44" t="n">
        <f aca="false">AW12*(Assumptions!$E$60+Assumptions!$E$63/60*Assumptions!$E$62)</f>
        <v>2956.91932664587</v>
      </c>
      <c r="AX49" s="44" t="n">
        <f aca="false">AX12*(Assumptions!$E$60+Assumptions!$E$63/60*Assumptions!$E$62)</f>
        <v>3050.69887007952</v>
      </c>
      <c r="AY49" s="44" t="n">
        <f aca="false">AY12*(Assumptions!$E$60+Assumptions!$E$63/60*Assumptions!$E$62)</f>
        <v>3136.16505369499</v>
      </c>
      <c r="AZ49" s="44" t="n">
        <f aca="false">AZ12*(Assumptions!$E$60+Assumptions!$E$63/60*Assumptions!$E$62)</f>
        <v>3212.4559112229</v>
      </c>
      <c r="BA49" s="44" t="n">
        <f aca="false">BA12*(Assumptions!$E$60+Assumptions!$E$63/60*Assumptions!$E$62)</f>
        <v>3303.38907255456</v>
      </c>
      <c r="BB49" s="44" t="n">
        <f aca="false">BB12*(Assumptions!$E$60+Assumptions!$E$63/60*Assumptions!$E$62)</f>
        <v>3386.05156979957</v>
      </c>
      <c r="BC49" s="44" t="n">
        <f aca="false">BC12*(Assumptions!$E$60+Assumptions!$E$63/60*Assumptions!$E$62)</f>
        <v>3458.59412958591</v>
      </c>
      <c r="BD49" s="44" t="n">
        <f aca="false">BD12*(Assumptions!$E$60+Assumptions!$E$63/60*Assumptions!$E$62)</f>
        <v>3545.83521764212</v>
      </c>
      <c r="BE49" s="44" t="n">
        <f aca="false">BE12*(Assumptions!$E$60+Assumptions!$E$63/60*Assumptions!$E$62)</f>
        <v>3624.86102271082</v>
      </c>
      <c r="BF49" s="44" t="n">
        <f aca="false">BF12*(Assumptions!$E$60+Assumptions!$E$63/60*Assumptions!$E$62)</f>
        <v>3693.82144070349</v>
      </c>
      <c r="BG49" s="44" t="n">
        <f aca="false">BG12*(Assumptions!$E$60+Assumptions!$E$63/60*Assumptions!$E$62)</f>
        <v>3777.53411909294</v>
      </c>
      <c r="BH49" s="44" t="n">
        <f aca="false">BH12*(Assumptions!$E$60+Assumptions!$E$63/60*Assumptions!$E$62)</f>
        <v>3853.08444063988</v>
      </c>
      <c r="BI49" s="44" t="n">
        <f aca="false">BI12*(Assumptions!$E$60+Assumptions!$E$63/60*Assumptions!$E$62)</f>
        <v>3918.62150736362</v>
      </c>
      <c r="BJ49" s="44" t="n">
        <f aca="false">BJ12*(Assumptions!$E$60+Assumptions!$E$63/60*Assumptions!$E$62)</f>
        <v>3998.96218475316</v>
      </c>
      <c r="BK49" s="44" t="n">
        <f aca="false">BK12*(Assumptions!$E$60+Assumptions!$E$63/60*Assumptions!$E$62)</f>
        <v>4071.1910853152</v>
      </c>
    </row>
    <row r="50" customFormat="false" ht="15" hidden="false" customHeight="false" outlineLevel="0" collapsed="false">
      <c r="A50" s="28" t="s">
        <v>614</v>
      </c>
      <c r="B50" s="6" t="s">
        <v>615</v>
      </c>
      <c r="C50" s="43"/>
      <c r="D50" s="17" t="n">
        <f aca="false">D32*Assumptions!$E$64/60*Assumptions!$E$62</f>
        <v>0</v>
      </c>
      <c r="E50" s="17" t="n">
        <f aca="false">E32*Assumptions!$E$64/60*Assumptions!$E$62</f>
        <v>0</v>
      </c>
      <c r="F50" s="17" t="n">
        <f aca="false">F32*Assumptions!$E$64/60*Assumptions!$E$62</f>
        <v>0</v>
      </c>
      <c r="G50" s="17" t="n">
        <f aca="false">G32*Assumptions!$E$64/60*Assumptions!$E$62</f>
        <v>0</v>
      </c>
      <c r="H50" s="17" t="n">
        <f aca="false">H32*Assumptions!$E$64/60*Assumptions!$E$62</f>
        <v>0</v>
      </c>
      <c r="I50" s="17" t="n">
        <f aca="false">I32*Assumptions!$E$64/60*Assumptions!$E$62</f>
        <v>0</v>
      </c>
      <c r="J50" s="17" t="n">
        <f aca="false">J32*Assumptions!$E$64/60*Assumptions!$E$62</f>
        <v>0</v>
      </c>
      <c r="K50" s="17" t="n">
        <f aca="false">K32*Assumptions!$E$64/60*Assumptions!$E$62</f>
        <v>0</v>
      </c>
      <c r="L50" s="17" t="n">
        <f aca="false">L32*Assumptions!$E$64/60*Assumptions!$E$62</f>
        <v>0</v>
      </c>
      <c r="M50" s="17" t="n">
        <f aca="false">M32*Assumptions!$E$64/60*Assumptions!$E$62</f>
        <v>0</v>
      </c>
      <c r="N50" s="17" t="n">
        <f aca="false">N32*Assumptions!$E$64/60*Assumptions!$E$62</f>
        <v>0</v>
      </c>
      <c r="O50" s="17" t="n">
        <f aca="false">O32*Assumptions!$E$64/60*Assumptions!$E$62</f>
        <v>2.25108888061973</v>
      </c>
      <c r="P50" s="17" t="n">
        <f aca="false">P32*Assumptions!$E$64/60*Assumptions!$E$62</f>
        <v>4.73715443597739</v>
      </c>
      <c r="Q50" s="17" t="n">
        <f aca="false">Q32*Assumptions!$E$64/60*Assumptions!$E$62</f>
        <v>7.5254287523445</v>
      </c>
      <c r="R50" s="17" t="n">
        <f aca="false">R32*Assumptions!$E$64/60*Assumptions!$E$62</f>
        <v>10.7170723647827</v>
      </c>
      <c r="S50" s="17" t="n">
        <f aca="false">S32*Assumptions!$E$64/60*Assumptions!$E$62</f>
        <v>14.1240935893363</v>
      </c>
      <c r="T50" s="17" t="n">
        <f aca="false">T32*Assumptions!$E$64/60*Assumptions!$E$62</f>
        <v>17.8044099365822</v>
      </c>
      <c r="U50" s="17" t="n">
        <f aca="false">U32*Assumptions!$E$64/60*Assumptions!$E$62</f>
        <v>28.8386903212075</v>
      </c>
      <c r="V50" s="17" t="n">
        <f aca="false">V32*Assumptions!$E$64/60*Assumptions!$E$62</f>
        <v>40.8733739419182</v>
      </c>
      <c r="W50" s="17" t="n">
        <f aca="false">W32*Assumptions!$E$64/60*Assumptions!$E$62</f>
        <v>53.944797558571</v>
      </c>
      <c r="X50" s="17" t="n">
        <f aca="false">X32*Assumptions!$E$64/60*Assumptions!$E$62</f>
        <v>68.0161907156407</v>
      </c>
      <c r="Y50" s="17" t="n">
        <f aca="false">Y32*Assumptions!$E$64/60*Assumptions!$E$62</f>
        <v>83.1224787502303</v>
      </c>
      <c r="Z50" s="17" t="n">
        <f aca="false">Z32*Assumptions!$E$64/60*Assumptions!$E$62</f>
        <v>99.2023043591308</v>
      </c>
      <c r="AA50" s="17" t="n">
        <f aca="false">AA32*Assumptions!$E$64/60*Assumptions!$E$62</f>
        <v>116.197962838271</v>
      </c>
      <c r="AB50" s="17" t="n">
        <f aca="false">AB32*Assumptions!$E$64/60*Assumptions!$E$62</f>
        <v>134.055176420728</v>
      </c>
      <c r="AC50" s="17" t="n">
        <f aca="false">AC32*Assumptions!$E$64/60*Assumptions!$E$62</f>
        <v>152.722883111491</v>
      </c>
      <c r="AD50" s="17" t="n">
        <f aca="false">AD32*Assumptions!$E$64/60*Assumptions!$E$62</f>
        <v>172.153039057092</v>
      </c>
      <c r="AE50" s="17" t="n">
        <f aca="false">AE32*Assumptions!$E$64/60*Assumptions!$E$62</f>
        <v>192.277168159768</v>
      </c>
      <c r="AF50" s="17" t="n">
        <f aca="false">AF32*Assumptions!$E$64/60*Assumptions!$E$62</f>
        <v>213.636022354433</v>
      </c>
      <c r="AG50" s="17" t="n">
        <f aca="false">AG32*Assumptions!$E$64/60*Assumptions!$E$62</f>
        <v>236.079620624342</v>
      </c>
      <c r="AH50" s="17" t="n">
        <f aca="false">AH32*Assumptions!$E$64/60*Assumptions!$E$62</f>
        <v>259.351505069211</v>
      </c>
      <c r="AI50" s="17" t="n">
        <f aca="false">AI32*Assumptions!$E$64/60*Assumptions!$E$62</f>
        <v>283.864227420206</v>
      </c>
      <c r="AJ50" s="17" t="n">
        <f aca="false">AJ32*Assumptions!$E$64/60*Assumptions!$E$62</f>
        <v>309.371961458285</v>
      </c>
      <c r="AK50" s="17" t="n">
        <f aca="false">AK32*Assumptions!$E$64/60*Assumptions!$E$62</f>
        <v>335.599056187605</v>
      </c>
      <c r="AL50" s="17" t="n">
        <f aca="false">AL32*Assumptions!$E$64/60*Assumptions!$E$62</f>
        <v>362.847234639411</v>
      </c>
      <c r="AM50" s="17" t="n">
        <f aca="false">AM32*Assumptions!$E$64/60*Assumptions!$E$62</f>
        <v>390.884178140842</v>
      </c>
      <c r="AN50" s="44" t="n">
        <f aca="false">AN32*Assumptions!$E$64/60*Assumptions!$E$62</f>
        <v>419.446915068279</v>
      </c>
      <c r="AO50" s="44" t="n">
        <f aca="false">AO32*Assumptions!$E$64/60*Assumptions!$E$62</f>
        <v>448.849072086853</v>
      </c>
      <c r="AP50" s="44" t="n">
        <f aca="false">AP32*Assumptions!$E$64/60*Assumptions!$E$62</f>
        <v>478.869507420865</v>
      </c>
      <c r="AQ50" s="44" t="n">
        <f aca="false">AQ32*Assumptions!$E$64/60*Assumptions!$E$62</f>
        <v>509.255745405867</v>
      </c>
      <c r="AR50" s="44" t="n">
        <f aca="false">AR32*Assumptions!$E$64/60*Assumptions!$E$62</f>
        <v>540.331270539269</v>
      </c>
      <c r="AS50" s="44" t="n">
        <f aca="false">AS32*Assumptions!$E$64/60*Assumptions!$E$62</f>
        <v>571.860935380853</v>
      </c>
      <c r="AT50" s="44" t="n">
        <f aca="false">AT32*Assumptions!$E$64/60*Assumptions!$E$62</f>
        <v>603.602631147975</v>
      </c>
      <c r="AU50" s="44" t="n">
        <f aca="false">AU32*Assumptions!$E$64/60*Assumptions!$E$62</f>
        <v>635.889579614526</v>
      </c>
      <c r="AV50" s="44" t="n">
        <f aca="false">AV32*Assumptions!$E$64/60*Assumptions!$E$62</f>
        <v>668.495780252787</v>
      </c>
      <c r="AW50" s="44" t="n">
        <f aca="false">AW32*Assumptions!$E$64/60*Assumptions!$E$62</f>
        <v>701.187717536345</v>
      </c>
      <c r="AX50" s="44" t="n">
        <f aca="false">AX32*Assumptions!$E$64/60*Assumptions!$E$62</f>
        <v>734.306687181838</v>
      </c>
      <c r="AY50" s="44" t="n">
        <f aca="false">AY32*Assumptions!$E$64/60*Assumptions!$E$62</f>
        <v>767.6342754258</v>
      </c>
      <c r="AZ50" s="44" t="n">
        <f aca="false">AZ32*Assumptions!$E$64/60*Assumptions!$E$62</f>
        <v>800.944096401258</v>
      </c>
      <c r="BA50" s="44" t="n">
        <f aca="false">BA32*Assumptions!$E$64/60*Assumptions!$E$62</f>
        <v>834.584146528376</v>
      </c>
      <c r="BB50" s="44" t="n">
        <f aca="false">BB32*Assumptions!$E$64/60*Assumptions!$E$62</f>
        <v>868.342310142645</v>
      </c>
      <c r="BC50" s="44" t="n">
        <f aca="false">BC32*Assumptions!$E$64/60*Assumptions!$E$62</f>
        <v>901.974856150063</v>
      </c>
      <c r="BD50" s="44" t="n">
        <f aca="false">BD32*Assumptions!$E$64/60*Assumptions!$E$62</f>
        <v>935.837014141433</v>
      </c>
      <c r="BE50" s="44" t="n">
        <f aca="false">BE32*Assumptions!$E$64/60*Assumptions!$E$62</f>
        <v>969.723464510699</v>
      </c>
      <c r="BF50" s="44" t="n">
        <f aca="false">BF32*Assumptions!$E$64/60*Assumptions!$E$62</f>
        <v>1003.39686188853</v>
      </c>
      <c r="BG50" s="44" t="n">
        <f aca="false">BG32*Assumptions!$E$64/60*Assumptions!$E$62</f>
        <v>1037.21843633539</v>
      </c>
      <c r="BH50" s="44" t="n">
        <f aca="false">BH32*Assumptions!$E$64/60*Assumptions!$E$62</f>
        <v>1070.98850695067</v>
      </c>
      <c r="BI50" s="44" t="n">
        <f aca="false">BI32*Assumptions!$E$64/60*Assumptions!$E$62</f>
        <v>1104.47502731301</v>
      </c>
      <c r="BJ50" s="44" t="n">
        <f aca="false">BJ32*Assumptions!$E$64/60*Assumptions!$E$62</f>
        <v>1138.04420729327</v>
      </c>
      <c r="BK50" s="44" t="n">
        <f aca="false">BK32*Assumptions!$E$64/60*Assumptions!$E$62</f>
        <v>1171.50104598714</v>
      </c>
    </row>
    <row r="51" customFormat="false" ht="15" hidden="false" customHeight="false" outlineLevel="0" collapsed="false">
      <c r="A51" s="28" t="s">
        <v>616</v>
      </c>
      <c r="B51" s="6" t="s">
        <v>617</v>
      </c>
      <c r="C51" s="43"/>
      <c r="D51" s="17" t="n">
        <f aca="false">D24*Assumptions!$E$61</f>
        <v>0</v>
      </c>
      <c r="E51" s="17" t="n">
        <f aca="false">E24*Assumptions!$E$61</f>
        <v>0</v>
      </c>
      <c r="F51" s="17" t="n">
        <f aca="false">F24*Assumptions!$E$61</f>
        <v>0</v>
      </c>
      <c r="G51" s="17" t="n">
        <f aca="false">G24*Assumptions!$E$61</f>
        <v>0</v>
      </c>
      <c r="H51" s="17" t="n">
        <f aca="false">H24*Assumptions!$E$61</f>
        <v>0.9</v>
      </c>
      <c r="I51" s="17" t="n">
        <f aca="false">I24*Assumptions!$E$61</f>
        <v>2.2635</v>
      </c>
      <c r="J51" s="17" t="n">
        <f aca="false">J24*Assumptions!$E$61</f>
        <v>3.6645975</v>
      </c>
      <c r="K51" s="17" t="n">
        <f aca="false">K24*Assumptions!$E$61</f>
        <v>5.8024110375</v>
      </c>
      <c r="L51" s="17" t="n">
        <f aca="false">L24*Assumptions!$E$61</f>
        <v>8.1486834969375</v>
      </c>
      <c r="M51" s="17" t="n">
        <f aca="false">M24*Assumptions!$E$61</f>
        <v>10.3281038507334</v>
      </c>
      <c r="N51" s="17" t="n">
        <f aca="false">N24*Assumptions!$E$61</f>
        <v>12.9652551870349</v>
      </c>
      <c r="O51" s="17" t="n">
        <f aca="false">O24*Assumptions!$E$61</f>
        <v>16.52962374037</v>
      </c>
      <c r="P51" s="17" t="n">
        <f aca="false">P24*Assumptions!$E$61</f>
        <v>20.2729301820059</v>
      </c>
      <c r="Q51" s="17" t="n">
        <f aca="false">Q24*Assumptions!$E$61</f>
        <v>24.4351492478077</v>
      </c>
      <c r="R51" s="17" t="n">
        <f aca="false">R24*Assumptions!$E$61</f>
        <v>29.3117254711363</v>
      </c>
      <c r="S51" s="17" t="n">
        <f aca="false">S24*Assumptions!$E$61</f>
        <v>34.080066839399</v>
      </c>
      <c r="T51" s="17" t="n">
        <f aca="false">T24*Assumptions!$E$61</f>
        <v>39.0420770495224</v>
      </c>
      <c r="U51" s="17" t="n">
        <f aca="false">U24*Assumptions!$E$61</f>
        <v>44.4260331820438</v>
      </c>
      <c r="V51" s="17" t="n">
        <f aca="false">V24*Assumptions!$E$61</f>
        <v>50.411874421685</v>
      </c>
      <c r="W51" s="17" t="n">
        <f aca="false">W24*Assumptions!$E$61</f>
        <v>56.9316469346514</v>
      </c>
      <c r="X51" s="17" t="n">
        <f aca="false">X24*Assumptions!$E$61</f>
        <v>63.8310401396712</v>
      </c>
      <c r="Y51" s="17" t="n">
        <f aca="false">Y24*Assumptions!$E$61</f>
        <v>71.1172636784519</v>
      </c>
      <c r="Z51" s="17" t="n">
        <f aca="false">Z24*Assumptions!$E$61</f>
        <v>78.6489026648443</v>
      </c>
      <c r="AA51" s="17" t="n">
        <f aca="false">AA24*Assumptions!$E$61</f>
        <v>86.3341277868917</v>
      </c>
      <c r="AB51" s="17" t="n">
        <f aca="false">AB24*Assumptions!$E$61</f>
        <v>94.1133390004013</v>
      </c>
      <c r="AC51" s="17" t="n">
        <f aca="false">AC24*Assumptions!$E$61</f>
        <v>101.947883950099</v>
      </c>
      <c r="AD51" s="17" t="n">
        <f aca="false">AD24*Assumptions!$E$61</f>
        <v>109.812724963404</v>
      </c>
      <c r="AE51" s="17" t="n">
        <f aca="false">AE24*Assumptions!$E$61</f>
        <v>117.655672616116</v>
      </c>
      <c r="AF51" s="17" t="n">
        <f aca="false">AF24*Assumptions!$E$61</f>
        <v>126.379427569529</v>
      </c>
      <c r="AG51" s="17" t="n">
        <f aca="false">AG24*Assumptions!$E$61</f>
        <v>135.549319683712</v>
      </c>
      <c r="AH51" s="17" t="n">
        <f aca="false">AH24*Assumptions!$E$61</f>
        <v>144.704709181479</v>
      </c>
      <c r="AI51" s="17" t="n">
        <f aca="false">AI24*Assumptions!$E$61</f>
        <v>154.558747584221</v>
      </c>
      <c r="AJ51" s="17" t="n">
        <f aca="false">AJ24*Assumptions!$E$61</f>
        <v>164.592362246759</v>
      </c>
      <c r="AK51" s="17" t="n">
        <f aca="false">AK24*Assumptions!$E$61</f>
        <v>174.400274132654</v>
      </c>
      <c r="AL51" s="17" t="n">
        <f aca="false">AL24*Assumptions!$E$61</f>
        <v>184.588188278402</v>
      </c>
      <c r="AM51" s="17" t="n">
        <f aca="false">AM24*Assumptions!$E$61</f>
        <v>194.749912321755</v>
      </c>
      <c r="AN51" s="44" t="n">
        <f aca="false">AN24*Assumptions!$E$61</f>
        <v>204.553519100823</v>
      </c>
      <c r="AO51" s="44" t="n">
        <f aca="false">AO24*Assumptions!$E$61</f>
        <v>214.652372365842</v>
      </c>
      <c r="AP51" s="44" t="n">
        <f aca="false">AP24*Assumptions!$E$61</f>
        <v>224.671238213849</v>
      </c>
      <c r="AQ51" s="44" t="n">
        <f aca="false">AQ24*Assumptions!$E$61</f>
        <v>234.298293072413</v>
      </c>
      <c r="AR51" s="44" t="n">
        <f aca="false">AR24*Assumptions!$E$61</f>
        <v>244.199948906979</v>
      </c>
      <c r="AS51" s="44" t="n">
        <f aca="false">AS24*Assumptions!$E$61</f>
        <v>253.973434323298</v>
      </c>
      <c r="AT51" s="44" t="n">
        <f aca="false">AT24*Assumptions!$E$61</f>
        <v>263.325547830899</v>
      </c>
      <c r="AU51" s="44" t="n">
        <f aca="false">AU24*Assumptions!$E$61</f>
        <v>272.934779378028</v>
      </c>
      <c r="AV51" s="44" t="n">
        <f aca="false">AV24*Assumptions!$E$61</f>
        <v>282.406182284343</v>
      </c>
      <c r="AW51" s="44" t="n">
        <f aca="false">AW24*Assumptions!$E$61</f>
        <v>291.451615538118</v>
      </c>
      <c r="AX51" s="44" t="n">
        <f aca="false">AX24*Assumptions!$E$61</f>
        <v>300.752833197273</v>
      </c>
      <c r="AY51" s="44" t="n">
        <f aca="false">AY24*Assumptions!$E$61</f>
        <v>309.916985429261</v>
      </c>
      <c r="AZ51" s="44" t="n">
        <f aca="false">AZ24*Assumptions!$E$61</f>
        <v>318.657269722287</v>
      </c>
      <c r="BA51" s="44" t="n">
        <f aca="false">BA24*Assumptions!$E$61</f>
        <v>327.656286074856</v>
      </c>
      <c r="BB51" s="44" t="n">
        <f aca="false">BB24*Assumptions!$E$61</f>
        <v>336.521710792695</v>
      </c>
      <c r="BC51" s="44" t="n">
        <f aca="false">BC24*Assumptions!$E$61</f>
        <v>344.931059986629</v>
      </c>
      <c r="BD51" s="44" t="n">
        <f aca="false">BD24*Assumptions!$E$61</f>
        <v>353.580257743116</v>
      </c>
      <c r="BE51" s="44" t="n">
        <f aca="false">BE24*Assumptions!$E$61</f>
        <v>362.085610253556</v>
      </c>
      <c r="BF51" s="44" t="n">
        <f aca="false">BF24*Assumptions!$E$61</f>
        <v>370.130212744533</v>
      </c>
      <c r="BG51" s="44" t="n">
        <f aca="false">BG24*Assumptions!$E$61</f>
        <v>378.413585872473</v>
      </c>
      <c r="BH51" s="44" t="n">
        <f aca="false">BH24*Assumptions!$E$61</f>
        <v>386.554344191806</v>
      </c>
      <c r="BI51" s="44" t="n">
        <f aca="false">BI24*Assumptions!$E$61</f>
        <v>394.237054398752</v>
      </c>
      <c r="BJ51" s="44" t="n">
        <f aca="false">BJ24*Assumptions!$E$61</f>
        <v>402.162165073155</v>
      </c>
      <c r="BK51" s="44" t="n">
        <f aca="false">BK24*Assumptions!$E$61</f>
        <v>409.948865815808</v>
      </c>
    </row>
    <row r="52" customFormat="false" ht="15" hidden="false" customHeight="false" outlineLevel="0" collapsed="false">
      <c r="A52" s="28" t="s">
        <v>618</v>
      </c>
      <c r="B52" s="6" t="s">
        <v>619</v>
      </c>
      <c r="C52" s="43"/>
      <c r="D52" s="17" t="n">
        <f aca="false">(D33*Assumptions!$E$56+D34*Assumptions!$E$57+D25*Assumptions!$E$58+D24*Assumptions!$E$59)*Assumptions!$E$55</f>
        <v>0</v>
      </c>
      <c r="E52" s="17" t="n">
        <f aca="false">(E33*Assumptions!$E$56+E34*Assumptions!$E$57+E25*Assumptions!$E$58+E24*Assumptions!$E$59)*Assumptions!$E$55</f>
        <v>0</v>
      </c>
      <c r="F52" s="17" t="n">
        <f aca="false">(F33*Assumptions!$E$56+F34*Assumptions!$E$57+F25*Assumptions!$E$58+F24*Assumptions!$E$59)*Assumptions!$E$55</f>
        <v>0</v>
      </c>
      <c r="G52" s="17" t="n">
        <f aca="false">(G33*Assumptions!$E$56+G34*Assumptions!$E$57+G25*Assumptions!$E$58+G24*Assumptions!$E$59)*Assumptions!$E$55</f>
        <v>0</v>
      </c>
      <c r="H52" s="17" t="n">
        <f aca="false">(H33*Assumptions!$E$56+H34*Assumptions!$E$57+H25*Assumptions!$E$58+H24*Assumptions!$E$59)*Assumptions!$E$55</f>
        <v>3.564</v>
      </c>
      <c r="I52" s="17" t="n">
        <f aca="false">(I33*Assumptions!$E$56+I34*Assumptions!$E$57+I25*Assumptions!$E$58+I24*Assumptions!$E$59)*Assumptions!$E$55</f>
        <v>6.11226</v>
      </c>
      <c r="J52" s="17" t="n">
        <f aca="false">(J33*Assumptions!$E$56+J34*Assumptions!$E$57+J25*Assumptions!$E$58+J24*Assumptions!$E$59)*Assumptions!$E$55</f>
        <v>7.3410381</v>
      </c>
      <c r="K52" s="17" t="n">
        <f aca="false">(K33*Assumptions!$E$56+K34*Assumptions!$E$57+K25*Assumptions!$E$58+K24*Assumptions!$E$59)*Assumptions!$E$55</f>
        <v>11.3681028285</v>
      </c>
      <c r="L52" s="17" t="n">
        <f aca="false">(L33*Assumptions!$E$56+L34*Assumptions!$E$57+L25*Assumptions!$E$58+L24*Assumptions!$E$59)*Assumptions!$E$55</f>
        <v>13.8867484810725</v>
      </c>
      <c r="M52" s="17" t="n">
        <f aca="false">(M33*Assumptions!$E$56+M34*Assumptions!$E$57+M25*Assumptions!$E$58+M24*Assumptions!$E$59)*Assumptions!$E$55</f>
        <v>15.0842619306064</v>
      </c>
      <c r="N52" s="17" t="n">
        <f aca="false">(N33*Assumptions!$E$56+N34*Assumptions!$E$57+N25*Assumptions!$E$58+N24*Assumptions!$E$59)*Assumptions!$E$55</f>
        <v>18.6229775415348</v>
      </c>
      <c r="O52" s="17" t="n">
        <f aca="false">(O33*Assumptions!$E$56+O34*Assumptions!$E$57+O25*Assumptions!$E$58+O24*Assumptions!$E$59)*Assumptions!$E$55</f>
        <v>30.8016861957616</v>
      </c>
      <c r="P52" s="17" t="n">
        <f aca="false">(P33*Assumptions!$E$56+P34*Assumptions!$E$57+P25*Assumptions!$E$58+P24*Assumptions!$E$59)*Assumptions!$E$55</f>
        <v>41.4215302391098</v>
      </c>
      <c r="Q52" s="17" t="n">
        <f aca="false">(Q33*Assumptions!$E$56+Q34*Assumptions!$E$57+Q25*Assumptions!$E$58+Q24*Assumptions!$E$59)*Assumptions!$E$55</f>
        <v>53.9950506634085</v>
      </c>
      <c r="R52" s="17" t="n">
        <f aca="false">(R33*Assumptions!$E$56+R34*Assumptions!$E$57+R25*Assumptions!$E$58+R24*Assumptions!$E$59)*Assumptions!$E$55</f>
        <v>69.2203967751135</v>
      </c>
      <c r="S52" s="17" t="n">
        <f aca="false">(S33*Assumptions!$E$56+S34*Assumptions!$E$57+S25*Assumptions!$E$58+S24*Assumptions!$E$59)*Assumptions!$E$55</f>
        <v>82.3681340333758</v>
      </c>
      <c r="T52" s="17" t="n">
        <f aca="false">(T33*Assumptions!$E$56+T34*Assumptions!$E$57+T25*Assumptions!$E$58+T24*Assumptions!$E$59)*Assumptions!$E$55</f>
        <v>97.4049069800757</v>
      </c>
      <c r="U52" s="17" t="n">
        <f aca="false">(U33*Assumptions!$E$56+U34*Assumptions!$E$57+U25*Assumptions!$E$58+U24*Assumptions!$E$59)*Assumptions!$E$55</f>
        <v>123.127354074513</v>
      </c>
      <c r="V52" s="17" t="n">
        <f aca="false">(V33*Assumptions!$E$56+V34*Assumptions!$E$57+V25*Assumptions!$E$58+V24*Assumptions!$E$59)*Assumptions!$E$55</f>
        <v>151.784281192905</v>
      </c>
      <c r="W52" s="17" t="n">
        <f aca="false">(W33*Assumptions!$E$56+W34*Assumptions!$E$57+W25*Assumptions!$E$58+W24*Assumptions!$E$59)*Assumptions!$E$55</f>
        <v>182.598861046988</v>
      </c>
      <c r="X52" s="17" t="n">
        <f aca="false">(X33*Assumptions!$E$56+X34*Assumptions!$E$57+X25*Assumptions!$E$58+X24*Assumptions!$E$59)*Assumptions!$E$55</f>
        <v>215.09660870613</v>
      </c>
      <c r="Y52" s="17" t="n">
        <f aca="false">(Y33*Assumptions!$E$56+Y34*Assumptions!$E$57+Y25*Assumptions!$E$58+Y24*Assumptions!$E$59)*Assumptions!$E$55</f>
        <v>249.855460303002</v>
      </c>
      <c r="Z52" s="17" t="n">
        <f aca="false">(Z33*Assumptions!$E$56+Z34*Assumptions!$E$57+Z25*Assumptions!$E$58+Z24*Assumptions!$E$59)*Assumptions!$E$55</f>
        <v>286.167320362094</v>
      </c>
      <c r="AA52" s="17" t="n">
        <f aca="false">(AA33*Assumptions!$E$56+AA34*Assumptions!$E$57+AA25*Assumptions!$E$58+AA24*Assumptions!$E$59)*Assumptions!$E$55</f>
        <v>323.999388906476</v>
      </c>
      <c r="AB52" s="17" t="n">
        <f aca="false">(AB33*Assumptions!$E$56+AB34*Assumptions!$E$57+AB25*Assumptions!$E$58+AB24*Assumptions!$E$59)*Assumptions!$E$55</f>
        <v>363.296964858327</v>
      </c>
      <c r="AC52" s="17" t="n">
        <f aca="false">(AC33*Assumptions!$E$56+AC34*Assumptions!$E$57+AC25*Assumptions!$E$58+AC24*Assumptions!$E$59)*Assumptions!$E$55</f>
        <v>403.993256099092</v>
      </c>
      <c r="AD52" s="17" t="n">
        <f aca="false">(AD33*Assumptions!$E$56+AD34*Assumptions!$E$57+AD25*Assumptions!$E$58+AD24*Assumptions!$E$59)*Assumptions!$E$55</f>
        <v>446.015614985689</v>
      </c>
      <c r="AE52" s="17" t="n">
        <f aca="false">(AE33*Assumptions!$E$56+AE34*Assumptions!$E$57+AE25*Assumptions!$E$58+AE24*Assumptions!$E$59)*Assumptions!$E$55</f>
        <v>489.101995733386</v>
      </c>
      <c r="AF52" s="17" t="n">
        <f aca="false">(AF33*Assumptions!$E$56+AF34*Assumptions!$E$57+AF25*Assumptions!$E$58+AF24*Assumptions!$E$59)*Assumptions!$E$55</f>
        <v>538.034456102243</v>
      </c>
      <c r="AG52" s="17" t="n">
        <f aca="false">(AG33*Assumptions!$E$56+AG34*Assumptions!$E$57+AG25*Assumptions!$E$58+AG24*Assumptions!$E$59)*Assumptions!$E$55</f>
        <v>587.935305161786</v>
      </c>
      <c r="AH52" s="17" t="n">
        <f aca="false">(AH33*Assumptions!$E$56+AH34*Assumptions!$E$57+AH25*Assumptions!$E$58+AH24*Assumptions!$E$59)*Assumptions!$E$55</f>
        <v>637.857274392368</v>
      </c>
      <c r="AI52" s="17" t="n">
        <f aca="false">(AI33*Assumptions!$E$56+AI34*Assumptions!$E$57+AI25*Assumptions!$E$58+AI24*Assumptions!$E$59)*Assumptions!$E$55</f>
        <v>692.877790040461</v>
      </c>
      <c r="AJ52" s="17" t="n">
        <f aca="false">(AJ33*Assumptions!$E$56+AJ34*Assumptions!$E$57+AJ25*Assumptions!$E$58+AJ24*Assumptions!$E$59)*Assumptions!$E$55</f>
        <v>748.201238397186</v>
      </c>
      <c r="AK52" s="17" t="n">
        <f aca="false">(AK33*Assumptions!$E$56+AK34*Assumptions!$E$57+AK25*Assumptions!$E$58+AK24*Assumptions!$E$59)*Assumptions!$E$55</f>
        <v>803.331674195919</v>
      </c>
      <c r="AL52" s="17" t="n">
        <f aca="false">(AL33*Assumptions!$E$56+AL34*Assumptions!$E$57+AL25*Assumptions!$E$58+AL24*Assumptions!$E$59)*Assumptions!$E$55</f>
        <v>862.533589301702</v>
      </c>
      <c r="AM52" s="17" t="n">
        <f aca="false">(AM33*Assumptions!$E$56+AM34*Assumptions!$E$57+AM25*Assumptions!$E$58+AM24*Assumptions!$E$59)*Assumptions!$E$55</f>
        <v>921.827718509136</v>
      </c>
      <c r="AN52" s="44" t="n">
        <f aca="false">(AN33*Assumptions!$E$56+AN34*Assumptions!$E$57+AN25*Assumptions!$E$58+AN24*Assumptions!$E$59)*Assumptions!$E$55</f>
        <v>980.678026455552</v>
      </c>
      <c r="AO52" s="44" t="n">
        <f aca="false">(AO33*Assumptions!$E$56+AO34*Assumptions!$E$57+AO25*Assumptions!$E$58+AO24*Assumptions!$E$59)*Assumptions!$E$55</f>
        <v>1043.33061363202</v>
      </c>
      <c r="AP52" s="44" t="n">
        <f aca="false">(AP33*Assumptions!$E$56+AP34*Assumptions!$E$57+AP25*Assumptions!$E$58+AP24*Assumptions!$E$59)*Assumptions!$E$55</f>
        <v>1105.80142375359</v>
      </c>
      <c r="AQ52" s="44" t="n">
        <f aca="false">(AQ33*Assumptions!$E$56+AQ34*Assumptions!$E$57+AQ25*Assumptions!$E$58+AQ24*Assumptions!$E$59)*Assumptions!$E$55</f>
        <v>1167.55800039375</v>
      </c>
      <c r="AR52" s="44" t="n">
        <f aca="false">(AR33*Assumptions!$E$56+AR34*Assumptions!$E$57+AR25*Assumptions!$E$58+AR24*Assumptions!$E$59)*Assumptions!$E$55</f>
        <v>1232.85502471311</v>
      </c>
      <c r="AS52" s="44" t="n">
        <f aca="false">(AS33*Assumptions!$E$56+AS34*Assumptions!$E$57+AS25*Assumptions!$E$58+AS24*Assumptions!$E$59)*Assumptions!$E$55</f>
        <v>1297.53239851411</v>
      </c>
      <c r="AT52" s="44" t="n">
        <f aca="false">(AT33*Assumptions!$E$56+AT34*Assumptions!$E$57+AT25*Assumptions!$E$58+AT24*Assumptions!$E$59)*Assumptions!$E$55</f>
        <v>1361.2400946247</v>
      </c>
      <c r="AU52" s="44" t="n">
        <f aca="false">(AU33*Assumptions!$E$56+AU34*Assumptions!$E$57+AU25*Assumptions!$E$58+AU24*Assumptions!$E$59)*Assumptions!$E$55</f>
        <v>1428.24166684367</v>
      </c>
      <c r="AV52" s="44" t="n">
        <f aca="false">(AV33*Assumptions!$E$56+AV34*Assumptions!$E$57+AV25*Assumptions!$E$58+AV24*Assumptions!$E$59)*Assumptions!$E$55</f>
        <v>1494.38846376551</v>
      </c>
      <c r="AW52" s="44" t="n">
        <f aca="false">(AW33*Assumptions!$E$56+AW34*Assumptions!$E$57+AW25*Assumptions!$E$58+AW24*Assumptions!$E$59)*Assumptions!$E$55</f>
        <v>1559.343205851</v>
      </c>
      <c r="AX52" s="44" t="n">
        <f aca="false">(AX33*Assumptions!$E$56+AX34*Assumptions!$E$57+AX25*Assumptions!$E$58+AX24*Assumptions!$E$59)*Assumptions!$E$55</f>
        <v>1627.38269238348</v>
      </c>
      <c r="AY52" s="44" t="n">
        <f aca="false">(AY33*Assumptions!$E$56+AY34*Assumptions!$E$57+AY25*Assumptions!$E$58+AY24*Assumptions!$E$59)*Assumptions!$E$55</f>
        <v>1694.37151634661</v>
      </c>
      <c r="AZ52" s="44" t="n">
        <f aca="false">(AZ33*Assumptions!$E$56+AZ34*Assumptions!$E$57+AZ25*Assumptions!$E$58+AZ24*Assumptions!$E$59)*Assumptions!$E$55</f>
        <v>1759.98533862049</v>
      </c>
      <c r="BA52" s="44" t="n">
        <f aca="false">(BA33*Assumptions!$E$56+BA34*Assumptions!$E$57+BA25*Assumptions!$E$58+BA24*Assumptions!$E$59)*Assumptions!$E$55</f>
        <v>1828.51341806384</v>
      </c>
      <c r="BB52" s="44" t="n">
        <f aca="false">(BB33*Assumptions!$E$56+BB34*Assumptions!$E$57+BB25*Assumptions!$E$58+BB24*Assumptions!$E$59)*Assumptions!$E$55</f>
        <v>1895.83223007008</v>
      </c>
      <c r="BC52" s="44" t="n">
        <f aca="false">(BC33*Assumptions!$E$56+BC34*Assumptions!$E$57+BC25*Assumptions!$E$58+BC24*Assumptions!$E$59)*Assumptions!$E$55</f>
        <v>1961.44123135576</v>
      </c>
      <c r="BD52" s="44" t="n">
        <f aca="false">(BD33*Assumptions!$E$56+BD34*Assumptions!$E$57+BD25*Assumptions!$E$58+BD24*Assumptions!$E$59)*Assumptions!$E$55</f>
        <v>2029.80984743927</v>
      </c>
      <c r="BE52" s="44" t="n">
        <f aca="false">(BE33*Assumptions!$E$56+BE34*Assumptions!$E$57+BE25*Assumptions!$E$58+BE24*Assumptions!$E$59)*Assumptions!$E$55</f>
        <v>2096.81993950685</v>
      </c>
      <c r="BF52" s="44" t="n">
        <f aca="false">(BF33*Assumptions!$E$56+BF34*Assumptions!$E$57+BF25*Assumptions!$E$58+BF24*Assumptions!$E$59)*Assumptions!$E$55</f>
        <v>2161.97825986699</v>
      </c>
      <c r="BG52" s="44" t="n">
        <f aca="false">(BG33*Assumptions!$E$56+BG34*Assumptions!$E$57+BG25*Assumptions!$E$58+BG24*Assumptions!$E$59)*Assumptions!$E$55</f>
        <v>2229.76252114502</v>
      </c>
      <c r="BH52" s="44" t="n">
        <f aca="false">(BH33*Assumptions!$E$56+BH34*Assumptions!$E$57+BH25*Assumptions!$E$58+BH24*Assumptions!$E$59)*Assumptions!$E$55</f>
        <v>2296.06328264197</v>
      </c>
      <c r="BI52" s="44" t="n">
        <f aca="false">(BI33*Assumptions!$E$56+BI34*Assumptions!$E$57+BI25*Assumptions!$E$58+BI24*Assumptions!$E$59)*Assumptions!$E$55</f>
        <v>2360.3960437401</v>
      </c>
      <c r="BJ52" s="44" t="n">
        <f aca="false">(BJ33*Assumptions!$E$56+BJ34*Assumptions!$E$57+BJ25*Assumptions!$E$58+BJ24*Assumptions!$E$59)*Assumptions!$E$55</f>
        <v>2427.24709202503</v>
      </c>
      <c r="BK52" s="44" t="n">
        <f aca="false">(BK33*Assumptions!$E$56+BK34*Assumptions!$E$57+BK25*Assumptions!$E$58+BK24*Assumptions!$E$59)*Assumptions!$E$55</f>
        <v>2492.51525925477</v>
      </c>
    </row>
    <row r="53" customFormat="false" ht="15" hidden="false" customHeight="false" outlineLevel="0" collapsed="false">
      <c r="A53" s="28" t="s">
        <v>620</v>
      </c>
      <c r="B53" s="6" t="s">
        <v>621</v>
      </c>
      <c r="C53" s="43"/>
      <c r="D53" s="17" t="n">
        <f aca="false">D39*Assumptions!$E$51+D32*Assumptions!$E$45*Assumptions!$E$52</f>
        <v>0</v>
      </c>
      <c r="E53" s="17" t="n">
        <f aca="false">E39*Assumptions!$E$51+E32*Assumptions!$E$45*Assumptions!$E$52</f>
        <v>0</v>
      </c>
      <c r="F53" s="17" t="n">
        <f aca="false">F39*Assumptions!$E$51+F32*Assumptions!$E$45*Assumptions!$E$52</f>
        <v>0</v>
      </c>
      <c r="G53" s="17" t="n">
        <f aca="false">G39*Assumptions!$E$51+G32*Assumptions!$E$45*Assumptions!$E$52</f>
        <v>0</v>
      </c>
      <c r="H53" s="17" t="n">
        <f aca="false">H39*Assumptions!$E$51+H32*Assumptions!$E$45*Assumptions!$E$52</f>
        <v>0</v>
      </c>
      <c r="I53" s="17" t="n">
        <f aca="false">I39*Assumptions!$E$51+I32*Assumptions!$E$45*Assumptions!$E$52</f>
        <v>0</v>
      </c>
      <c r="J53" s="17" t="n">
        <f aca="false">J39*Assumptions!$E$51+J32*Assumptions!$E$45*Assumptions!$E$52</f>
        <v>0</v>
      </c>
      <c r="K53" s="17" t="n">
        <f aca="false">K39*Assumptions!$E$51+K32*Assumptions!$E$45*Assumptions!$E$52</f>
        <v>0</v>
      </c>
      <c r="L53" s="17" t="n">
        <f aca="false">L39*Assumptions!$E$51+L32*Assumptions!$E$45*Assumptions!$E$52</f>
        <v>0</v>
      </c>
      <c r="M53" s="17" t="n">
        <f aca="false">M39*Assumptions!$E$51+M32*Assumptions!$E$45*Assumptions!$E$52</f>
        <v>0</v>
      </c>
      <c r="N53" s="17" t="n">
        <f aca="false">N39*Assumptions!$E$51+N32*Assumptions!$E$45*Assumptions!$E$52</f>
        <v>0</v>
      </c>
      <c r="O53" s="17" t="n">
        <f aca="false">O39*Assumptions!$E$51+O32*Assumptions!$E$45*Assumptions!$E$52</f>
        <v>3.39013985421331</v>
      </c>
      <c r="P53" s="17" t="n">
        <f aca="false">P39*Assumptions!$E$51+P32*Assumptions!$E$45*Assumptions!$E$52</f>
        <v>7.13415458058195</v>
      </c>
      <c r="Q53" s="17" t="n">
        <f aca="false">Q39*Assumptions!$E$51+Q32*Assumptions!$E$45*Assumptions!$E$52</f>
        <v>11.3332957010308</v>
      </c>
      <c r="R53" s="17" t="n">
        <f aca="false">R39*Assumptions!$E$51+R32*Assumptions!$E$45*Assumptions!$E$52</f>
        <v>16.1399109813627</v>
      </c>
      <c r="S53" s="17" t="n">
        <f aca="false">S39*Assumptions!$E$51+S32*Assumptions!$E$45*Assumptions!$E$52</f>
        <v>21.2708849455404</v>
      </c>
      <c r="T53" s="17" t="n">
        <f aca="false">T39*Assumptions!$E$51+T32*Assumptions!$E$45*Assumptions!$E$52</f>
        <v>26.8134413644928</v>
      </c>
      <c r="U53" s="17" t="n">
        <f aca="false">U39*Assumptions!$E$51+U32*Assumptions!$E$45*Assumptions!$E$52</f>
        <v>38.9211143543497</v>
      </c>
      <c r="V53" s="17" t="n">
        <f aca="false">V39*Assumptions!$E$51+V32*Assumptions!$E$45*Assumptions!$E$52</f>
        <v>52.1517429033385</v>
      </c>
      <c r="W53" s="17" t="n">
        <f aca="false">W39*Assumptions!$E$51+W32*Assumptions!$E$45*Assumptions!$E$52</f>
        <v>66.5436295483603</v>
      </c>
      <c r="X53" s="17" t="n">
        <f aca="false">X39*Assumptions!$E$51+X32*Assumptions!$E$45*Assumptions!$E$52</f>
        <v>82.0517974174713</v>
      </c>
      <c r="Y53" s="17" t="n">
        <f aca="false">Y39*Assumptions!$E$51+Y32*Assumptions!$E$45*Assumptions!$E$52</f>
        <v>98.7133131798399</v>
      </c>
      <c r="Z53" s="17" t="n">
        <f aca="false">Z39*Assumptions!$E$51+Z32*Assumptions!$E$45*Assumptions!$E$52</f>
        <v>116.455535630604</v>
      </c>
      <c r="AA53" s="17" t="n">
        <f aca="false">AA39*Assumptions!$E$51+AA32*Assumptions!$E$45*Assumptions!$E$52</f>
        <v>135.210401584262</v>
      </c>
      <c r="AB53" s="17" t="n">
        <f aca="false">AB39*Assumptions!$E$51+AB32*Assumptions!$E$45*Assumptions!$E$52</f>
        <v>154.914128737561</v>
      </c>
      <c r="AC53" s="17" t="n">
        <f aca="false">AC39*Assumptions!$E$51+AC32*Assumptions!$E$45*Assumptions!$E$52</f>
        <v>175.506938385077</v>
      </c>
      <c r="AD53" s="17" t="n">
        <f aca="false">AD39*Assumptions!$E$51+AD32*Assumptions!$E$45*Assumptions!$E$52</f>
        <v>196.932796631036</v>
      </c>
      <c r="AE53" s="17" t="n">
        <f aca="false">AE39*Assumptions!$E$51+AE32*Assumptions!$E$45*Assumptions!$E$52</f>
        <v>219.112658487447</v>
      </c>
      <c r="AF53" s="17" t="n">
        <f aca="false">AF39*Assumptions!$E$51+AF32*Assumptions!$E$45*Assumptions!$E$52</f>
        <v>242.662126248993</v>
      </c>
      <c r="AG53" s="17" t="n">
        <f aca="false">AG39*Assumptions!$E$51+AG32*Assumptions!$E$45*Assumptions!$E$52</f>
        <v>267.407424570089</v>
      </c>
      <c r="AH53" s="17" t="n">
        <f aca="false">AH39*Assumptions!$E$51+AH32*Assumptions!$E$45*Assumptions!$E$52</f>
        <v>293.054219859723</v>
      </c>
      <c r="AI53" s="17" t="n">
        <f aca="false">AI39*Assumptions!$E$51+AI32*Assumptions!$E$45*Assumptions!$E$52</f>
        <v>320.071792489925</v>
      </c>
      <c r="AJ53" s="17" t="n">
        <f aca="false">AJ39*Assumptions!$E$51+AJ32*Assumptions!$E$45*Assumptions!$E$52</f>
        <v>348.177459078835</v>
      </c>
      <c r="AK53" s="17" t="n">
        <f aca="false">AK39*Assumptions!$E$51+AK32*Assumptions!$E$45*Assumptions!$E$52</f>
        <v>377.055709447152</v>
      </c>
      <c r="AL53" s="17" t="n">
        <f aca="false">AL39*Assumptions!$E$51+AL32*Assumptions!$E$45*Assumptions!$E$52</f>
        <v>407.050252263154</v>
      </c>
      <c r="AM53" s="17" t="n">
        <f aca="false">AM39*Assumptions!$E$51+AM32*Assumptions!$E$45*Assumptions!$E$52</f>
        <v>437.894943999458</v>
      </c>
      <c r="AN53" s="44" t="n">
        <f aca="false">AN39*Assumptions!$E$51+AN32*Assumptions!$E$45*Assumptions!$E$52</f>
        <v>469.289746232746</v>
      </c>
      <c r="AO53" s="44" t="n">
        <f aca="false">AO39*Assumptions!$E$51+AO32*Assumptions!$E$45*Assumptions!$E$52</f>
        <v>501.592841919881</v>
      </c>
      <c r="AP53" s="44" t="n">
        <f aca="false">AP39*Assumptions!$E$51+AP32*Assumptions!$E$45*Assumptions!$E$52</f>
        <v>534.551630202162</v>
      </c>
      <c r="AQ53" s="44" t="n">
        <f aca="false">AQ39*Assumptions!$E$51+AQ32*Assumptions!$E$45*Assumptions!$E$52</f>
        <v>567.878745098895</v>
      </c>
      <c r="AR53" s="44" t="n">
        <f aca="false">AR39*Assumptions!$E$51+AR32*Assumptions!$E$45*Assumptions!$E$52</f>
        <v>601.944229030618</v>
      </c>
      <c r="AS53" s="44" t="n">
        <f aca="false">AS39*Assumptions!$E$51+AS32*Assumptions!$E$45*Assumptions!$E$52</f>
        <v>636.48006666157</v>
      </c>
      <c r="AT53" s="44" t="n">
        <f aca="false">AT39*Assumptions!$E$51+AT32*Assumptions!$E$45*Assumptions!$E$52</f>
        <v>671.211278562834</v>
      </c>
      <c r="AU53" s="44" t="n">
        <f aca="false">AU39*Assumptions!$E$51+AU32*Assumptions!$E$45*Assumptions!$E$52</f>
        <v>706.519499312329</v>
      </c>
      <c r="AV53" s="44" t="n">
        <f aca="false">AV39*Assumptions!$E$51+AV32*Assumptions!$E$45*Assumptions!$E$52</f>
        <v>742.147563261069</v>
      </c>
      <c r="AW53" s="44" t="n">
        <f aca="false">AW39*Assumptions!$E$51+AW32*Assumptions!$E$45*Assumptions!$E$52</f>
        <v>777.830646638175</v>
      </c>
      <c r="AX53" s="44" t="n">
        <f aca="false">AX39*Assumptions!$E$51+AX32*Assumptions!$E$45*Assumptions!$E$52</f>
        <v>813.959890849215</v>
      </c>
      <c r="AY53" s="44" t="n">
        <f aca="false">AY39*Assumptions!$E$51+AY32*Assumptions!$E$45*Assumptions!$E$52</f>
        <v>850.287030419187</v>
      </c>
      <c r="AZ53" s="44" t="n">
        <f aca="false">AZ39*Assumptions!$E$51+AZ32*Assumptions!$E$45*Assumptions!$E$52</f>
        <v>886.555574459047</v>
      </c>
      <c r="BA53" s="44" t="n">
        <f aca="false">BA39*Assumptions!$E$51+BA32*Assumptions!$E$45*Assumptions!$E$52</f>
        <v>923.164466702493</v>
      </c>
      <c r="BB53" s="44" t="n">
        <f aca="false">BB39*Assumptions!$E$51+BB32*Assumptions!$E$45*Assumptions!$E$52</f>
        <v>959.872747743124</v>
      </c>
      <c r="BC53" s="44" t="n">
        <f aca="false">BC39*Assumptions!$E$51+BC32*Assumptions!$E$45*Assumptions!$E$52</f>
        <v>996.404254169629</v>
      </c>
      <c r="BD53" s="44" t="n">
        <f aca="false">BD39*Assumptions!$E$51+BD32*Assumptions!$E$45*Assumptions!$E$52</f>
        <v>1033.16633367534</v>
      </c>
      <c r="BE53" s="44" t="n">
        <f aca="false">BE39*Assumptions!$E$51+BE32*Assumptions!$E$45*Assumptions!$E$52</f>
        <v>1069.92589334518</v>
      </c>
      <c r="BF53" s="44" t="n">
        <f aca="false">BF39*Assumptions!$E$51+BF32*Assumptions!$E$45*Assumptions!$E$52</f>
        <v>1106.41413346192</v>
      </c>
      <c r="BG53" s="44" t="n">
        <f aca="false">BG39*Assumptions!$E$51+BG32*Assumptions!$E$45*Assumptions!$E$52</f>
        <v>1143.04529499023</v>
      </c>
      <c r="BH53" s="44" t="n">
        <f aca="false">BH39*Assumptions!$E$51+BH32*Assumptions!$E$45*Assumptions!$E$52</f>
        <v>1179.59273809729</v>
      </c>
      <c r="BI53" s="44" t="n">
        <f aca="false">BI39*Assumptions!$E$51+BI32*Assumptions!$E$45*Assumptions!$E$52</f>
        <v>1215.79370419708</v>
      </c>
      <c r="BJ53" s="44" t="n">
        <f aca="false">BJ39*Assumptions!$E$51+BJ32*Assumptions!$E$45*Assumptions!$E$52</f>
        <v>1252.06808981162</v>
      </c>
      <c r="BK53" s="44" t="n">
        <f aca="false">BK39*Assumptions!$E$51+BK32*Assumptions!$E$45*Assumptions!$E$52</f>
        <v>1288.194549734</v>
      </c>
    </row>
    <row r="54" customFormat="false" ht="15" hidden="false" customHeight="false" outlineLevel="0" collapsed="false">
      <c r="A54" s="28" t="s">
        <v>622</v>
      </c>
      <c r="B54" s="6" t="s">
        <v>516</v>
      </c>
      <c r="C54" s="43"/>
      <c r="D54" s="17" t="n">
        <f aca="false">(D37+D38)*Assumptions!$E$53+D32*Assumptions!$E$54</f>
        <v>0</v>
      </c>
      <c r="E54" s="17" t="n">
        <f aca="false">(E37+E38)*Assumptions!$E$53+E32*Assumptions!$E$54</f>
        <v>0</v>
      </c>
      <c r="F54" s="17" t="n">
        <f aca="false">(F37+F38)*Assumptions!$E$53+F32*Assumptions!$E$54</f>
        <v>0</v>
      </c>
      <c r="G54" s="17" t="n">
        <f aca="false">(G37+G38)*Assumptions!$E$53+G32*Assumptions!$E$54</f>
        <v>0</v>
      </c>
      <c r="H54" s="17" t="n">
        <f aca="false">(H37+H38)*Assumptions!$E$53+H32*Assumptions!$E$54</f>
        <v>0</v>
      </c>
      <c r="I54" s="17" t="n">
        <f aca="false">(I37+I38)*Assumptions!$E$53+I32*Assumptions!$E$54</f>
        <v>0</v>
      </c>
      <c r="J54" s="17" t="n">
        <f aca="false">(J37+J38)*Assumptions!$E$53+J32*Assumptions!$E$54</f>
        <v>0</v>
      </c>
      <c r="K54" s="17" t="n">
        <f aca="false">(K37+K38)*Assumptions!$E$53+K32*Assumptions!$E$54</f>
        <v>0</v>
      </c>
      <c r="L54" s="17" t="n">
        <f aca="false">(L37+L38)*Assumptions!$E$53+L32*Assumptions!$E$54</f>
        <v>0</v>
      </c>
      <c r="M54" s="17" t="n">
        <f aca="false">(M37+M38)*Assumptions!$E$53+M32*Assumptions!$E$54</f>
        <v>0</v>
      </c>
      <c r="N54" s="17" t="n">
        <f aca="false">(N37+N38)*Assumptions!$E$53+N32*Assumptions!$E$54</f>
        <v>0</v>
      </c>
      <c r="O54" s="17" t="n">
        <f aca="false">(O37+O38)*Assumptions!$E$53+O32*Assumptions!$E$54</f>
        <v>1.00200468254145</v>
      </c>
      <c r="P54" s="17" t="n">
        <f aca="false">(P37+P38)*Assumptions!$E$53+P32*Assumptions!$E$54</f>
        <v>2.10860218254226</v>
      </c>
      <c r="Q54" s="17" t="n">
        <f aca="false">(Q37+Q38)*Assumptions!$E$53+Q32*Assumptions!$E$54</f>
        <v>3.34971884624358</v>
      </c>
      <c r="R54" s="17" t="n">
        <f aca="false">(R37+R38)*Assumptions!$E$53+R32*Assumptions!$E$54</f>
        <v>4.77038325101207</v>
      </c>
      <c r="S54" s="17" t="n">
        <f aca="false">(S37+S38)*Assumptions!$E$53+S32*Assumptions!$E$54</f>
        <v>6.28691653848536</v>
      </c>
      <c r="T54" s="17" t="n">
        <f aca="false">(T37+T38)*Assumptions!$E$53+T32*Assumptions!$E$54</f>
        <v>7.92509895097147</v>
      </c>
      <c r="U54" s="17" t="n">
        <f aca="false">(U37+U38)*Assumptions!$E$53+U32*Assumptions!$E$54</f>
        <v>11.6683851793247</v>
      </c>
      <c r="V54" s="17" t="n">
        <f aca="false">(V37+V38)*Assumptions!$E$53+V32*Assumptions!$E$54</f>
        <v>15.7575868329621</v>
      </c>
      <c r="W54" s="17" t="n">
        <f aca="false">(W37+W38)*Assumptions!$E$53+W32*Assumptions!$E$54</f>
        <v>20.2046244070249</v>
      </c>
      <c r="X54" s="17" t="n">
        <f aca="false">(X37+X38)*Assumptions!$E$53+X32*Assumptions!$E$54</f>
        <v>24.9958245849868</v>
      </c>
      <c r="Y54" s="17" t="n">
        <f aca="false">(Y37+Y38)*Assumptions!$E$53+Y32*Assumptions!$E$54</f>
        <v>30.1427100932093</v>
      </c>
      <c r="Z54" s="17" t="n">
        <f aca="false">(Z37+Z38)*Assumptions!$E$53+Z32*Assumptions!$E$54</f>
        <v>35.6230890994646</v>
      </c>
      <c r="AA54" s="17" t="n">
        <f aca="false">(AA37+AA38)*Assumptions!$E$53+AA32*Assumptions!$E$54</f>
        <v>41.4161565686212</v>
      </c>
      <c r="AB54" s="17" t="n">
        <f aca="false">(AB37+AB38)*Assumptions!$E$53+AB32*Assumptions!$E$54</f>
        <v>47.5024048798619</v>
      </c>
      <c r="AC54" s="17" t="n">
        <f aca="false">(AC37+AC38)*Assumptions!$E$53+AC32*Assumptions!$E$54</f>
        <v>53.8635403839342</v>
      </c>
      <c r="AD54" s="17" t="n">
        <f aca="false">(AD37+AD38)*Assumptions!$E$53+AD32*Assumptions!$E$54</f>
        <v>60.4824054961471</v>
      </c>
      <c r="AE54" s="17" t="n">
        <f aca="false">(AE37+AE38)*Assumptions!$E$53+AE32*Assumptions!$E$54</f>
        <v>67.3347580064792</v>
      </c>
      <c r="AF54" s="17" t="n">
        <f aca="false">(AF37+AF38)*Assumptions!$E$53+AF32*Assumptions!$E$54</f>
        <v>74.6098064900575</v>
      </c>
      <c r="AG54" s="17" t="n">
        <f aca="false">(AG37+AG38)*Assumptions!$E$53+AG32*Assumptions!$E$54</f>
        <v>82.2542867584726</v>
      </c>
      <c r="AH54" s="17" t="n">
        <f aca="false">(AH37+AH38)*Assumptions!$E$53+AH32*Assumptions!$E$54</f>
        <v>90.177848676725</v>
      </c>
      <c r="AI54" s="17" t="n">
        <f aca="false">(AI37+AI38)*Assumptions!$E$53+AI32*Assumptions!$E$54</f>
        <v>98.5247461956303</v>
      </c>
      <c r="AJ54" s="17" t="n">
        <f aca="false">(AJ37+AJ38)*Assumptions!$E$53+AJ32*Assumptions!$E$54</f>
        <v>107.208231820848</v>
      </c>
      <c r="AK54" s="17" t="n">
        <f aca="false">(AK37+AK38)*Assumptions!$E$53+AK32*Assumptions!$E$54</f>
        <v>116.131414162021</v>
      </c>
      <c r="AL54" s="17" t="n">
        <f aca="false">(AL37+AL38)*Assumptions!$E$53+AL32*Assumptions!$E$54</f>
        <v>125.399923173901</v>
      </c>
      <c r="AM54" s="17" t="n">
        <f aca="false">(AM37+AM38)*Assumptions!$E$53+AM32*Assumptions!$E$54</f>
        <v>134.932038809921</v>
      </c>
      <c r="AN54" s="44" t="n">
        <f aca="false">(AN37+AN38)*Assumptions!$E$53+AN32*Assumptions!$E$54</f>
        <v>144.635574894295</v>
      </c>
      <c r="AO54" s="44" t="n">
        <f aca="false">(AO37+AO38)*Assumptions!$E$53+AO32*Assumptions!$E$54</f>
        <v>154.62056554361</v>
      </c>
      <c r="AP54" s="44" t="n">
        <f aca="false">(AP37+AP38)*Assumptions!$E$53+AP32*Assumptions!$E$54</f>
        <v>164.809413572856</v>
      </c>
      <c r="AQ54" s="44" t="n">
        <f aca="false">(AQ37+AQ38)*Assumptions!$E$53+AQ32*Assumptions!$E$54</f>
        <v>175.11379279011</v>
      </c>
      <c r="AR54" s="44" t="n">
        <f aca="false">(AR37+AR38)*Assumptions!$E$53+AR32*Assumptions!$E$54</f>
        <v>185.647351602236</v>
      </c>
      <c r="AS54" s="44" t="n">
        <f aca="false">(AS37+AS38)*Assumptions!$E$53+AS32*Assumptions!$E$54</f>
        <v>196.327729509123</v>
      </c>
      <c r="AT54" s="44" t="n">
        <f aca="false">(AT37+AT38)*Assumptions!$E$53+AT32*Assumptions!$E$54</f>
        <v>207.070379144857</v>
      </c>
      <c r="AU54" s="44" t="n">
        <f aca="false">(AU37+AU38)*Assumptions!$E$53+AU32*Assumptions!$E$54</f>
        <v>217.992487331633</v>
      </c>
      <c r="AV54" s="44" t="n">
        <f aca="false">(AV37+AV38)*Assumptions!$E$53+AV32*Assumptions!$E$54</f>
        <v>229.015007182788</v>
      </c>
      <c r="AW54" s="44" t="n">
        <f aca="false">(AW37+AW38)*Assumptions!$E$53+AW32*Assumptions!$E$54</f>
        <v>240.056494711431</v>
      </c>
      <c r="AX54" s="44" t="n">
        <f aca="false">(AX37+AX38)*Assumptions!$E$53+AX32*Assumptions!$E$54</f>
        <v>251.237043481538</v>
      </c>
      <c r="AY54" s="44" t="n">
        <f aca="false">(AY37+AY38)*Assumptions!$E$53+AY32*Assumptions!$E$54</f>
        <v>262.480329404006</v>
      </c>
      <c r="AZ54" s="44" t="n">
        <f aca="false">(AZ37+AZ38)*Assumptions!$E$53+AZ32*Assumptions!$E$54</f>
        <v>273.707459195671</v>
      </c>
      <c r="BA54" s="44" t="n">
        <f aca="false">(BA37+BA38)*Assumptions!$E$53+BA32*Assumptions!$E$54</f>
        <v>285.040916095441</v>
      </c>
      <c r="BB54" s="44" t="n">
        <f aca="false">(BB37+BB38)*Assumptions!$E$53+BB32*Assumptions!$E$54</f>
        <v>296.40661499334</v>
      </c>
      <c r="BC54" s="44" t="n">
        <f aca="false">(BC37+BC38)*Assumptions!$E$53+BC32*Assumptions!$E$54</f>
        <v>307.719612597779</v>
      </c>
      <c r="BD54" s="44" t="n">
        <f aca="false">(BD37+BD38)*Assumptions!$E$53+BD32*Assumptions!$E$54</f>
        <v>319.104966956453</v>
      </c>
      <c r="BE54" s="44" t="n">
        <f aca="false">(BE37+BE38)*Assumptions!$E$53+BE32*Assumptions!$E$54</f>
        <v>330.491004499614</v>
      </c>
      <c r="BF54" s="44" t="n">
        <f aca="false">(BF37+BF38)*Assumptions!$E$53+BF32*Assumptions!$E$54</f>
        <v>341.795040661461</v>
      </c>
      <c r="BG54" s="44" t="n">
        <f aca="false">(BG37+BG38)*Assumptions!$E$53+BG32*Assumptions!$E$54</f>
        <v>353.144249166755</v>
      </c>
      <c r="BH54" s="44" t="n">
        <f aca="false">(BH37+BH38)*Assumptions!$E$53+BH32*Assumptions!$E$54</f>
        <v>364.468938197927</v>
      </c>
      <c r="BI54" s="44" t="n">
        <f aca="false">(BI37+BI38)*Assumptions!$E$53+BI32*Assumptions!$E$54</f>
        <v>375.688279541683</v>
      </c>
      <c r="BJ54" s="44" t="n">
        <f aca="false">(BJ37+BJ38)*Assumptions!$E$53+BJ32*Assumptions!$E$54</f>
        <v>386.931185842575</v>
      </c>
      <c r="BK54" s="44" t="n">
        <f aca="false">(BK37+BK38)*Assumptions!$E$53+BK32*Assumptions!$E$54</f>
        <v>398.129594216315</v>
      </c>
    </row>
    <row r="55" customFormat="false" ht="15" hidden="false" customHeight="false" outlineLevel="0" collapsed="false">
      <c r="A55" s="28" t="s">
        <v>623</v>
      </c>
      <c r="B55" s="6" t="s">
        <v>624</v>
      </c>
      <c r="C55" s="43"/>
      <c r="D55" s="17" t="n">
        <f aca="false">D25*Assumptions!$E$65*Assumptions!$E$66*Assumptions!$E$67</f>
        <v>0</v>
      </c>
      <c r="E55" s="17" t="n">
        <f aca="false">E25*Assumptions!$E$65*Assumptions!$E$66*Assumptions!$E$67</f>
        <v>0</v>
      </c>
      <c r="F55" s="17" t="n">
        <f aca="false">F25*Assumptions!$E$65*Assumptions!$E$66*Assumptions!$E$67</f>
        <v>0</v>
      </c>
      <c r="G55" s="17" t="n">
        <f aca="false">G25*Assumptions!$E$65*Assumptions!$E$66*Assumptions!$E$67</f>
        <v>0</v>
      </c>
      <c r="H55" s="17" t="n">
        <f aca="false">H25*Assumptions!$E$65*Assumptions!$E$66*Assumptions!$E$67</f>
        <v>24.3</v>
      </c>
      <c r="I55" s="17" t="n">
        <f aca="false">I25*Assumptions!$E$65*Assumptions!$E$66*Assumptions!$E$67</f>
        <v>37.7865</v>
      </c>
      <c r="J55" s="17" t="n">
        <f aca="false">J25*Assumptions!$E$65*Assumptions!$E$66*Assumptions!$E$67</f>
        <v>40.2742125</v>
      </c>
      <c r="K55" s="17" t="n">
        <f aca="false">K25*Assumptions!$E$65*Assumptions!$E$66*Assumptions!$E$67</f>
        <v>61.6787308125</v>
      </c>
      <c r="L55" s="17" t="n">
        <f aca="false">L25*Assumptions!$E$65*Assumptions!$E$66*Assumptions!$E$67</f>
        <v>69.6159603253125</v>
      </c>
      <c r="M55" s="17" t="n">
        <f aca="false">M25*Assumptions!$E$65*Assumptions!$E$66*Assumptions!$E$67</f>
        <v>67.6449277291828</v>
      </c>
      <c r="N55" s="17" t="n">
        <f aca="false">N25*Assumptions!$E$65*Assumptions!$E$66*Assumptions!$E$67</f>
        <v>82.3574382389325</v>
      </c>
      <c r="O55" s="17" t="n">
        <f aca="false">O25*Assumptions!$E$65*Assumptions!$E$66*Assumptions!$E$67</f>
        <v>110.240426542045</v>
      </c>
      <c r="P55" s="17" t="n">
        <f aca="false">P25*Assumptions!$E$65*Assumptions!$E$66*Assumptions!$E$67</f>
        <v>118.921267563768</v>
      </c>
      <c r="Q55" s="17" t="n">
        <f aca="false">Q25*Assumptions!$E$65*Assumptions!$E$66*Assumptions!$E$67</f>
        <v>134.274679373216</v>
      </c>
      <c r="R55" s="17" t="n">
        <f aca="false">R25*Assumptions!$E$65*Assumptions!$E$66*Assumptions!$E$67</f>
        <v>158.057519217505</v>
      </c>
      <c r="S55" s="17" t="n">
        <f aca="false">S25*Assumptions!$E$65*Assumptions!$E$66*Assumptions!$E$67</f>
        <v>160.40188045192</v>
      </c>
      <c r="T55" s="17" t="n">
        <f aca="false">T25*Assumptions!$E$65*Assumptions!$E$66*Assumptions!$E$67</f>
        <v>170.780747859881</v>
      </c>
      <c r="U55" s="17" t="n">
        <f aca="false">U25*Assumptions!$E$65*Assumptions!$E$66*Assumptions!$E$67</f>
        <v>187.532258791564</v>
      </c>
      <c r="V55" s="17" t="n">
        <f aca="false">V25*Assumptions!$E$65*Assumptions!$E$66*Assumptions!$E$67</f>
        <v>209.597829306918</v>
      </c>
      <c r="W55" s="17" t="n">
        <f aca="false">W25*Assumptions!$E$65*Assumptions!$E$66*Assumptions!$E$67</f>
        <v>230.478682225513</v>
      </c>
      <c r="X55" s="17" t="n">
        <f aca="false">X25*Assumptions!$E$65*Assumptions!$E$66*Assumptions!$E$67</f>
        <v>247.769795224958</v>
      </c>
      <c r="Y55" s="17" t="n">
        <f aca="false">Y25*Assumptions!$E$65*Assumptions!$E$66*Assumptions!$E$67</f>
        <v>265.665558897923</v>
      </c>
      <c r="Z55" s="17" t="n">
        <f aca="false">Z25*Assumptions!$E$65*Assumptions!$E$66*Assumptions!$E$67</f>
        <v>280.160897405324</v>
      </c>
      <c r="AA55" s="17" t="n">
        <f aca="false">AA25*Assumptions!$E$65*Assumptions!$E$66*Assumptions!$E$67</f>
        <v>292.44189317331</v>
      </c>
      <c r="AB55" s="17" t="n">
        <f aca="false">AB25*Assumptions!$E$65*Assumptions!$E$66*Assumptions!$E$67</f>
        <v>303.279560774603</v>
      </c>
      <c r="AC55" s="17" t="n">
        <f aca="false">AC25*Assumptions!$E$65*Assumptions!$E$66*Assumptions!$E$67</f>
        <v>313.175119762264</v>
      </c>
      <c r="AD55" s="17" t="n">
        <f aca="false">AD25*Assumptions!$E$65*Assumptions!$E$66*Assumptions!$E$67</f>
        <v>322.454422025363</v>
      </c>
      <c r="AE55" s="17" t="n">
        <f aca="false">AE25*Assumptions!$E$65*Assumptions!$E$66*Assumptions!$E$67</f>
        <v>330.357329583678</v>
      </c>
      <c r="AF55" s="17" t="n">
        <f aca="false">AF25*Assumptions!$E$65*Assumptions!$E$66*Assumptions!$E$67</f>
        <v>362.609510167574</v>
      </c>
      <c r="AG55" s="17" t="n">
        <f aca="false">AG25*Assumptions!$E$65*Assumptions!$E$66*Assumptions!$E$67</f>
        <v>384.076868858036</v>
      </c>
      <c r="AH55" s="17" t="n">
        <f aca="false">AH25*Assumptions!$E$65*Assumptions!$E$66*Assumptions!$E$67</f>
        <v>393.588781698097</v>
      </c>
      <c r="AI55" s="17" t="n">
        <f aca="false">AI25*Assumptions!$E$65*Assumptions!$E$66*Assumptions!$E$67</f>
        <v>422.340122790034</v>
      </c>
      <c r="AJ55" s="17" t="n">
        <f aca="false">AJ25*Assumptions!$E$65*Assumptions!$E$66*Assumptions!$E$67</f>
        <v>437.831043279497</v>
      </c>
      <c r="AK55" s="17" t="n">
        <f aca="false">AK25*Assumptions!$E$65*Assumptions!$E$66*Assumptions!$E$67</f>
        <v>442.573372145659</v>
      </c>
      <c r="AL55" s="17" t="n">
        <f aca="false">AL25*Assumptions!$E$65*Assumptions!$E$66*Assumptions!$E$67</f>
        <v>463.425977998453</v>
      </c>
      <c r="AM55" s="17" t="n">
        <f aca="false">AM25*Assumptions!$E$65*Assumptions!$E$66*Assumptions!$E$67</f>
        <v>473.721792511213</v>
      </c>
      <c r="AN55" s="44" t="n">
        <f aca="false">AN25*Assumptions!$E$65*Assumptions!$E$66*Assumptions!$E$67</f>
        <v>475.027288342325</v>
      </c>
      <c r="AO55" s="44" t="n">
        <f aca="false">AO25*Assumptions!$E$65*Assumptions!$E$66*Assumptions!$E$67</f>
        <v>493.586838784396</v>
      </c>
      <c r="AP55" s="44" t="n">
        <f aca="false">AP25*Assumptions!$E$65*Assumptions!$E$66*Assumptions!$E$67</f>
        <v>502.333940051316</v>
      </c>
      <c r="AQ55" s="44" t="n">
        <f aca="false">AQ25*Assumptions!$E$65*Assumptions!$E$66*Assumptions!$E$67</f>
        <v>502.57541845219</v>
      </c>
      <c r="AR55" s="44" t="n">
        <f aca="false">AR25*Assumptions!$E$65*Assumptions!$E$66*Assumptions!$E$67</f>
        <v>520.386864051475</v>
      </c>
      <c r="AS55" s="44" t="n">
        <f aca="false">AS25*Assumptions!$E$65*Assumptions!$E$66*Assumptions!$E$67</f>
        <v>527.620051060149</v>
      </c>
      <c r="AT55" s="44" t="n">
        <f aca="false">AT25*Assumptions!$E$65*Assumptions!$E$66*Assumptions!$E$67</f>
        <v>526.798373774386</v>
      </c>
      <c r="AU55" s="44" t="n">
        <f aca="false">AU25*Assumptions!$E$65*Assumptions!$E$66*Assumptions!$E$67</f>
        <v>543.840843429861</v>
      </c>
      <c r="AV55" s="44" t="n">
        <f aca="false">AV25*Assumptions!$E$65*Assumptions!$E$66*Assumptions!$E$67</f>
        <v>550.497440198771</v>
      </c>
      <c r="AW55" s="44" t="n">
        <f aca="false">AW25*Assumptions!$E$65*Assumptions!$E$66*Assumptions!$E$67</f>
        <v>549.225374719022</v>
      </c>
      <c r="AX55" s="44" t="n">
        <f aca="false">AX25*Assumptions!$E$65*Assumptions!$E$66*Assumptions!$E$67</f>
        <v>565.900621578339</v>
      </c>
      <c r="AY55" s="44" t="n">
        <f aca="false">AY25*Assumptions!$E$65*Assumptions!$E$66*Assumptions!$E$67</f>
        <v>572.24517011673</v>
      </c>
      <c r="AZ55" s="44" t="n">
        <f aca="false">AZ25*Assumptions!$E$65*Assumptions!$E$66*Assumptions!$E$67</f>
        <v>570.698020175323</v>
      </c>
      <c r="BA55" s="44" t="n">
        <f aca="false">BA25*Assumptions!$E$65*Assumptions!$E$66*Assumptions!$E$67</f>
        <v>587.123292819417</v>
      </c>
      <c r="BB55" s="44" t="n">
        <f aca="false">BB25*Assumptions!$E$65*Assumptions!$E$66*Assumptions!$E$67</f>
        <v>593.235256342496</v>
      </c>
      <c r="BC55" s="44" t="n">
        <f aca="false">BC25*Assumptions!$E$65*Assumptions!$E$66*Assumptions!$E$67</f>
        <v>590.495875892347</v>
      </c>
      <c r="BD55" s="44" t="n">
        <f aca="false">BD25*Assumptions!$E$65*Assumptions!$E$66*Assumptions!$E$67</f>
        <v>606.053884210706</v>
      </c>
      <c r="BE55" s="44" t="n">
        <f aca="false">BE25*Assumptions!$E$65*Assumptions!$E$66*Assumptions!$E$67</f>
        <v>611.51119614443</v>
      </c>
      <c r="BF55" s="44" t="n">
        <f aca="false">BF25*Assumptions!$E$65*Assumptions!$E$66*Assumptions!$E$67</f>
        <v>608.256726330236</v>
      </c>
      <c r="BG55" s="44" t="n">
        <f aca="false">BG25*Assumptions!$E$65*Assumptions!$E$66*Assumptions!$E$67</f>
        <v>623.391704218466</v>
      </c>
      <c r="BH55" s="44" t="n">
        <f aca="false">BH25*Assumptions!$E$65*Assumptions!$E$66*Assumptions!$E$67</f>
        <v>628.487147364259</v>
      </c>
      <c r="BI55" s="44" t="n">
        <f aca="false">BI25*Assumptions!$E$65*Assumptions!$E$66*Assumptions!$E$67</f>
        <v>624.91186731469</v>
      </c>
      <c r="BJ55" s="44" t="n">
        <f aca="false">BJ25*Assumptions!$E$65*Assumptions!$E$66*Assumptions!$E$67</f>
        <v>639.754006959552</v>
      </c>
      <c r="BK55" s="44" t="n">
        <f aca="false">BK25*Assumptions!$E$65*Assumptions!$E$66*Assumptions!$E$67</f>
        <v>644.576058330636</v>
      </c>
    </row>
    <row r="56" customFormat="false" ht="15" hidden="false" customHeight="false" outlineLevel="0" collapsed="false">
      <c r="A56" s="28" t="s">
        <v>625</v>
      </c>
      <c r="B56" s="6" t="s">
        <v>626</v>
      </c>
      <c r="C56" s="43"/>
      <c r="D56" s="17" t="n">
        <f aca="false">(D41+D42+D43)*Assumptions!$E$78</f>
        <v>0</v>
      </c>
      <c r="E56" s="17" t="n">
        <f aca="false">(E41+E42+E43)*Assumptions!$E$78</f>
        <v>0</v>
      </c>
      <c r="F56" s="17" t="n">
        <f aca="false">(F41+F42+F43)*Assumptions!$E$78</f>
        <v>0</v>
      </c>
      <c r="G56" s="17" t="n">
        <f aca="false">(G41+G42+G43)*Assumptions!$E$78</f>
        <v>0</v>
      </c>
      <c r="H56" s="17" t="n">
        <f aca="false">(H41+H42+H43)*Assumptions!$E$78</f>
        <v>0</v>
      </c>
      <c r="I56" s="17" t="n">
        <f aca="false">(I41+I42+I43)*Assumptions!$E$78</f>
        <v>0</v>
      </c>
      <c r="J56" s="17" t="n">
        <f aca="false">(J41+J42+J43)*Assumptions!$E$78</f>
        <v>0</v>
      </c>
      <c r="K56" s="17" t="n">
        <f aca="false">(K41+K42+K43)*Assumptions!$E$78</f>
        <v>0</v>
      </c>
      <c r="L56" s="17" t="n">
        <f aca="false">(L41+L42+L43)*Assumptions!$E$78</f>
        <v>0</v>
      </c>
      <c r="M56" s="17" t="n">
        <f aca="false">(M41+M42+M43)*Assumptions!$E$78</f>
        <v>0</v>
      </c>
      <c r="N56" s="17" t="n">
        <f aca="false">(N41+N42+N43)*Assumptions!$E$78</f>
        <v>0</v>
      </c>
      <c r="O56" s="17" t="n">
        <f aca="false">(O41+O42+O43)*Assumptions!$E$78</f>
        <v>0</v>
      </c>
      <c r="P56" s="17" t="n">
        <f aca="false">(P41+P42+P43)*Assumptions!$E$78</f>
        <v>0</v>
      </c>
      <c r="Q56" s="17" t="n">
        <f aca="false">(Q41+Q42+Q43)*Assumptions!$E$78</f>
        <v>0</v>
      </c>
      <c r="R56" s="17" t="n">
        <f aca="false">(R41+R42+R43)*Assumptions!$E$78</f>
        <v>0</v>
      </c>
      <c r="S56" s="17" t="n">
        <f aca="false">(S41+S42+S43)*Assumptions!$E$78</f>
        <v>0</v>
      </c>
      <c r="T56" s="17" t="n">
        <f aca="false">(T41+T42+T43)*Assumptions!$E$78</f>
        <v>0</v>
      </c>
      <c r="U56" s="17" t="n">
        <f aca="false">(U41+U42+U43)*Assumptions!$E$78</f>
        <v>0</v>
      </c>
      <c r="V56" s="17" t="n">
        <f aca="false">(V41+V42+V43)*Assumptions!$E$78</f>
        <v>0</v>
      </c>
      <c r="W56" s="17" t="n">
        <f aca="false">(W41+W42+W43)*Assumptions!$E$78</f>
        <v>0</v>
      </c>
      <c r="X56" s="17" t="n">
        <f aca="false">(X41+X42+X43)*Assumptions!$E$78</f>
        <v>0</v>
      </c>
      <c r="Y56" s="17" t="n">
        <f aca="false">(Y41+Y42+Y43)*Assumptions!$E$78</f>
        <v>0</v>
      </c>
      <c r="Z56" s="17" t="n">
        <f aca="false">(Z41+Z42+Z43)*Assumptions!$E$78</f>
        <v>0</v>
      </c>
      <c r="AA56" s="17" t="n">
        <f aca="false">(AA41+AA42+AA43)*Assumptions!$E$78</f>
        <v>0</v>
      </c>
      <c r="AB56" s="17" t="n">
        <f aca="false">(AB41+AB42+AB43)*Assumptions!$E$78</f>
        <v>0</v>
      </c>
      <c r="AC56" s="17" t="n">
        <f aca="false">(AC41+AC42+AC43)*Assumptions!$E$78</f>
        <v>0</v>
      </c>
      <c r="AD56" s="17" t="n">
        <f aca="false">(AD41+AD42+AD43)*Assumptions!$E$78</f>
        <v>0</v>
      </c>
      <c r="AE56" s="17" t="n">
        <f aca="false">(AE41+AE42+AE43)*Assumptions!$E$78</f>
        <v>0</v>
      </c>
      <c r="AF56" s="17" t="n">
        <f aca="false">(AF41+AF42+AF43)*Assumptions!$E$78</f>
        <v>0</v>
      </c>
      <c r="AG56" s="17" t="n">
        <f aca="false">(AG41+AG42+AG43)*Assumptions!$E$78</f>
        <v>0</v>
      </c>
      <c r="AH56" s="17" t="n">
        <f aca="false">(AH41+AH42+AH43)*Assumptions!$E$78</f>
        <v>23.8123740826958</v>
      </c>
      <c r="AI56" s="17" t="n">
        <f aca="false">(AI41+AI42+AI43)*Assumptions!$E$78</f>
        <v>50.9048038066704</v>
      </c>
      <c r="AJ56" s="17" t="n">
        <f aca="false">(AJ41+AJ42+AJ43)*Assumptions!$E$78</f>
        <v>80.9751882165211</v>
      </c>
      <c r="AK56" s="17" t="n">
        <f aca="false">(AK41+AK42+AK43)*Assumptions!$E$78</f>
        <v>113.591614637575</v>
      </c>
      <c r="AL56" s="17" t="n">
        <f aca="false">(AL41+AL42+AL43)*Assumptions!$E$78</f>
        <v>150.047204656164</v>
      </c>
      <c r="AM56" s="17" t="n">
        <f aca="false">(AM41+AM42+AM43)*Assumptions!$E$78</f>
        <v>189.103995027832</v>
      </c>
      <c r="AN56" s="44" t="n">
        <f aca="false">(AN41+AN42+AN43)*Assumptions!$E$78</f>
        <v>197.342100533175</v>
      </c>
      <c r="AO56" s="44" t="n">
        <f aca="false">(AO41+AO42+AO43)*Assumptions!$E$78</f>
        <v>206.806818355172</v>
      </c>
      <c r="AP56" s="44" t="n">
        <f aca="false">(AP41+AP42+AP43)*Assumptions!$E$78</f>
        <v>215.647172144341</v>
      </c>
      <c r="AQ56" s="44" t="n">
        <f aca="false">(AQ41+AQ42+AQ43)*Assumptions!$E$78</f>
        <v>223.677774604098</v>
      </c>
      <c r="AR56" s="44" t="n">
        <f aca="false">(AR41+AR42+AR43)*Assumptions!$E$78</f>
        <v>232.935753912287</v>
      </c>
      <c r="AS56" s="44" t="n">
        <f aca="false">(AS41+AS42+AS43)*Assumptions!$E$78</f>
        <v>241.485715256315</v>
      </c>
      <c r="AT56" s="44" t="n">
        <f aca="false">(AT41+AT42+AT43)*Assumptions!$E$78</f>
        <v>249.226930401733</v>
      </c>
      <c r="AU56" s="44" t="n">
        <f aca="false">(AU41+AU42+AU43)*Assumptions!$E$78</f>
        <v>258.197685213978</v>
      </c>
      <c r="AV56" s="44" t="n">
        <f aca="false">(AV41+AV42+AV43)*Assumptions!$E$78</f>
        <v>266.463314735144</v>
      </c>
      <c r="AW56" s="44" t="n">
        <f aca="false">(AW41+AW42+AW43)*Assumptions!$E$78</f>
        <v>273.923542833712</v>
      </c>
      <c r="AX56" s="44" t="n">
        <f aca="false">(AX41+AX42+AX43)*Assumptions!$E$78</f>
        <v>282.616927273942</v>
      </c>
      <c r="AY56" s="44" t="n">
        <f aca="false">(AY41+AY42+AY43)*Assumptions!$E$78</f>
        <v>290.608958193612</v>
      </c>
      <c r="AZ56" s="44" t="n">
        <f aca="false">(AZ41+AZ42+AZ43)*Assumptions!$E$78</f>
        <v>297.799438959414</v>
      </c>
      <c r="BA56" s="44" t="n">
        <f aca="false">(BA41+BA42+BA43)*Assumptions!$E$78</f>
        <v>306.226958015182</v>
      </c>
      <c r="BB56" s="44" t="n">
        <f aca="false">(BB41+BB42+BB43)*Assumptions!$E$78</f>
        <v>313.957004761057</v>
      </c>
      <c r="BC56" s="44" t="n">
        <f aca="false">(BC41+BC42+BC43)*Assumptions!$E$78</f>
        <v>320.804132915109</v>
      </c>
      <c r="BD56" s="44" t="n">
        <f aca="false">(BD41+BD42+BD43)*Assumptions!$E$78</f>
        <v>328.891045817936</v>
      </c>
      <c r="BE56" s="44" t="n">
        <f aca="false">(BE41+BE42+BE43)*Assumptions!$E$78</f>
        <v>336.284033013427</v>
      </c>
      <c r="BF56" s="44" t="n">
        <f aca="false">(BF41+BF42+BF43)*Assumptions!$E$78</f>
        <v>342.798141892019</v>
      </c>
      <c r="BG56" s="44" t="n">
        <f aca="false">(BG41+BG42+BG43)*Assumptions!$E$78</f>
        <v>350.556370656605</v>
      </c>
      <c r="BH56" s="44" t="n">
        <f aca="false">(BH41+BH42+BH43)*Assumptions!$E$78</f>
        <v>357.625174877184</v>
      </c>
      <c r="BI56" s="44" t="n">
        <f aca="false">(BI41+BI42+BI43)*Assumptions!$E$78</f>
        <v>363.819684611304</v>
      </c>
      <c r="BJ56" s="44" t="n">
        <f aca="false">(BJ41+BJ42+BJ43)*Assumptions!$E$78</f>
        <v>371.262926924366</v>
      </c>
      <c r="BK56" s="44" t="n">
        <f aca="false">(BK41+BK42+BK43)*Assumptions!$E$78</f>
        <v>378.02135164895</v>
      </c>
    </row>
    <row r="57" customFormat="false" ht="15" hidden="false" customHeight="false" outlineLevel="0" collapsed="false">
      <c r="A57" s="28" t="s">
        <v>627</v>
      </c>
      <c r="B57" s="6" t="s">
        <v>628</v>
      </c>
      <c r="C57" s="43"/>
      <c r="D57" s="17" t="n">
        <f aca="false">D45*Assumptions!$E$82</f>
        <v>0</v>
      </c>
      <c r="E57" s="17" t="n">
        <f aca="false">E45*Assumptions!$E$82</f>
        <v>0</v>
      </c>
      <c r="F57" s="17" t="n">
        <f aca="false">F45*Assumptions!$E$82</f>
        <v>0</v>
      </c>
      <c r="G57" s="17" t="n">
        <f aca="false">G45*Assumptions!$E$82</f>
        <v>0</v>
      </c>
      <c r="H57" s="17" t="n">
        <f aca="false">H45*Assumptions!$E$82</f>
        <v>0</v>
      </c>
      <c r="I57" s="17" t="n">
        <f aca="false">I45*Assumptions!$E$82</f>
        <v>0</v>
      </c>
      <c r="J57" s="17" t="n">
        <f aca="false">J45*Assumptions!$E$82</f>
        <v>0</v>
      </c>
      <c r="K57" s="17" t="n">
        <f aca="false">K45*Assumptions!$E$82</f>
        <v>0</v>
      </c>
      <c r="L57" s="17" t="n">
        <f aca="false">L45*Assumptions!$E$82</f>
        <v>0</v>
      </c>
      <c r="M57" s="17" t="n">
        <f aca="false">M45*Assumptions!$E$82</f>
        <v>0</v>
      </c>
      <c r="N57" s="17" t="n">
        <f aca="false">N45*Assumptions!$E$82</f>
        <v>0</v>
      </c>
      <c r="O57" s="17" t="n">
        <f aca="false">O45*Assumptions!$E$82</f>
        <v>0</v>
      </c>
      <c r="P57" s="17" t="n">
        <f aca="false">P45*Assumptions!$E$82</f>
        <v>0</v>
      </c>
      <c r="Q57" s="17" t="n">
        <f aca="false">Q45*Assumptions!$E$82</f>
        <v>0</v>
      </c>
      <c r="R57" s="17" t="n">
        <f aca="false">R45*Assumptions!$E$82</f>
        <v>0</v>
      </c>
      <c r="S57" s="17" t="n">
        <f aca="false">S45*Assumptions!$E$82</f>
        <v>0</v>
      </c>
      <c r="T57" s="17" t="n">
        <f aca="false">T45*Assumptions!$E$82</f>
        <v>0</v>
      </c>
      <c r="U57" s="17" t="n">
        <f aca="false">U45*Assumptions!$E$82</f>
        <v>225</v>
      </c>
      <c r="V57" s="17" t="n">
        <f aca="false">V45*Assumptions!$E$82</f>
        <v>225</v>
      </c>
      <c r="W57" s="17" t="n">
        <f aca="false">W45*Assumptions!$E$82</f>
        <v>281.25</v>
      </c>
      <c r="X57" s="17" t="n">
        <f aca="false">X45*Assumptions!$E$82</f>
        <v>337.5</v>
      </c>
      <c r="Y57" s="17" t="n">
        <f aca="false">Y45*Assumptions!$E$82</f>
        <v>337.5</v>
      </c>
      <c r="Z57" s="17" t="n">
        <f aca="false">Z45*Assumptions!$E$82</f>
        <v>393.75</v>
      </c>
      <c r="AA57" s="17" t="n">
        <f aca="false">AA45*Assumptions!$E$82</f>
        <v>450</v>
      </c>
      <c r="AB57" s="17" t="n">
        <f aca="false">AB45*Assumptions!$E$82</f>
        <v>506.25</v>
      </c>
      <c r="AC57" s="17" t="n">
        <f aca="false">AC45*Assumptions!$E$82</f>
        <v>562.5</v>
      </c>
      <c r="AD57" s="17" t="n">
        <f aca="false">AD45*Assumptions!$E$82</f>
        <v>618.75</v>
      </c>
      <c r="AE57" s="17" t="n">
        <f aca="false">AE45*Assumptions!$E$82</f>
        <v>675</v>
      </c>
      <c r="AF57" s="17" t="n">
        <f aca="false">AF45*Assumptions!$E$82</f>
        <v>731.25</v>
      </c>
      <c r="AG57" s="17" t="n">
        <f aca="false">AG45*Assumptions!$E$82</f>
        <v>787.5</v>
      </c>
      <c r="AH57" s="17" t="n">
        <f aca="false">AH45*Assumptions!$E$82</f>
        <v>843.75</v>
      </c>
      <c r="AI57" s="17" t="n">
        <f aca="false">AI45*Assumptions!$E$82</f>
        <v>900</v>
      </c>
      <c r="AJ57" s="17" t="n">
        <f aca="false">AJ45*Assumptions!$E$82</f>
        <v>956.25</v>
      </c>
      <c r="AK57" s="17" t="n">
        <f aca="false">AK45*Assumptions!$E$82</f>
        <v>1012.5</v>
      </c>
      <c r="AL57" s="17" t="n">
        <f aca="false">AL45*Assumptions!$E$82</f>
        <v>1125</v>
      </c>
      <c r="AM57" s="17" t="n">
        <f aca="false">AM45*Assumptions!$E$82</f>
        <v>1181.25</v>
      </c>
      <c r="AN57" s="44" t="n">
        <f aca="false">AN45*Assumptions!$E$82</f>
        <v>1237.5</v>
      </c>
      <c r="AO57" s="44" t="n">
        <f aca="false">AO45*Assumptions!$E$82</f>
        <v>1350</v>
      </c>
      <c r="AP57" s="44" t="n">
        <f aca="false">AP45*Assumptions!$E$82</f>
        <v>1406.25</v>
      </c>
      <c r="AQ57" s="44" t="n">
        <f aca="false">AQ45*Assumptions!$E$82</f>
        <v>1462.5</v>
      </c>
      <c r="AR57" s="44" t="n">
        <f aca="false">AR45*Assumptions!$E$82</f>
        <v>1575</v>
      </c>
      <c r="AS57" s="44" t="n">
        <f aca="false">AS45*Assumptions!$E$82</f>
        <v>1631.25</v>
      </c>
      <c r="AT57" s="44" t="n">
        <f aca="false">AT45*Assumptions!$E$82</f>
        <v>1687.5</v>
      </c>
      <c r="AU57" s="44" t="n">
        <f aca="false">AU45*Assumptions!$E$82</f>
        <v>1800</v>
      </c>
      <c r="AV57" s="44" t="n">
        <f aca="false">AV45*Assumptions!$E$82</f>
        <v>1856.25</v>
      </c>
      <c r="AW57" s="44" t="n">
        <f aca="false">AW45*Assumptions!$E$82</f>
        <v>1912.5</v>
      </c>
      <c r="AX57" s="44" t="n">
        <f aca="false">AX45*Assumptions!$E$82</f>
        <v>2025</v>
      </c>
      <c r="AY57" s="44" t="n">
        <f aca="false">AY45*Assumptions!$E$82</f>
        <v>2081.25</v>
      </c>
      <c r="AZ57" s="44" t="n">
        <f aca="false">AZ45*Assumptions!$E$82</f>
        <v>2137.5</v>
      </c>
      <c r="BA57" s="44" t="n">
        <f aca="false">BA45*Assumptions!$E$82</f>
        <v>2250</v>
      </c>
      <c r="BB57" s="44" t="n">
        <f aca="false">BB45*Assumptions!$E$82</f>
        <v>2306.25</v>
      </c>
      <c r="BC57" s="44" t="n">
        <f aca="false">BC45*Assumptions!$E$82</f>
        <v>2362.5</v>
      </c>
      <c r="BD57" s="44" t="n">
        <f aca="false">BD45*Assumptions!$E$82</f>
        <v>2475</v>
      </c>
      <c r="BE57" s="44" t="n">
        <f aca="false">BE45*Assumptions!$E$82</f>
        <v>2531.25</v>
      </c>
      <c r="BF57" s="44" t="n">
        <f aca="false">BF45*Assumptions!$E$82</f>
        <v>2587.5</v>
      </c>
      <c r="BG57" s="44" t="n">
        <f aca="false">BG45*Assumptions!$E$82</f>
        <v>2700</v>
      </c>
      <c r="BH57" s="44" t="n">
        <f aca="false">BH45*Assumptions!$E$82</f>
        <v>2756.25</v>
      </c>
      <c r="BI57" s="44" t="n">
        <f aca="false">BI45*Assumptions!$E$82</f>
        <v>2812.5</v>
      </c>
      <c r="BJ57" s="44" t="n">
        <f aca="false">BJ45*Assumptions!$E$82</f>
        <v>2925</v>
      </c>
      <c r="BK57" s="44" t="n">
        <f aca="false">BK45*Assumptions!$E$82</f>
        <v>2981.25</v>
      </c>
    </row>
    <row r="58" customFormat="false" ht="15" hidden="false" customHeight="false" outlineLevel="0" collapsed="false">
      <c r="A58" s="28" t="s">
        <v>629</v>
      </c>
      <c r="B58" s="5" t="s">
        <v>630</v>
      </c>
      <c r="C58" s="43"/>
      <c r="D58" s="45" t="n">
        <f aca="false">D49+D50+D51+D52+D53+D54+D55+D56+D57</f>
        <v>0</v>
      </c>
      <c r="E58" s="45" t="n">
        <f aca="false">E49+E50+E51+E52+E53+E54+E55+E56+E57</f>
        <v>0</v>
      </c>
      <c r="F58" s="45" t="n">
        <f aca="false">F49+F50+F51+F52+F53+F54+F55+F56+F57</f>
        <v>0</v>
      </c>
      <c r="G58" s="45" t="n">
        <f aca="false">G49+G50+G51+G52+G53+G54+G55+G56+G57</f>
        <v>0</v>
      </c>
      <c r="H58" s="45" t="n">
        <f aca="false">H49+H50+H51+H52+H53+H54+H55+H56+H57</f>
        <v>53.4306666666667</v>
      </c>
      <c r="I58" s="45" t="n">
        <f aca="false">I49+I50+I51+I52+I53+I54+I55+I56+I57</f>
        <v>92.1655933333333</v>
      </c>
      <c r="J58" s="45" t="n">
        <f aca="false">J49+J50+J51+J52+J53+J54+J55+J56+J57</f>
        <v>111.393131433333</v>
      </c>
      <c r="K58" s="45" t="n">
        <f aca="false">K49+K50+K51+K52+K53+K54+K55+K56+K57</f>
        <v>172.594162095167</v>
      </c>
      <c r="L58" s="45" t="n">
        <f aca="false">L49+L50+L51+L52+L53+L54+L55+L56+L57</f>
        <v>211.616802625406</v>
      </c>
      <c r="M58" s="45" t="n">
        <f aca="false">M49+M50+M51+M52+M53+M54+M55+M56+M57</f>
        <v>230.956556011108</v>
      </c>
      <c r="N58" s="45" t="n">
        <f aca="false">N49+N50+N51+N52+N53+N54+N55+N56+N57</f>
        <v>285.296444530579</v>
      </c>
      <c r="O58" s="45" t="n">
        <f aca="false">O49+O50+O51+O52+O53+O54+O55+O56+O57</f>
        <v>386.275481855182</v>
      </c>
      <c r="P58" s="45" t="n">
        <f aca="false">P49+P50+P51+P52+P53+P54+P55+P56+P57</f>
        <v>455.751910130888</v>
      </c>
      <c r="Q58" s="45" t="n">
        <f aca="false">Q49+Q50+Q51+Q52+Q53+Q54+Q55+Q56+Q57</f>
        <v>543.458916133417</v>
      </c>
      <c r="R58" s="45" t="n">
        <f aca="false">R49+R50+R51+R52+R53+R54+R55+R56+R57</f>
        <v>656.267751040371</v>
      </c>
      <c r="S58" s="45" t="n">
        <f aca="false">S49+S50+S51+S52+S53+S54+S55+S56+S57</f>
        <v>730.395291566157</v>
      </c>
      <c r="T58" s="45" t="n">
        <f aca="false">T49+T50+T51+T52+T53+T54+T55+T56+T57</f>
        <v>822.682714248771</v>
      </c>
      <c r="U58" s="45" t="n">
        <f aca="false">U49+U50+U51+U52+U53+U54+U55+U56+U57</f>
        <v>1181.58885419531</v>
      </c>
      <c r="V58" s="45" t="n">
        <f aca="false">V49+V50+V51+V52+V53+V54+V55+V56+V57</f>
        <v>1335.79391495098</v>
      </c>
      <c r="W58" s="45" t="n">
        <f aca="false">W49+W50+W51+W52+W53+W54+W55+W56+W57</f>
        <v>1554.22287634376</v>
      </c>
      <c r="X58" s="45" t="n">
        <f aca="false">X49+X50+X51+X52+X53+X54+X55+X56+X57</f>
        <v>1774.47783189217</v>
      </c>
      <c r="Y58" s="45" t="n">
        <f aca="false">Y49+Y50+Y51+Y52+Y53+Y54+Y55+Y56+Y57</f>
        <v>1948.11844471275</v>
      </c>
      <c r="Z58" s="45" t="n">
        <f aca="false">Z49+Z50+Z51+Z52+Z53+Z54+Z55+Z56+Z57</f>
        <v>2178.6296844344</v>
      </c>
      <c r="AA58" s="45" t="n">
        <f aca="false">AA49+AA50+AA51+AA52+AA53+AA54+AA55+AA56+AA57</f>
        <v>2410.67890791375</v>
      </c>
      <c r="AB58" s="45" t="n">
        <f aca="false">AB49+AB50+AB51+AB52+AB53+AB54+AB55+AB56+AB57</f>
        <v>2644.78770040489</v>
      </c>
      <c r="AC58" s="45" t="n">
        <f aca="false">AC49+AC50+AC51+AC52+AC53+AC54+AC55+AC56+AC57</f>
        <v>2881.22510553937</v>
      </c>
      <c r="AD58" s="45" t="n">
        <f aca="false">AD49+AD50+AD51+AD52+AD53+AD54+AD55+AD56+AD57</f>
        <v>3120.1004214151</v>
      </c>
      <c r="AE58" s="45" t="n">
        <f aca="false">AE49+AE50+AE51+AE52+AE53+AE54+AE55+AE56+AE57</f>
        <v>3359.18317623606</v>
      </c>
      <c r="AF58" s="45" t="n">
        <f aca="false">AF49+AF50+AF51+AF52+AF53+AF54+AF55+AF56+AF57</f>
        <v>3656.89978867728</v>
      </c>
      <c r="AG58" s="45" t="n">
        <f aca="false">AG49+AG50+AG51+AG52+AG53+AG54+AG55+AG56+AG57</f>
        <v>3944.43215547138</v>
      </c>
      <c r="AH58" s="45" t="n">
        <f aca="false">AH49+AH50+AH51+AH52+AH53+AH54+AH55+AH56+AH57</f>
        <v>4237.49160282802</v>
      </c>
      <c r="AI58" s="45" t="n">
        <f aca="false">AI49+AI50+AI51+AI52+AI53+AI54+AI55+AI56+AI57</f>
        <v>4581.30919684685</v>
      </c>
      <c r="AJ58" s="45" t="n">
        <f aca="false">AJ49+AJ50+AJ51+AJ52+AJ53+AJ54+AJ55+AJ56+AJ57</f>
        <v>4910.22194651984</v>
      </c>
      <c r="AK58" s="45" t="n">
        <f aca="false">AK49+AK50+AK51+AK52+AK53+AK54+AK55+AK56+AK57</f>
        <v>5222.86002666683</v>
      </c>
      <c r="AL58" s="45" t="n">
        <f aca="false">AL49+AL50+AL51+AL52+AL53+AL54+AL55+AL56+AL57</f>
        <v>5633.0674617264</v>
      </c>
      <c r="AM58" s="45" t="n">
        <f aca="false">AM49+AM50+AM51+AM52+AM53+AM54+AM55+AM56+AM57</f>
        <v>5973.55037769747</v>
      </c>
      <c r="AN58" s="46" t="n">
        <f aca="false">AN49+AN50+AN51+AN52+AN53+AN54+AN55+AN56+AN57</f>
        <v>6265.32118202885</v>
      </c>
      <c r="AO58" s="46" t="n">
        <f aca="false">AO49+AO50+AO51+AO52+AO53+AO54+AO55+AO56+AO57</f>
        <v>6652.42108058507</v>
      </c>
      <c r="AP58" s="46" t="n">
        <f aca="false">AP49+AP50+AP51+AP52+AP53+AP54+AP55+AP56+AP57</f>
        <v>6966.59822055449</v>
      </c>
      <c r="AQ58" s="46" t="n">
        <f aca="false">AQ49+AQ50+AQ51+AQ52+AQ53+AQ54+AQ55+AQ56+AQ57</f>
        <v>7261.89003991823</v>
      </c>
      <c r="AR58" s="46" t="n">
        <f aca="false">AR49+AR50+AR51+AR52+AR53+AR54+AR55+AR56+AR57</f>
        <v>7652.20722880537</v>
      </c>
      <c r="AS58" s="46" t="n">
        <f aca="false">AS49+AS50+AS51+AS52+AS53+AS54+AS55+AS56+AS57</f>
        <v>7966.9068482974</v>
      </c>
      <c r="AT58" s="46" t="n">
        <f aca="false">AT49+AT50+AT51+AT52+AT53+AT54+AT55+AT56+AT57</f>
        <v>8262.55610531549</v>
      </c>
      <c r="AU58" s="46" t="n">
        <f aca="false">AU49+AU50+AU51+AU52+AU53+AU54+AU55+AU56+AU57</f>
        <v>8652.95536457137</v>
      </c>
      <c r="AV58" s="46" t="n">
        <f aca="false">AV49+AV50+AV51+AV52+AV53+AV54+AV55+AV56+AV57</f>
        <v>8967.40249277606</v>
      </c>
      <c r="AW58" s="46" t="n">
        <f aca="false">AW49+AW50+AW51+AW52+AW53+AW54+AW55+AW56+AW57</f>
        <v>9262.43792447367</v>
      </c>
      <c r="AX58" s="46" t="n">
        <f aca="false">AX49+AX50+AX51+AX52+AX53+AX54+AX55+AX56+AX57</f>
        <v>9651.85556602514</v>
      </c>
      <c r="AY58" s="46" t="n">
        <f aca="false">AY49+AY50+AY51+AY52+AY53+AY54+AY55+AY56+AY57</f>
        <v>9964.9593190302</v>
      </c>
      <c r="AZ58" s="46" t="n">
        <f aca="false">AZ49+AZ50+AZ51+AZ52+AZ53+AZ54+AZ55+AZ56+AZ57</f>
        <v>10258.3031087564</v>
      </c>
      <c r="BA58" s="46" t="n">
        <f aca="false">BA49+BA50+BA51+BA52+BA53+BA54+BA55+BA56+BA57</f>
        <v>10645.6985568542</v>
      </c>
      <c r="BB58" s="46" t="n">
        <f aca="false">BB49+BB50+BB51+BB52+BB53+BB54+BB55+BB56+BB57</f>
        <v>10956.469444645</v>
      </c>
      <c r="BC58" s="46" t="n">
        <f aca="false">BC49+BC50+BC51+BC52+BC53+BC54+BC55+BC56+BC57</f>
        <v>11244.8651526532</v>
      </c>
      <c r="BD58" s="46" t="n">
        <f aca="false">BD49+BD50+BD51+BD52+BD53+BD54+BD55+BD56+BD57</f>
        <v>11627.2785676264</v>
      </c>
      <c r="BE58" s="46" t="n">
        <f aca="false">BE49+BE50+BE51+BE52+BE53+BE54+BE55+BE56+BE57</f>
        <v>11932.9521639846</v>
      </c>
      <c r="BF58" s="46" t="n">
        <f aca="false">BF49+BF50+BF51+BF52+BF53+BF54+BF55+BF56+BF57</f>
        <v>12216.0908175492</v>
      </c>
      <c r="BG58" s="46" t="n">
        <f aca="false">BG49+BG50+BG51+BG52+BG53+BG54+BG55+BG56+BG57</f>
        <v>12593.0662814779</v>
      </c>
      <c r="BH58" s="46" t="n">
        <f aca="false">BH49+BH50+BH51+BH52+BH53+BH54+BH55+BH56+BH57</f>
        <v>12893.114572961</v>
      </c>
      <c r="BI58" s="46" t="n">
        <f aca="false">BI49+BI50+BI51+BI52+BI53+BI54+BI55+BI56+BI57</f>
        <v>13170.4431684802</v>
      </c>
      <c r="BJ58" s="46" t="n">
        <f aca="false">BJ49+BJ50+BJ51+BJ52+BJ53+BJ54+BJ55+BJ56+BJ57</f>
        <v>13541.4318586827</v>
      </c>
      <c r="BK58" s="46" t="n">
        <f aca="false">BK49+BK50+BK51+BK52+BK53+BK54+BK55+BK56+BK57</f>
        <v>13835.3278103028</v>
      </c>
    </row>
    <row r="59" customFormat="false" ht="15" hidden="false" customHeight="false" outlineLevel="0" collapsed="false">
      <c r="A59" s="28" t="s">
        <v>631</v>
      </c>
      <c r="B59" s="5" t="s">
        <v>632</v>
      </c>
      <c r="C59" s="43"/>
      <c r="D59" s="45" t="n">
        <f aca="false">D46-D58</f>
        <v>0</v>
      </c>
      <c r="E59" s="45" t="n">
        <f aca="false">E46-E58</f>
        <v>0</v>
      </c>
      <c r="F59" s="45" t="n">
        <f aca="false">F46-F58</f>
        <v>0</v>
      </c>
      <c r="G59" s="45" t="n">
        <f aca="false">G46-G58</f>
        <v>0</v>
      </c>
      <c r="H59" s="45" t="n">
        <f aca="false">H46-H58</f>
        <v>-53.4306666666667</v>
      </c>
      <c r="I59" s="45" t="n">
        <f aca="false">I46-I58</f>
        <v>-92.1655933333333</v>
      </c>
      <c r="J59" s="45" t="n">
        <f aca="false">J46-J58</f>
        <v>-111.393131433333</v>
      </c>
      <c r="K59" s="45" t="n">
        <f aca="false">K46-K58</f>
        <v>-172.594162095167</v>
      </c>
      <c r="L59" s="45" t="n">
        <f aca="false">L46-L58</f>
        <v>-211.616802625406</v>
      </c>
      <c r="M59" s="45" t="n">
        <f aca="false">M46-M58</f>
        <v>-230.956556011108</v>
      </c>
      <c r="N59" s="45" t="n">
        <f aca="false">N46-N58</f>
        <v>-285.296444530579</v>
      </c>
      <c r="O59" s="45" t="n">
        <f aca="false">O46-O58</f>
        <v>-351.108971362141</v>
      </c>
      <c r="P59" s="45" t="n">
        <f aca="false">P46-P58</f>
        <v>-381.748083532049</v>
      </c>
      <c r="Q59" s="45" t="n">
        <f aca="false">Q46-Q58</f>
        <v>-425.896668164291</v>
      </c>
      <c r="R59" s="45" t="n">
        <f aca="false">R46-R58</f>
        <v>-488.845646557736</v>
      </c>
      <c r="S59" s="45" t="n">
        <f aca="false">S46-S58</f>
        <v>-509.748701513546</v>
      </c>
      <c r="T59" s="45" t="n">
        <f aca="false">T46-T58</f>
        <v>-544.542222219484</v>
      </c>
      <c r="U59" s="45" t="n">
        <f aca="false">U46-U58</f>
        <v>-28.9622425247212</v>
      </c>
      <c r="V59" s="45" t="n">
        <f aca="false">V46-V58</f>
        <v>-47.1269001094493</v>
      </c>
      <c r="W59" s="45" t="n">
        <f aca="false">W46-W58</f>
        <v>69.9321066785703</v>
      </c>
      <c r="X59" s="45" t="n">
        <f aca="false">X46-X58</f>
        <v>196.648688350273</v>
      </c>
      <c r="Y59" s="45" t="n">
        <f aca="false">Y46-Y58</f>
        <v>194.343862160704</v>
      </c>
      <c r="Z59" s="45" t="n">
        <f aca="false">Z46-Z58</f>
        <v>333.783997800264</v>
      </c>
      <c r="AA59" s="45" t="n">
        <f aca="false">AA46-AA58</f>
        <v>482.100339431966</v>
      </c>
      <c r="AB59" s="45" t="n">
        <f aca="false">AB46-AB58</f>
        <v>638.114092767891</v>
      </c>
      <c r="AC59" s="45" t="n">
        <f aca="false">AC46-AC58</f>
        <v>800.940328784314</v>
      </c>
      <c r="AD59" s="45" t="n">
        <f aca="false">AD46-AD58</f>
        <v>969.892512728384</v>
      </c>
      <c r="AE59" s="45" t="n">
        <f aca="false">AE46-AE58</f>
        <v>1146.38708962538</v>
      </c>
      <c r="AF59" s="45" t="n">
        <f aca="false">AF46-AF58</f>
        <v>1278.33451816545</v>
      </c>
      <c r="AG59" s="45" t="n">
        <f aca="false">AG46-AG58</f>
        <v>1432.76310877409</v>
      </c>
      <c r="AH59" s="45" t="n">
        <f aca="false">AH46-AH58</f>
        <v>1829.05469634656</v>
      </c>
      <c r="AI59" s="45" t="n">
        <f aca="false">AI46-AI58</f>
        <v>2221.48557897383</v>
      </c>
      <c r="AJ59" s="45" t="n">
        <f aca="false">AJ46-AJ58</f>
        <v>2669.78693575397</v>
      </c>
      <c r="AK59" s="45" t="n">
        <f aca="false">AK46-AK58</f>
        <v>3167.76111712797</v>
      </c>
      <c r="AL59" s="45" t="n">
        <f aca="false">AL46-AL58</f>
        <v>3805.53344950797</v>
      </c>
      <c r="AM59" s="45" t="n">
        <f aca="false">AM46-AM58</f>
        <v>4360.27800794542</v>
      </c>
      <c r="AN59" s="46" t="n">
        <f aca="false">AN46-AN58</f>
        <v>4661.19478512821</v>
      </c>
      <c r="AO59" s="46" t="n">
        <f aca="false">AO46-AO58</f>
        <v>5075.88297742313</v>
      </c>
      <c r="AP59" s="46" t="n">
        <f aca="false">AP46-AP58</f>
        <v>5376.48417924023</v>
      </c>
      <c r="AQ59" s="46" t="n">
        <f aca="false">AQ46-AQ58</f>
        <v>5691.64901473121</v>
      </c>
      <c r="AR59" s="46" t="n">
        <f aca="false">AR46-AR58</f>
        <v>6119.147791942</v>
      </c>
      <c r="AS59" s="46" t="n">
        <f aca="false">AS46-AS58</f>
        <v>6432.51050578997</v>
      </c>
      <c r="AT59" s="46" t="n">
        <f aca="false">AT46-AT58</f>
        <v>6758.83229678305</v>
      </c>
      <c r="AU59" s="46" t="n">
        <f aca="false">AU46-AU58</f>
        <v>7196.1248673573</v>
      </c>
      <c r="AV59" s="46" t="n">
        <f aca="false">AV46-AV58</f>
        <v>7518.09653171694</v>
      </c>
      <c r="AW59" s="46" t="n">
        <f aca="false">AW46-AW58</f>
        <v>7851.97838523252</v>
      </c>
      <c r="AX59" s="46" t="n">
        <f aca="false">AX46-AX58</f>
        <v>8295.88927146899</v>
      </c>
      <c r="AY59" s="46" t="n">
        <f aca="false">AY46-AY58</f>
        <v>8623.62472279963</v>
      </c>
      <c r="AZ59" s="46" t="n">
        <f aca="false">AZ46-AZ58</f>
        <v>8962.48898611162</v>
      </c>
      <c r="BA59" s="46" t="n">
        <f aca="false">BA46-BA58</f>
        <v>9410.66386859535</v>
      </c>
      <c r="BB59" s="46" t="n">
        <f aca="false">BB46-BB58</f>
        <v>9742.00026692021</v>
      </c>
      <c r="BC59" s="46" t="n">
        <f aca="false">BC46-BC58</f>
        <v>10085.0519954695</v>
      </c>
      <c r="BD59" s="46" t="n">
        <f aca="false">BD46-BD58</f>
        <v>10536.3473090119</v>
      </c>
      <c r="BE59" s="46" t="n">
        <f aca="false">BE46-BE58</f>
        <v>10869.9074307183</v>
      </c>
      <c r="BF59" s="46" t="n">
        <f aca="false">BF46-BF58</f>
        <v>11214.411447274</v>
      </c>
      <c r="BG59" s="46" t="n">
        <f aca="false">BG46-BG58</f>
        <v>11666.482673749</v>
      </c>
      <c r="BH59" s="46" t="n">
        <f aca="false">BH46-BH58</f>
        <v>12000.2168884607</v>
      </c>
      <c r="BI59" s="46" t="n">
        <f aca="false">BI46-BI58</f>
        <v>12344.3535930405</v>
      </c>
      <c r="BJ59" s="46" t="n">
        <f aca="false">BJ46-BJ58</f>
        <v>12795.5665663742</v>
      </c>
      <c r="BK59" s="46" t="n">
        <f aca="false">BK46-BK58</f>
        <v>13127.9948708099</v>
      </c>
    </row>
    <row r="60" customFormat="false" ht="15" hidden="false" customHeight="false" outlineLevel="0" collapsed="false">
      <c r="B60" s="5" t="s">
        <v>633</v>
      </c>
    </row>
    <row r="61" customFormat="false" ht="15" hidden="false" customHeight="false" outlineLevel="0" collapsed="false">
      <c r="A61" s="28" t="s">
        <v>267</v>
      </c>
      <c r="B61" s="6" t="s">
        <v>634</v>
      </c>
      <c r="C61" s="47"/>
      <c r="D61" s="9" t="n">
        <f aca="false">Assumptions!$E$83*(1+Assumptions!$E$84)^INT(D7/12)</f>
        <v>17.95</v>
      </c>
      <c r="E61" s="9" t="n">
        <f aca="false">Assumptions!$E$83*(1+Assumptions!$E$84)^INT(E7/12)</f>
        <v>17.95</v>
      </c>
      <c r="F61" s="9" t="n">
        <f aca="false">Assumptions!$E$83*(1+Assumptions!$E$84)^INT(F7/12)</f>
        <v>17.95</v>
      </c>
      <c r="G61" s="9" t="n">
        <f aca="false">Assumptions!$E$83*(1+Assumptions!$E$84)^INT(G7/12)</f>
        <v>17.95</v>
      </c>
      <c r="H61" s="9" t="n">
        <f aca="false">Assumptions!$E$83*(1+Assumptions!$E$84)^INT(H7/12)</f>
        <v>17.95</v>
      </c>
      <c r="I61" s="9" t="n">
        <f aca="false">Assumptions!$E$83*(1+Assumptions!$E$84)^INT(I7/12)</f>
        <v>17.95</v>
      </c>
      <c r="J61" s="9" t="n">
        <f aca="false">Assumptions!$E$83*(1+Assumptions!$E$84)^INT(J7/12)</f>
        <v>17.95</v>
      </c>
      <c r="K61" s="9" t="n">
        <f aca="false">Assumptions!$E$83*(1+Assumptions!$E$84)^INT(K7/12)</f>
        <v>17.95</v>
      </c>
      <c r="L61" s="9" t="n">
        <f aca="false">Assumptions!$E$83*(1+Assumptions!$E$84)^INT(L7/12)</f>
        <v>17.95</v>
      </c>
      <c r="M61" s="9" t="n">
        <f aca="false">Assumptions!$E$83*(1+Assumptions!$E$84)^INT(M7/12)</f>
        <v>17.95</v>
      </c>
      <c r="N61" s="9" t="n">
        <f aca="false">Assumptions!$E$83*(1+Assumptions!$E$84)^INT(N7/12)</f>
        <v>17.95</v>
      </c>
      <c r="O61" s="9" t="n">
        <f aca="false">Assumptions!$E$83*(1+Assumptions!$E$84)^INT(O7/12)</f>
        <v>18.39875</v>
      </c>
      <c r="P61" s="9" t="n">
        <f aca="false">Assumptions!$E$83*(1+Assumptions!$E$84)^INT(P7/12)</f>
        <v>18.39875</v>
      </c>
      <c r="Q61" s="9" t="n">
        <f aca="false">Assumptions!$E$83*(1+Assumptions!$E$84)^INT(Q7/12)</f>
        <v>18.39875</v>
      </c>
      <c r="R61" s="9" t="n">
        <f aca="false">Assumptions!$E$83*(1+Assumptions!$E$84)^INT(R7/12)</f>
        <v>18.39875</v>
      </c>
      <c r="S61" s="9" t="n">
        <f aca="false">Assumptions!$E$83*(1+Assumptions!$E$84)^INT(S7/12)</f>
        <v>18.39875</v>
      </c>
      <c r="T61" s="9" t="n">
        <f aca="false">Assumptions!$E$83*(1+Assumptions!$E$84)^INT(T7/12)</f>
        <v>18.39875</v>
      </c>
      <c r="U61" s="9" t="n">
        <f aca="false">Assumptions!$E$83*(1+Assumptions!$E$84)^INT(U7/12)</f>
        <v>18.39875</v>
      </c>
      <c r="V61" s="9" t="n">
        <f aca="false">Assumptions!$E$83*(1+Assumptions!$E$84)^INT(V7/12)</f>
        <v>18.39875</v>
      </c>
      <c r="W61" s="9" t="n">
        <f aca="false">Assumptions!$E$83*(1+Assumptions!$E$84)^INT(W7/12)</f>
        <v>18.39875</v>
      </c>
      <c r="X61" s="9" t="n">
        <f aca="false">Assumptions!$E$83*(1+Assumptions!$E$84)^INT(X7/12)</f>
        <v>18.39875</v>
      </c>
      <c r="Y61" s="9" t="n">
        <f aca="false">Assumptions!$E$83*(1+Assumptions!$E$84)^INT(Y7/12)</f>
        <v>18.39875</v>
      </c>
      <c r="Z61" s="9" t="n">
        <f aca="false">Assumptions!$E$83*(1+Assumptions!$E$84)^INT(Z7/12)</f>
        <v>18.39875</v>
      </c>
      <c r="AA61" s="9" t="n">
        <f aca="false">Assumptions!$E$83*(1+Assumptions!$E$84)^INT(AA7/12)</f>
        <v>18.85871875</v>
      </c>
      <c r="AB61" s="9" t="n">
        <f aca="false">Assumptions!$E$83*(1+Assumptions!$E$84)^INT(AB7/12)</f>
        <v>18.85871875</v>
      </c>
      <c r="AC61" s="9" t="n">
        <f aca="false">Assumptions!$E$83*(1+Assumptions!$E$84)^INT(AC7/12)</f>
        <v>18.85871875</v>
      </c>
      <c r="AD61" s="9" t="n">
        <f aca="false">Assumptions!$E$83*(1+Assumptions!$E$84)^INT(AD7/12)</f>
        <v>18.85871875</v>
      </c>
      <c r="AE61" s="9" t="n">
        <f aca="false">Assumptions!$E$83*(1+Assumptions!$E$84)^INT(AE7/12)</f>
        <v>18.85871875</v>
      </c>
      <c r="AF61" s="9" t="n">
        <f aca="false">Assumptions!$E$83*(1+Assumptions!$E$84)^INT(AF7/12)</f>
        <v>18.85871875</v>
      </c>
      <c r="AG61" s="9" t="n">
        <f aca="false">Assumptions!$E$83*(1+Assumptions!$E$84)^INT(AG7/12)</f>
        <v>18.85871875</v>
      </c>
      <c r="AH61" s="9" t="n">
        <f aca="false">Assumptions!$E$83*(1+Assumptions!$E$84)^INT(AH7/12)</f>
        <v>18.85871875</v>
      </c>
      <c r="AI61" s="9" t="n">
        <f aca="false">Assumptions!$E$83*(1+Assumptions!$E$84)^INT(AI7/12)</f>
        <v>18.85871875</v>
      </c>
      <c r="AJ61" s="9" t="n">
        <f aca="false">Assumptions!$E$83*(1+Assumptions!$E$84)^INT(AJ7/12)</f>
        <v>18.85871875</v>
      </c>
      <c r="AK61" s="9" t="n">
        <f aca="false">Assumptions!$E$83*(1+Assumptions!$E$84)^INT(AK7/12)</f>
        <v>18.85871875</v>
      </c>
      <c r="AL61" s="9" t="n">
        <f aca="false">Assumptions!$E$83*(1+Assumptions!$E$84)^INT(AL7/12)</f>
        <v>18.85871875</v>
      </c>
      <c r="AM61" s="9" t="n">
        <f aca="false">Assumptions!$E$83*(1+Assumptions!$E$84)^INT(AM7/12)</f>
        <v>19.33018671875</v>
      </c>
      <c r="AN61" s="48" t="n">
        <f aca="false">Assumptions!$E$83*(1+Assumptions!$E$84)^INT(AN7/12)</f>
        <v>19.33018671875</v>
      </c>
      <c r="AO61" s="48" t="n">
        <f aca="false">Assumptions!$E$83*(1+Assumptions!$E$84)^INT(AO7/12)</f>
        <v>19.33018671875</v>
      </c>
      <c r="AP61" s="48" t="n">
        <f aca="false">Assumptions!$E$83*(1+Assumptions!$E$84)^INT(AP7/12)</f>
        <v>19.33018671875</v>
      </c>
      <c r="AQ61" s="48" t="n">
        <f aca="false">Assumptions!$E$83*(1+Assumptions!$E$84)^INT(AQ7/12)</f>
        <v>19.33018671875</v>
      </c>
      <c r="AR61" s="48" t="n">
        <f aca="false">Assumptions!$E$83*(1+Assumptions!$E$84)^INT(AR7/12)</f>
        <v>19.33018671875</v>
      </c>
      <c r="AS61" s="48" t="n">
        <f aca="false">Assumptions!$E$83*(1+Assumptions!$E$84)^INT(AS7/12)</f>
        <v>19.33018671875</v>
      </c>
      <c r="AT61" s="48" t="n">
        <f aca="false">Assumptions!$E$83*(1+Assumptions!$E$84)^INT(AT7/12)</f>
        <v>19.33018671875</v>
      </c>
      <c r="AU61" s="48" t="n">
        <f aca="false">Assumptions!$E$83*(1+Assumptions!$E$84)^INT(AU7/12)</f>
        <v>19.33018671875</v>
      </c>
      <c r="AV61" s="48" t="n">
        <f aca="false">Assumptions!$E$83*(1+Assumptions!$E$84)^INT(AV7/12)</f>
        <v>19.33018671875</v>
      </c>
      <c r="AW61" s="48" t="n">
        <f aca="false">Assumptions!$E$83*(1+Assumptions!$E$84)^INT(AW7/12)</f>
        <v>19.33018671875</v>
      </c>
      <c r="AX61" s="48" t="n">
        <f aca="false">Assumptions!$E$83*(1+Assumptions!$E$84)^INT(AX7/12)</f>
        <v>19.33018671875</v>
      </c>
      <c r="AY61" s="48" t="n">
        <f aca="false">Assumptions!$E$83*(1+Assumptions!$E$84)^INT(AY7/12)</f>
        <v>19.8134413867187</v>
      </c>
      <c r="AZ61" s="48" t="n">
        <f aca="false">Assumptions!$E$83*(1+Assumptions!$E$84)^INT(AZ7/12)</f>
        <v>19.8134413867187</v>
      </c>
      <c r="BA61" s="48" t="n">
        <f aca="false">Assumptions!$E$83*(1+Assumptions!$E$84)^INT(BA7/12)</f>
        <v>19.8134413867187</v>
      </c>
      <c r="BB61" s="48" t="n">
        <f aca="false">Assumptions!$E$83*(1+Assumptions!$E$84)^INT(BB7/12)</f>
        <v>19.8134413867187</v>
      </c>
      <c r="BC61" s="48" t="n">
        <f aca="false">Assumptions!$E$83*(1+Assumptions!$E$84)^INT(BC7/12)</f>
        <v>19.8134413867187</v>
      </c>
      <c r="BD61" s="48" t="n">
        <f aca="false">Assumptions!$E$83*(1+Assumptions!$E$84)^INT(BD7/12)</f>
        <v>19.8134413867187</v>
      </c>
      <c r="BE61" s="48" t="n">
        <f aca="false">Assumptions!$E$83*(1+Assumptions!$E$84)^INT(BE7/12)</f>
        <v>19.8134413867187</v>
      </c>
      <c r="BF61" s="48" t="n">
        <f aca="false">Assumptions!$E$83*(1+Assumptions!$E$84)^INT(BF7/12)</f>
        <v>19.8134413867187</v>
      </c>
      <c r="BG61" s="48" t="n">
        <f aca="false">Assumptions!$E$83*(1+Assumptions!$E$84)^INT(BG7/12)</f>
        <v>19.8134413867187</v>
      </c>
      <c r="BH61" s="48" t="n">
        <f aca="false">Assumptions!$E$83*(1+Assumptions!$E$84)^INT(BH7/12)</f>
        <v>19.8134413867187</v>
      </c>
      <c r="BI61" s="48" t="n">
        <f aca="false">Assumptions!$E$83*(1+Assumptions!$E$84)^INT(BI7/12)</f>
        <v>19.8134413867187</v>
      </c>
      <c r="BJ61" s="48" t="n">
        <f aca="false">Assumptions!$E$83*(1+Assumptions!$E$84)^INT(BJ7/12)</f>
        <v>19.8134413867187</v>
      </c>
      <c r="BK61" s="48" t="n">
        <f aca="false">Assumptions!$E$83*(1+Assumptions!$E$84)^INT(BK7/12)</f>
        <v>20.3087774213867</v>
      </c>
    </row>
    <row r="62" customFormat="false" ht="15" hidden="false" customHeight="false" outlineLevel="0" collapsed="false">
      <c r="A62" s="28" t="s">
        <v>635</v>
      </c>
      <c r="B62" s="6" t="s">
        <v>636</v>
      </c>
      <c r="C62" s="43"/>
      <c r="D62" s="17" t="n">
        <f aca="false">D11*Assumptions!$E$86*D61*(1+Assumptions!$E$85)*Assumptions!$E$91</f>
        <v>0</v>
      </c>
      <c r="E62" s="17" t="n">
        <f aca="false">E11*Assumptions!$E$86*E61*(1+Assumptions!$E$85)*Assumptions!$E$91</f>
        <v>0</v>
      </c>
      <c r="F62" s="17" t="n">
        <f aca="false">F11*Assumptions!$E$86*F61*(1+Assumptions!$E$85)*Assumptions!$E$91</f>
        <v>0</v>
      </c>
      <c r="G62" s="17" t="n">
        <f aca="false">G11*Assumptions!$E$86*G61*(1+Assumptions!$E$85)*Assumptions!$E$91</f>
        <v>0</v>
      </c>
      <c r="H62" s="17" t="n">
        <f aca="false">H11*Assumptions!$E$86*H61*(1+Assumptions!$E$85)*Assumptions!$E$91</f>
        <v>405.67</v>
      </c>
      <c r="I62" s="17" t="n">
        <f aca="false">I11*Assumptions!$E$86*I61*(1+Assumptions!$E$85)*Assumptions!$E$91</f>
        <v>356.9896</v>
      </c>
      <c r="J62" s="17" t="n">
        <f aca="false">J11*Assumptions!$E$86*J61*(1+Assumptions!$E$85)*Assumptions!$E$91</f>
        <v>243.402</v>
      </c>
      <c r="K62" s="17" t="n">
        <f aca="false">K11*Assumptions!$E$86*K61*(1+Assumptions!$E$85)*Assumptions!$E$91</f>
        <v>567.938</v>
      </c>
      <c r="L62" s="17" t="n">
        <f aca="false">L11*Assumptions!$E$86*L61*(1+Assumptions!$E$85)*Assumptions!$E$91</f>
        <v>454.3504</v>
      </c>
      <c r="M62" s="17" t="n">
        <f aca="false">M11*Assumptions!$E$86*M61*(1+Assumptions!$E$85)*Assumptions!$E$91</f>
        <v>324.536</v>
      </c>
      <c r="N62" s="17" t="n">
        <f aca="false">N11*Assumptions!$E$86*N61*(1+Assumptions!$E$85)*Assumptions!$E$91</f>
        <v>584.1648</v>
      </c>
      <c r="O62" s="17" t="n">
        <f aca="false">O11*Assumptions!$E$86*O61*(1+Assumptions!$E$85)*Assumptions!$E$91</f>
        <v>898.15338</v>
      </c>
      <c r="P62" s="17" t="n">
        <f aca="false">P11*Assumptions!$E$86*P61*(1+Assumptions!$E$85)*Assumptions!$E$91</f>
        <v>715.19621</v>
      </c>
      <c r="Q62" s="17" t="n">
        <f aca="false">Q11*Assumptions!$E$86*Q61*(1+Assumptions!$E$85)*Assumptions!$E$91</f>
        <v>864.88844</v>
      </c>
      <c r="R62" s="17" t="n">
        <f aca="false">R11*Assumptions!$E$86*R61*(1+Assumptions!$E$85)*Assumptions!$E$91</f>
        <v>1081.11055</v>
      </c>
      <c r="S62" s="17" t="n">
        <f aca="false">S11*Assumptions!$E$86*S61*(1+Assumptions!$E$85)*Assumptions!$E$91</f>
        <v>831.6235</v>
      </c>
      <c r="T62" s="17" t="n">
        <f aca="false">T11*Assumptions!$E$86*T61*(1+Assumptions!$E$85)*Assumptions!$E$91</f>
        <v>964.68326</v>
      </c>
      <c r="U62" s="17" t="n">
        <f aca="false">U11*Assumptions!$E$86*U61*(1+Assumptions!$E$85)*Assumptions!$E$91</f>
        <v>1114.37549</v>
      </c>
      <c r="V62" s="17" t="n">
        <f aca="false">V11*Assumptions!$E$86*V61*(1+Assumptions!$E$85)*Assumptions!$E$91</f>
        <v>1280.70019</v>
      </c>
      <c r="W62" s="17" t="n">
        <f aca="false">W11*Assumptions!$E$86*W61*(1+Assumptions!$E$85)*Assumptions!$E$91</f>
        <v>1363.86254</v>
      </c>
      <c r="X62" s="17" t="n">
        <f aca="false">X11*Assumptions!$E$86*X61*(1+Assumptions!$E$85)*Assumptions!$E$91</f>
        <v>1397.12748</v>
      </c>
      <c r="Y62" s="17" t="n">
        <f aca="false">Y11*Assumptions!$E$86*Y61*(1+Assumptions!$E$85)*Assumptions!$E$91</f>
        <v>1480.28983</v>
      </c>
      <c r="Z62" s="17" t="n">
        <f aca="false">Z11*Assumptions!$E$86*Z61*(1+Assumptions!$E$85)*Assumptions!$E$91</f>
        <v>1496.9223</v>
      </c>
      <c r="AA62" s="17" t="n">
        <f aca="false">AA11*Assumptions!$E$86*AA61*(1+Assumptions!$E$85)*Assumptions!$E$91</f>
        <v>1551.39363925</v>
      </c>
      <c r="AB62" s="17" t="n">
        <f aca="false">AB11*Assumptions!$E$86*AB61*(1+Assumptions!$E$85)*Assumptions!$E$91</f>
        <v>1568.441921</v>
      </c>
      <c r="AC62" s="17" t="n">
        <f aca="false">AC11*Assumptions!$E$86*AC61*(1+Assumptions!$E$85)*Assumptions!$E$91</f>
        <v>1585.49020275</v>
      </c>
      <c r="AD62" s="17" t="n">
        <f aca="false">AD11*Assumptions!$E$86*AD61*(1+Assumptions!$E$85)*Assumptions!$E$91</f>
        <v>1602.5384845</v>
      </c>
      <c r="AE62" s="17" t="n">
        <f aca="false">AE11*Assumptions!$E$86*AE61*(1+Assumptions!$E$85)*Assumptions!$E$91</f>
        <v>1602.5384845</v>
      </c>
      <c r="AF62" s="17" t="n">
        <f aca="false">AF11*Assumptions!$E$86*AF61*(1+Assumptions!$E$85)*Assumptions!$E$91</f>
        <v>2045.79381</v>
      </c>
      <c r="AG62" s="17" t="n">
        <f aca="false">AG11*Assumptions!$E$86*AG61*(1+Assumptions!$E$85)*Assumptions!$E$91</f>
        <v>2011.6972465</v>
      </c>
      <c r="AH62" s="17" t="n">
        <f aca="false">AH11*Assumptions!$E$86*AH61*(1+Assumptions!$E$85)*Assumptions!$E$91</f>
        <v>1892.35927425</v>
      </c>
      <c r="AI62" s="17" t="n">
        <f aca="false">AI11*Assumptions!$E$86*AI61*(1+Assumptions!$E$85)*Assumptions!$E$91</f>
        <v>2250.373191</v>
      </c>
      <c r="AJ62" s="17" t="n">
        <f aca="false">AJ11*Assumptions!$E$86*AJ61*(1+Assumptions!$E$85)*Assumptions!$E$91</f>
        <v>2148.0835005</v>
      </c>
      <c r="AK62" s="17" t="n">
        <f aca="false">AK11*Assumptions!$E$86*AK61*(1+Assumptions!$E$85)*Assumptions!$E$91</f>
        <v>2011.6972465</v>
      </c>
      <c r="AL62" s="17" t="n">
        <f aca="false">AL11*Assumptions!$E$86*AL61*(1+Assumptions!$E$85)*Assumptions!$E$91</f>
        <v>2284.4697545</v>
      </c>
      <c r="AM62" s="17" t="n">
        <f aca="false">AM11*Assumptions!$E$86*AM61*(1+Assumptions!$E$85)*Assumptions!$E$91</f>
        <v>2236.7345656</v>
      </c>
      <c r="AN62" s="44" t="n">
        <f aca="false">AN11*Assumptions!$E$86*AN61*(1+Assumptions!$E$85)*Assumptions!$E$91</f>
        <v>2096.93865525</v>
      </c>
      <c r="AO62" s="44" t="n">
        <f aca="false">AO11*Assumptions!$E$86*AO61*(1+Assumptions!$E$85)*Assumptions!$E$91</f>
        <v>2376.53047595</v>
      </c>
      <c r="AP62" s="44" t="n">
        <f aca="false">AP11*Assumptions!$E$86*AP61*(1+Assumptions!$E$85)*Assumptions!$E$91</f>
        <v>2271.6835431875</v>
      </c>
      <c r="AQ62" s="44" t="n">
        <f aca="false">AQ11*Assumptions!$E$86*AQ61*(1+Assumptions!$E$85)*Assumptions!$E$91</f>
        <v>2131.8876328375</v>
      </c>
      <c r="AR62" s="44" t="n">
        <f aca="false">AR11*Assumptions!$E$86*AR61*(1+Assumptions!$E$85)*Assumptions!$E$91</f>
        <v>2411.4794535375</v>
      </c>
      <c r="AS62" s="44" t="n">
        <f aca="false">AS11*Assumptions!$E$86*AS61*(1+Assumptions!$E$85)*Assumptions!$E$91</f>
        <v>2289.15803198125</v>
      </c>
      <c r="AT62" s="44" t="n">
        <f aca="false">AT11*Assumptions!$E$86*AT61*(1+Assumptions!$E$85)*Assumptions!$E$91</f>
        <v>2149.36212163125</v>
      </c>
      <c r="AU62" s="44" t="n">
        <f aca="false">AU11*Assumptions!$E$86*AU61*(1+Assumptions!$E$85)*Assumptions!$E$91</f>
        <v>2428.95394233125</v>
      </c>
      <c r="AV62" s="44" t="n">
        <f aca="false">AV11*Assumptions!$E$86*AV61*(1+Assumptions!$E$85)*Assumptions!$E$91</f>
        <v>2306.632520775</v>
      </c>
      <c r="AW62" s="44" t="n">
        <f aca="false">AW11*Assumptions!$E$86*AW61*(1+Assumptions!$E$85)*Assumptions!$E$91</f>
        <v>2166.836610425</v>
      </c>
      <c r="AX62" s="44" t="n">
        <f aca="false">AX11*Assumptions!$E$86*AX61*(1+Assumptions!$E$85)*Assumptions!$E$91</f>
        <v>2446.428431125</v>
      </c>
      <c r="AY62" s="44" t="n">
        <f aca="false">AY11*Assumptions!$E$86*AY61*(1+Assumptions!$E$85)*Assumptions!$E$91</f>
        <v>2382.20968480797</v>
      </c>
      <c r="AZ62" s="44" t="n">
        <f aca="false">AZ11*Assumptions!$E$86*AZ61*(1+Assumptions!$E$85)*Assumptions!$E$91</f>
        <v>2238.91887669922</v>
      </c>
      <c r="BA62" s="44" t="n">
        <f aca="false">BA11*Assumptions!$E$86*BA61*(1+Assumptions!$E$85)*Assumptions!$E$91</f>
        <v>2525.50049291672</v>
      </c>
      <c r="BB62" s="44" t="n">
        <f aca="false">BB11*Assumptions!$E$86*BB61*(1+Assumptions!$E$85)*Assumptions!$E$91</f>
        <v>2400.12103582156</v>
      </c>
      <c r="BC62" s="44" t="n">
        <f aca="false">BC11*Assumptions!$E$86*BC61*(1+Assumptions!$E$85)*Assumptions!$E$91</f>
        <v>2238.91887669922</v>
      </c>
      <c r="BD62" s="44" t="n">
        <f aca="false">BD11*Assumptions!$E$86*BD61*(1+Assumptions!$E$85)*Assumptions!$E$91</f>
        <v>2525.50049291672</v>
      </c>
      <c r="BE62" s="44" t="n">
        <f aca="false">BE11*Assumptions!$E$86*BE61*(1+Assumptions!$E$85)*Assumptions!$E$91</f>
        <v>2400.12103582156</v>
      </c>
      <c r="BF62" s="44" t="n">
        <f aca="false">BF11*Assumptions!$E$86*BF61*(1+Assumptions!$E$85)*Assumptions!$E$91</f>
        <v>2238.91887669922</v>
      </c>
      <c r="BG62" s="44" t="n">
        <f aca="false">BG11*Assumptions!$E$86*BG61*(1+Assumptions!$E$85)*Assumptions!$E$91</f>
        <v>2525.50049291672</v>
      </c>
      <c r="BH62" s="44" t="n">
        <f aca="false">BH11*Assumptions!$E$86*BH61*(1+Assumptions!$E$85)*Assumptions!$E$91</f>
        <v>2400.12103582156</v>
      </c>
      <c r="BI62" s="44" t="n">
        <f aca="false">BI11*Assumptions!$E$86*BI61*(1+Assumptions!$E$85)*Assumptions!$E$91</f>
        <v>2238.91887669922</v>
      </c>
      <c r="BJ62" s="44" t="n">
        <f aca="false">BJ11*Assumptions!$E$86*BJ61*(1+Assumptions!$E$85)*Assumptions!$E$91</f>
        <v>2525.50049291672</v>
      </c>
      <c r="BK62" s="44" t="n">
        <f aca="false">BK11*Assumptions!$E$86*BK61*(1+Assumptions!$E$85)*Assumptions!$E$91</f>
        <v>2460.1240617171</v>
      </c>
    </row>
    <row r="63" customFormat="false" ht="15" hidden="false" customHeight="false" outlineLevel="0" collapsed="false">
      <c r="A63" s="28" t="s">
        <v>637</v>
      </c>
      <c r="B63" s="6" t="s">
        <v>638</v>
      </c>
      <c r="C63" s="43"/>
      <c r="D63" s="17" t="n">
        <f aca="false">D14*Assumptions!$E$87*(1+Assumptions!$E$85)*Assumptions!$E$91</f>
        <v>0</v>
      </c>
      <c r="E63" s="17" t="n">
        <f aca="false">E14*Assumptions!$E$87*(1+Assumptions!$E$85)*Assumptions!$E$91</f>
        <v>0</v>
      </c>
      <c r="F63" s="17" t="n">
        <f aca="false">F14*Assumptions!$E$87*(1+Assumptions!$E$85)*Assumptions!$E$91</f>
        <v>0</v>
      </c>
      <c r="G63" s="17" t="n">
        <f aca="false">G14*Assumptions!$E$87*(1+Assumptions!$E$85)*Assumptions!$E$91</f>
        <v>0</v>
      </c>
      <c r="H63" s="17" t="n">
        <f aca="false">H14*Assumptions!$E$87*(1+Assumptions!$E$85)*Assumptions!$E$91</f>
        <v>135.6</v>
      </c>
      <c r="I63" s="17" t="n">
        <f aca="false">I14*Assumptions!$E$87*(1+Assumptions!$E$85)*Assumptions!$E$91</f>
        <v>119.328</v>
      </c>
      <c r="J63" s="17" t="n">
        <f aca="false">J14*Assumptions!$E$87*(1+Assumptions!$E$85)*Assumptions!$E$91</f>
        <v>81.36</v>
      </c>
      <c r="K63" s="17" t="n">
        <f aca="false">K14*Assumptions!$E$87*(1+Assumptions!$E$85)*Assumptions!$E$91</f>
        <v>189.84</v>
      </c>
      <c r="L63" s="17" t="n">
        <f aca="false">L14*Assumptions!$E$87*(1+Assumptions!$E$85)*Assumptions!$E$91</f>
        <v>151.872</v>
      </c>
      <c r="M63" s="17" t="n">
        <f aca="false">M14*Assumptions!$E$87*(1+Assumptions!$E$85)*Assumptions!$E$91</f>
        <v>108.48</v>
      </c>
      <c r="N63" s="17" t="n">
        <f aca="false">N14*Assumptions!$E$87*(1+Assumptions!$E$85)*Assumptions!$E$91</f>
        <v>195.264</v>
      </c>
      <c r="O63" s="17" t="n">
        <f aca="false">O14*Assumptions!$E$87*(1+Assumptions!$E$85)*Assumptions!$E$91</f>
        <v>292.896</v>
      </c>
      <c r="P63" s="17" t="n">
        <f aca="false">P14*Assumptions!$E$87*(1+Assumptions!$E$85)*Assumptions!$E$91</f>
        <v>233.232</v>
      </c>
      <c r="Q63" s="17" t="n">
        <f aca="false">Q14*Assumptions!$E$87*(1+Assumptions!$E$85)*Assumptions!$E$91</f>
        <v>282.048</v>
      </c>
      <c r="R63" s="17" t="n">
        <f aca="false">R14*Assumptions!$E$87*(1+Assumptions!$E$85)*Assumptions!$E$91</f>
        <v>352.56</v>
      </c>
      <c r="S63" s="17" t="n">
        <f aca="false">S14*Assumptions!$E$87*(1+Assumptions!$E$85)*Assumptions!$E$91</f>
        <v>271.2</v>
      </c>
      <c r="T63" s="17" t="n">
        <f aca="false">T14*Assumptions!$E$87*(1+Assumptions!$E$85)*Assumptions!$E$91</f>
        <v>314.592</v>
      </c>
      <c r="U63" s="17" t="n">
        <f aca="false">U14*Assumptions!$E$87*(1+Assumptions!$E$85)*Assumptions!$E$91</f>
        <v>363.408</v>
      </c>
      <c r="V63" s="17" t="n">
        <f aca="false">V14*Assumptions!$E$87*(1+Assumptions!$E$85)*Assumptions!$E$91</f>
        <v>417.648</v>
      </c>
      <c r="W63" s="17" t="n">
        <f aca="false">W14*Assumptions!$E$87*(1+Assumptions!$E$85)*Assumptions!$E$91</f>
        <v>444.768</v>
      </c>
      <c r="X63" s="17" t="n">
        <f aca="false">X14*Assumptions!$E$87*(1+Assumptions!$E$85)*Assumptions!$E$91</f>
        <v>455.616</v>
      </c>
      <c r="Y63" s="17" t="n">
        <f aca="false">Y14*Assumptions!$E$87*(1+Assumptions!$E$85)*Assumptions!$E$91</f>
        <v>482.736</v>
      </c>
      <c r="Z63" s="17" t="n">
        <f aca="false">Z14*Assumptions!$E$87*(1+Assumptions!$E$85)*Assumptions!$E$91</f>
        <v>488.16</v>
      </c>
      <c r="AA63" s="17" t="n">
        <f aca="false">AA14*Assumptions!$E$87*(1+Assumptions!$E$85)*Assumptions!$E$91</f>
        <v>493.584</v>
      </c>
      <c r="AB63" s="17" t="n">
        <f aca="false">AB14*Assumptions!$E$87*(1+Assumptions!$E$85)*Assumptions!$E$91</f>
        <v>499.008</v>
      </c>
      <c r="AC63" s="17" t="n">
        <f aca="false">AC14*Assumptions!$E$87*(1+Assumptions!$E$85)*Assumptions!$E$91</f>
        <v>504.432</v>
      </c>
      <c r="AD63" s="17" t="n">
        <f aca="false">AD14*Assumptions!$E$87*(1+Assumptions!$E$85)*Assumptions!$E$91</f>
        <v>509.856</v>
      </c>
      <c r="AE63" s="17" t="n">
        <f aca="false">AE14*Assumptions!$E$87*(1+Assumptions!$E$85)*Assumptions!$E$91</f>
        <v>509.856</v>
      </c>
      <c r="AF63" s="17" t="n">
        <f aca="false">AF14*Assumptions!$E$87*(1+Assumptions!$E$85)*Assumptions!$E$91</f>
        <v>650.88</v>
      </c>
      <c r="AG63" s="17" t="n">
        <f aca="false">AG14*Assumptions!$E$87*(1+Assumptions!$E$85)*Assumptions!$E$91</f>
        <v>640.032</v>
      </c>
      <c r="AH63" s="17" t="n">
        <f aca="false">AH14*Assumptions!$E$87*(1+Assumptions!$E$85)*Assumptions!$E$91</f>
        <v>602.064</v>
      </c>
      <c r="AI63" s="17" t="n">
        <f aca="false">AI14*Assumptions!$E$87*(1+Assumptions!$E$85)*Assumptions!$E$91</f>
        <v>715.968</v>
      </c>
      <c r="AJ63" s="17" t="n">
        <f aca="false">AJ14*Assumptions!$E$87*(1+Assumptions!$E$85)*Assumptions!$E$91</f>
        <v>683.424</v>
      </c>
      <c r="AK63" s="17" t="n">
        <f aca="false">AK14*Assumptions!$E$87*(1+Assumptions!$E$85)*Assumptions!$E$91</f>
        <v>640.032</v>
      </c>
      <c r="AL63" s="17" t="n">
        <f aca="false">AL14*Assumptions!$E$87*(1+Assumptions!$E$85)*Assumptions!$E$91</f>
        <v>726.816</v>
      </c>
      <c r="AM63" s="17" t="n">
        <f aca="false">AM14*Assumptions!$E$87*(1+Assumptions!$E$85)*Assumptions!$E$91</f>
        <v>694.272</v>
      </c>
      <c r="AN63" s="44" t="n">
        <f aca="false">AN14*Assumptions!$E$87*(1+Assumptions!$E$85)*Assumptions!$E$91</f>
        <v>650.88</v>
      </c>
      <c r="AO63" s="44" t="n">
        <f aca="false">AO14*Assumptions!$E$87*(1+Assumptions!$E$85)*Assumptions!$E$91</f>
        <v>737.664</v>
      </c>
      <c r="AP63" s="44" t="n">
        <f aca="false">AP14*Assumptions!$E$87*(1+Assumptions!$E$85)*Assumptions!$E$91</f>
        <v>705.12</v>
      </c>
      <c r="AQ63" s="44" t="n">
        <f aca="false">AQ14*Assumptions!$E$87*(1+Assumptions!$E$85)*Assumptions!$E$91</f>
        <v>661.728</v>
      </c>
      <c r="AR63" s="44" t="n">
        <f aca="false">AR14*Assumptions!$E$87*(1+Assumptions!$E$85)*Assumptions!$E$91</f>
        <v>748.512</v>
      </c>
      <c r="AS63" s="44" t="n">
        <f aca="false">AS14*Assumptions!$E$87*(1+Assumptions!$E$85)*Assumptions!$E$91</f>
        <v>710.544</v>
      </c>
      <c r="AT63" s="44" t="n">
        <f aca="false">AT14*Assumptions!$E$87*(1+Assumptions!$E$85)*Assumptions!$E$91</f>
        <v>667.152</v>
      </c>
      <c r="AU63" s="44" t="n">
        <f aca="false">AU14*Assumptions!$E$87*(1+Assumptions!$E$85)*Assumptions!$E$91</f>
        <v>753.936</v>
      </c>
      <c r="AV63" s="44" t="n">
        <f aca="false">AV14*Assumptions!$E$87*(1+Assumptions!$E$85)*Assumptions!$E$91</f>
        <v>715.968</v>
      </c>
      <c r="AW63" s="44" t="n">
        <f aca="false">AW14*Assumptions!$E$87*(1+Assumptions!$E$85)*Assumptions!$E$91</f>
        <v>672.576</v>
      </c>
      <c r="AX63" s="44" t="n">
        <f aca="false">AX14*Assumptions!$E$87*(1+Assumptions!$E$85)*Assumptions!$E$91</f>
        <v>759.36</v>
      </c>
      <c r="AY63" s="44" t="n">
        <f aca="false">AY14*Assumptions!$E$87*(1+Assumptions!$E$85)*Assumptions!$E$91</f>
        <v>721.392</v>
      </c>
      <c r="AZ63" s="44" t="n">
        <f aca="false">AZ14*Assumptions!$E$87*(1+Assumptions!$E$85)*Assumptions!$E$91</f>
        <v>678</v>
      </c>
      <c r="BA63" s="44" t="n">
        <f aca="false">BA14*Assumptions!$E$87*(1+Assumptions!$E$85)*Assumptions!$E$91</f>
        <v>764.784</v>
      </c>
      <c r="BB63" s="44" t="n">
        <f aca="false">BB14*Assumptions!$E$87*(1+Assumptions!$E$85)*Assumptions!$E$91</f>
        <v>726.816</v>
      </c>
      <c r="BC63" s="44" t="n">
        <f aca="false">BC14*Assumptions!$E$87*(1+Assumptions!$E$85)*Assumptions!$E$91</f>
        <v>678</v>
      </c>
      <c r="BD63" s="44" t="n">
        <f aca="false">BD14*Assumptions!$E$87*(1+Assumptions!$E$85)*Assumptions!$E$91</f>
        <v>764.784</v>
      </c>
      <c r="BE63" s="44" t="n">
        <f aca="false">BE14*Assumptions!$E$87*(1+Assumptions!$E$85)*Assumptions!$E$91</f>
        <v>726.816</v>
      </c>
      <c r="BF63" s="44" t="n">
        <f aca="false">BF14*Assumptions!$E$87*(1+Assumptions!$E$85)*Assumptions!$E$91</f>
        <v>678</v>
      </c>
      <c r="BG63" s="44" t="n">
        <f aca="false">BG14*Assumptions!$E$87*(1+Assumptions!$E$85)*Assumptions!$E$91</f>
        <v>764.784</v>
      </c>
      <c r="BH63" s="44" t="n">
        <f aca="false">BH14*Assumptions!$E$87*(1+Assumptions!$E$85)*Assumptions!$E$91</f>
        <v>726.816</v>
      </c>
      <c r="BI63" s="44" t="n">
        <f aca="false">BI14*Assumptions!$E$87*(1+Assumptions!$E$85)*Assumptions!$E$91</f>
        <v>678</v>
      </c>
      <c r="BJ63" s="44" t="n">
        <f aca="false">BJ14*Assumptions!$E$87*(1+Assumptions!$E$85)*Assumptions!$E$91</f>
        <v>764.784</v>
      </c>
      <c r="BK63" s="44" t="n">
        <f aca="false">BK14*Assumptions!$E$87*(1+Assumptions!$E$85)*Assumptions!$E$91</f>
        <v>726.816</v>
      </c>
    </row>
    <row r="64" customFormat="false" ht="15" hidden="false" customHeight="false" outlineLevel="0" collapsed="false">
      <c r="A64" s="28" t="s">
        <v>639</v>
      </c>
      <c r="B64" s="6" t="s">
        <v>640</v>
      </c>
      <c r="C64" s="43"/>
      <c r="D64" s="17" t="n">
        <f aca="false">D11*Assumptions!$E$88*Assumptions!$E$91</f>
        <v>0</v>
      </c>
      <c r="E64" s="17" t="n">
        <f aca="false">E11*Assumptions!$E$88*Assumptions!$E$91</f>
        <v>0</v>
      </c>
      <c r="F64" s="17" t="n">
        <f aca="false">F11*Assumptions!$E$88*Assumptions!$E$91</f>
        <v>0</v>
      </c>
      <c r="G64" s="17" t="n">
        <f aca="false">G11*Assumptions!$E$88*Assumptions!$E$91</f>
        <v>0</v>
      </c>
      <c r="H64" s="17" t="n">
        <f aca="false">H11*Assumptions!$E$88*Assumptions!$E$91</f>
        <v>120</v>
      </c>
      <c r="I64" s="17" t="n">
        <f aca="false">I11*Assumptions!$E$88*Assumptions!$E$91</f>
        <v>105.6</v>
      </c>
      <c r="J64" s="17" t="n">
        <f aca="false">J11*Assumptions!$E$88*Assumptions!$E$91</f>
        <v>72</v>
      </c>
      <c r="K64" s="17" t="n">
        <f aca="false">K11*Assumptions!$E$88*Assumptions!$E$91</f>
        <v>168</v>
      </c>
      <c r="L64" s="17" t="n">
        <f aca="false">L11*Assumptions!$E$88*Assumptions!$E$91</f>
        <v>134.4</v>
      </c>
      <c r="M64" s="17" t="n">
        <f aca="false">M11*Assumptions!$E$88*Assumptions!$E$91</f>
        <v>96</v>
      </c>
      <c r="N64" s="17" t="n">
        <f aca="false">N11*Assumptions!$E$88*Assumptions!$E$91</f>
        <v>172.8</v>
      </c>
      <c r="O64" s="17" t="n">
        <f aca="false">O11*Assumptions!$E$88*Assumptions!$E$91</f>
        <v>259.2</v>
      </c>
      <c r="P64" s="17" t="n">
        <f aca="false">P11*Assumptions!$E$88*Assumptions!$E$91</f>
        <v>206.4</v>
      </c>
      <c r="Q64" s="17" t="n">
        <f aca="false">Q11*Assumptions!$E$88*Assumptions!$E$91</f>
        <v>249.6</v>
      </c>
      <c r="R64" s="17" t="n">
        <f aca="false">R11*Assumptions!$E$88*Assumptions!$E$91</f>
        <v>312</v>
      </c>
      <c r="S64" s="17" t="n">
        <f aca="false">S11*Assumptions!$E$88*Assumptions!$E$91</f>
        <v>240</v>
      </c>
      <c r="T64" s="17" t="n">
        <f aca="false">T11*Assumptions!$E$88*Assumptions!$E$91</f>
        <v>278.4</v>
      </c>
      <c r="U64" s="17" t="n">
        <f aca="false">U11*Assumptions!$E$88*Assumptions!$E$91</f>
        <v>321.6</v>
      </c>
      <c r="V64" s="17" t="n">
        <f aca="false">V11*Assumptions!$E$88*Assumptions!$E$91</f>
        <v>369.6</v>
      </c>
      <c r="W64" s="17" t="n">
        <f aca="false">W11*Assumptions!$E$88*Assumptions!$E$91</f>
        <v>393.6</v>
      </c>
      <c r="X64" s="17" t="n">
        <f aca="false">X11*Assumptions!$E$88*Assumptions!$E$91</f>
        <v>403.2</v>
      </c>
      <c r="Y64" s="17" t="n">
        <f aca="false">Y11*Assumptions!$E$88*Assumptions!$E$91</f>
        <v>427.2</v>
      </c>
      <c r="Z64" s="17" t="n">
        <f aca="false">Z11*Assumptions!$E$88*Assumptions!$E$91</f>
        <v>432</v>
      </c>
      <c r="AA64" s="17" t="n">
        <f aca="false">AA11*Assumptions!$E$88*Assumptions!$E$91</f>
        <v>436.8</v>
      </c>
      <c r="AB64" s="17" t="n">
        <f aca="false">AB11*Assumptions!$E$88*Assumptions!$E$91</f>
        <v>441.6</v>
      </c>
      <c r="AC64" s="17" t="n">
        <f aca="false">AC11*Assumptions!$E$88*Assumptions!$E$91</f>
        <v>446.4</v>
      </c>
      <c r="AD64" s="17" t="n">
        <f aca="false">AD11*Assumptions!$E$88*Assumptions!$E$91</f>
        <v>451.2</v>
      </c>
      <c r="AE64" s="17" t="n">
        <f aca="false">AE11*Assumptions!$E$88*Assumptions!$E$91</f>
        <v>451.2</v>
      </c>
      <c r="AF64" s="17" t="n">
        <f aca="false">AF11*Assumptions!$E$88*Assumptions!$E$91</f>
        <v>576</v>
      </c>
      <c r="AG64" s="17" t="n">
        <f aca="false">AG11*Assumptions!$E$88*Assumptions!$E$91</f>
        <v>566.4</v>
      </c>
      <c r="AH64" s="17" t="n">
        <f aca="false">AH11*Assumptions!$E$88*Assumptions!$E$91</f>
        <v>532.8</v>
      </c>
      <c r="AI64" s="17" t="n">
        <f aca="false">AI11*Assumptions!$E$88*Assumptions!$E$91</f>
        <v>633.6</v>
      </c>
      <c r="AJ64" s="17" t="n">
        <f aca="false">AJ11*Assumptions!$E$88*Assumptions!$E$91</f>
        <v>604.8</v>
      </c>
      <c r="AK64" s="17" t="n">
        <f aca="false">AK11*Assumptions!$E$88*Assumptions!$E$91</f>
        <v>566.4</v>
      </c>
      <c r="AL64" s="17" t="n">
        <f aca="false">AL11*Assumptions!$E$88*Assumptions!$E$91</f>
        <v>643.2</v>
      </c>
      <c r="AM64" s="17" t="n">
        <f aca="false">AM11*Assumptions!$E$88*Assumptions!$E$91</f>
        <v>614.4</v>
      </c>
      <c r="AN64" s="44" t="n">
        <f aca="false">AN11*Assumptions!$E$88*Assumptions!$E$91</f>
        <v>576</v>
      </c>
      <c r="AO64" s="44" t="n">
        <f aca="false">AO11*Assumptions!$E$88*Assumptions!$E$91</f>
        <v>652.8</v>
      </c>
      <c r="AP64" s="44" t="n">
        <f aca="false">AP11*Assumptions!$E$88*Assumptions!$E$91</f>
        <v>624</v>
      </c>
      <c r="AQ64" s="44" t="n">
        <f aca="false">AQ11*Assumptions!$E$88*Assumptions!$E$91</f>
        <v>585.6</v>
      </c>
      <c r="AR64" s="44" t="n">
        <f aca="false">AR11*Assumptions!$E$88*Assumptions!$E$91</f>
        <v>662.4</v>
      </c>
      <c r="AS64" s="44" t="n">
        <f aca="false">AS11*Assumptions!$E$88*Assumptions!$E$91</f>
        <v>628.8</v>
      </c>
      <c r="AT64" s="44" t="n">
        <f aca="false">AT11*Assumptions!$E$88*Assumptions!$E$91</f>
        <v>590.4</v>
      </c>
      <c r="AU64" s="44" t="n">
        <f aca="false">AU11*Assumptions!$E$88*Assumptions!$E$91</f>
        <v>667.2</v>
      </c>
      <c r="AV64" s="44" t="n">
        <f aca="false">AV11*Assumptions!$E$88*Assumptions!$E$91</f>
        <v>633.6</v>
      </c>
      <c r="AW64" s="44" t="n">
        <f aca="false">AW11*Assumptions!$E$88*Assumptions!$E$91</f>
        <v>595.2</v>
      </c>
      <c r="AX64" s="44" t="n">
        <f aca="false">AX11*Assumptions!$E$88*Assumptions!$E$91</f>
        <v>672</v>
      </c>
      <c r="AY64" s="44" t="n">
        <f aca="false">AY11*Assumptions!$E$88*Assumptions!$E$91</f>
        <v>638.4</v>
      </c>
      <c r="AZ64" s="44" t="n">
        <f aca="false">AZ11*Assumptions!$E$88*Assumptions!$E$91</f>
        <v>600</v>
      </c>
      <c r="BA64" s="44" t="n">
        <f aca="false">BA11*Assumptions!$E$88*Assumptions!$E$91</f>
        <v>676.8</v>
      </c>
      <c r="BB64" s="44" t="n">
        <f aca="false">BB11*Assumptions!$E$88*Assumptions!$E$91</f>
        <v>643.2</v>
      </c>
      <c r="BC64" s="44" t="n">
        <f aca="false">BC11*Assumptions!$E$88*Assumptions!$E$91</f>
        <v>600</v>
      </c>
      <c r="BD64" s="44" t="n">
        <f aca="false">BD11*Assumptions!$E$88*Assumptions!$E$91</f>
        <v>676.8</v>
      </c>
      <c r="BE64" s="44" t="n">
        <f aca="false">BE11*Assumptions!$E$88*Assumptions!$E$91</f>
        <v>643.2</v>
      </c>
      <c r="BF64" s="44" t="n">
        <f aca="false">BF11*Assumptions!$E$88*Assumptions!$E$91</f>
        <v>600</v>
      </c>
      <c r="BG64" s="44" t="n">
        <f aca="false">BG11*Assumptions!$E$88*Assumptions!$E$91</f>
        <v>676.8</v>
      </c>
      <c r="BH64" s="44" t="n">
        <f aca="false">BH11*Assumptions!$E$88*Assumptions!$E$91</f>
        <v>643.2</v>
      </c>
      <c r="BI64" s="44" t="n">
        <f aca="false">BI11*Assumptions!$E$88*Assumptions!$E$91</f>
        <v>600</v>
      </c>
      <c r="BJ64" s="44" t="n">
        <f aca="false">BJ11*Assumptions!$E$88*Assumptions!$E$91</f>
        <v>676.8</v>
      </c>
      <c r="BK64" s="44" t="n">
        <f aca="false">BK11*Assumptions!$E$88*Assumptions!$E$91</f>
        <v>643.2</v>
      </c>
    </row>
    <row r="65" customFormat="false" ht="15" hidden="false" customHeight="false" outlineLevel="0" collapsed="false">
      <c r="A65" s="28" t="s">
        <v>641</v>
      </c>
      <c r="B65" s="6" t="s">
        <v>642</v>
      </c>
      <c r="C65" s="43"/>
      <c r="D65" s="17" t="n">
        <f aca="false">D8*Assumptions!$E$89*Assumptions!$E$91</f>
        <v>0</v>
      </c>
      <c r="E65" s="17" t="n">
        <f aca="false">E8*Assumptions!$E$89*Assumptions!$E$91</f>
        <v>0</v>
      </c>
      <c r="F65" s="17" t="n">
        <f aca="false">F8*Assumptions!$E$89*Assumptions!$E$91</f>
        <v>0</v>
      </c>
      <c r="G65" s="17" t="n">
        <f aca="false">G8*Assumptions!$E$89*Assumptions!$E$91</f>
        <v>0</v>
      </c>
      <c r="H65" s="17" t="n">
        <f aca="false">H8*Assumptions!$E$89*Assumptions!$E$91</f>
        <v>750</v>
      </c>
      <c r="I65" s="17" t="n">
        <f aca="false">I8*Assumptions!$E$89*Assumptions!$E$91</f>
        <v>0</v>
      </c>
      <c r="J65" s="17" t="n">
        <f aca="false">J8*Assumptions!$E$89*Assumptions!$E$91</f>
        <v>0</v>
      </c>
      <c r="K65" s="17" t="n">
        <f aca="false">K8*Assumptions!$E$89*Assumptions!$E$91</f>
        <v>750</v>
      </c>
      <c r="L65" s="17" t="n">
        <f aca="false">L8*Assumptions!$E$89*Assumptions!$E$91</f>
        <v>0</v>
      </c>
      <c r="M65" s="17" t="n">
        <f aca="false">M8*Assumptions!$E$89*Assumptions!$E$91</f>
        <v>0</v>
      </c>
      <c r="N65" s="17" t="n">
        <f aca="false">N8*Assumptions!$E$89*Assumptions!$E$91</f>
        <v>750</v>
      </c>
      <c r="O65" s="17" t="n">
        <f aca="false">O8*Assumptions!$E$89*Assumptions!$E$91</f>
        <v>750</v>
      </c>
      <c r="P65" s="17" t="n">
        <f aca="false">P8*Assumptions!$E$89*Assumptions!$E$91</f>
        <v>0</v>
      </c>
      <c r="Q65" s="17" t="n">
        <f aca="false">Q8*Assumptions!$E$89*Assumptions!$E$91</f>
        <v>750</v>
      </c>
      <c r="R65" s="17" t="n">
        <f aca="false">R8*Assumptions!$E$89*Assumptions!$E$91</f>
        <v>750</v>
      </c>
      <c r="S65" s="17" t="n">
        <f aca="false">S8*Assumptions!$E$89*Assumptions!$E$91</f>
        <v>0</v>
      </c>
      <c r="T65" s="17" t="n">
        <f aca="false">T8*Assumptions!$E$89*Assumptions!$E$91</f>
        <v>750</v>
      </c>
      <c r="U65" s="17" t="n">
        <f aca="false">U8*Assumptions!$E$89*Assumptions!$E$91</f>
        <v>750</v>
      </c>
      <c r="V65" s="17" t="n">
        <f aca="false">V8*Assumptions!$E$89*Assumptions!$E$91</f>
        <v>750</v>
      </c>
      <c r="W65" s="17" t="n">
        <f aca="false">W8*Assumptions!$E$89*Assumptions!$E$91</f>
        <v>750</v>
      </c>
      <c r="X65" s="17" t="n">
        <f aca="false">X8*Assumptions!$E$89*Assumptions!$E$91</f>
        <v>750</v>
      </c>
      <c r="Y65" s="17" t="n">
        <f aca="false">Y8*Assumptions!$E$89*Assumptions!$E$91</f>
        <v>750</v>
      </c>
      <c r="Z65" s="17" t="n">
        <f aca="false">Z8*Assumptions!$E$89*Assumptions!$E$91</f>
        <v>750</v>
      </c>
      <c r="AA65" s="17" t="n">
        <f aca="false">AA8*Assumptions!$E$89*Assumptions!$E$91</f>
        <v>750</v>
      </c>
      <c r="AB65" s="17" t="n">
        <f aca="false">AB8*Assumptions!$E$89*Assumptions!$E$91</f>
        <v>750</v>
      </c>
      <c r="AC65" s="17" t="n">
        <f aca="false">AC8*Assumptions!$E$89*Assumptions!$E$91</f>
        <v>750</v>
      </c>
      <c r="AD65" s="17" t="n">
        <f aca="false">AD8*Assumptions!$E$89*Assumptions!$E$91</f>
        <v>750</v>
      </c>
      <c r="AE65" s="17" t="n">
        <f aca="false">AE8*Assumptions!$E$89*Assumptions!$E$91</f>
        <v>750</v>
      </c>
      <c r="AF65" s="17" t="n">
        <f aca="false">AF8*Assumptions!$E$89*Assumptions!$E$91</f>
        <v>1500</v>
      </c>
      <c r="AG65" s="17" t="n">
        <f aca="false">AG8*Assumptions!$E$89*Assumptions!$E$91</f>
        <v>750</v>
      </c>
      <c r="AH65" s="17" t="n">
        <f aca="false">AH8*Assumptions!$E$89*Assumptions!$E$91</f>
        <v>750</v>
      </c>
      <c r="AI65" s="17" t="n">
        <f aca="false">AI8*Assumptions!$E$89*Assumptions!$E$91</f>
        <v>1500</v>
      </c>
      <c r="AJ65" s="17" t="n">
        <f aca="false">AJ8*Assumptions!$E$89*Assumptions!$E$91</f>
        <v>750</v>
      </c>
      <c r="AK65" s="17" t="n">
        <f aca="false">AK8*Assumptions!$E$89*Assumptions!$E$91</f>
        <v>750</v>
      </c>
      <c r="AL65" s="17" t="n">
        <f aca="false">AL8*Assumptions!$E$89*Assumptions!$E$91</f>
        <v>1500</v>
      </c>
      <c r="AM65" s="17" t="n">
        <f aca="false">AM8*Assumptions!$E$89*Assumptions!$E$91</f>
        <v>750</v>
      </c>
      <c r="AN65" s="44" t="n">
        <f aca="false">AN8*Assumptions!$E$89*Assumptions!$E$91</f>
        <v>750</v>
      </c>
      <c r="AO65" s="44" t="n">
        <f aca="false">AO8*Assumptions!$E$89*Assumptions!$E$91</f>
        <v>1500</v>
      </c>
      <c r="AP65" s="44" t="n">
        <f aca="false">AP8*Assumptions!$E$89*Assumptions!$E$91</f>
        <v>750</v>
      </c>
      <c r="AQ65" s="44" t="n">
        <f aca="false">AQ8*Assumptions!$E$89*Assumptions!$E$91</f>
        <v>750</v>
      </c>
      <c r="AR65" s="44" t="n">
        <f aca="false">AR8*Assumptions!$E$89*Assumptions!$E$91</f>
        <v>1500</v>
      </c>
      <c r="AS65" s="44" t="n">
        <f aca="false">AS8*Assumptions!$E$89*Assumptions!$E$91</f>
        <v>750</v>
      </c>
      <c r="AT65" s="44" t="n">
        <f aca="false">AT8*Assumptions!$E$89*Assumptions!$E$91</f>
        <v>750</v>
      </c>
      <c r="AU65" s="44" t="n">
        <f aca="false">AU8*Assumptions!$E$89*Assumptions!$E$91</f>
        <v>1500</v>
      </c>
      <c r="AV65" s="44" t="n">
        <f aca="false">AV8*Assumptions!$E$89*Assumptions!$E$91</f>
        <v>750</v>
      </c>
      <c r="AW65" s="44" t="n">
        <f aca="false">AW8*Assumptions!$E$89*Assumptions!$E$91</f>
        <v>750</v>
      </c>
      <c r="AX65" s="44" t="n">
        <f aca="false">AX8*Assumptions!$E$89*Assumptions!$E$91</f>
        <v>1500</v>
      </c>
      <c r="AY65" s="44" t="n">
        <f aca="false">AY8*Assumptions!$E$89*Assumptions!$E$91</f>
        <v>750</v>
      </c>
      <c r="AZ65" s="44" t="n">
        <f aca="false">AZ8*Assumptions!$E$89*Assumptions!$E$91</f>
        <v>750</v>
      </c>
      <c r="BA65" s="44" t="n">
        <f aca="false">BA8*Assumptions!$E$89*Assumptions!$E$91</f>
        <v>1500</v>
      </c>
      <c r="BB65" s="44" t="n">
        <f aca="false">BB8*Assumptions!$E$89*Assumptions!$E$91</f>
        <v>750</v>
      </c>
      <c r="BC65" s="44" t="n">
        <f aca="false">BC8*Assumptions!$E$89*Assumptions!$E$91</f>
        <v>750</v>
      </c>
      <c r="BD65" s="44" t="n">
        <f aca="false">BD8*Assumptions!$E$89*Assumptions!$E$91</f>
        <v>1500</v>
      </c>
      <c r="BE65" s="44" t="n">
        <f aca="false">BE8*Assumptions!$E$89*Assumptions!$E$91</f>
        <v>750</v>
      </c>
      <c r="BF65" s="44" t="n">
        <f aca="false">BF8*Assumptions!$E$89*Assumptions!$E$91</f>
        <v>750</v>
      </c>
      <c r="BG65" s="44" t="n">
        <f aca="false">BG8*Assumptions!$E$89*Assumptions!$E$91</f>
        <v>1500</v>
      </c>
      <c r="BH65" s="44" t="n">
        <f aca="false">BH8*Assumptions!$E$89*Assumptions!$E$91</f>
        <v>750</v>
      </c>
      <c r="BI65" s="44" t="n">
        <f aca="false">BI8*Assumptions!$E$89*Assumptions!$E$91</f>
        <v>750</v>
      </c>
      <c r="BJ65" s="44" t="n">
        <f aca="false">BJ8*Assumptions!$E$89*Assumptions!$E$91</f>
        <v>1500</v>
      </c>
      <c r="BK65" s="44" t="n">
        <f aca="false">BK8*Assumptions!$E$89*Assumptions!$E$91</f>
        <v>750</v>
      </c>
    </row>
    <row r="66" customFormat="false" ht="15" hidden="false" customHeight="false" outlineLevel="0" collapsed="false">
      <c r="A66" s="28" t="s">
        <v>643</v>
      </c>
      <c r="B66" s="6" t="s">
        <v>644</v>
      </c>
      <c r="C66" s="43"/>
      <c r="D66" s="17" t="n">
        <f aca="false">D35*Assumptions!$E$90*Assumptions!$E$91</f>
        <v>0</v>
      </c>
      <c r="E66" s="17" t="n">
        <f aca="false">E35*Assumptions!$E$90*Assumptions!$E$91</f>
        <v>0</v>
      </c>
      <c r="F66" s="17" t="n">
        <f aca="false">F35*Assumptions!$E$90*Assumptions!$E$91</f>
        <v>0</v>
      </c>
      <c r="G66" s="17" t="n">
        <f aca="false">G35*Assumptions!$E$90*Assumptions!$E$91</f>
        <v>0</v>
      </c>
      <c r="H66" s="17" t="n">
        <f aca="false">H35*Assumptions!$E$90*Assumptions!$E$91</f>
        <v>0</v>
      </c>
      <c r="I66" s="17" t="n">
        <f aca="false">I35*Assumptions!$E$90*Assumptions!$E$91</f>
        <v>0</v>
      </c>
      <c r="J66" s="17" t="n">
        <f aca="false">J35*Assumptions!$E$90*Assumptions!$E$91</f>
        <v>0</v>
      </c>
      <c r="K66" s="17" t="n">
        <f aca="false">K35*Assumptions!$E$90*Assumptions!$E$91</f>
        <v>0</v>
      </c>
      <c r="L66" s="17" t="n">
        <f aca="false">L35*Assumptions!$E$90*Assumptions!$E$91</f>
        <v>0</v>
      </c>
      <c r="M66" s="17" t="n">
        <f aca="false">M35*Assumptions!$E$90*Assumptions!$E$91</f>
        <v>0</v>
      </c>
      <c r="N66" s="17" t="n">
        <f aca="false">N35*Assumptions!$E$90*Assumptions!$E$91</f>
        <v>0</v>
      </c>
      <c r="O66" s="17" t="n">
        <f aca="false">O35*Assumptions!$E$90*Assumptions!$E$91</f>
        <v>18.0087110449578</v>
      </c>
      <c r="P66" s="17" t="n">
        <f aca="false">P35*Assumptions!$E$90*Assumptions!$E$91</f>
        <v>20.42878577421</v>
      </c>
      <c r="Q66" s="17" t="n">
        <f aca="false">Q35*Assumptions!$E$90*Assumptions!$E$91</f>
        <v>23.4431115955714</v>
      </c>
      <c r="R66" s="17" t="n">
        <f aca="false">R35*Assumptions!$E$90*Assumptions!$E$91</f>
        <v>27.3392518000682</v>
      </c>
      <c r="S66" s="17" t="n">
        <f aca="false">S35*Assumptions!$E$90*Assumptions!$E$91</f>
        <v>29.8282671639765</v>
      </c>
      <c r="T66" s="17" t="n">
        <f aca="false">T35*Assumptions!$E$90*Assumptions!$E$91</f>
        <v>32.8323132394083</v>
      </c>
      <c r="U66" s="17" t="n">
        <f aca="false">U35*Assumptions!$E$90*Assumptions!$E$91</f>
        <v>92.547301461782</v>
      </c>
      <c r="V66" s="17" t="n">
        <f aca="false">V35*Assumptions!$E$90*Assumptions!$E$91</f>
        <v>103.198754642776</v>
      </c>
      <c r="W66" s="17" t="n">
        <f aca="false">W35*Assumptions!$E$90*Assumptions!$E$91</f>
        <v>114.380998679282</v>
      </c>
      <c r="X66" s="17" t="n">
        <f aca="false">X35*Assumptions!$E$90*Assumptions!$E$91</f>
        <v>125.517896670615</v>
      </c>
      <c r="Y66" s="17" t="n">
        <f aca="false">Y35*Assumptions!$E$90*Assumptions!$E$91</f>
        <v>137.174190048471</v>
      </c>
      <c r="Z66" s="17" t="n">
        <f aca="false">Z35*Assumptions!$E$90*Assumptions!$E$91</f>
        <v>148.58799977126</v>
      </c>
      <c r="AA66" s="17" t="n">
        <f aca="false">AA35*Assumptions!$E$90*Assumptions!$E$91</f>
        <v>159.77382087931</v>
      </c>
      <c r="AB66" s="17" t="n">
        <f aca="false">AB35*Assumptions!$E$90*Assumptions!$E$91</f>
        <v>170.745219740845</v>
      </c>
      <c r="AC66" s="17" t="n">
        <f aca="false">AC35*Assumptions!$E$90*Assumptions!$E$91</f>
        <v>181.514895867078</v>
      </c>
      <c r="AD66" s="17" t="n">
        <f aca="false">AD35*Assumptions!$E$90*Assumptions!$E$91</f>
        <v>192.094739511565</v>
      </c>
      <c r="AE66" s="17" t="n">
        <f aca="false">AE35*Assumptions!$E$90*Assumptions!$E$91</f>
        <v>202.309762195107</v>
      </c>
      <c r="AF66" s="17" t="n">
        <f aca="false">AF35*Assumptions!$E$90*Assumptions!$E$91</f>
        <v>217.017353915666</v>
      </c>
      <c r="AG66" s="17" t="n">
        <f aca="false">AG35*Assumptions!$E$90*Assumptions!$E$91</f>
        <v>230.821431524334</v>
      </c>
      <c r="AH66" s="17" t="n">
        <f aca="false">AH35*Assumptions!$E$90*Assumptions!$E$91</f>
        <v>242.834184508797</v>
      </c>
      <c r="AI66" s="17" t="n">
        <f aca="false">AI35*Assumptions!$E$90*Assumptions!$E$91</f>
        <v>258.346140024574</v>
      </c>
      <c r="AJ66" s="17" t="n">
        <f aca="false">AJ35*Assumptions!$E$90*Assumptions!$E$91</f>
        <v>272.189286885475</v>
      </c>
      <c r="AK66" s="17" t="n">
        <f aca="false">AK35*Assumptions!$E$90*Assumptions!$E$91</f>
        <v>284.066028584549</v>
      </c>
      <c r="AL66" s="17" t="n">
        <f aca="false">AL35*Assumptions!$E$90*Assumptions!$E$91</f>
        <v>298.52920109948</v>
      </c>
      <c r="AM66" s="17" t="n">
        <f aca="false">AM35*Assumptions!$E$90*Assumptions!$E$91</f>
        <v>311.378884324906</v>
      </c>
      <c r="AN66" s="44" t="n">
        <f aca="false">AN35*Assumptions!$E$90*Assumptions!$E$91</f>
        <v>322.314098173295</v>
      </c>
      <c r="AO66" s="44" t="n">
        <f aca="false">AO35*Assumptions!$E$90*Assumptions!$E$91</f>
        <v>335.884515764977</v>
      </c>
      <c r="AP66" s="44" t="n">
        <f aca="false">AP35*Assumptions!$E$90*Assumptions!$E$91</f>
        <v>347.887259972941</v>
      </c>
      <c r="AQ66" s="44" t="n">
        <f aca="false">AQ35*Assumptions!$E$90*Assumptions!$E$91</f>
        <v>358.018585661026</v>
      </c>
      <c r="AR66" s="44" t="n">
        <f aca="false">AR35*Assumptions!$E$90*Assumptions!$E$91</f>
        <v>370.82557996462</v>
      </c>
      <c r="AS66" s="44" t="n">
        <f aca="false">AS35*Assumptions!$E$90*Assumptions!$E$91</f>
        <v>381.916823662102</v>
      </c>
      <c r="AT66" s="44" t="n">
        <f aca="false">AT35*Assumptions!$E$90*Assumptions!$E$91</f>
        <v>391.180190628375</v>
      </c>
      <c r="AU66" s="44" t="n">
        <f aca="false">AU35*Assumptions!$E$90*Assumptions!$E$91</f>
        <v>403.160219207923</v>
      </c>
      <c r="AV66" s="44" t="n">
        <f aca="false">AV35*Assumptions!$E$90*Assumptions!$E$91</f>
        <v>413.463104213575</v>
      </c>
      <c r="AW66" s="44" t="n">
        <f aca="false">AW35*Assumptions!$E$90*Assumptions!$E$91</f>
        <v>421.974485529131</v>
      </c>
      <c r="AX66" s="44" t="n">
        <f aca="false">AX35*Assumptions!$E$90*Assumptions!$E$91</f>
        <v>433.236809372673</v>
      </c>
      <c r="AY66" s="44" t="n">
        <f aca="false">AY35*Assumptions!$E$90*Assumptions!$E$91</f>
        <v>442.854310875332</v>
      </c>
      <c r="AZ66" s="44" t="n">
        <f aca="false">AZ35*Assumptions!$E$90*Assumptions!$E$91</f>
        <v>450.710793905857</v>
      </c>
      <c r="BA66" s="44" t="n">
        <f aca="false">BA35*Assumptions!$E$90*Assumptions!$E$91</f>
        <v>461.346984153248</v>
      </c>
      <c r="BB66" s="44" t="n">
        <f aca="false">BB35*Assumptions!$E$90*Assumptions!$E$91</f>
        <v>470.365504080964</v>
      </c>
      <c r="BC66" s="44" t="n">
        <f aca="false">BC35*Assumptions!$E$90*Assumptions!$E$91</f>
        <v>477.462522493575</v>
      </c>
      <c r="BD66" s="44" t="n">
        <f aca="false">BD35*Assumptions!$E$90*Assumptions!$E$91</f>
        <v>487.371229406982</v>
      </c>
      <c r="BE66" s="44" t="n">
        <f aca="false">BE35*Assumptions!$E$90*Assumptions!$E$91</f>
        <v>495.692486348068</v>
      </c>
      <c r="BF66" s="44" t="n">
        <f aca="false">BF35*Assumptions!$E$90*Assumptions!$E$91</f>
        <v>502.12081050518</v>
      </c>
      <c r="BG66" s="44" t="n">
        <f aca="false">BG35*Assumptions!$E$90*Assumptions!$E$91</f>
        <v>511.387842428188</v>
      </c>
      <c r="BH66" s="44" t="n">
        <f aca="false">BH35*Assumptions!$E$90*Assumptions!$E$91</f>
        <v>519.092989642746</v>
      </c>
      <c r="BI66" s="44" t="n">
        <f aca="false">BI35*Assumptions!$E$90*Assumptions!$E$91</f>
        <v>524.929404566844</v>
      </c>
      <c r="BJ66" s="44" t="n">
        <f aca="false">BJ35*Assumptions!$E$90*Assumptions!$E$91</f>
        <v>533.627446397209</v>
      </c>
      <c r="BK66" s="44" t="n">
        <f aca="false">BK35*Assumptions!$E$90*Assumptions!$E$91</f>
        <v>540.785319301345</v>
      </c>
    </row>
    <row r="67" customFormat="false" ht="15" hidden="false" customHeight="false" outlineLevel="0" collapsed="false">
      <c r="A67" s="28" t="s">
        <v>645</v>
      </c>
      <c r="B67" s="5" t="s">
        <v>646</v>
      </c>
      <c r="C67" s="43"/>
      <c r="D67" s="45" t="n">
        <f aca="false">D62+D63+D64+D65+D66</f>
        <v>0</v>
      </c>
      <c r="E67" s="45" t="n">
        <f aca="false">E62+E63+E64+E65+E66</f>
        <v>0</v>
      </c>
      <c r="F67" s="45" t="n">
        <f aca="false">F62+F63+F64+F65+F66</f>
        <v>0</v>
      </c>
      <c r="G67" s="45" t="n">
        <f aca="false">G62+G63+G64+G65+G66</f>
        <v>0</v>
      </c>
      <c r="H67" s="45" t="n">
        <f aca="false">H62+H63+H64+H65+H66</f>
        <v>1411.27</v>
      </c>
      <c r="I67" s="45" t="n">
        <f aca="false">I62+I63+I64+I65+I66</f>
        <v>581.9176</v>
      </c>
      <c r="J67" s="45" t="n">
        <f aca="false">J62+J63+J64+J65+J66</f>
        <v>396.762</v>
      </c>
      <c r="K67" s="45" t="n">
        <f aca="false">K62+K63+K64+K65+K66</f>
        <v>1675.778</v>
      </c>
      <c r="L67" s="45" t="n">
        <f aca="false">L62+L63+L64+L65+L66</f>
        <v>740.6224</v>
      </c>
      <c r="M67" s="45" t="n">
        <f aca="false">M62+M63+M64+M65+M66</f>
        <v>529.016</v>
      </c>
      <c r="N67" s="45" t="n">
        <f aca="false">N62+N63+N64+N65+N66</f>
        <v>1702.2288</v>
      </c>
      <c r="O67" s="45" t="n">
        <f aca="false">O62+O63+O64+O65+O66</f>
        <v>2218.25809104496</v>
      </c>
      <c r="P67" s="45" t="n">
        <f aca="false">P62+P63+P64+P65+P66</f>
        <v>1175.25699577421</v>
      </c>
      <c r="Q67" s="45" t="n">
        <f aca="false">Q62+Q63+Q64+Q65+Q66</f>
        <v>2169.97955159557</v>
      </c>
      <c r="R67" s="45" t="n">
        <f aca="false">R62+R63+R64+R65+R66</f>
        <v>2523.00980180007</v>
      </c>
      <c r="S67" s="45" t="n">
        <f aca="false">S62+S63+S64+S65+S66</f>
        <v>1372.65176716398</v>
      </c>
      <c r="T67" s="45" t="n">
        <f aca="false">T62+T63+T64+T65+T66</f>
        <v>2340.50757323941</v>
      </c>
      <c r="U67" s="45" t="n">
        <f aca="false">U62+U63+U64+U65+U66</f>
        <v>2641.93079146178</v>
      </c>
      <c r="V67" s="45" t="n">
        <f aca="false">V62+V63+V64+V65+V66</f>
        <v>2921.14694464278</v>
      </c>
      <c r="W67" s="45" t="n">
        <f aca="false">W62+W63+W64+W65+W66</f>
        <v>3066.61153867928</v>
      </c>
      <c r="X67" s="45" t="n">
        <f aca="false">X62+X63+X64+X65+X66</f>
        <v>3131.46137667061</v>
      </c>
      <c r="Y67" s="45" t="n">
        <f aca="false">Y62+Y63+Y64+Y65+Y66</f>
        <v>3277.40002004847</v>
      </c>
      <c r="Z67" s="45" t="n">
        <f aca="false">Z62+Z63+Z64+Z65+Z66</f>
        <v>3315.67029977126</v>
      </c>
      <c r="AA67" s="45" t="n">
        <f aca="false">AA62+AA63+AA64+AA65+AA66</f>
        <v>3391.55146012931</v>
      </c>
      <c r="AB67" s="45" t="n">
        <f aca="false">AB62+AB63+AB64+AB65+AB66</f>
        <v>3429.79514074085</v>
      </c>
      <c r="AC67" s="45" t="n">
        <f aca="false">AC62+AC63+AC64+AC65+AC66</f>
        <v>3467.83709861708</v>
      </c>
      <c r="AD67" s="45" t="n">
        <f aca="false">AD62+AD63+AD64+AD65+AD66</f>
        <v>3505.68922401157</v>
      </c>
      <c r="AE67" s="45" t="n">
        <f aca="false">AE62+AE63+AE64+AE65+AE66</f>
        <v>3515.90424669511</v>
      </c>
      <c r="AF67" s="45" t="n">
        <f aca="false">AF62+AF63+AF64+AF65+AF66</f>
        <v>4989.69116391567</v>
      </c>
      <c r="AG67" s="45" t="n">
        <f aca="false">AG62+AG63+AG64+AG65+AG66</f>
        <v>4198.95067802433</v>
      </c>
      <c r="AH67" s="45" t="n">
        <f aca="false">AH62+AH63+AH64+AH65+AH66</f>
        <v>4020.0574587588</v>
      </c>
      <c r="AI67" s="45" t="n">
        <f aca="false">AI62+AI63+AI64+AI65+AI66</f>
        <v>5358.28733102457</v>
      </c>
      <c r="AJ67" s="45" t="n">
        <f aca="false">AJ62+AJ63+AJ64+AJ65+AJ66</f>
        <v>4458.49678738548</v>
      </c>
      <c r="AK67" s="45" t="n">
        <f aca="false">AK62+AK63+AK64+AK65+AK66</f>
        <v>4252.19527508455</v>
      </c>
      <c r="AL67" s="45" t="n">
        <f aca="false">AL62+AL63+AL64+AL65+AL66</f>
        <v>5453.01495559948</v>
      </c>
      <c r="AM67" s="45" t="n">
        <f aca="false">AM62+AM63+AM64+AM65+AM66</f>
        <v>4606.78544992491</v>
      </c>
      <c r="AN67" s="46" t="n">
        <f aca="false">AN62+AN63+AN64+AN65+AN66</f>
        <v>4396.13275342329</v>
      </c>
      <c r="AO67" s="46" t="n">
        <f aca="false">AO62+AO63+AO64+AO65+AO66</f>
        <v>5602.87899171498</v>
      </c>
      <c r="AP67" s="46" t="n">
        <f aca="false">AP62+AP63+AP64+AP65+AP66</f>
        <v>4698.69080316044</v>
      </c>
      <c r="AQ67" s="46" t="n">
        <f aca="false">AQ62+AQ63+AQ64+AQ65+AQ66</f>
        <v>4487.23421849853</v>
      </c>
      <c r="AR67" s="46" t="n">
        <f aca="false">AR62+AR63+AR64+AR65+AR66</f>
        <v>5693.21703350212</v>
      </c>
      <c r="AS67" s="46" t="n">
        <f aca="false">AS62+AS63+AS64+AS65+AS66</f>
        <v>4760.41885564335</v>
      </c>
      <c r="AT67" s="46" t="n">
        <f aca="false">AT62+AT63+AT64+AT65+AT66</f>
        <v>4548.09431225962</v>
      </c>
      <c r="AU67" s="46" t="n">
        <f aca="false">AU62+AU63+AU64+AU65+AU66</f>
        <v>5753.25016153917</v>
      </c>
      <c r="AV67" s="46" t="n">
        <f aca="false">AV62+AV63+AV64+AV65+AV66</f>
        <v>4819.66362498858</v>
      </c>
      <c r="AW67" s="46" t="n">
        <f aca="false">AW62+AW63+AW64+AW65+AW66</f>
        <v>4606.58709595413</v>
      </c>
      <c r="AX67" s="46" t="n">
        <f aca="false">AX62+AX63+AX64+AX65+AX66</f>
        <v>5811.02524049767</v>
      </c>
      <c r="AY67" s="46" t="n">
        <f aca="false">AY62+AY63+AY64+AY65+AY66</f>
        <v>4934.8559956833</v>
      </c>
      <c r="AZ67" s="46" t="n">
        <f aca="false">AZ62+AZ63+AZ64+AZ65+AZ66</f>
        <v>4717.62967060507</v>
      </c>
      <c r="BA67" s="46" t="n">
        <f aca="false">BA62+BA63+BA64+BA65+BA66</f>
        <v>5928.43147706997</v>
      </c>
      <c r="BB67" s="46" t="n">
        <f aca="false">BB62+BB63+BB64+BB65+BB66</f>
        <v>4990.50253990253</v>
      </c>
      <c r="BC67" s="46" t="n">
        <f aca="false">BC62+BC63+BC64+BC65+BC66</f>
        <v>4744.38139919279</v>
      </c>
      <c r="BD67" s="46" t="n">
        <f aca="false">BD62+BD63+BD64+BD65+BD66</f>
        <v>5954.4557223237</v>
      </c>
      <c r="BE67" s="46" t="n">
        <f aca="false">BE62+BE63+BE64+BE65+BE66</f>
        <v>5015.82952216963</v>
      </c>
      <c r="BF67" s="46" t="n">
        <f aca="false">BF62+BF63+BF64+BF65+BF66</f>
        <v>4769.0396872044</v>
      </c>
      <c r="BG67" s="46" t="n">
        <f aca="false">BG62+BG63+BG64+BG65+BG66</f>
        <v>5978.47233534491</v>
      </c>
      <c r="BH67" s="46" t="n">
        <f aca="false">BH62+BH63+BH64+BH65+BH66</f>
        <v>5039.23002546431</v>
      </c>
      <c r="BI67" s="46" t="n">
        <f aca="false">BI62+BI63+BI64+BI65+BI66</f>
        <v>4791.84828126606</v>
      </c>
      <c r="BJ67" s="46" t="n">
        <f aca="false">BJ62+BJ63+BJ64+BJ65+BJ66</f>
        <v>6000.71193931393</v>
      </c>
      <c r="BK67" s="46" t="n">
        <f aca="false">BK62+BK63+BK64+BK65+BK66</f>
        <v>5120.92538101845</v>
      </c>
    </row>
    <row r="68" customFormat="false" ht="15" hidden="false" customHeight="false" outlineLevel="0" collapsed="false">
      <c r="B68" s="5" t="s">
        <v>647</v>
      </c>
    </row>
    <row r="69" customFormat="false" ht="15" hidden="false" customHeight="false" outlineLevel="0" collapsed="false">
      <c r="A69" s="28" t="s">
        <v>648</v>
      </c>
      <c r="B69" s="6" t="s">
        <v>649</v>
      </c>
      <c r="C69" s="43"/>
      <c r="D69" s="17" t="n">
        <f aca="false">Assumptions!$E$108</f>
        <v>1465</v>
      </c>
      <c r="E69" s="17" t="n">
        <f aca="false">Assumptions!$E$108</f>
        <v>1465</v>
      </c>
      <c r="F69" s="17" t="n">
        <f aca="false">Assumptions!$E$108</f>
        <v>1465</v>
      </c>
      <c r="G69" s="17" t="n">
        <f aca="false">Assumptions!$E$108</f>
        <v>1465</v>
      </c>
      <c r="H69" s="17" t="n">
        <f aca="false">Assumptions!$E$108</f>
        <v>1465</v>
      </c>
      <c r="I69" s="17" t="n">
        <f aca="false">Assumptions!$E$108</f>
        <v>1465</v>
      </c>
      <c r="J69" s="17" t="n">
        <f aca="false">Assumptions!$E$108</f>
        <v>1465</v>
      </c>
      <c r="K69" s="17" t="n">
        <f aca="false">Assumptions!$E$108</f>
        <v>1465</v>
      </c>
      <c r="L69" s="17" t="n">
        <f aca="false">Assumptions!$E$108</f>
        <v>1465</v>
      </c>
      <c r="M69" s="17" t="n">
        <f aca="false">Assumptions!$E$108</f>
        <v>1465</v>
      </c>
      <c r="N69" s="17" t="n">
        <f aca="false">Assumptions!$E$108</f>
        <v>1465</v>
      </c>
      <c r="O69" s="17" t="n">
        <f aca="false">Assumptions!$E$108</f>
        <v>1465</v>
      </c>
      <c r="P69" s="17" t="n">
        <f aca="false">Assumptions!$E$108</f>
        <v>1465</v>
      </c>
      <c r="Q69" s="17" t="n">
        <f aca="false">Assumptions!$E$108</f>
        <v>1465</v>
      </c>
      <c r="R69" s="17" t="n">
        <f aca="false">Assumptions!$E$108</f>
        <v>1465</v>
      </c>
      <c r="S69" s="17" t="n">
        <f aca="false">Assumptions!$E$108</f>
        <v>1465</v>
      </c>
      <c r="T69" s="17" t="n">
        <f aca="false">Assumptions!$E$108</f>
        <v>1465</v>
      </c>
      <c r="U69" s="17" t="n">
        <f aca="false">Assumptions!$E$108</f>
        <v>1465</v>
      </c>
      <c r="V69" s="17" t="n">
        <f aca="false">Assumptions!$E$108</f>
        <v>1465</v>
      </c>
      <c r="W69" s="17" t="n">
        <f aca="false">Assumptions!$E$108</f>
        <v>1465</v>
      </c>
      <c r="X69" s="17" t="n">
        <f aca="false">Assumptions!$E$108</f>
        <v>1465</v>
      </c>
      <c r="Y69" s="17" t="n">
        <f aca="false">Assumptions!$E$108</f>
        <v>1465</v>
      </c>
      <c r="Z69" s="17" t="n">
        <f aca="false">Assumptions!$E$108</f>
        <v>1465</v>
      </c>
      <c r="AA69" s="17" t="n">
        <f aca="false">Assumptions!$E$108</f>
        <v>1465</v>
      </c>
      <c r="AB69" s="17" t="n">
        <f aca="false">Assumptions!$E$108</f>
        <v>1465</v>
      </c>
      <c r="AC69" s="17" t="n">
        <f aca="false">Assumptions!$E$108</f>
        <v>1465</v>
      </c>
      <c r="AD69" s="17" t="n">
        <f aca="false">Assumptions!$E$108</f>
        <v>1465</v>
      </c>
      <c r="AE69" s="17" t="n">
        <f aca="false">Assumptions!$E$108</f>
        <v>1465</v>
      </c>
      <c r="AF69" s="17" t="n">
        <f aca="false">Assumptions!$E$108</f>
        <v>1465</v>
      </c>
      <c r="AG69" s="17" t="n">
        <f aca="false">Assumptions!$E$108</f>
        <v>1465</v>
      </c>
      <c r="AH69" s="17" t="n">
        <f aca="false">Assumptions!$E$108</f>
        <v>1465</v>
      </c>
      <c r="AI69" s="17" t="n">
        <f aca="false">Assumptions!$E$108</f>
        <v>1465</v>
      </c>
      <c r="AJ69" s="17" t="n">
        <f aca="false">Assumptions!$E$108</f>
        <v>1465</v>
      </c>
      <c r="AK69" s="17" t="n">
        <f aca="false">Assumptions!$E$108</f>
        <v>1465</v>
      </c>
      <c r="AL69" s="17" t="n">
        <f aca="false">Assumptions!$E$108</f>
        <v>1465</v>
      </c>
      <c r="AM69" s="17" t="n">
        <f aca="false">Assumptions!$E$108</f>
        <v>1465</v>
      </c>
      <c r="AN69" s="44" t="n">
        <f aca="false">Assumptions!$E$108</f>
        <v>1465</v>
      </c>
      <c r="AO69" s="44" t="n">
        <f aca="false">Assumptions!$E$108</f>
        <v>1465</v>
      </c>
      <c r="AP69" s="44" t="n">
        <f aca="false">Assumptions!$E$108</f>
        <v>1465</v>
      </c>
      <c r="AQ69" s="44" t="n">
        <f aca="false">Assumptions!$E$108</f>
        <v>1465</v>
      </c>
      <c r="AR69" s="44" t="n">
        <f aca="false">Assumptions!$E$108</f>
        <v>1465</v>
      </c>
      <c r="AS69" s="44" t="n">
        <f aca="false">Assumptions!$E$108</f>
        <v>1465</v>
      </c>
      <c r="AT69" s="44" t="n">
        <f aca="false">Assumptions!$E$108</f>
        <v>1465</v>
      </c>
      <c r="AU69" s="44" t="n">
        <f aca="false">Assumptions!$E$108</f>
        <v>1465</v>
      </c>
      <c r="AV69" s="44" t="n">
        <f aca="false">Assumptions!$E$108</f>
        <v>1465</v>
      </c>
      <c r="AW69" s="44" t="n">
        <f aca="false">Assumptions!$E$108</f>
        <v>1465</v>
      </c>
      <c r="AX69" s="44" t="n">
        <f aca="false">Assumptions!$E$108</f>
        <v>1465</v>
      </c>
      <c r="AY69" s="44" t="n">
        <f aca="false">Assumptions!$E$108</f>
        <v>1465</v>
      </c>
      <c r="AZ69" s="44" t="n">
        <f aca="false">Assumptions!$E$108</f>
        <v>1465</v>
      </c>
      <c r="BA69" s="44" t="n">
        <f aca="false">Assumptions!$E$108</f>
        <v>1465</v>
      </c>
      <c r="BB69" s="44" t="n">
        <f aca="false">Assumptions!$E$108</f>
        <v>1465</v>
      </c>
      <c r="BC69" s="44" t="n">
        <f aca="false">Assumptions!$E$108</f>
        <v>1465</v>
      </c>
      <c r="BD69" s="44" t="n">
        <f aca="false">Assumptions!$E$108</f>
        <v>1465</v>
      </c>
      <c r="BE69" s="44" t="n">
        <f aca="false">Assumptions!$E$108</f>
        <v>1465</v>
      </c>
      <c r="BF69" s="44" t="n">
        <f aca="false">Assumptions!$E$108</f>
        <v>1465</v>
      </c>
      <c r="BG69" s="44" t="n">
        <f aca="false">Assumptions!$E$108</f>
        <v>1465</v>
      </c>
      <c r="BH69" s="44" t="n">
        <f aca="false">Assumptions!$E$108</f>
        <v>1465</v>
      </c>
      <c r="BI69" s="44" t="n">
        <f aca="false">Assumptions!$E$108</f>
        <v>1465</v>
      </c>
      <c r="BJ69" s="44" t="n">
        <f aca="false">Assumptions!$E$108</f>
        <v>1465</v>
      </c>
      <c r="BK69" s="44" t="n">
        <f aca="false">Assumptions!$E$108</f>
        <v>1465</v>
      </c>
    </row>
    <row r="70" customFormat="false" ht="15" hidden="false" customHeight="false" outlineLevel="0" collapsed="false">
      <c r="A70" s="28" t="s">
        <v>650</v>
      </c>
      <c r="B70" s="6" t="s">
        <v>651</v>
      </c>
      <c r="C70" s="43"/>
      <c r="D70" s="17" t="n">
        <f aca="false">IF(D7&lt;=12,Assumptions!$E$100,IF(D7&lt;=24,Assumptions!$E$101,Assumptions!$E$102))</f>
        <v>4000</v>
      </c>
      <c r="E70" s="17" t="n">
        <f aca="false">IF(E7&lt;=12,Assumptions!$E$100,IF(E7&lt;=24,Assumptions!$E$101,Assumptions!$E$102))</f>
        <v>4000</v>
      </c>
      <c r="F70" s="17" t="n">
        <f aca="false">IF(F7&lt;=12,Assumptions!$E$100,IF(F7&lt;=24,Assumptions!$E$101,Assumptions!$E$102))</f>
        <v>4000</v>
      </c>
      <c r="G70" s="17" t="n">
        <f aca="false">IF(G7&lt;=12,Assumptions!$E$100,IF(G7&lt;=24,Assumptions!$E$101,Assumptions!$E$102))</f>
        <v>4000</v>
      </c>
      <c r="H70" s="17" t="n">
        <f aca="false">IF(H7&lt;=12,Assumptions!$E$100,IF(H7&lt;=24,Assumptions!$E$101,Assumptions!$E$102))</f>
        <v>4000</v>
      </c>
      <c r="I70" s="17" t="n">
        <f aca="false">IF(I7&lt;=12,Assumptions!$E$100,IF(I7&lt;=24,Assumptions!$E$101,Assumptions!$E$102))</f>
        <v>4000</v>
      </c>
      <c r="J70" s="17" t="n">
        <f aca="false">IF(J7&lt;=12,Assumptions!$E$100,IF(J7&lt;=24,Assumptions!$E$101,Assumptions!$E$102))</f>
        <v>4000</v>
      </c>
      <c r="K70" s="17" t="n">
        <f aca="false">IF(K7&lt;=12,Assumptions!$E$100,IF(K7&lt;=24,Assumptions!$E$101,Assumptions!$E$102))</f>
        <v>4000</v>
      </c>
      <c r="L70" s="17" t="n">
        <f aca="false">IF(L7&lt;=12,Assumptions!$E$100,IF(L7&lt;=24,Assumptions!$E$101,Assumptions!$E$102))</f>
        <v>4000</v>
      </c>
      <c r="M70" s="17" t="n">
        <f aca="false">IF(M7&lt;=12,Assumptions!$E$100,IF(M7&lt;=24,Assumptions!$E$101,Assumptions!$E$102))</f>
        <v>4000</v>
      </c>
      <c r="N70" s="17" t="n">
        <f aca="false">IF(N7&lt;=12,Assumptions!$E$100,IF(N7&lt;=24,Assumptions!$E$101,Assumptions!$E$102))</f>
        <v>4000</v>
      </c>
      <c r="O70" s="17" t="n">
        <f aca="false">IF(O7&lt;=12,Assumptions!$E$100,IF(O7&lt;=24,Assumptions!$E$101,Assumptions!$E$102))</f>
        <v>4000</v>
      </c>
      <c r="P70" s="17" t="n">
        <f aca="false">IF(P7&lt;=12,Assumptions!$E$100,IF(P7&lt;=24,Assumptions!$E$101,Assumptions!$E$102))</f>
        <v>5000</v>
      </c>
      <c r="Q70" s="17" t="n">
        <f aca="false">IF(Q7&lt;=12,Assumptions!$E$100,IF(Q7&lt;=24,Assumptions!$E$101,Assumptions!$E$102))</f>
        <v>5000</v>
      </c>
      <c r="R70" s="17" t="n">
        <f aca="false">IF(R7&lt;=12,Assumptions!$E$100,IF(R7&lt;=24,Assumptions!$E$101,Assumptions!$E$102))</f>
        <v>5000</v>
      </c>
      <c r="S70" s="17" t="n">
        <f aca="false">IF(S7&lt;=12,Assumptions!$E$100,IF(S7&lt;=24,Assumptions!$E$101,Assumptions!$E$102))</f>
        <v>5000</v>
      </c>
      <c r="T70" s="17" t="n">
        <f aca="false">IF(T7&lt;=12,Assumptions!$E$100,IF(T7&lt;=24,Assumptions!$E$101,Assumptions!$E$102))</f>
        <v>5000</v>
      </c>
      <c r="U70" s="17" t="n">
        <f aca="false">IF(U7&lt;=12,Assumptions!$E$100,IF(U7&lt;=24,Assumptions!$E$101,Assumptions!$E$102))</f>
        <v>5000</v>
      </c>
      <c r="V70" s="17" t="n">
        <f aca="false">IF(V7&lt;=12,Assumptions!$E$100,IF(V7&lt;=24,Assumptions!$E$101,Assumptions!$E$102))</f>
        <v>5000</v>
      </c>
      <c r="W70" s="17" t="n">
        <f aca="false">IF(W7&lt;=12,Assumptions!$E$100,IF(W7&lt;=24,Assumptions!$E$101,Assumptions!$E$102))</f>
        <v>5000</v>
      </c>
      <c r="X70" s="17" t="n">
        <f aca="false">IF(X7&lt;=12,Assumptions!$E$100,IF(X7&lt;=24,Assumptions!$E$101,Assumptions!$E$102))</f>
        <v>5000</v>
      </c>
      <c r="Y70" s="17" t="n">
        <f aca="false">IF(Y7&lt;=12,Assumptions!$E$100,IF(Y7&lt;=24,Assumptions!$E$101,Assumptions!$E$102))</f>
        <v>5000</v>
      </c>
      <c r="Z70" s="17" t="n">
        <f aca="false">IF(Z7&lt;=12,Assumptions!$E$100,IF(Z7&lt;=24,Assumptions!$E$101,Assumptions!$E$102))</f>
        <v>5000</v>
      </c>
      <c r="AA70" s="17" t="n">
        <f aca="false">IF(AA7&lt;=12,Assumptions!$E$100,IF(AA7&lt;=24,Assumptions!$E$101,Assumptions!$E$102))</f>
        <v>5000</v>
      </c>
      <c r="AB70" s="17" t="n">
        <f aca="false">IF(AB7&lt;=12,Assumptions!$E$100,IF(AB7&lt;=24,Assumptions!$E$101,Assumptions!$E$102))</f>
        <v>6000</v>
      </c>
      <c r="AC70" s="17" t="n">
        <f aca="false">IF(AC7&lt;=12,Assumptions!$E$100,IF(AC7&lt;=24,Assumptions!$E$101,Assumptions!$E$102))</f>
        <v>6000</v>
      </c>
      <c r="AD70" s="17" t="n">
        <f aca="false">IF(AD7&lt;=12,Assumptions!$E$100,IF(AD7&lt;=24,Assumptions!$E$101,Assumptions!$E$102))</f>
        <v>6000</v>
      </c>
      <c r="AE70" s="17" t="n">
        <f aca="false">IF(AE7&lt;=12,Assumptions!$E$100,IF(AE7&lt;=24,Assumptions!$E$101,Assumptions!$E$102))</f>
        <v>6000</v>
      </c>
      <c r="AF70" s="17" t="n">
        <f aca="false">IF(AF7&lt;=12,Assumptions!$E$100,IF(AF7&lt;=24,Assumptions!$E$101,Assumptions!$E$102))</f>
        <v>6000</v>
      </c>
      <c r="AG70" s="17" t="n">
        <f aca="false">IF(AG7&lt;=12,Assumptions!$E$100,IF(AG7&lt;=24,Assumptions!$E$101,Assumptions!$E$102))</f>
        <v>6000</v>
      </c>
      <c r="AH70" s="17" t="n">
        <f aca="false">IF(AH7&lt;=12,Assumptions!$E$100,IF(AH7&lt;=24,Assumptions!$E$101,Assumptions!$E$102))</f>
        <v>6000</v>
      </c>
      <c r="AI70" s="17" t="n">
        <f aca="false">IF(AI7&lt;=12,Assumptions!$E$100,IF(AI7&lt;=24,Assumptions!$E$101,Assumptions!$E$102))</f>
        <v>6000</v>
      </c>
      <c r="AJ70" s="17" t="n">
        <f aca="false">IF(AJ7&lt;=12,Assumptions!$E$100,IF(AJ7&lt;=24,Assumptions!$E$101,Assumptions!$E$102))</f>
        <v>6000</v>
      </c>
      <c r="AK70" s="17" t="n">
        <f aca="false">IF(AK7&lt;=12,Assumptions!$E$100,IF(AK7&lt;=24,Assumptions!$E$101,Assumptions!$E$102))</f>
        <v>6000</v>
      </c>
      <c r="AL70" s="17" t="n">
        <f aca="false">IF(AL7&lt;=12,Assumptions!$E$100,IF(AL7&lt;=24,Assumptions!$E$101,Assumptions!$E$102))</f>
        <v>6000</v>
      </c>
      <c r="AM70" s="17" t="n">
        <f aca="false">IF(AM7&lt;=12,Assumptions!$E$100,IF(AM7&lt;=24,Assumptions!$E$101,Assumptions!$E$102))</f>
        <v>6000</v>
      </c>
      <c r="AN70" s="44" t="n">
        <f aca="false">IF(AN7&lt;=12,Assumptions!$E$100,IF(AN7&lt;=24,Assumptions!$E$101,Assumptions!$E$102))</f>
        <v>6000</v>
      </c>
      <c r="AO70" s="44" t="n">
        <f aca="false">IF(AO7&lt;=12,Assumptions!$E$100,IF(AO7&lt;=24,Assumptions!$E$101,Assumptions!$E$102))</f>
        <v>6000</v>
      </c>
      <c r="AP70" s="44" t="n">
        <f aca="false">IF(AP7&lt;=12,Assumptions!$E$100,IF(AP7&lt;=24,Assumptions!$E$101,Assumptions!$E$102))</f>
        <v>6000</v>
      </c>
      <c r="AQ70" s="44" t="n">
        <f aca="false">IF(AQ7&lt;=12,Assumptions!$E$100,IF(AQ7&lt;=24,Assumptions!$E$101,Assumptions!$E$102))</f>
        <v>6000</v>
      </c>
      <c r="AR70" s="44" t="n">
        <f aca="false">IF(AR7&lt;=12,Assumptions!$E$100,IF(AR7&lt;=24,Assumptions!$E$101,Assumptions!$E$102))</f>
        <v>6000</v>
      </c>
      <c r="AS70" s="44" t="n">
        <f aca="false">IF(AS7&lt;=12,Assumptions!$E$100,IF(AS7&lt;=24,Assumptions!$E$101,Assumptions!$E$102))</f>
        <v>6000</v>
      </c>
      <c r="AT70" s="44" t="n">
        <f aca="false">IF(AT7&lt;=12,Assumptions!$E$100,IF(AT7&lt;=24,Assumptions!$E$101,Assumptions!$E$102))</f>
        <v>6000</v>
      </c>
      <c r="AU70" s="44" t="n">
        <f aca="false">IF(AU7&lt;=12,Assumptions!$E$100,IF(AU7&lt;=24,Assumptions!$E$101,Assumptions!$E$102))</f>
        <v>6000</v>
      </c>
      <c r="AV70" s="44" t="n">
        <f aca="false">IF(AV7&lt;=12,Assumptions!$E$100,IF(AV7&lt;=24,Assumptions!$E$101,Assumptions!$E$102))</f>
        <v>6000</v>
      </c>
      <c r="AW70" s="44" t="n">
        <f aca="false">IF(AW7&lt;=12,Assumptions!$E$100,IF(AW7&lt;=24,Assumptions!$E$101,Assumptions!$E$102))</f>
        <v>6000</v>
      </c>
      <c r="AX70" s="44" t="n">
        <f aca="false">IF(AX7&lt;=12,Assumptions!$E$100,IF(AX7&lt;=24,Assumptions!$E$101,Assumptions!$E$102))</f>
        <v>6000</v>
      </c>
      <c r="AY70" s="44" t="n">
        <f aca="false">IF(AY7&lt;=12,Assumptions!$E$100,IF(AY7&lt;=24,Assumptions!$E$101,Assumptions!$E$102))</f>
        <v>6000</v>
      </c>
      <c r="AZ70" s="44" t="n">
        <f aca="false">IF(AZ7&lt;=12,Assumptions!$E$100,IF(AZ7&lt;=24,Assumptions!$E$101,Assumptions!$E$102))</f>
        <v>6000</v>
      </c>
      <c r="BA70" s="44" t="n">
        <f aca="false">IF(BA7&lt;=12,Assumptions!$E$100,IF(BA7&lt;=24,Assumptions!$E$101,Assumptions!$E$102))</f>
        <v>6000</v>
      </c>
      <c r="BB70" s="44" t="n">
        <f aca="false">IF(BB7&lt;=12,Assumptions!$E$100,IF(BB7&lt;=24,Assumptions!$E$101,Assumptions!$E$102))</f>
        <v>6000</v>
      </c>
      <c r="BC70" s="44" t="n">
        <f aca="false">IF(BC7&lt;=12,Assumptions!$E$100,IF(BC7&lt;=24,Assumptions!$E$101,Assumptions!$E$102))</f>
        <v>6000</v>
      </c>
      <c r="BD70" s="44" t="n">
        <f aca="false">IF(BD7&lt;=12,Assumptions!$E$100,IF(BD7&lt;=24,Assumptions!$E$101,Assumptions!$E$102))</f>
        <v>6000</v>
      </c>
      <c r="BE70" s="44" t="n">
        <f aca="false">IF(BE7&lt;=12,Assumptions!$E$100,IF(BE7&lt;=24,Assumptions!$E$101,Assumptions!$E$102))</f>
        <v>6000</v>
      </c>
      <c r="BF70" s="44" t="n">
        <f aca="false">IF(BF7&lt;=12,Assumptions!$E$100,IF(BF7&lt;=24,Assumptions!$E$101,Assumptions!$E$102))</f>
        <v>6000</v>
      </c>
      <c r="BG70" s="44" t="n">
        <f aca="false">IF(BG7&lt;=12,Assumptions!$E$100,IF(BG7&lt;=24,Assumptions!$E$101,Assumptions!$E$102))</f>
        <v>6000</v>
      </c>
      <c r="BH70" s="44" t="n">
        <f aca="false">IF(BH7&lt;=12,Assumptions!$E$100,IF(BH7&lt;=24,Assumptions!$E$101,Assumptions!$E$102))</f>
        <v>6000</v>
      </c>
      <c r="BI70" s="44" t="n">
        <f aca="false">IF(BI7&lt;=12,Assumptions!$E$100,IF(BI7&lt;=24,Assumptions!$E$101,Assumptions!$E$102))</f>
        <v>6000</v>
      </c>
      <c r="BJ70" s="44" t="n">
        <f aca="false">IF(BJ7&lt;=12,Assumptions!$E$100,IF(BJ7&lt;=24,Assumptions!$E$101,Assumptions!$E$102))</f>
        <v>6000</v>
      </c>
      <c r="BK70" s="44" t="n">
        <f aca="false">IF(BK7&lt;=12,Assumptions!$E$100,IF(BK7&lt;=24,Assumptions!$E$101,Assumptions!$E$102))</f>
        <v>6000</v>
      </c>
    </row>
    <row r="71" customFormat="false" ht="15" hidden="false" customHeight="false" outlineLevel="0" collapsed="false">
      <c r="A71" s="28" t="s">
        <v>652</v>
      </c>
      <c r="B71" s="6" t="s">
        <v>653</v>
      </c>
      <c r="C71" s="43"/>
      <c r="D71" s="17" t="n">
        <f aca="false">INT(D13/Assumptions!$E$103)*Assumptions!$E$104</f>
        <v>0</v>
      </c>
      <c r="E71" s="17" t="n">
        <f aca="false">INT(E13/Assumptions!$E$103)*Assumptions!$E$104</f>
        <v>0</v>
      </c>
      <c r="F71" s="17" t="n">
        <f aca="false">INT(F13/Assumptions!$E$103)*Assumptions!$E$104</f>
        <v>0</v>
      </c>
      <c r="G71" s="17" t="n">
        <f aca="false">INT(G13/Assumptions!$E$103)*Assumptions!$E$104</f>
        <v>0</v>
      </c>
      <c r="H71" s="17" t="n">
        <f aca="false">INT(H13/Assumptions!$E$103)*Assumptions!$E$104</f>
        <v>0</v>
      </c>
      <c r="I71" s="17" t="n">
        <f aca="false">INT(I13/Assumptions!$E$103)*Assumptions!$E$104</f>
        <v>0</v>
      </c>
      <c r="J71" s="17" t="n">
        <f aca="false">INT(J13/Assumptions!$E$103)*Assumptions!$E$104</f>
        <v>0</v>
      </c>
      <c r="K71" s="17" t="n">
        <f aca="false">INT(K13/Assumptions!$E$103)*Assumptions!$E$104</f>
        <v>0</v>
      </c>
      <c r="L71" s="17" t="n">
        <f aca="false">INT(L13/Assumptions!$E$103)*Assumptions!$E$104</f>
        <v>0</v>
      </c>
      <c r="M71" s="17" t="n">
        <f aca="false">INT(M13/Assumptions!$E$103)*Assumptions!$E$104</f>
        <v>0</v>
      </c>
      <c r="N71" s="17" t="n">
        <f aca="false">INT(N13/Assumptions!$E$103)*Assumptions!$E$104</f>
        <v>0</v>
      </c>
      <c r="O71" s="17" t="n">
        <f aca="false">INT(O13/Assumptions!$E$103)*Assumptions!$E$104</f>
        <v>0</v>
      </c>
      <c r="P71" s="17" t="n">
        <f aca="false">INT(P13/Assumptions!$E$103)*Assumptions!$E$104</f>
        <v>0</v>
      </c>
      <c r="Q71" s="17" t="n">
        <f aca="false">INT(Q13/Assumptions!$E$103)*Assumptions!$E$104</f>
        <v>0</v>
      </c>
      <c r="R71" s="17" t="n">
        <f aca="false">INT(R13/Assumptions!$E$103)*Assumptions!$E$104</f>
        <v>0</v>
      </c>
      <c r="S71" s="17" t="n">
        <f aca="false">INT(S13/Assumptions!$E$103)*Assumptions!$E$104</f>
        <v>0</v>
      </c>
      <c r="T71" s="17" t="n">
        <f aca="false">INT(T13/Assumptions!$E$103)*Assumptions!$E$104</f>
        <v>0</v>
      </c>
      <c r="U71" s="17" t="n">
        <f aca="false">INT(U13/Assumptions!$E$103)*Assumptions!$E$104</f>
        <v>0</v>
      </c>
      <c r="V71" s="17" t="n">
        <f aca="false">INT(V13/Assumptions!$E$103)*Assumptions!$E$104</f>
        <v>0</v>
      </c>
      <c r="W71" s="17" t="n">
        <f aca="false">INT(W13/Assumptions!$E$103)*Assumptions!$E$104</f>
        <v>0</v>
      </c>
      <c r="X71" s="17" t="n">
        <f aca="false">INT(X13/Assumptions!$E$103)*Assumptions!$E$104</f>
        <v>0</v>
      </c>
      <c r="Y71" s="17" t="n">
        <f aca="false">INT(Y13/Assumptions!$E$103)*Assumptions!$E$104</f>
        <v>0</v>
      </c>
      <c r="Z71" s="17" t="n">
        <f aca="false">INT(Z13/Assumptions!$E$103)*Assumptions!$E$104</f>
        <v>0</v>
      </c>
      <c r="AA71" s="17" t="n">
        <f aca="false">INT(AA13/Assumptions!$E$103)*Assumptions!$E$104</f>
        <v>0</v>
      </c>
      <c r="AB71" s="17" t="n">
        <f aca="false">INT(AB13/Assumptions!$E$103)*Assumptions!$E$104</f>
        <v>0</v>
      </c>
      <c r="AC71" s="17" t="n">
        <f aca="false">INT(AC13/Assumptions!$E$103)*Assumptions!$E$104</f>
        <v>0</v>
      </c>
      <c r="AD71" s="17" t="n">
        <f aca="false">INT(AD13/Assumptions!$E$103)*Assumptions!$E$104</f>
        <v>0</v>
      </c>
      <c r="AE71" s="17" t="n">
        <f aca="false">INT(AE13/Assumptions!$E$103)*Assumptions!$E$104</f>
        <v>0</v>
      </c>
      <c r="AF71" s="17" t="n">
        <f aca="false">INT(AF13/Assumptions!$E$103)*Assumptions!$E$104</f>
        <v>0</v>
      </c>
      <c r="AG71" s="17" t="n">
        <f aca="false">INT(AG13/Assumptions!$E$103)*Assumptions!$E$104</f>
        <v>0</v>
      </c>
      <c r="AH71" s="17" t="n">
        <f aca="false">INT(AH13/Assumptions!$E$103)*Assumptions!$E$104</f>
        <v>0</v>
      </c>
      <c r="AI71" s="17" t="n">
        <f aca="false">INT(AI13/Assumptions!$E$103)*Assumptions!$E$104</f>
        <v>0</v>
      </c>
      <c r="AJ71" s="17" t="n">
        <f aca="false">INT(AJ13/Assumptions!$E$103)*Assumptions!$E$104</f>
        <v>0</v>
      </c>
      <c r="AK71" s="17" t="n">
        <f aca="false">INT(AK13/Assumptions!$E$103)*Assumptions!$E$104</f>
        <v>0</v>
      </c>
      <c r="AL71" s="17" t="n">
        <f aca="false">INT(AL13/Assumptions!$E$103)*Assumptions!$E$104</f>
        <v>0</v>
      </c>
      <c r="AM71" s="17" t="n">
        <f aca="false">INT(AM13/Assumptions!$E$103)*Assumptions!$E$104</f>
        <v>0</v>
      </c>
      <c r="AN71" s="44" t="n">
        <f aca="false">INT(AN13/Assumptions!$E$103)*Assumptions!$E$104</f>
        <v>0</v>
      </c>
      <c r="AO71" s="44" t="n">
        <f aca="false">INT(AO13/Assumptions!$E$103)*Assumptions!$E$104</f>
        <v>0</v>
      </c>
      <c r="AP71" s="44" t="n">
        <f aca="false">INT(AP13/Assumptions!$E$103)*Assumptions!$E$104</f>
        <v>0</v>
      </c>
      <c r="AQ71" s="44" t="n">
        <f aca="false">INT(AQ13/Assumptions!$E$103)*Assumptions!$E$104</f>
        <v>0</v>
      </c>
      <c r="AR71" s="44" t="n">
        <f aca="false">INT(AR13/Assumptions!$E$103)*Assumptions!$E$104</f>
        <v>0</v>
      </c>
      <c r="AS71" s="44" t="n">
        <f aca="false">INT(AS13/Assumptions!$E$103)*Assumptions!$E$104</f>
        <v>0</v>
      </c>
      <c r="AT71" s="44" t="n">
        <f aca="false">INT(AT13/Assumptions!$E$103)*Assumptions!$E$104</f>
        <v>0</v>
      </c>
      <c r="AU71" s="44" t="n">
        <f aca="false">INT(AU13/Assumptions!$E$103)*Assumptions!$E$104</f>
        <v>0</v>
      </c>
      <c r="AV71" s="44" t="n">
        <f aca="false">INT(AV13/Assumptions!$E$103)*Assumptions!$E$104</f>
        <v>0</v>
      </c>
      <c r="AW71" s="44" t="n">
        <f aca="false">INT(AW13/Assumptions!$E$103)*Assumptions!$E$104</f>
        <v>0</v>
      </c>
      <c r="AX71" s="44" t="n">
        <f aca="false">INT(AX13/Assumptions!$E$103)*Assumptions!$E$104</f>
        <v>0</v>
      </c>
      <c r="AY71" s="44" t="n">
        <f aca="false">INT(AY13/Assumptions!$E$103)*Assumptions!$E$104</f>
        <v>0</v>
      </c>
      <c r="AZ71" s="44" t="n">
        <f aca="false">INT(AZ13/Assumptions!$E$103)*Assumptions!$E$104</f>
        <v>0</v>
      </c>
      <c r="BA71" s="44" t="n">
        <f aca="false">INT(BA13/Assumptions!$E$103)*Assumptions!$E$104</f>
        <v>0</v>
      </c>
      <c r="BB71" s="44" t="n">
        <f aca="false">INT(BB13/Assumptions!$E$103)*Assumptions!$E$104</f>
        <v>0</v>
      </c>
      <c r="BC71" s="44" t="n">
        <f aca="false">INT(BC13/Assumptions!$E$103)*Assumptions!$E$104</f>
        <v>0</v>
      </c>
      <c r="BD71" s="44" t="n">
        <f aca="false">INT(BD13/Assumptions!$E$103)*Assumptions!$E$104</f>
        <v>0</v>
      </c>
      <c r="BE71" s="44" t="n">
        <f aca="false">INT(BE13/Assumptions!$E$103)*Assumptions!$E$104</f>
        <v>0</v>
      </c>
      <c r="BF71" s="44" t="n">
        <f aca="false">INT(BF13/Assumptions!$E$103)*Assumptions!$E$104</f>
        <v>0</v>
      </c>
      <c r="BG71" s="44" t="n">
        <f aca="false">INT(BG13/Assumptions!$E$103)*Assumptions!$E$104</f>
        <v>0</v>
      </c>
      <c r="BH71" s="44" t="n">
        <f aca="false">INT(BH13/Assumptions!$E$103)*Assumptions!$E$104</f>
        <v>0</v>
      </c>
      <c r="BI71" s="44" t="n">
        <f aca="false">INT(BI13/Assumptions!$E$103)*Assumptions!$E$104</f>
        <v>0</v>
      </c>
      <c r="BJ71" s="44" t="n">
        <f aca="false">INT(BJ13/Assumptions!$E$103)*Assumptions!$E$104</f>
        <v>0</v>
      </c>
      <c r="BK71" s="44" t="n">
        <f aca="false">INT(BK13/Assumptions!$E$103)*Assumptions!$E$104</f>
        <v>0</v>
      </c>
    </row>
    <row r="72" customFormat="false" ht="15" hidden="false" customHeight="false" outlineLevel="0" collapsed="false">
      <c r="A72" s="28" t="s">
        <v>654</v>
      </c>
      <c r="B72" s="6" t="s">
        <v>341</v>
      </c>
      <c r="C72" s="43"/>
      <c r="D72" s="17" t="n">
        <f aca="false">IF(D7&gt;=Assumptions!$E$106,Assumptions!$E$105,0)</f>
        <v>0</v>
      </c>
      <c r="E72" s="17" t="n">
        <f aca="false">IF(E7&gt;=Assumptions!$E$106,Assumptions!$E$105,0)</f>
        <v>0</v>
      </c>
      <c r="F72" s="17" t="n">
        <f aca="false">IF(F7&gt;=Assumptions!$E$106,Assumptions!$E$105,0)</f>
        <v>0</v>
      </c>
      <c r="G72" s="17" t="n">
        <f aca="false">IF(G7&gt;=Assumptions!$E$106,Assumptions!$E$105,0)</f>
        <v>0</v>
      </c>
      <c r="H72" s="17" t="n">
        <f aca="false">IF(H7&gt;=Assumptions!$E$106,Assumptions!$E$105,0)</f>
        <v>0</v>
      </c>
      <c r="I72" s="17" t="n">
        <f aca="false">IF(I7&gt;=Assumptions!$E$106,Assumptions!$E$105,0)</f>
        <v>0</v>
      </c>
      <c r="J72" s="17" t="n">
        <f aca="false">IF(J7&gt;=Assumptions!$E$106,Assumptions!$E$105,0)</f>
        <v>0</v>
      </c>
      <c r="K72" s="17" t="n">
        <f aca="false">IF(K7&gt;=Assumptions!$E$106,Assumptions!$E$105,0)</f>
        <v>0</v>
      </c>
      <c r="L72" s="17" t="n">
        <f aca="false">IF(L7&gt;=Assumptions!$E$106,Assumptions!$E$105,0)</f>
        <v>0</v>
      </c>
      <c r="M72" s="17" t="n">
        <f aca="false">IF(M7&gt;=Assumptions!$E$106,Assumptions!$E$105,0)</f>
        <v>0</v>
      </c>
      <c r="N72" s="17" t="n">
        <f aca="false">IF(N7&gt;=Assumptions!$E$106,Assumptions!$E$105,0)</f>
        <v>0</v>
      </c>
      <c r="O72" s="17" t="n">
        <f aca="false">IF(O7&gt;=Assumptions!$E$106,Assumptions!$E$105,0)</f>
        <v>0</v>
      </c>
      <c r="P72" s="17" t="n">
        <f aca="false">IF(P7&gt;=Assumptions!$E$106,Assumptions!$E$105,0)</f>
        <v>0</v>
      </c>
      <c r="Q72" s="17" t="n">
        <f aca="false">IF(Q7&gt;=Assumptions!$E$106,Assumptions!$E$105,0)</f>
        <v>0</v>
      </c>
      <c r="R72" s="17" t="n">
        <f aca="false">IF(R7&gt;=Assumptions!$E$106,Assumptions!$E$105,0)</f>
        <v>0</v>
      </c>
      <c r="S72" s="17" t="n">
        <f aca="false">IF(S7&gt;=Assumptions!$E$106,Assumptions!$E$105,0)</f>
        <v>0</v>
      </c>
      <c r="T72" s="17" t="n">
        <f aca="false">IF(T7&gt;=Assumptions!$E$106,Assumptions!$E$105,0)</f>
        <v>0</v>
      </c>
      <c r="U72" s="17" t="n">
        <f aca="false">IF(U7&gt;=Assumptions!$E$106,Assumptions!$E$105,0)</f>
        <v>0</v>
      </c>
      <c r="V72" s="17" t="n">
        <f aca="false">IF(V7&gt;=Assumptions!$E$106,Assumptions!$E$105,0)</f>
        <v>0</v>
      </c>
      <c r="W72" s="17" t="n">
        <f aca="false">IF(W7&gt;=Assumptions!$E$106,Assumptions!$E$105,0)</f>
        <v>0</v>
      </c>
      <c r="X72" s="17" t="n">
        <f aca="false">IF(X7&gt;=Assumptions!$E$106,Assumptions!$E$105,0)</f>
        <v>0</v>
      </c>
      <c r="Y72" s="17" t="n">
        <f aca="false">IF(Y7&gt;=Assumptions!$E$106,Assumptions!$E$105,0)</f>
        <v>0</v>
      </c>
      <c r="Z72" s="17" t="n">
        <f aca="false">IF(Z7&gt;=Assumptions!$E$106,Assumptions!$E$105,0)</f>
        <v>0</v>
      </c>
      <c r="AA72" s="17" t="n">
        <f aca="false">IF(AA7&gt;=Assumptions!$E$106,Assumptions!$E$105,0)</f>
        <v>0</v>
      </c>
      <c r="AB72" s="17" t="n">
        <f aca="false">IF(AB7&gt;=Assumptions!$E$106,Assumptions!$E$105,0)</f>
        <v>0</v>
      </c>
      <c r="AC72" s="17" t="n">
        <f aca="false">IF(AC7&gt;=Assumptions!$E$106,Assumptions!$E$105,0)</f>
        <v>0</v>
      </c>
      <c r="AD72" s="17" t="n">
        <f aca="false">IF(AD7&gt;=Assumptions!$E$106,Assumptions!$E$105,0)</f>
        <v>0</v>
      </c>
      <c r="AE72" s="17" t="n">
        <f aca="false">IF(AE7&gt;=Assumptions!$E$106,Assumptions!$E$105,0)</f>
        <v>0</v>
      </c>
      <c r="AF72" s="17" t="n">
        <f aca="false">IF(AF7&gt;=Assumptions!$E$106,Assumptions!$E$105,0)</f>
        <v>0</v>
      </c>
      <c r="AG72" s="17" t="n">
        <f aca="false">IF(AG7&gt;=Assumptions!$E$106,Assumptions!$E$105,0)</f>
        <v>0</v>
      </c>
      <c r="AH72" s="17" t="n">
        <f aca="false">IF(AH7&gt;=Assumptions!$E$106,Assumptions!$E$105,0)</f>
        <v>0</v>
      </c>
      <c r="AI72" s="17" t="n">
        <f aca="false">IF(AI7&gt;=Assumptions!$E$106,Assumptions!$E$105,0)</f>
        <v>0</v>
      </c>
      <c r="AJ72" s="17" t="n">
        <f aca="false">IF(AJ7&gt;=Assumptions!$E$106,Assumptions!$E$105,0)</f>
        <v>0</v>
      </c>
      <c r="AK72" s="17" t="n">
        <f aca="false">IF(AK7&gt;=Assumptions!$E$106,Assumptions!$E$105,0)</f>
        <v>0</v>
      </c>
      <c r="AL72" s="17" t="n">
        <f aca="false">IF(AL7&gt;=Assumptions!$E$106,Assumptions!$E$105,0)</f>
        <v>0</v>
      </c>
      <c r="AM72" s="17" t="n">
        <f aca="false">IF(AM7&gt;=Assumptions!$E$106,Assumptions!$E$105,0)</f>
        <v>0</v>
      </c>
      <c r="AN72" s="44" t="n">
        <f aca="false">IF(AN7&gt;=Assumptions!$E$106,Assumptions!$E$105,0)</f>
        <v>0</v>
      </c>
      <c r="AO72" s="44" t="n">
        <f aca="false">IF(AO7&gt;=Assumptions!$E$106,Assumptions!$E$105,0)</f>
        <v>0</v>
      </c>
      <c r="AP72" s="44" t="n">
        <f aca="false">IF(AP7&gt;=Assumptions!$E$106,Assumptions!$E$105,0)</f>
        <v>0</v>
      </c>
      <c r="AQ72" s="44" t="n">
        <f aca="false">IF(AQ7&gt;=Assumptions!$E$106,Assumptions!$E$105,0)</f>
        <v>0</v>
      </c>
      <c r="AR72" s="44" t="n">
        <f aca="false">IF(AR7&gt;=Assumptions!$E$106,Assumptions!$E$105,0)</f>
        <v>0</v>
      </c>
      <c r="AS72" s="44" t="n">
        <f aca="false">IF(AS7&gt;=Assumptions!$E$106,Assumptions!$E$105,0)</f>
        <v>0</v>
      </c>
      <c r="AT72" s="44" t="n">
        <f aca="false">IF(AT7&gt;=Assumptions!$E$106,Assumptions!$E$105,0)</f>
        <v>0</v>
      </c>
      <c r="AU72" s="44" t="n">
        <f aca="false">IF(AU7&gt;=Assumptions!$E$106,Assumptions!$E$105,0)</f>
        <v>0</v>
      </c>
      <c r="AV72" s="44" t="n">
        <f aca="false">IF(AV7&gt;=Assumptions!$E$106,Assumptions!$E$105,0)</f>
        <v>0</v>
      </c>
      <c r="AW72" s="44" t="n">
        <f aca="false">IF(AW7&gt;=Assumptions!$E$106,Assumptions!$E$105,0)</f>
        <v>0</v>
      </c>
      <c r="AX72" s="44" t="n">
        <f aca="false">IF(AX7&gt;=Assumptions!$E$106,Assumptions!$E$105,0)</f>
        <v>0</v>
      </c>
      <c r="AY72" s="44" t="n">
        <f aca="false">IF(AY7&gt;=Assumptions!$E$106,Assumptions!$E$105,0)</f>
        <v>0</v>
      </c>
      <c r="AZ72" s="44" t="n">
        <f aca="false">IF(AZ7&gt;=Assumptions!$E$106,Assumptions!$E$105,0)</f>
        <v>0</v>
      </c>
      <c r="BA72" s="44" t="n">
        <f aca="false">IF(BA7&gt;=Assumptions!$E$106,Assumptions!$E$105,0)</f>
        <v>0</v>
      </c>
      <c r="BB72" s="44" t="n">
        <f aca="false">IF(BB7&gt;=Assumptions!$E$106,Assumptions!$E$105,0)</f>
        <v>0</v>
      </c>
      <c r="BC72" s="44" t="n">
        <f aca="false">IF(BC7&gt;=Assumptions!$E$106,Assumptions!$E$105,0)</f>
        <v>0</v>
      </c>
      <c r="BD72" s="44" t="n">
        <f aca="false">IF(BD7&gt;=Assumptions!$E$106,Assumptions!$E$105,0)</f>
        <v>0</v>
      </c>
      <c r="BE72" s="44" t="n">
        <f aca="false">IF(BE7&gt;=Assumptions!$E$106,Assumptions!$E$105,0)</f>
        <v>0</v>
      </c>
      <c r="BF72" s="44" t="n">
        <f aca="false">IF(BF7&gt;=Assumptions!$E$106,Assumptions!$E$105,0)</f>
        <v>0</v>
      </c>
      <c r="BG72" s="44" t="n">
        <f aca="false">IF(BG7&gt;=Assumptions!$E$106,Assumptions!$E$105,0)</f>
        <v>0</v>
      </c>
      <c r="BH72" s="44" t="n">
        <f aca="false">IF(BH7&gt;=Assumptions!$E$106,Assumptions!$E$105,0)</f>
        <v>0</v>
      </c>
      <c r="BI72" s="44" t="n">
        <f aca="false">IF(BI7&gt;=Assumptions!$E$106,Assumptions!$E$105,0)</f>
        <v>0</v>
      </c>
      <c r="BJ72" s="44" t="n">
        <f aca="false">IF(BJ7&gt;=Assumptions!$E$106,Assumptions!$E$105,0)</f>
        <v>0</v>
      </c>
      <c r="BK72" s="44" t="n">
        <f aca="false">IF(BK7&gt;=Assumptions!$E$106,Assumptions!$E$105,0)</f>
        <v>0</v>
      </c>
    </row>
    <row r="73" customFormat="false" ht="15" hidden="false" customHeight="false" outlineLevel="0" collapsed="false">
      <c r="A73" s="28" t="s">
        <v>655</v>
      </c>
      <c r="B73" s="6" t="s">
        <v>656</v>
      </c>
      <c r="C73" s="43"/>
      <c r="D73" s="22" t="n">
        <f aca="false">Assumptions!C$144</f>
        <v>3500</v>
      </c>
      <c r="E73" s="22" t="n">
        <f aca="false">Assumptions!D$144</f>
        <v>1500</v>
      </c>
      <c r="F73" s="22" t="n">
        <f aca="false">Assumptions!E$144</f>
        <v>3000</v>
      </c>
      <c r="G73" s="22" t="n">
        <f aca="false">Assumptions!F$144</f>
        <v>0</v>
      </c>
      <c r="H73" s="22" t="n">
        <f aca="false">Assumptions!G$144</f>
        <v>0</v>
      </c>
      <c r="I73" s="22" t="n">
        <f aca="false">Assumptions!H$144</f>
        <v>0</v>
      </c>
      <c r="J73" s="22" t="n">
        <f aca="false">Assumptions!I$144</f>
        <v>0</v>
      </c>
      <c r="K73" s="22" t="n">
        <f aca="false">Assumptions!J$144</f>
        <v>0</v>
      </c>
      <c r="L73" s="22" t="n">
        <f aca="false">Assumptions!K$144</f>
        <v>0</v>
      </c>
      <c r="M73" s="22" t="n">
        <f aca="false">Assumptions!L$144</f>
        <v>0</v>
      </c>
      <c r="N73" s="22" t="n">
        <f aca="false">Assumptions!M$144</f>
        <v>0</v>
      </c>
      <c r="O73" s="22" t="n">
        <f aca="false">Assumptions!N$144</f>
        <v>0</v>
      </c>
      <c r="P73" s="22" t="n">
        <f aca="false">Assumptions!O$144</f>
        <v>0</v>
      </c>
      <c r="Q73" s="22" t="n">
        <f aca="false">Assumptions!P$144</f>
        <v>0</v>
      </c>
      <c r="R73" s="22" t="n">
        <f aca="false">Assumptions!Q$144</f>
        <v>0</v>
      </c>
      <c r="S73" s="22" t="n">
        <f aca="false">Assumptions!R$144</f>
        <v>0</v>
      </c>
      <c r="T73" s="22" t="n">
        <f aca="false">Assumptions!S$144</f>
        <v>0</v>
      </c>
      <c r="U73" s="22" t="n">
        <f aca="false">Assumptions!T$144</f>
        <v>0</v>
      </c>
      <c r="V73" s="22" t="n">
        <f aca="false">Assumptions!U$144</f>
        <v>0</v>
      </c>
      <c r="W73" s="22" t="n">
        <f aca="false">Assumptions!V$144</f>
        <v>0</v>
      </c>
      <c r="X73" s="22" t="n">
        <f aca="false">Assumptions!W$144</f>
        <v>0</v>
      </c>
      <c r="Y73" s="22" t="n">
        <f aca="false">Assumptions!X$144</f>
        <v>0</v>
      </c>
      <c r="Z73" s="22" t="n">
        <f aca="false">Assumptions!Y$144</f>
        <v>0</v>
      </c>
      <c r="AA73" s="22" t="n">
        <f aca="false">Assumptions!Z$144</f>
        <v>0</v>
      </c>
      <c r="AB73" s="22" t="n">
        <f aca="false">Assumptions!AA$144</f>
        <v>0</v>
      </c>
      <c r="AC73" s="22" t="n">
        <f aca="false">Assumptions!AB$144</f>
        <v>0</v>
      </c>
      <c r="AD73" s="22" t="n">
        <f aca="false">Assumptions!AC$144</f>
        <v>0</v>
      </c>
      <c r="AE73" s="22" t="n">
        <f aca="false">Assumptions!AD$144</f>
        <v>0</v>
      </c>
      <c r="AF73" s="22" t="n">
        <f aca="false">Assumptions!AE$144</f>
        <v>0</v>
      </c>
      <c r="AG73" s="22" t="n">
        <f aca="false">Assumptions!AF$144</f>
        <v>0</v>
      </c>
      <c r="AH73" s="22" t="n">
        <f aca="false">Assumptions!AG$144</f>
        <v>0</v>
      </c>
      <c r="AI73" s="22" t="n">
        <f aca="false">Assumptions!AH$144</f>
        <v>0</v>
      </c>
      <c r="AJ73" s="22" t="n">
        <f aca="false">Assumptions!AI$144</f>
        <v>0</v>
      </c>
      <c r="AK73" s="22" t="n">
        <f aca="false">Assumptions!AJ$144</f>
        <v>0</v>
      </c>
      <c r="AL73" s="22" t="n">
        <f aca="false">Assumptions!AK$144</f>
        <v>0</v>
      </c>
      <c r="AM73" s="22" t="n">
        <f aca="false">Assumptions!AL$144</f>
        <v>0</v>
      </c>
      <c r="AN73" s="49" t="n">
        <f aca="false">Assumptions!AM$144</f>
        <v>0</v>
      </c>
      <c r="AO73" s="49" t="n">
        <f aca="false">Assumptions!AN$144</f>
        <v>0</v>
      </c>
      <c r="AP73" s="49" t="n">
        <f aca="false">Assumptions!AO$144</f>
        <v>0</v>
      </c>
      <c r="AQ73" s="49" t="n">
        <f aca="false">Assumptions!AP$144</f>
        <v>0</v>
      </c>
      <c r="AR73" s="49" t="n">
        <f aca="false">Assumptions!AQ$144</f>
        <v>0</v>
      </c>
      <c r="AS73" s="49" t="n">
        <f aca="false">Assumptions!AR$144</f>
        <v>0</v>
      </c>
      <c r="AT73" s="49" t="n">
        <f aca="false">Assumptions!AS$144</f>
        <v>0</v>
      </c>
      <c r="AU73" s="49" t="n">
        <f aca="false">Assumptions!AT$144</f>
        <v>0</v>
      </c>
      <c r="AV73" s="49" t="n">
        <f aca="false">Assumptions!AU$144</f>
        <v>0</v>
      </c>
      <c r="AW73" s="49" t="n">
        <f aca="false">Assumptions!AV$144</f>
        <v>0</v>
      </c>
      <c r="AX73" s="49" t="n">
        <f aca="false">Assumptions!AW$144</f>
        <v>0</v>
      </c>
      <c r="AY73" s="49" t="n">
        <f aca="false">Assumptions!AX$144</f>
        <v>0</v>
      </c>
      <c r="AZ73" s="49" t="n">
        <f aca="false">Assumptions!AY$144</f>
        <v>0</v>
      </c>
      <c r="BA73" s="49" t="n">
        <f aca="false">Assumptions!AZ$144</f>
        <v>0</v>
      </c>
      <c r="BB73" s="49" t="n">
        <f aca="false">Assumptions!BA$144</f>
        <v>0</v>
      </c>
      <c r="BC73" s="49" t="n">
        <f aca="false">Assumptions!BB$144</f>
        <v>0</v>
      </c>
      <c r="BD73" s="49" t="n">
        <f aca="false">Assumptions!BC$144</f>
        <v>0</v>
      </c>
      <c r="BE73" s="49" t="n">
        <f aca="false">Assumptions!BD$144</f>
        <v>0</v>
      </c>
      <c r="BF73" s="49" t="n">
        <f aca="false">Assumptions!BE$144</f>
        <v>0</v>
      </c>
      <c r="BG73" s="49" t="n">
        <f aca="false">Assumptions!BF$144</f>
        <v>0</v>
      </c>
      <c r="BH73" s="49" t="n">
        <f aca="false">Assumptions!BG$144</f>
        <v>0</v>
      </c>
      <c r="BI73" s="49" t="n">
        <f aca="false">Assumptions!BH$144</f>
        <v>0</v>
      </c>
      <c r="BJ73" s="49" t="n">
        <f aca="false">Assumptions!BI$144</f>
        <v>0</v>
      </c>
      <c r="BK73" s="49" t="n">
        <f aca="false">Assumptions!BJ$144</f>
        <v>0</v>
      </c>
    </row>
    <row r="74" customFormat="false" ht="15" hidden="false" customHeight="false" outlineLevel="0" collapsed="false">
      <c r="A74" s="28" t="s">
        <v>657</v>
      </c>
      <c r="B74" s="5" t="s">
        <v>658</v>
      </c>
      <c r="C74" s="43"/>
      <c r="D74" s="45" t="n">
        <f aca="false">D69+D70+D71+D72+D73</f>
        <v>8965</v>
      </c>
      <c r="E74" s="45" t="n">
        <f aca="false">E69+E70+E71+E72+E73</f>
        <v>6965</v>
      </c>
      <c r="F74" s="45" t="n">
        <f aca="false">F69+F70+F71+F72+F73</f>
        <v>8465</v>
      </c>
      <c r="G74" s="45" t="n">
        <f aca="false">G69+G70+G71+G72+G73</f>
        <v>5465</v>
      </c>
      <c r="H74" s="45" t="n">
        <f aca="false">H69+H70+H71+H72+H73</f>
        <v>5465</v>
      </c>
      <c r="I74" s="45" t="n">
        <f aca="false">I69+I70+I71+I72+I73</f>
        <v>5465</v>
      </c>
      <c r="J74" s="45" t="n">
        <f aca="false">J69+J70+J71+J72+J73</f>
        <v>5465</v>
      </c>
      <c r="K74" s="45" t="n">
        <f aca="false">K69+K70+K71+K72+K73</f>
        <v>5465</v>
      </c>
      <c r="L74" s="45" t="n">
        <f aca="false">L69+L70+L71+L72+L73</f>
        <v>5465</v>
      </c>
      <c r="M74" s="45" t="n">
        <f aca="false">M69+M70+M71+M72+M73</f>
        <v>5465</v>
      </c>
      <c r="N74" s="45" t="n">
        <f aca="false">N69+N70+N71+N72+N73</f>
        <v>5465</v>
      </c>
      <c r="O74" s="45" t="n">
        <f aca="false">O69+O70+O71+O72+O73</f>
        <v>5465</v>
      </c>
      <c r="P74" s="45" t="n">
        <f aca="false">P69+P70+P71+P72+P73</f>
        <v>6465</v>
      </c>
      <c r="Q74" s="45" t="n">
        <f aca="false">Q69+Q70+Q71+Q72+Q73</f>
        <v>6465</v>
      </c>
      <c r="R74" s="45" t="n">
        <f aca="false">R69+R70+R71+R72+R73</f>
        <v>6465</v>
      </c>
      <c r="S74" s="45" t="n">
        <f aca="false">S69+S70+S71+S72+S73</f>
        <v>6465</v>
      </c>
      <c r="T74" s="45" t="n">
        <f aca="false">T69+T70+T71+T72+T73</f>
        <v>6465</v>
      </c>
      <c r="U74" s="45" t="n">
        <f aca="false">U69+U70+U71+U72+U73</f>
        <v>6465</v>
      </c>
      <c r="V74" s="45" t="n">
        <f aca="false">V69+V70+V71+V72+V73</f>
        <v>6465</v>
      </c>
      <c r="W74" s="45" t="n">
        <f aca="false">W69+W70+W71+W72+W73</f>
        <v>6465</v>
      </c>
      <c r="X74" s="45" t="n">
        <f aca="false">X69+X70+X71+X72+X73</f>
        <v>6465</v>
      </c>
      <c r="Y74" s="45" t="n">
        <f aca="false">Y69+Y70+Y71+Y72+Y73</f>
        <v>6465</v>
      </c>
      <c r="Z74" s="45" t="n">
        <f aca="false">Z69+Z70+Z71+Z72+Z73</f>
        <v>6465</v>
      </c>
      <c r="AA74" s="45" t="n">
        <f aca="false">AA69+AA70+AA71+AA72+AA73</f>
        <v>6465</v>
      </c>
      <c r="AB74" s="45" t="n">
        <f aca="false">AB69+AB70+AB71+AB72+AB73</f>
        <v>7465</v>
      </c>
      <c r="AC74" s="45" t="n">
        <f aca="false">AC69+AC70+AC71+AC72+AC73</f>
        <v>7465</v>
      </c>
      <c r="AD74" s="45" t="n">
        <f aca="false">AD69+AD70+AD71+AD72+AD73</f>
        <v>7465</v>
      </c>
      <c r="AE74" s="45" t="n">
        <f aca="false">AE69+AE70+AE71+AE72+AE73</f>
        <v>7465</v>
      </c>
      <c r="AF74" s="45" t="n">
        <f aca="false">AF69+AF70+AF71+AF72+AF73</f>
        <v>7465</v>
      </c>
      <c r="AG74" s="45" t="n">
        <f aca="false">AG69+AG70+AG71+AG72+AG73</f>
        <v>7465</v>
      </c>
      <c r="AH74" s="45" t="n">
        <f aca="false">AH69+AH70+AH71+AH72+AH73</f>
        <v>7465</v>
      </c>
      <c r="AI74" s="45" t="n">
        <f aca="false">AI69+AI70+AI71+AI72+AI73</f>
        <v>7465</v>
      </c>
      <c r="AJ74" s="45" t="n">
        <f aca="false">AJ69+AJ70+AJ71+AJ72+AJ73</f>
        <v>7465</v>
      </c>
      <c r="AK74" s="45" t="n">
        <f aca="false">AK69+AK70+AK71+AK72+AK73</f>
        <v>7465</v>
      </c>
      <c r="AL74" s="45" t="n">
        <f aca="false">AL69+AL70+AL71+AL72+AL73</f>
        <v>7465</v>
      </c>
      <c r="AM74" s="45" t="n">
        <f aca="false">AM69+AM70+AM71+AM72+AM73</f>
        <v>7465</v>
      </c>
      <c r="AN74" s="46" t="n">
        <f aca="false">AN69+AN70+AN71+AN72+AN73</f>
        <v>7465</v>
      </c>
      <c r="AO74" s="46" t="n">
        <f aca="false">AO69+AO70+AO71+AO72+AO73</f>
        <v>7465</v>
      </c>
      <c r="AP74" s="46" t="n">
        <f aca="false">AP69+AP70+AP71+AP72+AP73</f>
        <v>7465</v>
      </c>
      <c r="AQ74" s="46" t="n">
        <f aca="false">AQ69+AQ70+AQ71+AQ72+AQ73</f>
        <v>7465</v>
      </c>
      <c r="AR74" s="46" t="n">
        <f aca="false">AR69+AR70+AR71+AR72+AR73</f>
        <v>7465</v>
      </c>
      <c r="AS74" s="46" t="n">
        <f aca="false">AS69+AS70+AS71+AS72+AS73</f>
        <v>7465</v>
      </c>
      <c r="AT74" s="46" t="n">
        <f aca="false">AT69+AT70+AT71+AT72+AT73</f>
        <v>7465</v>
      </c>
      <c r="AU74" s="46" t="n">
        <f aca="false">AU69+AU70+AU71+AU72+AU73</f>
        <v>7465</v>
      </c>
      <c r="AV74" s="46" t="n">
        <f aca="false">AV69+AV70+AV71+AV72+AV73</f>
        <v>7465</v>
      </c>
      <c r="AW74" s="46" t="n">
        <f aca="false">AW69+AW70+AW71+AW72+AW73</f>
        <v>7465</v>
      </c>
      <c r="AX74" s="46" t="n">
        <f aca="false">AX69+AX70+AX71+AX72+AX73</f>
        <v>7465</v>
      </c>
      <c r="AY74" s="46" t="n">
        <f aca="false">AY69+AY70+AY71+AY72+AY73</f>
        <v>7465</v>
      </c>
      <c r="AZ74" s="46" t="n">
        <f aca="false">AZ69+AZ70+AZ71+AZ72+AZ73</f>
        <v>7465</v>
      </c>
      <c r="BA74" s="46" t="n">
        <f aca="false">BA69+BA70+BA71+BA72+BA73</f>
        <v>7465</v>
      </c>
      <c r="BB74" s="46" t="n">
        <f aca="false">BB69+BB70+BB71+BB72+BB73</f>
        <v>7465</v>
      </c>
      <c r="BC74" s="46" t="n">
        <f aca="false">BC69+BC70+BC71+BC72+BC73</f>
        <v>7465</v>
      </c>
      <c r="BD74" s="46" t="n">
        <f aca="false">BD69+BD70+BD71+BD72+BD73</f>
        <v>7465</v>
      </c>
      <c r="BE74" s="46" t="n">
        <f aca="false">BE69+BE70+BE71+BE72+BE73</f>
        <v>7465</v>
      </c>
      <c r="BF74" s="46" t="n">
        <f aca="false">BF69+BF70+BF71+BF72+BF73</f>
        <v>7465</v>
      </c>
      <c r="BG74" s="46" t="n">
        <f aca="false">BG69+BG70+BG71+BG72+BG73</f>
        <v>7465</v>
      </c>
      <c r="BH74" s="46" t="n">
        <f aca="false">BH69+BH70+BH71+BH72+BH73</f>
        <v>7465</v>
      </c>
      <c r="BI74" s="46" t="n">
        <f aca="false">BI69+BI70+BI71+BI72+BI73</f>
        <v>7465</v>
      </c>
      <c r="BJ74" s="46" t="n">
        <f aca="false">BJ69+BJ70+BJ71+BJ72+BJ73</f>
        <v>7465</v>
      </c>
      <c r="BK74" s="46" t="n">
        <f aca="false">BK69+BK70+BK71+BK72+BK73</f>
        <v>7465</v>
      </c>
    </row>
    <row r="75" customFormat="false" ht="15" hidden="false" customHeight="false" outlineLevel="0" collapsed="false">
      <c r="B75" s="5" t="s">
        <v>659</v>
      </c>
    </row>
    <row r="76" customFormat="false" ht="15" hidden="false" customHeight="false" outlineLevel="0" collapsed="false">
      <c r="A76" s="28" t="s">
        <v>660</v>
      </c>
      <c r="B76" s="5" t="s">
        <v>661</v>
      </c>
      <c r="C76" s="43"/>
      <c r="D76" s="45" t="n">
        <f aca="false">D59-D67-D74</f>
        <v>-8965</v>
      </c>
      <c r="E76" s="45" t="n">
        <f aca="false">E59-E67-E74</f>
        <v>-6965</v>
      </c>
      <c r="F76" s="45" t="n">
        <f aca="false">F59-F67-F74</f>
        <v>-8465</v>
      </c>
      <c r="G76" s="45" t="n">
        <f aca="false">G59-G67-G74</f>
        <v>-5465</v>
      </c>
      <c r="H76" s="45" t="n">
        <f aca="false">H59-H67-H74</f>
        <v>-6929.70066666667</v>
      </c>
      <c r="I76" s="45" t="n">
        <f aca="false">I59-I67-I74</f>
        <v>-6139.08319333333</v>
      </c>
      <c r="J76" s="45" t="n">
        <f aca="false">J59-J67-J74</f>
        <v>-5973.15513143333</v>
      </c>
      <c r="K76" s="45" t="n">
        <f aca="false">K59-K67-K74</f>
        <v>-7313.37216209517</v>
      </c>
      <c r="L76" s="45" t="n">
        <f aca="false">L59-L67-L74</f>
        <v>-6417.23920262541</v>
      </c>
      <c r="M76" s="45" t="n">
        <f aca="false">M59-M67-M74</f>
        <v>-6224.97255601111</v>
      </c>
      <c r="N76" s="45" t="n">
        <f aca="false">N59-N67-N74</f>
        <v>-7452.52524453058</v>
      </c>
      <c r="O76" s="45" t="n">
        <f aca="false">O59-O67-O74</f>
        <v>-8034.3670624071</v>
      </c>
      <c r="P76" s="45" t="n">
        <f aca="false">P59-P67-P74</f>
        <v>-8022.00507930626</v>
      </c>
      <c r="Q76" s="45" t="n">
        <f aca="false">Q59-Q67-Q74</f>
        <v>-9060.87621975986</v>
      </c>
      <c r="R76" s="45" t="n">
        <f aca="false">R59-R67-R74</f>
        <v>-9476.85544835781</v>
      </c>
      <c r="S76" s="45" t="n">
        <f aca="false">S59-S67-S74</f>
        <v>-8347.40046867752</v>
      </c>
      <c r="T76" s="45" t="n">
        <f aca="false">T59-T67-T74</f>
        <v>-9350.04979545889</v>
      </c>
      <c r="U76" s="45" t="n">
        <f aca="false">U59-U67-U74</f>
        <v>-9135.8930339865</v>
      </c>
      <c r="V76" s="45" t="n">
        <f aca="false">V59-V67-V74</f>
        <v>-9433.27384475222</v>
      </c>
      <c r="W76" s="45" t="n">
        <f aca="false">W59-W67-W74</f>
        <v>-9461.67943200071</v>
      </c>
      <c r="X76" s="45" t="n">
        <f aca="false">X59-X67-X74</f>
        <v>-9399.81268832034</v>
      </c>
      <c r="Y76" s="45" t="n">
        <f aca="false">Y59-Y67-Y74</f>
        <v>-9548.05615788777</v>
      </c>
      <c r="Z76" s="45" t="n">
        <f aca="false">Z59-Z67-Z74</f>
        <v>-9446.886301971</v>
      </c>
      <c r="AA76" s="45" t="n">
        <f aca="false">AA59-AA67-AA74</f>
        <v>-9374.45112069734</v>
      </c>
      <c r="AB76" s="45" t="n">
        <f aca="false">AB59-AB67-AB74</f>
        <v>-10256.681047973</v>
      </c>
      <c r="AC76" s="45" t="n">
        <f aca="false">AC59-AC67-AC74</f>
        <v>-10131.8967698328</v>
      </c>
      <c r="AD76" s="45" t="n">
        <f aca="false">AD59-AD67-AD74</f>
        <v>-10000.7967112832</v>
      </c>
      <c r="AE76" s="45" t="n">
        <f aca="false">AE59-AE67-AE74</f>
        <v>-9834.51715706972</v>
      </c>
      <c r="AF76" s="45" t="n">
        <f aca="false">AF59-AF67-AF74</f>
        <v>-11176.3566457502</v>
      </c>
      <c r="AG76" s="45" t="n">
        <f aca="false">AG59-AG67-AG74</f>
        <v>-10231.1875692502</v>
      </c>
      <c r="AH76" s="45" t="n">
        <f aca="false">AH59-AH67-AH74</f>
        <v>-9656.00276241224</v>
      </c>
      <c r="AI76" s="45" t="n">
        <f aca="false">AI59-AI67-AI74</f>
        <v>-10601.8017520507</v>
      </c>
      <c r="AJ76" s="45" t="n">
        <f aca="false">AJ59-AJ67-AJ74</f>
        <v>-9253.70985163151</v>
      </c>
      <c r="AK76" s="45" t="n">
        <f aca="false">AK59-AK67-AK74</f>
        <v>-8549.43415795658</v>
      </c>
      <c r="AL76" s="45" t="n">
        <f aca="false">AL59-AL67-AL74</f>
        <v>-9112.48150609151</v>
      </c>
      <c r="AM76" s="45" t="n">
        <f aca="false">AM59-AM67-AM74</f>
        <v>-7711.50744197948</v>
      </c>
      <c r="AN76" s="46" t="n">
        <f aca="false">AN59-AN67-AN74</f>
        <v>-7199.93796829508</v>
      </c>
      <c r="AO76" s="46" t="n">
        <f aca="false">AO59-AO67-AO74</f>
        <v>-7991.99601429185</v>
      </c>
      <c r="AP76" s="46" t="n">
        <f aca="false">AP59-AP67-AP74</f>
        <v>-6787.20662392021</v>
      </c>
      <c r="AQ76" s="46" t="n">
        <f aca="false">AQ59-AQ67-AQ74</f>
        <v>-6260.58520376731</v>
      </c>
      <c r="AR76" s="46" t="n">
        <f aca="false">AR59-AR67-AR74</f>
        <v>-7039.06924156012</v>
      </c>
      <c r="AS76" s="46" t="n">
        <f aca="false">AS59-AS67-AS74</f>
        <v>-5792.90834985339</v>
      </c>
      <c r="AT76" s="46" t="n">
        <f aca="false">AT59-AT67-AT74</f>
        <v>-5254.26201547657</v>
      </c>
      <c r="AU76" s="46" t="n">
        <f aca="false">AU59-AU67-AU74</f>
        <v>-6022.12529418188</v>
      </c>
      <c r="AV76" s="46" t="n">
        <f aca="false">AV59-AV67-AV74</f>
        <v>-4766.56709327163</v>
      </c>
      <c r="AW76" s="46" t="n">
        <f aca="false">AW59-AW67-AW74</f>
        <v>-4219.60871072161</v>
      </c>
      <c r="AX76" s="46" t="n">
        <f aca="false">AX59-AX67-AX74</f>
        <v>-4980.13596902868</v>
      </c>
      <c r="AY76" s="46" t="n">
        <f aca="false">AY59-AY67-AY74</f>
        <v>-3776.23127288367</v>
      </c>
      <c r="AZ76" s="46" t="n">
        <f aca="false">AZ59-AZ67-AZ74</f>
        <v>-3220.14068449345</v>
      </c>
      <c r="BA76" s="46" t="n">
        <f aca="false">BA59-BA67-BA74</f>
        <v>-3982.76760847462</v>
      </c>
      <c r="BB76" s="46" t="n">
        <f aca="false">BB59-BB67-BB74</f>
        <v>-2713.50227298232</v>
      </c>
      <c r="BC76" s="46" t="n">
        <f aca="false">BC59-BC67-BC74</f>
        <v>-2124.32940372329</v>
      </c>
      <c r="BD76" s="46" t="n">
        <f aca="false">BD59-BD67-BD74</f>
        <v>-2883.1084133118</v>
      </c>
      <c r="BE76" s="46" t="n">
        <f aca="false">BE59-BE67-BE74</f>
        <v>-1610.92209145137</v>
      </c>
      <c r="BF76" s="46" t="n">
        <f aca="false">BF59-BF67-BF74</f>
        <v>-1019.62823993035</v>
      </c>
      <c r="BG76" s="46" t="n">
        <f aca="false">BG59-BG67-BG74</f>
        <v>-1776.98966159593</v>
      </c>
      <c r="BH76" s="46" t="n">
        <f aca="false">BH59-BH67-BH74</f>
        <v>-504.013137003577</v>
      </c>
      <c r="BI76" s="46" t="n">
        <f aca="false">BI59-BI67-BI74</f>
        <v>87.5053117744665</v>
      </c>
      <c r="BJ76" s="46" t="n">
        <f aca="false">BJ59-BJ67-BJ74</f>
        <v>-670.145372939708</v>
      </c>
      <c r="BK76" s="46" t="n">
        <f aca="false">BK59-BK67-BK74</f>
        <v>542.069489791412</v>
      </c>
    </row>
    <row r="77" customFormat="false" ht="15" hidden="false" customHeight="false" outlineLevel="0" collapsed="false">
      <c r="A77" s="28" t="s">
        <v>662</v>
      </c>
      <c r="B77" s="5" t="s">
        <v>663</v>
      </c>
      <c r="C77" s="50" t="n">
        <f aca="false">Assumptions!$E$9</f>
        <v>0</v>
      </c>
      <c r="D77" s="45" t="n">
        <f aca="false">C77+D76</f>
        <v>-8965</v>
      </c>
      <c r="E77" s="45" t="n">
        <f aca="false">D77+E76</f>
        <v>-15930</v>
      </c>
      <c r="F77" s="45" t="n">
        <f aca="false">E77+F76</f>
        <v>-24395</v>
      </c>
      <c r="G77" s="45" t="n">
        <f aca="false">F77+G76</f>
        <v>-29860</v>
      </c>
      <c r="H77" s="45" t="n">
        <f aca="false">G77+H76</f>
        <v>-36789.7006666667</v>
      </c>
      <c r="I77" s="45" t="n">
        <f aca="false">H77+I76</f>
        <v>-42928.78386</v>
      </c>
      <c r="J77" s="45" t="n">
        <f aca="false">I77+J76</f>
        <v>-48901.9389914333</v>
      </c>
      <c r="K77" s="45" t="n">
        <f aca="false">J77+K76</f>
        <v>-56215.3111535285</v>
      </c>
      <c r="L77" s="45" t="n">
        <f aca="false">K77+L76</f>
        <v>-62632.5503561539</v>
      </c>
      <c r="M77" s="45" t="n">
        <f aca="false">L77+M76</f>
        <v>-68857.522912165</v>
      </c>
      <c r="N77" s="45" t="n">
        <f aca="false">M77+N76</f>
        <v>-76310.0481566956</v>
      </c>
      <c r="O77" s="45" t="n">
        <f aca="false">N77+O76</f>
        <v>-84344.4152191027</v>
      </c>
      <c r="P77" s="45" t="n">
        <f aca="false">O77+P76</f>
        <v>-92366.420298409</v>
      </c>
      <c r="Q77" s="45" t="n">
        <f aca="false">P77+Q76</f>
        <v>-101427.296518169</v>
      </c>
      <c r="R77" s="45" t="n">
        <f aca="false">Q77+R76</f>
        <v>-110904.151966527</v>
      </c>
      <c r="S77" s="45" t="n">
        <f aca="false">R77+S76</f>
        <v>-119251.552435204</v>
      </c>
      <c r="T77" s="45" t="n">
        <f aca="false">S77+T76</f>
        <v>-128601.602230663</v>
      </c>
      <c r="U77" s="45" t="n">
        <f aca="false">T77+U76</f>
        <v>-137737.49526465</v>
      </c>
      <c r="V77" s="45" t="n">
        <f aca="false">U77+V76</f>
        <v>-147170.769109402</v>
      </c>
      <c r="W77" s="45" t="n">
        <f aca="false">V77+W76</f>
        <v>-156632.448541402</v>
      </c>
      <c r="X77" s="45" t="n">
        <f aca="false">W77+X76</f>
        <v>-166032.261229723</v>
      </c>
      <c r="Y77" s="45" t="n">
        <f aca="false">X77+Y76</f>
        <v>-175580.317387611</v>
      </c>
      <c r="Z77" s="45" t="n">
        <f aca="false">Y77+Z76</f>
        <v>-185027.203689582</v>
      </c>
      <c r="AA77" s="45" t="n">
        <f aca="false">Z77+AA76</f>
        <v>-194401.654810279</v>
      </c>
      <c r="AB77" s="45" t="n">
        <f aca="false">AA77+AB76</f>
        <v>-204658.335858252</v>
      </c>
      <c r="AC77" s="45" t="n">
        <f aca="false">AB77+AC76</f>
        <v>-214790.232628085</v>
      </c>
      <c r="AD77" s="45" t="n">
        <f aca="false">AC77+AD76</f>
        <v>-224791.029339368</v>
      </c>
      <c r="AE77" s="45" t="n">
        <f aca="false">AD77+AE76</f>
        <v>-234625.546496438</v>
      </c>
      <c r="AF77" s="45" t="n">
        <f aca="false">AE77+AF76</f>
        <v>-245801.903142188</v>
      </c>
      <c r="AG77" s="45" t="n">
        <f aca="false">AF77+AG76</f>
        <v>-256033.090711438</v>
      </c>
      <c r="AH77" s="45" t="n">
        <f aca="false">AG77+AH76</f>
        <v>-265689.09347385</v>
      </c>
      <c r="AI77" s="45" t="n">
        <f aca="false">AH77+AI76</f>
        <v>-276290.895225901</v>
      </c>
      <c r="AJ77" s="45" t="n">
        <f aca="false">AI77+AJ76</f>
        <v>-285544.605077533</v>
      </c>
      <c r="AK77" s="45" t="n">
        <f aca="false">AJ77+AK76</f>
        <v>-294094.039235489</v>
      </c>
      <c r="AL77" s="45" t="n">
        <f aca="false">AK77+AL76</f>
        <v>-303206.520741581</v>
      </c>
      <c r="AM77" s="45" t="n">
        <f aca="false">AL77+AM76</f>
        <v>-310918.02818356</v>
      </c>
      <c r="AN77" s="46" t="n">
        <f aca="false">AM77+AN76</f>
        <v>-318117.966151855</v>
      </c>
      <c r="AO77" s="46" t="n">
        <f aca="false">AN77+AO76</f>
        <v>-326109.962166147</v>
      </c>
      <c r="AP77" s="46" t="n">
        <f aca="false">AO77+AP76</f>
        <v>-332897.168790067</v>
      </c>
      <c r="AQ77" s="46" t="n">
        <f aca="false">AP77+AQ76</f>
        <v>-339157.753993835</v>
      </c>
      <c r="AR77" s="46" t="n">
        <f aca="false">AQ77+AR76</f>
        <v>-346196.823235395</v>
      </c>
      <c r="AS77" s="46" t="n">
        <f aca="false">AR77+AS76</f>
        <v>-351989.731585248</v>
      </c>
      <c r="AT77" s="46" t="n">
        <f aca="false">AS77+AT76</f>
        <v>-357243.993600725</v>
      </c>
      <c r="AU77" s="46" t="n">
        <f aca="false">AT77+AU76</f>
        <v>-363266.118894906</v>
      </c>
      <c r="AV77" s="46" t="n">
        <f aca="false">AU77+AV76</f>
        <v>-368032.685988178</v>
      </c>
      <c r="AW77" s="46" t="n">
        <f aca="false">AV77+AW76</f>
        <v>-372252.2946989</v>
      </c>
      <c r="AX77" s="46" t="n">
        <f aca="false">AW77+AX76</f>
        <v>-377232.430667928</v>
      </c>
      <c r="AY77" s="46" t="n">
        <f aca="false">AX77+AY76</f>
        <v>-381008.661940812</v>
      </c>
      <c r="AZ77" s="46" t="n">
        <f aca="false">AY77+AZ76</f>
        <v>-384228.802625306</v>
      </c>
      <c r="BA77" s="46" t="n">
        <f aca="false">AZ77+BA76</f>
        <v>-388211.57023378</v>
      </c>
      <c r="BB77" s="46" t="n">
        <f aca="false">BA77+BB76</f>
        <v>-390925.072506762</v>
      </c>
      <c r="BC77" s="46" t="n">
        <f aca="false">BB77+BC76</f>
        <v>-393049.401910486</v>
      </c>
      <c r="BD77" s="46" t="n">
        <f aca="false">BC77+BD76</f>
        <v>-395932.510323798</v>
      </c>
      <c r="BE77" s="46" t="n">
        <f aca="false">BD77+BE76</f>
        <v>-397543.432415249</v>
      </c>
      <c r="BF77" s="46" t="n">
        <f aca="false">BE77+BF76</f>
        <v>-398563.060655179</v>
      </c>
      <c r="BG77" s="46" t="n">
        <f aca="false">BF77+BG76</f>
        <v>-400340.050316775</v>
      </c>
      <c r="BH77" s="46" t="n">
        <f aca="false">BG77+BH76</f>
        <v>-400844.063453779</v>
      </c>
      <c r="BI77" s="46" t="n">
        <f aca="false">BH77+BI76</f>
        <v>-400756.558142004</v>
      </c>
      <c r="BJ77" s="46" t="n">
        <f aca="false">BI77+BJ76</f>
        <v>-401426.703514944</v>
      </c>
      <c r="BK77" s="46" t="n">
        <f aca="false">BJ77+BK76</f>
        <v>-400884.634025153</v>
      </c>
    </row>
    <row r="78" customFormat="false" ht="15" hidden="false" customHeight="false" outlineLevel="0" collapsed="false">
      <c r="A78" s="28" t="s">
        <v>664</v>
      </c>
      <c r="B78" s="6" t="s">
        <v>665</v>
      </c>
      <c r="C78" s="43"/>
      <c r="D78" s="17" t="n">
        <f aca="false">D39*Assumptions!$E$49+D39/Assumptions!$E$48*Assumptions!$E$50</f>
        <v>0</v>
      </c>
      <c r="E78" s="17" t="n">
        <f aca="false">E39*Assumptions!$E$49+E39/Assumptions!$E$48*Assumptions!$E$50</f>
        <v>0</v>
      </c>
      <c r="F78" s="17" t="n">
        <f aca="false">F39*Assumptions!$E$49+F39/Assumptions!$E$48*Assumptions!$E$50</f>
        <v>0</v>
      </c>
      <c r="G78" s="17" t="n">
        <f aca="false">G39*Assumptions!$E$49+G39/Assumptions!$E$48*Assumptions!$E$50</f>
        <v>0</v>
      </c>
      <c r="H78" s="17" t="n">
        <f aca="false">H39*Assumptions!$E$49+H39/Assumptions!$E$48*Assumptions!$E$50</f>
        <v>0</v>
      </c>
      <c r="I78" s="17" t="n">
        <f aca="false">I39*Assumptions!$E$49+I39/Assumptions!$E$48*Assumptions!$E$50</f>
        <v>0</v>
      </c>
      <c r="J78" s="17" t="n">
        <f aca="false">J39*Assumptions!$E$49+J39/Assumptions!$E$48*Assumptions!$E$50</f>
        <v>0</v>
      </c>
      <c r="K78" s="17" t="n">
        <f aca="false">K39*Assumptions!$E$49+K39/Assumptions!$E$48*Assumptions!$E$50</f>
        <v>0</v>
      </c>
      <c r="L78" s="17" t="n">
        <f aca="false">L39*Assumptions!$E$49+L39/Assumptions!$E$48*Assumptions!$E$50</f>
        <v>0</v>
      </c>
      <c r="M78" s="17" t="n">
        <f aca="false">M39*Assumptions!$E$49+M39/Assumptions!$E$48*Assumptions!$E$50</f>
        <v>0</v>
      </c>
      <c r="N78" s="17" t="n">
        <f aca="false">N39*Assumptions!$E$49+N39/Assumptions!$E$48*Assumptions!$E$50</f>
        <v>0</v>
      </c>
      <c r="O78" s="17" t="n">
        <f aca="false">O39*Assumptions!$E$49+O39/Assumptions!$E$48*Assumptions!$E$50</f>
        <v>44.4534741452758</v>
      </c>
      <c r="P78" s="17" t="n">
        <f aca="false">P39*Assumptions!$E$49+P39/Assumptions!$E$48*Assumptions!$E$50</f>
        <v>93.5471602453679</v>
      </c>
      <c r="Q78" s="17" t="n">
        <f aca="false">Q39*Assumptions!$E$49+Q39/Assumptions!$E$48*Assumptions!$E$50</f>
        <v>148.608726805298</v>
      </c>
      <c r="R78" s="17" t="n">
        <f aca="false">R39*Assumptions!$E$49+R39/Assumptions!$E$48*Assumptions!$E$50</f>
        <v>211.635845826647</v>
      </c>
      <c r="S78" s="17" t="n">
        <f aca="false">S39*Assumptions!$E$49+S39/Assumptions!$E$48*Assumptions!$E$50</f>
        <v>278.916143473715</v>
      </c>
      <c r="T78" s="17" t="n">
        <f aca="false">T39*Assumptions!$E$49+T39/Assumptions!$E$48*Assumptions!$E$50</f>
        <v>351.593348268797</v>
      </c>
      <c r="U78" s="17" t="n">
        <f aca="false">U39*Assumptions!$E$49+U39/Assumptions!$E$48*Assumptions!$E$50</f>
        <v>501.715118213388</v>
      </c>
      <c r="V78" s="17" t="n">
        <f aca="false">V39*Assumptions!$E$49+V39/Assumptions!$E$48*Assumptions!$E$50</f>
        <v>665.826656743252</v>
      </c>
      <c r="W78" s="17" t="n">
        <f aca="false">W39*Assumptions!$E$49+W39/Assumptions!$E$48*Assumptions!$E$50</f>
        <v>844.398747068637</v>
      </c>
      <c r="X78" s="17" t="n">
        <f aca="false">X39*Assumptions!$E$49+X39/Assumptions!$E$48*Assumptions!$E$50</f>
        <v>1036.86155168103</v>
      </c>
      <c r="Y78" s="17" t="n">
        <f aca="false">Y39*Assumptions!$E$49+Y39/Assumptions!$E$48*Assumptions!$E$50</f>
        <v>1243.67135310436</v>
      </c>
      <c r="Z78" s="17" t="n">
        <f aca="false">Z39*Assumptions!$E$49+Z39/Assumptions!$E$48*Assumptions!$E$50</f>
        <v>1463.91350342458</v>
      </c>
      <c r="AA78" s="17" t="n">
        <f aca="false">AA39*Assumptions!$E$49+AA39/Assumptions!$E$48*Assumptions!$E$50</f>
        <v>1696.73161629597</v>
      </c>
      <c r="AB78" s="17" t="n">
        <f aca="false">AB39*Assumptions!$E$49+AB39/Assumptions!$E$48*Assumptions!$E$50</f>
        <v>1941.32375253928</v>
      </c>
      <c r="AC78" s="17" t="n">
        <f aca="false">AC39*Assumptions!$E$49+AC39/Assumptions!$E$48*Assumptions!$E$50</f>
        <v>2196.93886226728</v>
      </c>
      <c r="AD78" s="17" t="n">
        <f aca="false">AD39*Assumptions!$E$49+AD39/Assumptions!$E$48*Assumptions!$E$50</f>
        <v>2462.87346592774</v>
      </c>
      <c r="AE78" s="17" t="n">
        <f aca="false">AE39*Assumptions!$E$49+AE39/Assumptions!$E$48*Assumptions!$E$50</f>
        <v>2738.13721707445</v>
      </c>
      <c r="AF78" s="17" t="n">
        <f aca="false">AF39*Assumptions!$E$49+AF39/Assumptions!$E$48*Assumptions!$E$50</f>
        <v>3030.42140678146</v>
      </c>
      <c r="AG78" s="17" t="n">
        <f aca="false">AG39*Assumptions!$E$49+AG39/Assumptions!$E$48*Assumptions!$E$50</f>
        <v>3337.54720793638</v>
      </c>
      <c r="AH78" s="17" t="n">
        <f aca="false">AH39*Assumptions!$E$49+AH39/Assumptions!$E$48*Assumptions!$E$50</f>
        <v>3655.83121275042</v>
      </c>
      <c r="AI78" s="17" t="n">
        <f aca="false">AI39*Assumptions!$E$49+AI39/Assumptions!$E$48*Assumptions!$E$50</f>
        <v>3991.13562268797</v>
      </c>
      <c r="AJ78" s="17" t="n">
        <f aca="false">AJ39*Assumptions!$E$49+AJ39/Assumptions!$E$48*Assumptions!$E$50</f>
        <v>4339.92143839635</v>
      </c>
      <c r="AK78" s="17" t="n">
        <f aca="false">AK39*Assumptions!$E$49+AK39/Assumptions!$E$48*Assumptions!$E$50</f>
        <v>4698.2423796201</v>
      </c>
      <c r="AL78" s="17" t="n">
        <f aca="false">AL39*Assumptions!$E$49+AL39/Assumptions!$E$48*Assumptions!$E$50</f>
        <v>5070.39327913473</v>
      </c>
      <c r="AM78" s="17" t="n">
        <f aca="false">AM39*Assumptions!$E$49+AM39/Assumptions!$E$48*Assumptions!$E$50</f>
        <v>5453.04473214043</v>
      </c>
      <c r="AN78" s="44" t="n">
        <f aca="false">AN39*Assumptions!$E$49+AN39/Assumptions!$E$48*Assumptions!$E$50</f>
        <v>5842.44639062425</v>
      </c>
      <c r="AO78" s="44" t="n">
        <f aca="false">AO39*Assumptions!$E$49+AO39/Assumptions!$E$48*Assumptions!$E$50</f>
        <v>6243.07626747605</v>
      </c>
      <c r="AP78" s="44" t="n">
        <f aca="false">AP39*Assumptions!$E$49+AP39/Assumptions!$E$48*Assumptions!$E$50</f>
        <v>6651.77623408255</v>
      </c>
      <c r="AQ78" s="44" t="n">
        <f aca="false">AQ39*Assumptions!$E$49+AQ39/Assumptions!$E$48*Assumptions!$E$50</f>
        <v>7064.9561051997</v>
      </c>
      <c r="AR78" s="44" t="n">
        <f aca="false">AR39*Assumptions!$E$49+AR39/Assumptions!$E$48*Assumptions!$E$50</f>
        <v>7487.2436798801</v>
      </c>
      <c r="AS78" s="44" t="n">
        <f aca="false">AS39*Assumptions!$E$49+AS39/Assumptions!$E$48*Assumptions!$E$50</f>
        <v>7915.28958508579</v>
      </c>
      <c r="AT78" s="44" t="n">
        <f aca="false">AT39*Assumptions!$E$49+AT39/Assumptions!$E$48*Assumptions!$E$50</f>
        <v>8345.65987426156</v>
      </c>
      <c r="AU78" s="44" t="n">
        <f aca="false">AU39*Assumptions!$E$49+AU39/Assumptions!$E$48*Assumptions!$E$50</f>
        <v>8783.12846325299</v>
      </c>
      <c r="AV78" s="44" t="n">
        <f aca="false">AV39*Assumptions!$E$49+AV39/Assumptions!$E$48*Assumptions!$E$50</f>
        <v>9224.48264102951</v>
      </c>
      <c r="AW78" s="44" t="n">
        <f aca="false">AW39*Assumptions!$E$49+AW39/Assumptions!$E$48*Assumptions!$E$50</f>
        <v>9666.41629034999</v>
      </c>
      <c r="AX78" s="44" t="n">
        <f aca="false">AX39*Assumptions!$E$49+AX39/Assumptions!$E$48*Assumptions!$E$50</f>
        <v>10113.822903852</v>
      </c>
      <c r="AY78" s="44" t="n">
        <f aca="false">AY39*Assumptions!$E$49+AY39/Assumptions!$E$48*Assumptions!$E$50</f>
        <v>10563.6016359054</v>
      </c>
      <c r="AZ78" s="44" t="n">
        <f aca="false">AZ39*Assumptions!$E$49+AZ39/Assumptions!$E$48*Assumptions!$E$50</f>
        <v>11012.5510280487</v>
      </c>
      <c r="BA78" s="44" t="n">
        <f aca="false">BA39*Assumptions!$E$49+BA39/Assumptions!$E$48*Assumptions!$E$50</f>
        <v>11465.6624959805</v>
      </c>
      <c r="BB78" s="44" t="n">
        <f aca="false">BB39*Assumptions!$E$49+BB39/Assumptions!$E$48*Assumptions!$E$50</f>
        <v>11919.9268207702</v>
      </c>
      <c r="BC78" s="44" t="n">
        <f aca="false">BC39*Assumptions!$E$49+BC39/Assumptions!$E$48*Assumptions!$E$50</f>
        <v>12371.8969434548</v>
      </c>
      <c r="BD78" s="44" t="n">
        <f aca="false">BD39*Assumptions!$E$49+BD39/Assumptions!$E$48*Assumptions!$E$50</f>
        <v>12826.6697080302</v>
      </c>
      <c r="BE78" s="44" t="n">
        <f aca="false">BE39*Assumptions!$E$49+BE39/Assumptions!$E$48*Assumptions!$E$50</f>
        <v>13281.3345077629</v>
      </c>
      <c r="BF78" s="44" t="n">
        <f aca="false">BF39*Assumptions!$E$49+BF39/Assumptions!$E$48*Assumptions!$E$50</f>
        <v>13732.536523575</v>
      </c>
      <c r="BG78" s="44" t="n">
        <f aca="false">BG39*Assumptions!$E$49+BG39/Assumptions!$E$48*Assumptions!$E$50</f>
        <v>14185.4588812136</v>
      </c>
      <c r="BH78" s="44" t="n">
        <f aca="false">BH39*Assumptions!$E$49+BH39/Assumptions!$E$48*Assumptions!$E$50</f>
        <v>14637.2716841489</v>
      </c>
      <c r="BI78" s="44" t="n">
        <f aca="false">BI39*Assumptions!$E$49+BI39/Assumptions!$E$48*Assumptions!$E$50</f>
        <v>15084.6956128362</v>
      </c>
      <c r="BJ78" s="44" t="n">
        <f aca="false">BJ39*Assumptions!$E$49+BJ39/Assumptions!$E$48*Assumptions!$E$50</f>
        <v>15532.9844187986</v>
      </c>
      <c r="BK78" s="44" t="n">
        <f aca="false">BK39*Assumptions!$E$49+BK39/Assumptions!$E$48*Assumptions!$E$50</f>
        <v>15979.3742721072</v>
      </c>
    </row>
    <row r="79" customFormat="false" ht="15" hidden="false" customHeight="false" outlineLevel="0" collapsed="false">
      <c r="B79" s="5" t="s">
        <v>666</v>
      </c>
    </row>
    <row r="80" customFormat="false" ht="15" hidden="false" customHeight="false" outlineLevel="0" collapsed="false">
      <c r="A80" s="28" t="s">
        <v>667</v>
      </c>
      <c r="B80" s="6" t="s">
        <v>668</v>
      </c>
      <c r="C80" s="51"/>
      <c r="D80" s="39" t="n">
        <f aca="false">IF(D76&gt;=0,1,0)</f>
        <v>0</v>
      </c>
      <c r="E80" s="39" t="n">
        <f aca="false">IF(E76&gt;=0,1,0)</f>
        <v>0</v>
      </c>
      <c r="F80" s="39" t="n">
        <f aca="false">IF(F76&gt;=0,1,0)</f>
        <v>0</v>
      </c>
      <c r="G80" s="39" t="n">
        <f aca="false">IF(G76&gt;=0,1,0)</f>
        <v>0</v>
      </c>
      <c r="H80" s="39" t="n">
        <f aca="false">IF(H76&gt;=0,1,0)</f>
        <v>0</v>
      </c>
      <c r="I80" s="39" t="n">
        <f aca="false">IF(I76&gt;=0,1,0)</f>
        <v>0</v>
      </c>
      <c r="J80" s="39" t="n">
        <f aca="false">IF(J76&gt;=0,1,0)</f>
        <v>0</v>
      </c>
      <c r="K80" s="39" t="n">
        <f aca="false">IF(K76&gt;=0,1,0)</f>
        <v>0</v>
      </c>
      <c r="L80" s="39" t="n">
        <f aca="false">IF(L76&gt;=0,1,0)</f>
        <v>0</v>
      </c>
      <c r="M80" s="39" t="n">
        <f aca="false">IF(M76&gt;=0,1,0)</f>
        <v>0</v>
      </c>
      <c r="N80" s="39" t="n">
        <f aca="false">IF(N76&gt;=0,1,0)</f>
        <v>0</v>
      </c>
      <c r="O80" s="39" t="n">
        <f aca="false">IF(O76&gt;=0,1,0)</f>
        <v>0</v>
      </c>
      <c r="P80" s="39" t="n">
        <f aca="false">IF(P76&gt;=0,1,0)</f>
        <v>0</v>
      </c>
      <c r="Q80" s="39" t="n">
        <f aca="false">IF(Q76&gt;=0,1,0)</f>
        <v>0</v>
      </c>
      <c r="R80" s="39" t="n">
        <f aca="false">IF(R76&gt;=0,1,0)</f>
        <v>0</v>
      </c>
      <c r="S80" s="39" t="n">
        <f aca="false">IF(S76&gt;=0,1,0)</f>
        <v>0</v>
      </c>
      <c r="T80" s="39" t="n">
        <f aca="false">IF(T76&gt;=0,1,0)</f>
        <v>0</v>
      </c>
      <c r="U80" s="39" t="n">
        <f aca="false">IF(U76&gt;=0,1,0)</f>
        <v>0</v>
      </c>
      <c r="V80" s="39" t="n">
        <f aca="false">IF(V76&gt;=0,1,0)</f>
        <v>0</v>
      </c>
      <c r="W80" s="39" t="n">
        <f aca="false">IF(W76&gt;=0,1,0)</f>
        <v>0</v>
      </c>
      <c r="X80" s="39" t="n">
        <f aca="false">IF(X76&gt;=0,1,0)</f>
        <v>0</v>
      </c>
      <c r="Y80" s="39" t="n">
        <f aca="false">IF(Y76&gt;=0,1,0)</f>
        <v>0</v>
      </c>
      <c r="Z80" s="39" t="n">
        <f aca="false">IF(Z76&gt;=0,1,0)</f>
        <v>0</v>
      </c>
      <c r="AA80" s="39" t="n">
        <f aca="false">IF(AA76&gt;=0,1,0)</f>
        <v>0</v>
      </c>
      <c r="AB80" s="39" t="n">
        <f aca="false">IF(AB76&gt;=0,1,0)</f>
        <v>0</v>
      </c>
      <c r="AC80" s="39" t="n">
        <f aca="false">IF(AC76&gt;=0,1,0)</f>
        <v>0</v>
      </c>
      <c r="AD80" s="39" t="n">
        <f aca="false">IF(AD76&gt;=0,1,0)</f>
        <v>0</v>
      </c>
      <c r="AE80" s="39" t="n">
        <f aca="false">IF(AE76&gt;=0,1,0)</f>
        <v>0</v>
      </c>
      <c r="AF80" s="39" t="n">
        <f aca="false">IF(AF76&gt;=0,1,0)</f>
        <v>0</v>
      </c>
      <c r="AG80" s="39" t="n">
        <f aca="false">IF(AG76&gt;=0,1,0)</f>
        <v>0</v>
      </c>
      <c r="AH80" s="39" t="n">
        <f aca="false">IF(AH76&gt;=0,1,0)</f>
        <v>0</v>
      </c>
      <c r="AI80" s="39" t="n">
        <f aca="false">IF(AI76&gt;=0,1,0)</f>
        <v>0</v>
      </c>
      <c r="AJ80" s="39" t="n">
        <f aca="false">IF(AJ76&gt;=0,1,0)</f>
        <v>0</v>
      </c>
      <c r="AK80" s="39" t="n">
        <f aca="false">IF(AK76&gt;=0,1,0)</f>
        <v>0</v>
      </c>
      <c r="AL80" s="39" t="n">
        <f aca="false">IF(AL76&gt;=0,1,0)</f>
        <v>0</v>
      </c>
      <c r="AM80" s="39" t="n">
        <f aca="false">IF(AM76&gt;=0,1,0)</f>
        <v>0</v>
      </c>
      <c r="AN80" s="40" t="n">
        <f aca="false">IF(AN76&gt;=0,1,0)</f>
        <v>0</v>
      </c>
      <c r="AO80" s="40" t="n">
        <f aca="false">IF(AO76&gt;=0,1,0)</f>
        <v>0</v>
      </c>
      <c r="AP80" s="40" t="n">
        <f aca="false">IF(AP76&gt;=0,1,0)</f>
        <v>0</v>
      </c>
      <c r="AQ80" s="40" t="n">
        <f aca="false">IF(AQ76&gt;=0,1,0)</f>
        <v>0</v>
      </c>
      <c r="AR80" s="40" t="n">
        <f aca="false">IF(AR76&gt;=0,1,0)</f>
        <v>0</v>
      </c>
      <c r="AS80" s="40" t="n">
        <f aca="false">IF(AS76&gt;=0,1,0)</f>
        <v>0</v>
      </c>
      <c r="AT80" s="40" t="n">
        <f aca="false">IF(AT76&gt;=0,1,0)</f>
        <v>0</v>
      </c>
      <c r="AU80" s="40" t="n">
        <f aca="false">IF(AU76&gt;=0,1,0)</f>
        <v>0</v>
      </c>
      <c r="AV80" s="40" t="n">
        <f aca="false">IF(AV76&gt;=0,1,0)</f>
        <v>0</v>
      </c>
      <c r="AW80" s="40" t="n">
        <f aca="false">IF(AW76&gt;=0,1,0)</f>
        <v>0</v>
      </c>
      <c r="AX80" s="40" t="n">
        <f aca="false">IF(AX76&gt;=0,1,0)</f>
        <v>0</v>
      </c>
      <c r="AY80" s="40" t="n">
        <f aca="false">IF(AY76&gt;=0,1,0)</f>
        <v>0</v>
      </c>
      <c r="AZ80" s="40" t="n">
        <f aca="false">IF(AZ76&gt;=0,1,0)</f>
        <v>0</v>
      </c>
      <c r="BA80" s="40" t="n">
        <f aca="false">IF(BA76&gt;=0,1,0)</f>
        <v>0</v>
      </c>
      <c r="BB80" s="40" t="n">
        <f aca="false">IF(BB76&gt;=0,1,0)</f>
        <v>0</v>
      </c>
      <c r="BC80" s="40" t="n">
        <f aca="false">IF(BC76&gt;=0,1,0)</f>
        <v>0</v>
      </c>
      <c r="BD80" s="40" t="n">
        <f aca="false">IF(BD76&gt;=0,1,0)</f>
        <v>0</v>
      </c>
      <c r="BE80" s="40" t="n">
        <f aca="false">IF(BE76&gt;=0,1,0)</f>
        <v>0</v>
      </c>
      <c r="BF80" s="40" t="n">
        <f aca="false">IF(BF76&gt;=0,1,0)</f>
        <v>0</v>
      </c>
      <c r="BG80" s="40" t="n">
        <f aca="false">IF(BG76&gt;=0,1,0)</f>
        <v>0</v>
      </c>
      <c r="BH80" s="40" t="n">
        <f aca="false">IF(BH76&gt;=0,1,0)</f>
        <v>0</v>
      </c>
      <c r="BI80" s="40" t="n">
        <f aca="false">IF(BI76&gt;=0,1,0)</f>
        <v>1</v>
      </c>
      <c r="BJ80" s="40" t="n">
        <f aca="false">IF(BJ76&gt;=0,1,0)</f>
        <v>0</v>
      </c>
      <c r="BK80" s="40" t="n">
        <f aca="false">IF(BK76&gt;=0,1,0)</f>
        <v>1</v>
      </c>
    </row>
    <row r="81" customFormat="false" ht="15" hidden="false" customHeight="false" outlineLevel="0" collapsed="false">
      <c r="A81" s="28" t="s">
        <v>669</v>
      </c>
      <c r="B81" s="6" t="s">
        <v>670</v>
      </c>
      <c r="C81" s="51"/>
      <c r="D81" s="39" t="n">
        <f aca="false">IF(AND(D80=1,E81=1),1,0)</f>
        <v>0</v>
      </c>
      <c r="E81" s="39" t="n">
        <f aca="false">IF(AND(E80=1,F81=1),1,0)</f>
        <v>0</v>
      </c>
      <c r="F81" s="39" t="n">
        <f aca="false">IF(AND(F80=1,G81=1),1,0)</f>
        <v>0</v>
      </c>
      <c r="G81" s="39" t="n">
        <f aca="false">IF(AND(G80=1,H81=1),1,0)</f>
        <v>0</v>
      </c>
      <c r="H81" s="39" t="n">
        <f aca="false">IF(AND(H80=1,I81=1),1,0)</f>
        <v>0</v>
      </c>
      <c r="I81" s="39" t="n">
        <f aca="false">IF(AND(I80=1,J81=1),1,0)</f>
        <v>0</v>
      </c>
      <c r="J81" s="39" t="n">
        <f aca="false">IF(AND(J80=1,K81=1),1,0)</f>
        <v>0</v>
      </c>
      <c r="K81" s="39" t="n">
        <f aca="false">IF(AND(K80=1,L81=1),1,0)</f>
        <v>0</v>
      </c>
      <c r="L81" s="39" t="n">
        <f aca="false">IF(AND(L80=1,M81=1),1,0)</f>
        <v>0</v>
      </c>
      <c r="M81" s="39" t="n">
        <f aca="false">IF(AND(M80=1,N81=1),1,0)</f>
        <v>0</v>
      </c>
      <c r="N81" s="39" t="n">
        <f aca="false">IF(AND(N80=1,O81=1),1,0)</f>
        <v>0</v>
      </c>
      <c r="O81" s="39" t="n">
        <f aca="false">IF(AND(O80=1,P81=1),1,0)</f>
        <v>0</v>
      </c>
      <c r="P81" s="39" t="n">
        <f aca="false">IF(AND(P80=1,Q81=1),1,0)</f>
        <v>0</v>
      </c>
      <c r="Q81" s="39" t="n">
        <f aca="false">IF(AND(Q80=1,R81=1),1,0)</f>
        <v>0</v>
      </c>
      <c r="R81" s="39" t="n">
        <f aca="false">IF(AND(R80=1,S81=1),1,0)</f>
        <v>0</v>
      </c>
      <c r="S81" s="39" t="n">
        <f aca="false">IF(AND(S80=1,T81=1),1,0)</f>
        <v>0</v>
      </c>
      <c r="T81" s="39" t="n">
        <f aca="false">IF(AND(T80=1,U81=1),1,0)</f>
        <v>0</v>
      </c>
      <c r="U81" s="39" t="n">
        <f aca="false">IF(AND(U80=1,V81=1),1,0)</f>
        <v>0</v>
      </c>
      <c r="V81" s="39" t="n">
        <f aca="false">IF(AND(V80=1,W81=1),1,0)</f>
        <v>0</v>
      </c>
      <c r="W81" s="39" t="n">
        <f aca="false">IF(AND(W80=1,X81=1),1,0)</f>
        <v>0</v>
      </c>
      <c r="X81" s="39" t="n">
        <f aca="false">IF(AND(X80=1,Y81=1),1,0)</f>
        <v>0</v>
      </c>
      <c r="Y81" s="39" t="n">
        <f aca="false">IF(AND(Y80=1,Z81=1),1,0)</f>
        <v>0</v>
      </c>
      <c r="Z81" s="39" t="n">
        <f aca="false">IF(AND(Z80=1,AA81=1),1,0)</f>
        <v>0</v>
      </c>
      <c r="AA81" s="39" t="n">
        <f aca="false">IF(AND(AA80=1,AB81=1),1,0)</f>
        <v>0</v>
      </c>
      <c r="AB81" s="39" t="n">
        <f aca="false">IF(AND(AB80=1,AC81=1),1,0)</f>
        <v>0</v>
      </c>
      <c r="AC81" s="39" t="n">
        <f aca="false">IF(AND(AC80=1,AD81=1),1,0)</f>
        <v>0</v>
      </c>
      <c r="AD81" s="39" t="n">
        <f aca="false">IF(AND(AD80=1,AE81=1),1,0)</f>
        <v>0</v>
      </c>
      <c r="AE81" s="39" t="n">
        <f aca="false">IF(AND(AE80=1,AF81=1),1,0)</f>
        <v>0</v>
      </c>
      <c r="AF81" s="39" t="n">
        <f aca="false">IF(AND(AF80=1,AG81=1),1,0)</f>
        <v>0</v>
      </c>
      <c r="AG81" s="39" t="n">
        <f aca="false">IF(AND(AG80=1,AH81=1),1,0)</f>
        <v>0</v>
      </c>
      <c r="AH81" s="39" t="n">
        <f aca="false">IF(AND(AH80=1,AI81=1),1,0)</f>
        <v>0</v>
      </c>
      <c r="AI81" s="39" t="n">
        <f aca="false">IF(AND(AI80=1,AJ81=1),1,0)</f>
        <v>0</v>
      </c>
      <c r="AJ81" s="39" t="n">
        <f aca="false">IF(AND(AJ80=1,AK81=1),1,0)</f>
        <v>0</v>
      </c>
      <c r="AK81" s="39" t="n">
        <f aca="false">IF(AND(AK80=1,AL81=1),1,0)</f>
        <v>0</v>
      </c>
      <c r="AL81" s="39" t="n">
        <f aca="false">IF(AND(AL80=1,AM81=1),1,0)</f>
        <v>0</v>
      </c>
      <c r="AM81" s="39" t="n">
        <f aca="false">AM80</f>
        <v>0</v>
      </c>
    </row>
    <row r="82" customFormat="false" ht="15" hidden="false" customHeight="false" outlineLevel="0" collapsed="false">
      <c r="A82" s="28" t="s">
        <v>671</v>
      </c>
      <c r="B82" s="6" t="s">
        <v>672</v>
      </c>
      <c r="C82" s="51"/>
      <c r="D82" s="39" t="n">
        <f aca="false">IF(AND(D80=1,E82=1),1,0)</f>
        <v>0</v>
      </c>
      <c r="E82" s="39" t="n">
        <f aca="false">IF(AND(E80=1,F82=1),1,0)</f>
        <v>0</v>
      </c>
      <c r="F82" s="39" t="n">
        <f aca="false">IF(AND(F80=1,G82=1),1,0)</f>
        <v>0</v>
      </c>
      <c r="G82" s="39" t="n">
        <f aca="false">IF(AND(G80=1,H82=1),1,0)</f>
        <v>0</v>
      </c>
      <c r="H82" s="39" t="n">
        <f aca="false">IF(AND(H80=1,I82=1),1,0)</f>
        <v>0</v>
      </c>
      <c r="I82" s="39" t="n">
        <f aca="false">IF(AND(I80=1,J82=1),1,0)</f>
        <v>0</v>
      </c>
      <c r="J82" s="39" t="n">
        <f aca="false">IF(AND(J80=1,K82=1),1,0)</f>
        <v>0</v>
      </c>
      <c r="K82" s="39" t="n">
        <f aca="false">IF(AND(K80=1,L82=1),1,0)</f>
        <v>0</v>
      </c>
      <c r="L82" s="39" t="n">
        <f aca="false">IF(AND(L80=1,M82=1),1,0)</f>
        <v>0</v>
      </c>
      <c r="M82" s="39" t="n">
        <f aca="false">IF(AND(M80=1,N82=1),1,0)</f>
        <v>0</v>
      </c>
      <c r="N82" s="39" t="n">
        <f aca="false">IF(AND(N80=1,O82=1),1,0)</f>
        <v>0</v>
      </c>
      <c r="O82" s="39" t="n">
        <f aca="false">IF(AND(O80=1,P82=1),1,0)</f>
        <v>0</v>
      </c>
      <c r="P82" s="39" t="n">
        <f aca="false">IF(AND(P80=1,Q82=1),1,0)</f>
        <v>0</v>
      </c>
      <c r="Q82" s="39" t="n">
        <f aca="false">IF(AND(Q80=1,R82=1),1,0)</f>
        <v>0</v>
      </c>
      <c r="R82" s="39" t="n">
        <f aca="false">IF(AND(R80=1,S82=1),1,0)</f>
        <v>0</v>
      </c>
      <c r="S82" s="39" t="n">
        <f aca="false">IF(AND(S80=1,T82=1),1,0)</f>
        <v>0</v>
      </c>
      <c r="T82" s="39" t="n">
        <f aca="false">IF(AND(T80=1,U82=1),1,0)</f>
        <v>0</v>
      </c>
      <c r="U82" s="39" t="n">
        <f aca="false">IF(AND(U80=1,V82=1),1,0)</f>
        <v>0</v>
      </c>
      <c r="V82" s="39" t="n">
        <f aca="false">IF(AND(V80=1,W82=1),1,0)</f>
        <v>0</v>
      </c>
      <c r="W82" s="39" t="n">
        <f aca="false">IF(AND(W80=1,X82=1),1,0)</f>
        <v>0</v>
      </c>
      <c r="X82" s="39" t="n">
        <f aca="false">IF(AND(X80=1,Y82=1),1,0)</f>
        <v>0</v>
      </c>
      <c r="Y82" s="39" t="n">
        <f aca="false">IF(AND(Y80=1,Z82=1),1,0)</f>
        <v>0</v>
      </c>
      <c r="Z82" s="39" t="n">
        <f aca="false">IF(AND(Z80=1,AA82=1),1,0)</f>
        <v>0</v>
      </c>
      <c r="AA82" s="39" t="n">
        <f aca="false">IF(AND(AA80=1,AB82=1),1,0)</f>
        <v>0</v>
      </c>
      <c r="AB82" s="39" t="n">
        <f aca="false">IF(AND(AB80=1,AC82=1),1,0)</f>
        <v>0</v>
      </c>
      <c r="AC82" s="39" t="n">
        <f aca="false">IF(AND(AC80=1,AD82=1),1,0)</f>
        <v>0</v>
      </c>
      <c r="AD82" s="39" t="n">
        <f aca="false">IF(AND(AD80=1,AE82=1),1,0)</f>
        <v>0</v>
      </c>
      <c r="AE82" s="39" t="n">
        <f aca="false">IF(AND(AE80=1,AF82=1),1,0)</f>
        <v>0</v>
      </c>
      <c r="AF82" s="39" t="n">
        <f aca="false">IF(AND(AF80=1,AG82=1),1,0)</f>
        <v>0</v>
      </c>
      <c r="AG82" s="39" t="n">
        <f aca="false">IF(AND(AG80=1,AH82=1),1,0)</f>
        <v>0</v>
      </c>
      <c r="AH82" s="39" t="n">
        <f aca="false">IF(AND(AH80=1,AI82=1),1,0)</f>
        <v>0</v>
      </c>
      <c r="AI82" s="39" t="n">
        <f aca="false">IF(AND(AI80=1,AJ82=1),1,0)</f>
        <v>0</v>
      </c>
      <c r="AJ82" s="39" t="n">
        <f aca="false">IF(AND(AJ80=1,AK82=1),1,0)</f>
        <v>0</v>
      </c>
      <c r="AK82" s="39" t="n">
        <f aca="false">IF(AND(AK80=1,AL82=1),1,0)</f>
        <v>0</v>
      </c>
      <c r="AL82" s="39" t="n">
        <f aca="false">IF(AND(AL80=1,AM82=1),1,0)</f>
        <v>0</v>
      </c>
      <c r="AM82" s="39" t="n">
        <f aca="false">IF(AND(AM80=1,AN82=1),1,0)</f>
        <v>0</v>
      </c>
      <c r="AN82" s="39" t="n">
        <f aca="false">IF(AND(AN80=1,AO82=1),1,0)</f>
        <v>0</v>
      </c>
      <c r="AO82" s="39" t="n">
        <f aca="false">IF(AND(AO80=1,AP82=1),1,0)</f>
        <v>0</v>
      </c>
      <c r="AP82" s="39" t="n">
        <f aca="false">IF(AND(AP80=1,AQ82=1),1,0)</f>
        <v>0</v>
      </c>
      <c r="AQ82" s="39" t="n">
        <f aca="false">IF(AND(AQ80=1,AR82=1),1,0)</f>
        <v>0</v>
      </c>
      <c r="AR82" s="39" t="n">
        <f aca="false">IF(AND(AR80=1,AS82=1),1,0)</f>
        <v>0</v>
      </c>
      <c r="AS82" s="39" t="n">
        <f aca="false">IF(AND(AS80=1,AT82=1),1,0)</f>
        <v>0</v>
      </c>
      <c r="AT82" s="39" t="n">
        <f aca="false">IF(AND(AT80=1,AU82=1),1,0)</f>
        <v>0</v>
      </c>
      <c r="AU82" s="39" t="n">
        <f aca="false">IF(AND(AU80=1,AV82=1),1,0)</f>
        <v>0</v>
      </c>
      <c r="AV82" s="39" t="n">
        <f aca="false">IF(AND(AV80=1,AW82=1),1,0)</f>
        <v>0</v>
      </c>
      <c r="AW82" s="39" t="n">
        <f aca="false">IF(AND(AW80=1,AX82=1),1,0)</f>
        <v>0</v>
      </c>
      <c r="AX82" s="39" t="n">
        <f aca="false">IF(AND(AX80=1,AY82=1),1,0)</f>
        <v>0</v>
      </c>
      <c r="AY82" s="39" t="n">
        <f aca="false">IF(AND(AY80=1,AZ82=1),1,0)</f>
        <v>0</v>
      </c>
      <c r="AZ82" s="39" t="n">
        <f aca="false">IF(AND(AZ80=1,BA82=1),1,0)</f>
        <v>0</v>
      </c>
      <c r="BA82" s="39" t="n">
        <f aca="false">IF(AND(BA80=1,BB82=1),1,0)</f>
        <v>0</v>
      </c>
      <c r="BB82" s="39" t="n">
        <f aca="false">IF(AND(BB80=1,BC82=1),1,0)</f>
        <v>0</v>
      </c>
      <c r="BC82" s="39" t="n">
        <f aca="false">IF(AND(BC80=1,BD82=1),1,0)</f>
        <v>0</v>
      </c>
      <c r="BD82" s="39" t="n">
        <f aca="false">IF(AND(BD80=1,BE82=1),1,0)</f>
        <v>0</v>
      </c>
      <c r="BE82" s="39" t="n">
        <f aca="false">IF(AND(BE80=1,BF82=1),1,0)</f>
        <v>0</v>
      </c>
      <c r="BF82" s="39" t="n">
        <f aca="false">IF(AND(BF80=1,BG82=1),1,0)</f>
        <v>0</v>
      </c>
      <c r="BG82" s="39" t="n">
        <f aca="false">IF(AND(BG80=1,BH82=1),1,0)</f>
        <v>0</v>
      </c>
      <c r="BH82" s="39" t="n">
        <f aca="false">IF(AND(BH80=1,BI82=1),1,0)</f>
        <v>0</v>
      </c>
      <c r="BI82" s="39" t="n">
        <f aca="false">IF(AND(BI80=1,BJ82=1),1,0)</f>
        <v>0</v>
      </c>
      <c r="BJ82" s="39" t="n">
        <f aca="false">IF(AND(BJ80=1,BK82=1),1,0)</f>
        <v>0</v>
      </c>
      <c r="BK82" s="39" t="n">
        <f aca="false">BK80</f>
        <v>1</v>
      </c>
    </row>
    <row r="84" customFormat="false" ht="17.35" hidden="false" customHeight="false" outlineLevel="0" collapsed="false">
      <c r="B84" s="1" t="s">
        <v>673</v>
      </c>
    </row>
    <row r="85" customFormat="false" ht="15" hidden="false" customHeight="false" outlineLevel="0" collapsed="false">
      <c r="B85" s="5" t="s">
        <v>674</v>
      </c>
      <c r="C85" s="52" t="str">
        <f aca="false">IFERROR(MATCH(1,D81:AM81,0),"none")</f>
        <v>none</v>
      </c>
    </row>
    <row r="86" customFormat="false" ht="15" hidden="false" customHeight="false" outlineLevel="0" collapsed="false">
      <c r="B86" s="5" t="s">
        <v>675</v>
      </c>
      <c r="C86" s="52" t="n">
        <f aca="false">IFERROR(MATCH(1,D82:BK82,0),"none")</f>
        <v>60</v>
      </c>
    </row>
    <row r="87" customFormat="false" ht="15" hidden="false" customHeight="false" outlineLevel="0" collapsed="false">
      <c r="B87" s="5" t="s">
        <v>676</v>
      </c>
      <c r="C87" s="52" t="str">
        <f aca="false">IFERROR(MATCH(1,D80:AM80,0),"none")</f>
        <v>none</v>
      </c>
    </row>
    <row r="88" customFormat="false" ht="15" hidden="false" customHeight="false" outlineLevel="0" collapsed="false">
      <c r="B88" s="5" t="s">
        <v>485</v>
      </c>
      <c r="C88" s="53" t="n">
        <f aca="false">-MIN(0,MIN(D77:AM77))</f>
        <v>310918.02818356</v>
      </c>
    </row>
    <row r="89" customFormat="false" ht="15" hidden="false" customHeight="false" outlineLevel="0" collapsed="false">
      <c r="B89" s="5" t="s">
        <v>677</v>
      </c>
      <c r="C89" s="52" t="n">
        <f aca="false">MATCH(MIN(D77:AM77),D77:AM77,0)</f>
        <v>36</v>
      </c>
    </row>
    <row r="90" customFormat="false" ht="15" hidden="false" customHeight="false" outlineLevel="0" collapsed="false">
      <c r="B90" s="5" t="s">
        <v>678</v>
      </c>
      <c r="C90" s="53" t="n">
        <f aca="false">-MIN(0,MIN(D77:BK77))</f>
        <v>401426.703514944</v>
      </c>
    </row>
    <row r="91" customFormat="false" ht="15" hidden="false" customHeight="false" outlineLevel="0" collapsed="false">
      <c r="B91" s="5" t="s">
        <v>488</v>
      </c>
      <c r="C91" s="52" t="n">
        <f aca="false">IFERROR(MATCH(1,D16:AM16,0),"none")</f>
        <v>18</v>
      </c>
    </row>
    <row r="92" customFormat="false" ht="15" hidden="false" customHeight="false" outlineLevel="0" collapsed="false">
      <c r="B92" s="5" t="s">
        <v>489</v>
      </c>
      <c r="C92" s="52" t="n">
        <f aca="false">IFERROR(MATCH(1,D17:AM17,0),"none")</f>
        <v>12</v>
      </c>
    </row>
    <row r="93" customFormat="false" ht="15" hidden="false" customHeight="false" outlineLevel="0" collapsed="false">
      <c r="B93" s="5" t="s">
        <v>679</v>
      </c>
      <c r="C93" s="52" t="n">
        <f aca="false">IFERROR(MATCH(1,D18:AM18,0),"none")</f>
        <v>18</v>
      </c>
    </row>
    <row r="94" customFormat="false" ht="15" hidden="false" customHeight="false" outlineLevel="0" collapsed="false">
      <c r="B94" s="5" t="s">
        <v>491</v>
      </c>
      <c r="C94" s="52" t="n">
        <f aca="false">IFERROR(MATCH(1,D19:AM19,0),"none")</f>
        <v>31</v>
      </c>
    </row>
    <row r="95" customFormat="false" ht="15" hidden="false" customHeight="false" outlineLevel="0" collapsed="false">
      <c r="B95" s="5" t="s">
        <v>492</v>
      </c>
      <c r="C95" s="54" t="n">
        <f aca="false">AM13</f>
        <v>398.760479684234</v>
      </c>
    </row>
    <row r="96" customFormat="false" ht="15" hidden="false" customHeight="false" outlineLevel="0" collapsed="false">
      <c r="B96" s="5" t="s">
        <v>493</v>
      </c>
      <c r="C96" s="54" t="n">
        <f aca="false">AM32</f>
        <v>62.5414685025348</v>
      </c>
    </row>
    <row r="97" customFormat="false" ht="15" hidden="false" customHeight="false" outlineLevel="0" collapsed="false">
      <c r="B97" s="5" t="s">
        <v>494</v>
      </c>
      <c r="C97" s="54" t="n">
        <f aca="false">AM24</f>
        <v>19474.9912321755</v>
      </c>
    </row>
    <row r="98" customFormat="false" ht="15" hidden="false" customHeight="false" outlineLevel="0" collapsed="false">
      <c r="B98" s="5" t="s">
        <v>495</v>
      </c>
      <c r="C98" s="53" t="n">
        <f aca="false">AM46</f>
        <v>10333.8283856429</v>
      </c>
    </row>
    <row r="99" customFormat="false" ht="15" hidden="false" customHeight="false" outlineLevel="0" collapsed="false">
      <c r="B99" s="5" t="s">
        <v>496</v>
      </c>
      <c r="C99" s="53" t="n">
        <f aca="false">AM76</f>
        <v>-7711.50744197948</v>
      </c>
    </row>
    <row r="100" customFormat="false" ht="15" hidden="false" customHeight="false" outlineLevel="0" collapsed="false">
      <c r="B100" s="5" t="s">
        <v>497</v>
      </c>
      <c r="C100" s="53" t="n">
        <f aca="false">SUM(D46:O46)</f>
        <v>35.1665104930414</v>
      </c>
    </row>
    <row r="101" customFormat="false" ht="15" hidden="false" customHeight="false" outlineLevel="0" collapsed="false">
      <c r="B101" s="5" t="s">
        <v>498</v>
      </c>
      <c r="C101" s="53" t="n">
        <f aca="false">SUM(P46:AA46)</f>
        <v>14442.0056273632</v>
      </c>
    </row>
    <row r="102" customFormat="false" ht="15" hidden="false" customHeight="false" outlineLevel="0" collapsed="false">
      <c r="B102" s="5" t="s">
        <v>499</v>
      </c>
      <c r="C102" s="53" t="n">
        <f aca="false">SUM(AB46:AM46)</f>
        <v>74485.4603965307</v>
      </c>
    </row>
    <row r="103" customFormat="false" ht="15" hidden="false" customHeight="false" outlineLevel="0" collapsed="false">
      <c r="B103" s="5" t="s">
        <v>500</v>
      </c>
      <c r="C103" s="53" t="n">
        <f aca="false">SUM(D76:O76)</f>
        <v>-84344.4152191027</v>
      </c>
    </row>
    <row r="104" customFormat="false" ht="15" hidden="false" customHeight="false" outlineLevel="0" collapsed="false">
      <c r="B104" s="5" t="s">
        <v>501</v>
      </c>
      <c r="C104" s="53" t="n">
        <f aca="false">SUM(P76:AA76)</f>
        <v>-110057.239591176</v>
      </c>
    </row>
    <row r="105" customFormat="false" ht="15" hidden="false" customHeight="false" outlineLevel="0" collapsed="false">
      <c r="B105" s="5" t="s">
        <v>502</v>
      </c>
      <c r="C105" s="53" t="n">
        <f aca="false">SUM(AB76:AM76)</f>
        <v>-116516.373373281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63" min="3" style="0" width="11"/>
  </cols>
  <sheetData>
    <row r="1" customFormat="false" ht="17.35" hidden="false" customHeight="false" outlineLevel="0" collapsed="false">
      <c r="A1" s="1" t="s">
        <v>684</v>
      </c>
    </row>
    <row r="2" customFormat="false" ht="15" hidden="false" customHeight="false" outlineLevel="0" collapsed="false">
      <c r="A2" s="3" t="s">
        <v>685</v>
      </c>
    </row>
    <row r="4" customFormat="false" ht="15" hidden="false" customHeight="false" outlineLevel="0" collapsed="false">
      <c r="B4" s="5" t="s">
        <v>531</v>
      </c>
      <c r="C4" s="4" t="n">
        <v>0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19" t="n">
        <v>37</v>
      </c>
      <c r="AO4" s="19" t="n">
        <v>38</v>
      </c>
      <c r="AP4" s="19" t="n">
        <v>39</v>
      </c>
      <c r="AQ4" s="19" t="n">
        <v>40</v>
      </c>
      <c r="AR4" s="19" t="n">
        <v>41</v>
      </c>
      <c r="AS4" s="19" t="n">
        <v>42</v>
      </c>
      <c r="AT4" s="19" t="n">
        <v>43</v>
      </c>
      <c r="AU4" s="19" t="n">
        <v>44</v>
      </c>
      <c r="AV4" s="19" t="n">
        <v>45</v>
      </c>
      <c r="AW4" s="19" t="n">
        <v>46</v>
      </c>
      <c r="AX4" s="19" t="n">
        <v>47</v>
      </c>
      <c r="AY4" s="19" t="n">
        <v>48</v>
      </c>
      <c r="AZ4" s="19" t="n">
        <v>49</v>
      </c>
      <c r="BA4" s="19" t="n">
        <v>50</v>
      </c>
      <c r="BB4" s="19" t="n">
        <v>51</v>
      </c>
      <c r="BC4" s="19" t="n">
        <v>52</v>
      </c>
      <c r="BD4" s="19" t="n">
        <v>53</v>
      </c>
      <c r="BE4" s="19" t="n">
        <v>54</v>
      </c>
      <c r="BF4" s="19" t="n">
        <v>55</v>
      </c>
      <c r="BG4" s="19" t="n">
        <v>56</v>
      </c>
      <c r="BH4" s="19" t="n">
        <v>57</v>
      </c>
      <c r="BI4" s="19" t="n">
        <v>58</v>
      </c>
      <c r="BJ4" s="19" t="n">
        <v>59</v>
      </c>
      <c r="BK4" s="19" t="n">
        <v>60</v>
      </c>
    </row>
    <row r="5" customFormat="false" ht="15" hidden="false" customHeight="false" outlineLevel="0" collapsed="false">
      <c r="B5" s="5" t="s">
        <v>402</v>
      </c>
      <c r="C5" s="5" t="s">
        <v>532</v>
      </c>
      <c r="D5" s="5" t="s">
        <v>403</v>
      </c>
      <c r="E5" s="5" t="s">
        <v>404</v>
      </c>
      <c r="F5" s="5" t="s">
        <v>405</v>
      </c>
      <c r="G5" s="5" t="s">
        <v>406</v>
      </c>
      <c r="H5" s="5" t="s">
        <v>407</v>
      </c>
      <c r="I5" s="5" t="s">
        <v>408</v>
      </c>
      <c r="J5" s="5" t="s">
        <v>409</v>
      </c>
      <c r="K5" s="5" t="s">
        <v>410</v>
      </c>
      <c r="L5" s="5" t="s">
        <v>411</v>
      </c>
      <c r="M5" s="5" t="s">
        <v>412</v>
      </c>
      <c r="N5" s="5" t="s">
        <v>413</v>
      </c>
      <c r="O5" s="5" t="s">
        <v>414</v>
      </c>
      <c r="P5" s="5" t="s">
        <v>415</v>
      </c>
      <c r="Q5" s="5" t="s">
        <v>416</v>
      </c>
      <c r="R5" s="5" t="s">
        <v>417</v>
      </c>
      <c r="S5" s="5" t="s">
        <v>418</v>
      </c>
      <c r="T5" s="5" t="s">
        <v>419</v>
      </c>
      <c r="U5" s="5" t="s">
        <v>420</v>
      </c>
      <c r="V5" s="5" t="s">
        <v>421</v>
      </c>
      <c r="W5" s="5" t="s">
        <v>422</v>
      </c>
      <c r="X5" s="5" t="s">
        <v>423</v>
      </c>
      <c r="Y5" s="5" t="s">
        <v>424</v>
      </c>
      <c r="Z5" s="5" t="s">
        <v>425</v>
      </c>
      <c r="AA5" s="5" t="s">
        <v>426</v>
      </c>
      <c r="AB5" s="5" t="s">
        <v>427</v>
      </c>
      <c r="AC5" s="5" t="s">
        <v>428</v>
      </c>
      <c r="AD5" s="5" t="s">
        <v>429</v>
      </c>
      <c r="AE5" s="5" t="s">
        <v>430</v>
      </c>
      <c r="AF5" s="5" t="s">
        <v>431</v>
      </c>
      <c r="AG5" s="5" t="s">
        <v>432</v>
      </c>
      <c r="AH5" s="5" t="s">
        <v>433</v>
      </c>
      <c r="AI5" s="5" t="s">
        <v>434</v>
      </c>
      <c r="AJ5" s="5" t="s">
        <v>435</v>
      </c>
      <c r="AK5" s="5" t="s">
        <v>436</v>
      </c>
      <c r="AL5" s="5" t="s">
        <v>437</v>
      </c>
      <c r="AM5" s="5" t="s">
        <v>438</v>
      </c>
      <c r="AN5" s="5" t="s">
        <v>439</v>
      </c>
      <c r="AO5" s="5" t="s">
        <v>440</v>
      </c>
      <c r="AP5" s="5" t="s">
        <v>441</v>
      </c>
      <c r="AQ5" s="5" t="s">
        <v>442</v>
      </c>
      <c r="AR5" s="5" t="s">
        <v>443</v>
      </c>
      <c r="AS5" s="5" t="s">
        <v>444</v>
      </c>
      <c r="AT5" s="5" t="s">
        <v>445</v>
      </c>
      <c r="AU5" s="5" t="s">
        <v>446</v>
      </c>
      <c r="AV5" s="5" t="s">
        <v>447</v>
      </c>
      <c r="AW5" s="5" t="s">
        <v>448</v>
      </c>
      <c r="AX5" s="5" t="s">
        <v>449</v>
      </c>
      <c r="AY5" s="5" t="s">
        <v>450</v>
      </c>
      <c r="AZ5" s="5" t="s">
        <v>451</v>
      </c>
      <c r="BA5" s="5" t="s">
        <v>452</v>
      </c>
      <c r="BB5" s="5" t="s">
        <v>453</v>
      </c>
      <c r="BC5" s="5" t="s">
        <v>454</v>
      </c>
      <c r="BD5" s="5" t="s">
        <v>455</v>
      </c>
      <c r="BE5" s="5" t="s">
        <v>456</v>
      </c>
      <c r="BF5" s="5" t="s">
        <v>457</v>
      </c>
      <c r="BG5" s="5" t="s">
        <v>458</v>
      </c>
      <c r="BH5" s="5" t="s">
        <v>459</v>
      </c>
      <c r="BI5" s="5" t="s">
        <v>460</v>
      </c>
      <c r="BJ5" s="5" t="s">
        <v>461</v>
      </c>
      <c r="BK5" s="5" t="s">
        <v>462</v>
      </c>
    </row>
    <row r="6" customFormat="false" ht="15" hidden="false" customHeight="false" outlineLevel="0" collapsed="false">
      <c r="B6" s="5" t="s">
        <v>533</v>
      </c>
    </row>
    <row r="7" customFormat="false" ht="15" hidden="false" customHeight="false" outlineLevel="0" collapsed="false">
      <c r="A7" s="28" t="s">
        <v>534</v>
      </c>
      <c r="B7" s="6" t="s">
        <v>531</v>
      </c>
      <c r="C7" s="29" t="n">
        <v>0</v>
      </c>
      <c r="D7" s="30" t="n">
        <v>1</v>
      </c>
      <c r="E7" s="30" t="n">
        <v>2</v>
      </c>
      <c r="F7" s="30" t="n">
        <v>3</v>
      </c>
      <c r="G7" s="30" t="n">
        <v>4</v>
      </c>
      <c r="H7" s="30" t="n">
        <v>5</v>
      </c>
      <c r="I7" s="30" t="n">
        <v>6</v>
      </c>
      <c r="J7" s="30" t="n">
        <v>7</v>
      </c>
      <c r="K7" s="30" t="n">
        <v>8</v>
      </c>
      <c r="L7" s="30" t="n">
        <v>9</v>
      </c>
      <c r="M7" s="30" t="n">
        <v>10</v>
      </c>
      <c r="N7" s="30" t="n">
        <v>11</v>
      </c>
      <c r="O7" s="30" t="n">
        <v>12</v>
      </c>
      <c r="P7" s="30" t="n">
        <v>13</v>
      </c>
      <c r="Q7" s="30" t="n">
        <v>14</v>
      </c>
      <c r="R7" s="30" t="n">
        <v>15</v>
      </c>
      <c r="S7" s="30" t="n">
        <v>16</v>
      </c>
      <c r="T7" s="30" t="n">
        <v>17</v>
      </c>
      <c r="U7" s="30" t="n">
        <v>18</v>
      </c>
      <c r="V7" s="30" t="n">
        <v>19</v>
      </c>
      <c r="W7" s="30" t="n">
        <v>20</v>
      </c>
      <c r="X7" s="30" t="n">
        <v>21</v>
      </c>
      <c r="Y7" s="30" t="n">
        <v>22</v>
      </c>
      <c r="Z7" s="30" t="n">
        <v>23</v>
      </c>
      <c r="AA7" s="30" t="n">
        <v>24</v>
      </c>
      <c r="AB7" s="30" t="n">
        <v>25</v>
      </c>
      <c r="AC7" s="30" t="n">
        <v>26</v>
      </c>
      <c r="AD7" s="30" t="n">
        <v>27</v>
      </c>
      <c r="AE7" s="30" t="n">
        <v>28</v>
      </c>
      <c r="AF7" s="30" t="n">
        <v>29</v>
      </c>
      <c r="AG7" s="30" t="n">
        <v>30</v>
      </c>
      <c r="AH7" s="30" t="n">
        <v>31</v>
      </c>
      <c r="AI7" s="30" t="n">
        <v>32</v>
      </c>
      <c r="AJ7" s="30" t="n">
        <v>33</v>
      </c>
      <c r="AK7" s="30" t="n">
        <v>34</v>
      </c>
      <c r="AL7" s="30" t="n">
        <v>35</v>
      </c>
      <c r="AM7" s="30" t="n">
        <v>36</v>
      </c>
      <c r="AN7" s="31" t="n">
        <v>37</v>
      </c>
      <c r="AO7" s="31" t="n">
        <v>38</v>
      </c>
      <c r="AP7" s="31" t="n">
        <v>39</v>
      </c>
      <c r="AQ7" s="31" t="n">
        <v>40</v>
      </c>
      <c r="AR7" s="31" t="n">
        <v>41</v>
      </c>
      <c r="AS7" s="31" t="n">
        <v>42</v>
      </c>
      <c r="AT7" s="31" t="n">
        <v>43</v>
      </c>
      <c r="AU7" s="31" t="n">
        <v>44</v>
      </c>
      <c r="AV7" s="31" t="n">
        <v>45</v>
      </c>
      <c r="AW7" s="31" t="n">
        <v>46</v>
      </c>
      <c r="AX7" s="31" t="n">
        <v>47</v>
      </c>
      <c r="AY7" s="31" t="n">
        <v>48</v>
      </c>
      <c r="AZ7" s="31" t="n">
        <v>49</v>
      </c>
      <c r="BA7" s="31" t="n">
        <v>50</v>
      </c>
      <c r="BB7" s="31" t="n">
        <v>51</v>
      </c>
      <c r="BC7" s="31" t="n">
        <v>52</v>
      </c>
      <c r="BD7" s="31" t="n">
        <v>53</v>
      </c>
      <c r="BE7" s="31" t="n">
        <v>54</v>
      </c>
      <c r="BF7" s="31" t="n">
        <v>55</v>
      </c>
      <c r="BG7" s="31" t="n">
        <v>56</v>
      </c>
      <c r="BH7" s="31" t="n">
        <v>57</v>
      </c>
      <c r="BI7" s="31" t="n">
        <v>58</v>
      </c>
      <c r="BJ7" s="31" t="n">
        <v>59</v>
      </c>
      <c r="BK7" s="31" t="n">
        <v>60</v>
      </c>
    </row>
    <row r="8" customFormat="false" ht="15" hidden="false" customHeight="false" outlineLevel="0" collapsed="false">
      <c r="A8" s="28" t="s">
        <v>535</v>
      </c>
      <c r="B8" s="6" t="s">
        <v>536</v>
      </c>
      <c r="C8" s="32" t="n">
        <v>0</v>
      </c>
      <c r="D8" s="23" t="n">
        <f aca="false">Assumptions!C$142</f>
        <v>0</v>
      </c>
      <c r="E8" s="23" t="n">
        <f aca="false">Assumptions!D$142</f>
        <v>0</v>
      </c>
      <c r="F8" s="23" t="n">
        <f aca="false">Assumptions!E$142</f>
        <v>0</v>
      </c>
      <c r="G8" s="23" t="n">
        <f aca="false">Assumptions!F$142</f>
        <v>0</v>
      </c>
      <c r="H8" s="23" t="n">
        <f aca="false">Assumptions!G$142</f>
        <v>1</v>
      </c>
      <c r="I8" s="23" t="n">
        <f aca="false">Assumptions!H$142</f>
        <v>0</v>
      </c>
      <c r="J8" s="23" t="n">
        <f aca="false">Assumptions!I$142</f>
        <v>0</v>
      </c>
      <c r="K8" s="23" t="n">
        <f aca="false">Assumptions!J$142</f>
        <v>1</v>
      </c>
      <c r="L8" s="23" t="n">
        <f aca="false">Assumptions!K$142</f>
        <v>1</v>
      </c>
      <c r="M8" s="23" t="n">
        <f aca="false">Assumptions!L$142</f>
        <v>0</v>
      </c>
      <c r="N8" s="23" t="n">
        <f aca="false">Assumptions!M$142</f>
        <v>1</v>
      </c>
      <c r="O8" s="23" t="n">
        <f aca="false">Assumptions!N$142</f>
        <v>1</v>
      </c>
      <c r="P8" s="23" t="n">
        <f aca="false">Assumptions!O$142</f>
        <v>1</v>
      </c>
      <c r="Q8" s="23" t="n">
        <f aca="false">Assumptions!P$142</f>
        <v>1</v>
      </c>
      <c r="R8" s="23" t="n">
        <f aca="false">Assumptions!Q$142</f>
        <v>1</v>
      </c>
      <c r="S8" s="23" t="n">
        <f aca="false">Assumptions!R$142</f>
        <v>1</v>
      </c>
      <c r="T8" s="23" t="n">
        <f aca="false">Assumptions!S$142</f>
        <v>1</v>
      </c>
      <c r="U8" s="23" t="n">
        <f aca="false">Assumptions!T$142</f>
        <v>1</v>
      </c>
      <c r="V8" s="23" t="n">
        <f aca="false">Assumptions!U$142</f>
        <v>1</v>
      </c>
      <c r="W8" s="23" t="n">
        <f aca="false">Assumptions!V$142</f>
        <v>2</v>
      </c>
      <c r="X8" s="23" t="n">
        <f aca="false">Assumptions!W$142</f>
        <v>1</v>
      </c>
      <c r="Y8" s="23" t="n">
        <f aca="false">Assumptions!X$142</f>
        <v>1</v>
      </c>
      <c r="Z8" s="23" t="n">
        <f aca="false">Assumptions!Y$142</f>
        <v>2</v>
      </c>
      <c r="AA8" s="23" t="n">
        <f aca="false">Assumptions!Z$142</f>
        <v>1</v>
      </c>
      <c r="AB8" s="23" t="n">
        <f aca="false">Assumptions!AA$142</f>
        <v>1</v>
      </c>
      <c r="AC8" s="23" t="n">
        <f aca="false">Assumptions!AB$142</f>
        <v>2</v>
      </c>
      <c r="AD8" s="23" t="n">
        <f aca="false">Assumptions!AC$142</f>
        <v>2</v>
      </c>
      <c r="AE8" s="23" t="n">
        <f aca="false">Assumptions!AD$142</f>
        <v>1</v>
      </c>
      <c r="AF8" s="23" t="n">
        <f aca="false">Assumptions!AE$142</f>
        <v>2</v>
      </c>
      <c r="AG8" s="23" t="n">
        <f aca="false">Assumptions!AF$142</f>
        <v>2</v>
      </c>
      <c r="AH8" s="23" t="n">
        <f aca="false">Assumptions!AG$142</f>
        <v>1</v>
      </c>
      <c r="AI8" s="23" t="n">
        <f aca="false">Assumptions!AH$142</f>
        <v>2</v>
      </c>
      <c r="AJ8" s="23" t="n">
        <f aca="false">Assumptions!AI$142</f>
        <v>2</v>
      </c>
      <c r="AK8" s="23" t="n">
        <f aca="false">Assumptions!AJ$142</f>
        <v>2</v>
      </c>
      <c r="AL8" s="23" t="n">
        <f aca="false">Assumptions!AK$142</f>
        <v>2</v>
      </c>
      <c r="AM8" s="23" t="n">
        <f aca="false">Assumptions!AL$142</f>
        <v>2</v>
      </c>
      <c r="AN8" s="33" t="n">
        <f aca="false">Assumptions!AM$142</f>
        <v>2</v>
      </c>
      <c r="AO8" s="33" t="n">
        <f aca="false">Assumptions!AN$142</f>
        <v>2</v>
      </c>
      <c r="AP8" s="33" t="n">
        <f aca="false">Assumptions!AO$142</f>
        <v>2</v>
      </c>
      <c r="AQ8" s="33" t="n">
        <f aca="false">Assumptions!AP$142</f>
        <v>2</v>
      </c>
      <c r="AR8" s="33" t="n">
        <f aca="false">Assumptions!AQ$142</f>
        <v>2</v>
      </c>
      <c r="AS8" s="33" t="n">
        <f aca="false">Assumptions!AR$142</f>
        <v>2</v>
      </c>
      <c r="AT8" s="33" t="n">
        <f aca="false">Assumptions!AS$142</f>
        <v>2</v>
      </c>
      <c r="AU8" s="33" t="n">
        <f aca="false">Assumptions!AT$142</f>
        <v>2</v>
      </c>
      <c r="AV8" s="33" t="n">
        <f aca="false">Assumptions!AU$142</f>
        <v>2</v>
      </c>
      <c r="AW8" s="33" t="n">
        <f aca="false">Assumptions!AV$142</f>
        <v>2</v>
      </c>
      <c r="AX8" s="33" t="n">
        <f aca="false">Assumptions!AW$142</f>
        <v>2</v>
      </c>
      <c r="AY8" s="33" t="n">
        <f aca="false">Assumptions!AX$142</f>
        <v>2</v>
      </c>
      <c r="AZ8" s="33" t="n">
        <f aca="false">Assumptions!AY$142</f>
        <v>2</v>
      </c>
      <c r="BA8" s="33" t="n">
        <f aca="false">Assumptions!AZ$142</f>
        <v>2</v>
      </c>
      <c r="BB8" s="33" t="n">
        <f aca="false">Assumptions!BA$142</f>
        <v>2</v>
      </c>
      <c r="BC8" s="33" t="n">
        <f aca="false">Assumptions!BB$142</f>
        <v>2</v>
      </c>
      <c r="BD8" s="33" t="n">
        <f aca="false">Assumptions!BC$142</f>
        <v>2</v>
      </c>
      <c r="BE8" s="33" t="n">
        <f aca="false">Assumptions!BD$142</f>
        <v>2</v>
      </c>
      <c r="BF8" s="33" t="n">
        <f aca="false">Assumptions!BE$142</f>
        <v>2</v>
      </c>
      <c r="BG8" s="33" t="n">
        <f aca="false">Assumptions!BF$142</f>
        <v>2</v>
      </c>
      <c r="BH8" s="33" t="n">
        <f aca="false">Assumptions!BG$142</f>
        <v>2</v>
      </c>
      <c r="BI8" s="33" t="n">
        <f aca="false">Assumptions!BH$142</f>
        <v>2</v>
      </c>
      <c r="BJ8" s="33" t="n">
        <f aca="false">Assumptions!BI$142</f>
        <v>2</v>
      </c>
      <c r="BK8" s="33" t="n">
        <f aca="false">Assumptions!BJ$142</f>
        <v>2</v>
      </c>
    </row>
    <row r="9" customFormat="false" ht="15" hidden="false" customHeight="false" outlineLevel="0" collapsed="false">
      <c r="A9" s="28" t="s">
        <v>537</v>
      </c>
      <c r="B9" s="6" t="s">
        <v>538</v>
      </c>
      <c r="C9" s="32" t="n">
        <v>0</v>
      </c>
      <c r="D9" s="34" t="n">
        <f aca="false">C9+D8</f>
        <v>0</v>
      </c>
      <c r="E9" s="34" t="n">
        <f aca="false">D9+E8</f>
        <v>0</v>
      </c>
      <c r="F9" s="34" t="n">
        <f aca="false">E9+F8</f>
        <v>0</v>
      </c>
      <c r="G9" s="34" t="n">
        <f aca="false">F9+G8</f>
        <v>0</v>
      </c>
      <c r="H9" s="34" t="n">
        <f aca="false">G9+H8</f>
        <v>1</v>
      </c>
      <c r="I9" s="34" t="n">
        <f aca="false">H9+I8</f>
        <v>1</v>
      </c>
      <c r="J9" s="34" t="n">
        <f aca="false">I9+J8</f>
        <v>1</v>
      </c>
      <c r="K9" s="34" t="n">
        <f aca="false">J9+K8</f>
        <v>2</v>
      </c>
      <c r="L9" s="34" t="n">
        <f aca="false">K9+L8</f>
        <v>3</v>
      </c>
      <c r="M9" s="34" t="n">
        <f aca="false">L9+M8</f>
        <v>3</v>
      </c>
      <c r="N9" s="34" t="n">
        <f aca="false">M9+N8</f>
        <v>4</v>
      </c>
      <c r="O9" s="34" t="n">
        <f aca="false">N9+O8</f>
        <v>5</v>
      </c>
      <c r="P9" s="34" t="n">
        <f aca="false">O9+P8</f>
        <v>6</v>
      </c>
      <c r="Q9" s="34" t="n">
        <f aca="false">P9+Q8</f>
        <v>7</v>
      </c>
      <c r="R9" s="34" t="n">
        <f aca="false">Q9+R8</f>
        <v>8</v>
      </c>
      <c r="S9" s="34" t="n">
        <f aca="false">R9+S8</f>
        <v>9</v>
      </c>
      <c r="T9" s="34" t="n">
        <f aca="false">S9+T8</f>
        <v>10</v>
      </c>
      <c r="U9" s="34" t="n">
        <f aca="false">T9+U8</f>
        <v>11</v>
      </c>
      <c r="V9" s="34" t="n">
        <f aca="false">U9+V8</f>
        <v>12</v>
      </c>
      <c r="W9" s="34" t="n">
        <f aca="false">V9+W8</f>
        <v>14</v>
      </c>
      <c r="X9" s="34" t="n">
        <f aca="false">W9+X8</f>
        <v>15</v>
      </c>
      <c r="Y9" s="34" t="n">
        <f aca="false">X9+Y8</f>
        <v>16</v>
      </c>
      <c r="Z9" s="34" t="n">
        <f aca="false">Y9+Z8</f>
        <v>18</v>
      </c>
      <c r="AA9" s="34" t="n">
        <f aca="false">Z9+AA8</f>
        <v>19</v>
      </c>
      <c r="AB9" s="34" t="n">
        <f aca="false">AA9+AB8</f>
        <v>20</v>
      </c>
      <c r="AC9" s="34" t="n">
        <f aca="false">AB9+AC8</f>
        <v>22</v>
      </c>
      <c r="AD9" s="34" t="n">
        <f aca="false">AC9+AD8</f>
        <v>24</v>
      </c>
      <c r="AE9" s="34" t="n">
        <f aca="false">AD9+AE8</f>
        <v>25</v>
      </c>
      <c r="AF9" s="34" t="n">
        <f aca="false">AE9+AF8</f>
        <v>27</v>
      </c>
      <c r="AG9" s="34" t="n">
        <f aca="false">AF9+AG8</f>
        <v>29</v>
      </c>
      <c r="AH9" s="34" t="n">
        <f aca="false">AG9+AH8</f>
        <v>30</v>
      </c>
      <c r="AI9" s="34" t="n">
        <f aca="false">AH9+AI8</f>
        <v>32</v>
      </c>
      <c r="AJ9" s="34" t="n">
        <f aca="false">AI9+AJ8</f>
        <v>34</v>
      </c>
      <c r="AK9" s="34" t="n">
        <f aca="false">AJ9+AK8</f>
        <v>36</v>
      </c>
      <c r="AL9" s="34" t="n">
        <f aca="false">AK9+AL8</f>
        <v>38</v>
      </c>
      <c r="AM9" s="34" t="n">
        <f aca="false">AL9+AM8</f>
        <v>40</v>
      </c>
      <c r="AN9" s="35" t="n">
        <f aca="false">AM9+AN8</f>
        <v>42</v>
      </c>
      <c r="AO9" s="35" t="n">
        <f aca="false">AN9+AO8</f>
        <v>44</v>
      </c>
      <c r="AP9" s="35" t="n">
        <f aca="false">AO9+AP8</f>
        <v>46</v>
      </c>
      <c r="AQ9" s="35" t="n">
        <f aca="false">AP9+AQ8</f>
        <v>48</v>
      </c>
      <c r="AR9" s="35" t="n">
        <f aca="false">AQ9+AR8</f>
        <v>50</v>
      </c>
      <c r="AS9" s="35" t="n">
        <f aca="false">AR9+AS8</f>
        <v>52</v>
      </c>
      <c r="AT9" s="35" t="n">
        <f aca="false">AS9+AT8</f>
        <v>54</v>
      </c>
      <c r="AU9" s="35" t="n">
        <f aca="false">AT9+AU8</f>
        <v>56</v>
      </c>
      <c r="AV9" s="35" t="n">
        <f aca="false">AU9+AV8</f>
        <v>58</v>
      </c>
      <c r="AW9" s="35" t="n">
        <f aca="false">AV9+AW8</f>
        <v>60</v>
      </c>
      <c r="AX9" s="35" t="n">
        <f aca="false">AW9+AX8</f>
        <v>62</v>
      </c>
      <c r="AY9" s="35" t="n">
        <f aca="false">AX9+AY8</f>
        <v>64</v>
      </c>
      <c r="AZ9" s="35" t="n">
        <f aca="false">AY9+AZ8</f>
        <v>66</v>
      </c>
      <c r="BA9" s="35" t="n">
        <f aca="false">AZ9+BA8</f>
        <v>68</v>
      </c>
      <c r="BB9" s="35" t="n">
        <f aca="false">BA9+BB8</f>
        <v>70</v>
      </c>
      <c r="BC9" s="35" t="n">
        <f aca="false">BB9+BC8</f>
        <v>72</v>
      </c>
      <c r="BD9" s="35" t="n">
        <f aca="false">BC9+BD8</f>
        <v>74</v>
      </c>
      <c r="BE9" s="35" t="n">
        <f aca="false">BD9+BE8</f>
        <v>76</v>
      </c>
      <c r="BF9" s="35" t="n">
        <f aca="false">BE9+BF8</f>
        <v>78</v>
      </c>
      <c r="BG9" s="35" t="n">
        <f aca="false">BF9+BG8</f>
        <v>80</v>
      </c>
      <c r="BH9" s="35" t="n">
        <f aca="false">BG9+BH8</f>
        <v>82</v>
      </c>
      <c r="BI9" s="35" t="n">
        <f aca="false">BH9+BI8</f>
        <v>84</v>
      </c>
      <c r="BJ9" s="35" t="n">
        <f aca="false">BI9+BJ8</f>
        <v>86</v>
      </c>
      <c r="BK9" s="35" t="n">
        <f aca="false">BJ9+BK8</f>
        <v>88</v>
      </c>
    </row>
    <row r="10" customFormat="false" ht="15" hidden="false" customHeight="false" outlineLevel="0" collapsed="false">
      <c r="A10" s="28" t="s">
        <v>539</v>
      </c>
      <c r="B10" s="6" t="s">
        <v>540</v>
      </c>
      <c r="C10" s="32" t="n">
        <v>0</v>
      </c>
      <c r="D10" s="34" t="n">
        <f aca="false">IF(D7&gt;Assumptions!$F$79,INDEX($D$9:$BK$9,D7-Assumptions!$F$79),0)</f>
        <v>0</v>
      </c>
      <c r="E10" s="34" t="n">
        <f aca="false">IF(E7&gt;Assumptions!$F$79,INDEX($D$9:$BK$9,E7-Assumptions!$F$79),0)</f>
        <v>0</v>
      </c>
      <c r="F10" s="34" t="n">
        <f aca="false">IF(F7&gt;Assumptions!$F$79,INDEX($D$9:$BK$9,F7-Assumptions!$F$79),0)</f>
        <v>0</v>
      </c>
      <c r="G10" s="34" t="n">
        <f aca="false">IF(G7&gt;Assumptions!$F$79,INDEX($D$9:$BK$9,G7-Assumptions!$F$79),0)</f>
        <v>0</v>
      </c>
      <c r="H10" s="34" t="n">
        <f aca="false">IF(H7&gt;Assumptions!$F$79,INDEX($D$9:$BK$9,H7-Assumptions!$F$79),0)</f>
        <v>0</v>
      </c>
      <c r="I10" s="34" t="n">
        <f aca="false">IF(I7&gt;Assumptions!$F$79,INDEX($D$9:$BK$9,I7-Assumptions!$F$79),0)</f>
        <v>0</v>
      </c>
      <c r="J10" s="34" t="n">
        <f aca="false">IF(J7&gt;Assumptions!$F$79,INDEX($D$9:$BK$9,J7-Assumptions!$F$79),0)</f>
        <v>0</v>
      </c>
      <c r="K10" s="34" t="n">
        <f aca="false">IF(K7&gt;Assumptions!$F$79,INDEX($D$9:$BK$9,K7-Assumptions!$F$79),0)</f>
        <v>0</v>
      </c>
      <c r="L10" s="34" t="n">
        <f aca="false">IF(L7&gt;Assumptions!$F$79,INDEX($D$9:$BK$9,L7-Assumptions!$F$79),0)</f>
        <v>0</v>
      </c>
      <c r="M10" s="34" t="n">
        <f aca="false">IF(M7&gt;Assumptions!$F$79,INDEX($D$9:$BK$9,M7-Assumptions!$F$79),0)</f>
        <v>0</v>
      </c>
      <c r="N10" s="34" t="n">
        <f aca="false">IF(N7&gt;Assumptions!$F$79,INDEX($D$9:$BK$9,N7-Assumptions!$F$79),0)</f>
        <v>1</v>
      </c>
      <c r="O10" s="34" t="n">
        <f aca="false">IF(O7&gt;Assumptions!$F$79,INDEX($D$9:$BK$9,O7-Assumptions!$F$79),0)</f>
        <v>1</v>
      </c>
      <c r="P10" s="34" t="n">
        <f aca="false">IF(P7&gt;Assumptions!$F$79,INDEX($D$9:$BK$9,P7-Assumptions!$F$79),0)</f>
        <v>1</v>
      </c>
      <c r="Q10" s="34" t="n">
        <f aca="false">IF(Q7&gt;Assumptions!$F$79,INDEX($D$9:$BK$9,Q7-Assumptions!$F$79),0)</f>
        <v>2</v>
      </c>
      <c r="R10" s="34" t="n">
        <f aca="false">IF(R7&gt;Assumptions!$F$79,INDEX($D$9:$BK$9,R7-Assumptions!$F$79),0)</f>
        <v>3</v>
      </c>
      <c r="S10" s="34" t="n">
        <f aca="false">IF(S7&gt;Assumptions!$F$79,INDEX($D$9:$BK$9,S7-Assumptions!$F$79),0)</f>
        <v>3</v>
      </c>
      <c r="T10" s="34" t="n">
        <f aca="false">IF(T7&gt;Assumptions!$F$79,INDEX($D$9:$BK$9,T7-Assumptions!$F$79),0)</f>
        <v>4</v>
      </c>
      <c r="U10" s="34" t="n">
        <f aca="false">IF(U7&gt;Assumptions!$F$79,INDEX($D$9:$BK$9,U7-Assumptions!$F$79),0)</f>
        <v>5</v>
      </c>
      <c r="V10" s="34" t="n">
        <f aca="false">IF(V7&gt;Assumptions!$F$79,INDEX($D$9:$BK$9,V7-Assumptions!$F$79),0)</f>
        <v>6</v>
      </c>
      <c r="W10" s="34" t="n">
        <f aca="false">IF(W7&gt;Assumptions!$F$79,INDEX($D$9:$BK$9,W7-Assumptions!$F$79),0)</f>
        <v>7</v>
      </c>
      <c r="X10" s="34" t="n">
        <f aca="false">IF(X7&gt;Assumptions!$F$79,INDEX($D$9:$BK$9,X7-Assumptions!$F$79),0)</f>
        <v>8</v>
      </c>
      <c r="Y10" s="34" t="n">
        <f aca="false">IF(Y7&gt;Assumptions!$F$79,INDEX($D$9:$BK$9,Y7-Assumptions!$F$79),0)</f>
        <v>9</v>
      </c>
      <c r="Z10" s="34" t="n">
        <f aca="false">IF(Z7&gt;Assumptions!$F$79,INDEX($D$9:$BK$9,Z7-Assumptions!$F$79),0)</f>
        <v>10</v>
      </c>
      <c r="AA10" s="34" t="n">
        <f aca="false">IF(AA7&gt;Assumptions!$F$79,INDEX($D$9:$BK$9,AA7-Assumptions!$F$79),0)</f>
        <v>11</v>
      </c>
      <c r="AB10" s="34" t="n">
        <f aca="false">IF(AB7&gt;Assumptions!$F$79,INDEX($D$9:$BK$9,AB7-Assumptions!$F$79),0)</f>
        <v>12</v>
      </c>
      <c r="AC10" s="34" t="n">
        <f aca="false">IF(AC7&gt;Assumptions!$F$79,INDEX($D$9:$BK$9,AC7-Assumptions!$F$79),0)</f>
        <v>14</v>
      </c>
      <c r="AD10" s="34" t="n">
        <f aca="false">IF(AD7&gt;Assumptions!$F$79,INDEX($D$9:$BK$9,AD7-Assumptions!$F$79),0)</f>
        <v>15</v>
      </c>
      <c r="AE10" s="34" t="n">
        <f aca="false">IF(AE7&gt;Assumptions!$F$79,INDEX($D$9:$BK$9,AE7-Assumptions!$F$79),0)</f>
        <v>16</v>
      </c>
      <c r="AF10" s="34" t="n">
        <f aca="false">IF(AF7&gt;Assumptions!$F$79,INDEX($D$9:$BK$9,AF7-Assumptions!$F$79),0)</f>
        <v>18</v>
      </c>
      <c r="AG10" s="34" t="n">
        <f aca="false">IF(AG7&gt;Assumptions!$F$79,INDEX($D$9:$BK$9,AG7-Assumptions!$F$79),0)</f>
        <v>19</v>
      </c>
      <c r="AH10" s="34" t="n">
        <f aca="false">IF(AH7&gt;Assumptions!$F$79,INDEX($D$9:$BK$9,AH7-Assumptions!$F$79),0)</f>
        <v>20</v>
      </c>
      <c r="AI10" s="34" t="n">
        <f aca="false">IF(AI7&gt;Assumptions!$F$79,INDEX($D$9:$BK$9,AI7-Assumptions!$F$79),0)</f>
        <v>22</v>
      </c>
      <c r="AJ10" s="34" t="n">
        <f aca="false">IF(AJ7&gt;Assumptions!$F$79,INDEX($D$9:$BK$9,AJ7-Assumptions!$F$79),0)</f>
        <v>24</v>
      </c>
      <c r="AK10" s="34" t="n">
        <f aca="false">IF(AK7&gt;Assumptions!$F$79,INDEX($D$9:$BK$9,AK7-Assumptions!$F$79),0)</f>
        <v>25</v>
      </c>
      <c r="AL10" s="34" t="n">
        <f aca="false">IF(AL7&gt;Assumptions!$F$79,INDEX($D$9:$BK$9,AL7-Assumptions!$F$79),0)</f>
        <v>27</v>
      </c>
      <c r="AM10" s="34" t="n">
        <f aca="false">IF(AM7&gt;Assumptions!$F$79,INDEX($D$9:$BK$9,AM7-Assumptions!$F$79),0)</f>
        <v>29</v>
      </c>
      <c r="AN10" s="35" t="n">
        <f aca="false">IF(AN7&gt;Assumptions!$F$79,INDEX($D$9:$BK$9,AN7-Assumptions!$F$79),0)</f>
        <v>30</v>
      </c>
      <c r="AO10" s="35" t="n">
        <f aca="false">IF(AO7&gt;Assumptions!$F$79,INDEX($D$9:$BK$9,AO7-Assumptions!$F$79),0)</f>
        <v>32</v>
      </c>
      <c r="AP10" s="35" t="n">
        <f aca="false">IF(AP7&gt;Assumptions!$F$79,INDEX($D$9:$BK$9,AP7-Assumptions!$F$79),0)</f>
        <v>34</v>
      </c>
      <c r="AQ10" s="35" t="n">
        <f aca="false">IF(AQ7&gt;Assumptions!$F$79,INDEX($D$9:$BK$9,AQ7-Assumptions!$F$79),0)</f>
        <v>36</v>
      </c>
      <c r="AR10" s="35" t="n">
        <f aca="false">IF(AR7&gt;Assumptions!$F$79,INDEX($D$9:$BK$9,AR7-Assumptions!$F$79),0)</f>
        <v>38</v>
      </c>
      <c r="AS10" s="35" t="n">
        <f aca="false">IF(AS7&gt;Assumptions!$F$79,INDEX($D$9:$BK$9,AS7-Assumptions!$F$79),0)</f>
        <v>40</v>
      </c>
      <c r="AT10" s="35" t="n">
        <f aca="false">IF(AT7&gt;Assumptions!$F$79,INDEX($D$9:$BK$9,AT7-Assumptions!$F$79),0)</f>
        <v>42</v>
      </c>
      <c r="AU10" s="35" t="n">
        <f aca="false">IF(AU7&gt;Assumptions!$F$79,INDEX($D$9:$BK$9,AU7-Assumptions!$F$79),0)</f>
        <v>44</v>
      </c>
      <c r="AV10" s="35" t="n">
        <f aca="false">IF(AV7&gt;Assumptions!$F$79,INDEX($D$9:$BK$9,AV7-Assumptions!$F$79),0)</f>
        <v>46</v>
      </c>
      <c r="AW10" s="35" t="n">
        <f aca="false">IF(AW7&gt;Assumptions!$F$79,INDEX($D$9:$BK$9,AW7-Assumptions!$F$79),0)</f>
        <v>48</v>
      </c>
      <c r="AX10" s="35" t="n">
        <f aca="false">IF(AX7&gt;Assumptions!$F$79,INDEX($D$9:$BK$9,AX7-Assumptions!$F$79),0)</f>
        <v>50</v>
      </c>
      <c r="AY10" s="35" t="n">
        <f aca="false">IF(AY7&gt;Assumptions!$F$79,INDEX($D$9:$BK$9,AY7-Assumptions!$F$79),0)</f>
        <v>52</v>
      </c>
      <c r="AZ10" s="35" t="n">
        <f aca="false">IF(AZ7&gt;Assumptions!$F$79,INDEX($D$9:$BK$9,AZ7-Assumptions!$F$79),0)</f>
        <v>54</v>
      </c>
      <c r="BA10" s="35" t="n">
        <f aca="false">IF(BA7&gt;Assumptions!$F$79,INDEX($D$9:$BK$9,BA7-Assumptions!$F$79),0)</f>
        <v>56</v>
      </c>
      <c r="BB10" s="35" t="n">
        <f aca="false">IF(BB7&gt;Assumptions!$F$79,INDEX($D$9:$BK$9,BB7-Assumptions!$F$79),0)</f>
        <v>58</v>
      </c>
      <c r="BC10" s="35" t="n">
        <f aca="false">IF(BC7&gt;Assumptions!$F$79,INDEX($D$9:$BK$9,BC7-Assumptions!$F$79),0)</f>
        <v>60</v>
      </c>
      <c r="BD10" s="35" t="n">
        <f aca="false">IF(BD7&gt;Assumptions!$F$79,INDEX($D$9:$BK$9,BD7-Assumptions!$F$79),0)</f>
        <v>62</v>
      </c>
      <c r="BE10" s="35" t="n">
        <f aca="false">IF(BE7&gt;Assumptions!$F$79,INDEX($D$9:$BK$9,BE7-Assumptions!$F$79),0)</f>
        <v>64</v>
      </c>
      <c r="BF10" s="35" t="n">
        <f aca="false">IF(BF7&gt;Assumptions!$F$79,INDEX($D$9:$BK$9,BF7-Assumptions!$F$79),0)</f>
        <v>66</v>
      </c>
      <c r="BG10" s="35" t="n">
        <f aca="false">IF(BG7&gt;Assumptions!$F$79,INDEX($D$9:$BK$9,BG7-Assumptions!$F$79),0)</f>
        <v>68</v>
      </c>
      <c r="BH10" s="35" t="n">
        <f aca="false">IF(BH7&gt;Assumptions!$F$79,INDEX($D$9:$BK$9,BH7-Assumptions!$F$79),0)</f>
        <v>70</v>
      </c>
      <c r="BI10" s="35" t="n">
        <f aca="false">IF(BI7&gt;Assumptions!$F$79,INDEX($D$9:$BK$9,BI7-Assumptions!$F$79),0)</f>
        <v>72</v>
      </c>
      <c r="BJ10" s="35" t="n">
        <f aca="false">IF(BJ7&gt;Assumptions!$F$79,INDEX($D$9:$BK$9,BJ7-Assumptions!$F$79),0)</f>
        <v>74</v>
      </c>
      <c r="BK10" s="35" t="n">
        <f aca="false">IF(BK7&gt;Assumptions!$F$79,INDEX($D$9:$BK$9,BK7-Assumptions!$F$79),0)</f>
        <v>76</v>
      </c>
    </row>
    <row r="11" customFormat="false" ht="15" hidden="false" customHeight="false" outlineLevel="0" collapsed="false">
      <c r="A11" s="28" t="s">
        <v>541</v>
      </c>
      <c r="B11" s="6" t="s">
        <v>542</v>
      </c>
      <c r="C11" s="36" t="n">
        <v>0</v>
      </c>
      <c r="D11" s="26" t="n">
        <f aca="false">Assumptions!$F$10*(D8*Assumptions!$F$111)</f>
        <v>0</v>
      </c>
      <c r="E11" s="26" t="n">
        <f aca="false">Assumptions!$F$10*(E8*Assumptions!$F$111+D8*Assumptions!$F$112)</f>
        <v>0</v>
      </c>
      <c r="F11" s="26" t="n">
        <f aca="false">Assumptions!$F$10*(F8*Assumptions!$F$111+E8*Assumptions!$F$112+D8*Assumptions!$F$113)</f>
        <v>0</v>
      </c>
      <c r="G11" s="26" t="n">
        <f aca="false">Assumptions!$F$10*(G8*Assumptions!$F$111+F8*Assumptions!$F$112+E8*Assumptions!$F$113+D8*Assumptions!$F$114)</f>
        <v>0</v>
      </c>
      <c r="H11" s="26" t="n">
        <f aca="false">Assumptions!$F$10*(H8*Assumptions!$F$111+G8*Assumptions!$F$112+F8*Assumptions!$F$113+E8*Assumptions!$F$114+D8*Assumptions!$F$115)</f>
        <v>8</v>
      </c>
      <c r="I11" s="26" t="n">
        <f aca="false">Assumptions!$F$10*(I8*Assumptions!$F$111+H8*Assumptions!$F$112+G8*Assumptions!$F$113+F8*Assumptions!$F$114+E8*Assumptions!$F$115+D8*Assumptions!$F$116)</f>
        <v>7.04</v>
      </c>
      <c r="J11" s="26" t="n">
        <f aca="false">Assumptions!$F$10*(J8*Assumptions!$F$111+I8*Assumptions!$F$112+H8*Assumptions!$F$113+G8*Assumptions!$F$114+F8*Assumptions!$F$115+E8*Assumptions!$F$116+D8*Assumptions!$F$117)</f>
        <v>4.8</v>
      </c>
      <c r="K11" s="26" t="n">
        <f aca="false">Assumptions!$F$10*(K8*Assumptions!$F$111+J8*Assumptions!$F$112+I8*Assumptions!$F$113+H8*Assumptions!$F$114+G8*Assumptions!$F$115+F8*Assumptions!$F$116+E8*Assumptions!$F$117+D8*Assumptions!$F$118)</f>
        <v>11.2</v>
      </c>
      <c r="L11" s="26" t="n">
        <f aca="false">Assumptions!$F$10*(L8*Assumptions!$F$111+K8*Assumptions!$F$112+J8*Assumptions!$F$113+I8*Assumptions!$F$114+H8*Assumptions!$F$115+G8*Assumptions!$F$116+F8*Assumptions!$F$117+E8*Assumptions!$F$118+D8*Assumptions!$F$119)</f>
        <v>16.96</v>
      </c>
      <c r="M11" s="26" t="n">
        <f aca="false">Assumptions!$F$10*(M8*Assumptions!$F$111+L8*Assumptions!$F$112+K8*Assumptions!$F$113+J8*Assumptions!$F$114+I8*Assumptions!$F$115+H8*Assumptions!$F$116+G8*Assumptions!$F$117+F8*Assumptions!$F$118+E8*Assumptions!$F$119+D8*Assumptions!$F$120)</f>
        <v>13.44</v>
      </c>
      <c r="N11" s="26" t="n">
        <f aca="false">Assumptions!$F$10*(N8*Assumptions!$F$111+M8*Assumptions!$F$112+L8*Assumptions!$F$113+K8*Assumptions!$F$114+J8*Assumptions!$F$115+I8*Assumptions!$F$116+H8*Assumptions!$F$117+G8*Assumptions!$F$118+F8*Assumptions!$F$119+E8*Assumptions!$F$120+D8*Assumptions!$F$121)</f>
        <v>16.32</v>
      </c>
      <c r="O11" s="26" t="n">
        <f aca="false">Assumptions!$F$10*(O8*Assumptions!$F$111+N8*Assumptions!$F$112+M8*Assumptions!$F$113+L8*Assumptions!$F$114+K8*Assumptions!$F$115+J8*Assumptions!$F$116+I8*Assumptions!$F$117+H8*Assumptions!$F$118+G8*Assumptions!$F$119+F8*Assumptions!$F$120+E8*Assumptions!$F$121+D8*Assumptions!$F$122)</f>
        <v>20.48</v>
      </c>
      <c r="P11" s="26" t="n">
        <f aca="false">Assumptions!$F$10*(P8*Assumptions!$F$111+O8*Assumptions!$F$112+N8*Assumptions!$F$113+M8*Assumptions!$F$114+L8*Assumptions!$F$115+K8*Assumptions!$F$116+J8*Assumptions!$F$117+I8*Assumptions!$F$118+H8*Assumptions!$F$119+G8*Assumptions!$F$120+F8*Assumptions!$F$121+E8*Assumptions!$F$122+D8*Assumptions!$F$123)</f>
        <v>23.68</v>
      </c>
      <c r="Q11" s="26" t="n">
        <f aca="false">Assumptions!$F$10*(Q8*Assumptions!$F$111+P8*Assumptions!$F$112+O8*Assumptions!$F$113+N8*Assumptions!$F$114+M8*Assumptions!$F$115+L8*Assumptions!$F$116+K8*Assumptions!$F$117+J8*Assumptions!$F$118+I8*Assumptions!$F$119+H8*Assumptions!$F$120+G8*Assumptions!$F$121+F8*Assumptions!$F$122+E8*Assumptions!$F$123+D8*Assumptions!$F$124)</f>
        <v>25.28</v>
      </c>
      <c r="R11" s="26" t="n">
        <f aca="false">Assumptions!$F$10*(R8*Assumptions!$F$111+Q8*Assumptions!$F$112+P8*Assumptions!$F$113+O8*Assumptions!$F$114+N8*Assumptions!$F$115+M8*Assumptions!$F$116+L8*Assumptions!$F$117+K8*Assumptions!$F$118+J8*Assumptions!$F$119+I8*Assumptions!$F$120+H8*Assumptions!$F$121+G8*Assumptions!$F$122+F8*Assumptions!$F$123+E8*Assumptions!$F$124+D8*Assumptions!$F$125)</f>
        <v>25.92</v>
      </c>
      <c r="S11" s="26" t="n">
        <f aca="false">Assumptions!$F$10*(S8*Assumptions!$F$111+R8*Assumptions!$F$112+Q8*Assumptions!$F$113+P8*Assumptions!$F$114+O8*Assumptions!$F$115+N8*Assumptions!$F$116+M8*Assumptions!$F$117+L8*Assumptions!$F$118+K8*Assumptions!$F$119+J8*Assumptions!$F$120+I8*Assumptions!$F$121+H8*Assumptions!$F$122+G8*Assumptions!$F$123+F8*Assumptions!$F$124+E8*Assumptions!$F$125+D8*Assumptions!$F$126)</f>
        <v>27.52</v>
      </c>
      <c r="T11" s="26" t="n">
        <f aca="false">Assumptions!$F$10*(T8*Assumptions!$F$111+S8*Assumptions!$F$112+R8*Assumptions!$F$113+Q8*Assumptions!$F$114+P8*Assumptions!$F$115+O8*Assumptions!$F$116+N8*Assumptions!$F$117+M8*Assumptions!$F$118+L8*Assumptions!$F$119+K8*Assumptions!$F$120+J8*Assumptions!$F$121+I8*Assumptions!$F$122+H8*Assumptions!$F$123+G8*Assumptions!$F$124+F8*Assumptions!$F$125+E8*Assumptions!$F$126+D8*Assumptions!$F$127)</f>
        <v>27.84</v>
      </c>
      <c r="U11" s="26" t="n">
        <f aca="false">Assumptions!$F$10*(U8*Assumptions!$F$111+T8*Assumptions!$F$112+S8*Assumptions!$F$113+R8*Assumptions!$F$114+Q8*Assumptions!$F$115+P8*Assumptions!$F$116+O8*Assumptions!$F$117+N8*Assumptions!$F$118+M8*Assumptions!$F$119+L8*Assumptions!$F$120+K8*Assumptions!$F$121+J8*Assumptions!$F$122+I8*Assumptions!$F$123+H8*Assumptions!$F$124+G8*Assumptions!$F$125+F8*Assumptions!$F$126+E8*Assumptions!$F$127+D8*Assumptions!$F$128)</f>
        <v>28.16</v>
      </c>
      <c r="V11" s="26" t="n">
        <f aca="false">Assumptions!$F$10*(V8*Assumptions!$F$111+U8*Assumptions!$F$112+T8*Assumptions!$F$113+S8*Assumptions!$F$114+R8*Assumptions!$F$115+Q8*Assumptions!$F$116+P8*Assumptions!$F$117+O8*Assumptions!$F$118+N8*Assumptions!$F$119+M8*Assumptions!$F$120+L8*Assumptions!$F$121+K8*Assumptions!$F$122+J8*Assumptions!$F$123+I8*Assumptions!$F$124+H8*Assumptions!$F$125+G8*Assumptions!$F$126+F8*Assumptions!$F$127+E8*Assumptions!$F$128+D8*Assumptions!$F$129)</f>
        <v>28.48</v>
      </c>
      <c r="W11" s="26" t="n">
        <f aca="false">Assumptions!$F$10*(W8*Assumptions!$F$111+V8*Assumptions!$F$112+U8*Assumptions!$F$113+T8*Assumptions!$F$114+S8*Assumptions!$F$115+R8*Assumptions!$F$116+Q8*Assumptions!$F$117+P8*Assumptions!$F$118+O8*Assumptions!$F$119+N8*Assumptions!$F$120+M8*Assumptions!$F$121+L8*Assumptions!$F$122+K8*Assumptions!$F$123+J8*Assumptions!$F$124+I8*Assumptions!$F$125+H8*Assumptions!$F$126+G8*Assumptions!$F$127+F8*Assumptions!$F$128+E8*Assumptions!$F$129+D8*Assumptions!$F$130)</f>
        <v>36.8</v>
      </c>
      <c r="X11" s="26" t="n">
        <f aca="false">Assumptions!$F$10*(X8*Assumptions!$F$111+W8*Assumptions!$F$112+V8*Assumptions!$F$113+U8*Assumptions!$F$114+T8*Assumptions!$F$115+S8*Assumptions!$F$116+R8*Assumptions!$F$117+Q8*Assumptions!$F$118+P8*Assumptions!$F$119+O8*Assumptions!$F$120+N8*Assumptions!$F$121+M8*Assumptions!$F$122+L8*Assumptions!$F$123+K8*Assumptions!$F$124+J8*Assumptions!$F$125+I8*Assumptions!$F$126+H8*Assumptions!$F$127+G8*Assumptions!$F$128+F8*Assumptions!$F$129+E8*Assumptions!$F$130+D8*Assumptions!$F$131)</f>
        <v>36.16</v>
      </c>
      <c r="Y11" s="26" t="n">
        <f aca="false">Assumptions!$F$10*(Y8*Assumptions!$F$111+X8*Assumptions!$F$112+W8*Assumptions!$F$113+V8*Assumptions!$F$114+U8*Assumptions!$F$115+T8*Assumptions!$F$116+S8*Assumptions!$F$117+R8*Assumptions!$F$118+Q8*Assumptions!$F$119+P8*Assumptions!$F$120+O8*Assumptions!$F$121+N8*Assumptions!$F$122+M8*Assumptions!$F$123+L8*Assumptions!$F$124+K8*Assumptions!$F$125+J8*Assumptions!$F$126+I8*Assumptions!$F$127+H8*Assumptions!$F$128+G8*Assumptions!$F$129+F8*Assumptions!$F$130+E8*Assumptions!$F$131+D8*Assumptions!$F$132)</f>
        <v>34.24</v>
      </c>
      <c r="Z11" s="26" t="n">
        <f aca="false">Assumptions!$F$10*(Z8*Assumptions!$F$111+Y8*Assumptions!$F$112+X8*Assumptions!$F$113+W8*Assumptions!$F$114+V8*Assumptions!$F$115+U8*Assumptions!$F$116+T8*Assumptions!$F$117+S8*Assumptions!$F$118+R8*Assumptions!$F$119+Q8*Assumptions!$F$120+P8*Assumptions!$F$121+O8*Assumptions!$F$122+N8*Assumptions!$F$123+M8*Assumptions!$F$124+L8*Assumptions!$F$125+K8*Assumptions!$F$126+J8*Assumptions!$F$127+I8*Assumptions!$F$128+H8*Assumptions!$F$129+G8*Assumptions!$F$130+F8*Assumptions!$F$131+E8*Assumptions!$F$132+D8*Assumptions!$F$133)</f>
        <v>40.96</v>
      </c>
      <c r="AA11" s="26" t="n">
        <f aca="false">Assumptions!$F$10*(AA8*Assumptions!$F$111+Z8*Assumptions!$F$112+Y8*Assumptions!$F$113+X8*Assumptions!$F$114+W8*Assumptions!$F$115+V8*Assumptions!$F$116+U8*Assumptions!$F$117+T8*Assumptions!$F$118+S8*Assumptions!$F$119+R8*Assumptions!$F$120+Q8*Assumptions!$F$121+P8*Assumptions!$F$122+O8*Assumptions!$F$123+N8*Assumptions!$F$124+M8*Assumptions!$F$125+L8*Assumptions!$F$126+K8*Assumptions!$F$127+J8*Assumptions!$F$128+I8*Assumptions!$F$129+H8*Assumptions!$F$130+G8*Assumptions!$F$131+F8*Assumptions!$F$132+E8*Assumptions!$F$133)</f>
        <v>39.04</v>
      </c>
      <c r="AB11" s="26" t="n">
        <f aca="false">Assumptions!$F$10*(AB8*Assumptions!$F$111+AA8*Assumptions!$F$112+Z8*Assumptions!$F$113+Y8*Assumptions!$F$114+X8*Assumptions!$F$115+W8*Assumptions!$F$116+V8*Assumptions!$F$117+U8*Assumptions!$F$118+T8*Assumptions!$F$119+S8*Assumptions!$F$120+R8*Assumptions!$F$121+Q8*Assumptions!$F$122+P8*Assumptions!$F$123+O8*Assumptions!$F$124+N8*Assumptions!$F$125+M8*Assumptions!$F$126+L8*Assumptions!$F$127+K8*Assumptions!$F$128+J8*Assumptions!$F$129+I8*Assumptions!$F$130+H8*Assumptions!$F$131+G8*Assumptions!$F$132+F8*Assumptions!$F$133)</f>
        <v>36.8</v>
      </c>
      <c r="AC11" s="26" t="n">
        <f aca="false">Assumptions!$F$10*(AC8*Assumptions!$F$111+AB8*Assumptions!$F$112+AA8*Assumptions!$F$113+Z8*Assumptions!$F$114+Y8*Assumptions!$F$115+X8*Assumptions!$F$116+W8*Assumptions!$F$117+V8*Assumptions!$F$118+U8*Assumptions!$F$119+T8*Assumptions!$F$120+S8*Assumptions!$F$121+R8*Assumptions!$F$122+Q8*Assumptions!$F$123+P8*Assumptions!$F$124+O8*Assumptions!$F$125+N8*Assumptions!$F$126+M8*Assumptions!$F$127+L8*Assumptions!$F$128+K8*Assumptions!$F$129+J8*Assumptions!$F$130+I8*Assumptions!$F$131+H8*Assumptions!$F$132+G8*Assumptions!$F$133)</f>
        <v>42.24</v>
      </c>
      <c r="AD11" s="26" t="n">
        <f aca="false">Assumptions!$F$10*(AD8*Assumptions!$F$111+AC8*Assumptions!$F$112+AB8*Assumptions!$F$113+AA8*Assumptions!$F$114+Z8*Assumptions!$F$115+Y8*Assumptions!$F$116+X8*Assumptions!$F$117+W8*Assumptions!$F$118+V8*Assumptions!$F$119+U8*Assumptions!$F$120+T8*Assumptions!$F$121+S8*Assumptions!$F$122+R8*Assumptions!$F$123+Q8*Assumptions!$F$124+P8*Assumptions!$F$125+O8*Assumptions!$F$126+N8*Assumptions!$F$127+M8*Assumptions!$F$128+L8*Assumptions!$F$129+K8*Assumptions!$F$130+J8*Assumptions!$F$131+I8*Assumptions!$F$132+H8*Assumptions!$F$133)</f>
        <v>48.32</v>
      </c>
      <c r="AE11" s="26" t="n">
        <f aca="false">Assumptions!$F$10*(AE8*Assumptions!$F$111+AD8*Assumptions!$F$112+AC8*Assumptions!$F$113+AB8*Assumptions!$F$114+AA8*Assumptions!$F$115+Z8*Assumptions!$F$116+Y8*Assumptions!$F$117+X8*Assumptions!$F$118+W8*Assumptions!$F$119+V8*Assumptions!$F$120+U8*Assumptions!$F$121+T8*Assumptions!$F$122+S8*Assumptions!$F$123+R8*Assumptions!$F$124+Q8*Assumptions!$F$125+P8*Assumptions!$F$126+O8*Assumptions!$F$127+N8*Assumptions!$F$128+M8*Assumptions!$F$129+L8*Assumptions!$F$130+K8*Assumptions!$F$131+J8*Assumptions!$F$132+I8*Assumptions!$F$133)</f>
        <v>44.8</v>
      </c>
      <c r="AF11" s="26" t="n">
        <f aca="false">Assumptions!$F$10*(AF8*Assumptions!$F$111+AE8*Assumptions!$F$112+AD8*Assumptions!$F$113+AC8*Assumptions!$F$114+AB8*Assumptions!$F$115+AA8*Assumptions!$F$116+Z8*Assumptions!$F$117+Y8*Assumptions!$F$118+X8*Assumptions!$F$119+W8*Assumptions!$F$120+V8*Assumptions!$F$121+U8*Assumptions!$F$122+T8*Assumptions!$F$123+S8*Assumptions!$F$124+R8*Assumptions!$F$125+Q8*Assumptions!$F$126+P8*Assumptions!$F$127+O8*Assumptions!$F$128+N8*Assumptions!$F$129+M8*Assumptions!$F$130+L8*Assumptions!$F$131+K8*Assumptions!$F$132+J8*Assumptions!$F$133)</f>
        <v>48</v>
      </c>
      <c r="AG11" s="26" t="n">
        <f aca="false">Assumptions!$F$10*(AG8*Assumptions!$F$111+AF8*Assumptions!$F$112+AE8*Assumptions!$F$113+AD8*Assumptions!$F$114+AC8*Assumptions!$F$115+AB8*Assumptions!$F$116+AA8*Assumptions!$F$117+Z8*Assumptions!$F$118+Y8*Assumptions!$F$119+X8*Assumptions!$F$120+W8*Assumptions!$F$121+V8*Assumptions!$F$122+U8*Assumptions!$F$123+T8*Assumptions!$F$124+S8*Assumptions!$F$125+R8*Assumptions!$F$126+Q8*Assumptions!$F$127+P8*Assumptions!$F$128+O8*Assumptions!$F$129+N8*Assumptions!$F$130+M8*Assumptions!$F$131+L8*Assumptions!$F$132+K8*Assumptions!$F$133)</f>
        <v>52.48</v>
      </c>
      <c r="AH11" s="26" t="n">
        <f aca="false">Assumptions!$F$10*(AH8*Assumptions!$F$111+AG8*Assumptions!$F$112+AF8*Assumptions!$F$113+AE8*Assumptions!$F$114+AD8*Assumptions!$F$115+AC8*Assumptions!$F$116+AB8*Assumptions!$F$117+AA8*Assumptions!$F$118+Z8*Assumptions!$F$119+Y8*Assumptions!$F$120+X8*Assumptions!$F$121+W8*Assumptions!$F$122+V8*Assumptions!$F$123+U8*Assumptions!$F$124+T8*Assumptions!$F$125+S8*Assumptions!$F$126+R8*Assumptions!$F$127+Q8*Assumptions!$F$128+P8*Assumptions!$F$129+O8*Assumptions!$F$130+N8*Assumptions!$F$131+M8*Assumptions!$F$132+L8*Assumptions!$F$133)</f>
        <v>47.68</v>
      </c>
      <c r="AI11" s="26" t="n">
        <f aca="false">Assumptions!$F$10*(AI8*Assumptions!$F$111+AH8*Assumptions!$F$112+AG8*Assumptions!$F$113+AF8*Assumptions!$F$114+AE8*Assumptions!$F$115+AD8*Assumptions!$F$116+AC8*Assumptions!$F$117+AB8*Assumptions!$F$118+AA8*Assumptions!$F$119+Z8*Assumptions!$F$120+Y8*Assumptions!$F$121+X8*Assumptions!$F$122+W8*Assumptions!$F$123+V8*Assumptions!$F$124+U8*Assumptions!$F$125+T8*Assumptions!$F$126+S8*Assumptions!$F$127+R8*Assumptions!$F$128+Q8*Assumptions!$F$129+P8*Assumptions!$F$130+O8*Assumptions!$F$131+N8*Assumptions!$F$132+M8*Assumptions!$F$133)</f>
        <v>50.24</v>
      </c>
      <c r="AJ11" s="26" t="n">
        <f aca="false">Assumptions!$F$10*(AJ8*Assumptions!$F$111+AI8*Assumptions!$F$112+AH8*Assumptions!$F$113+AG8*Assumptions!$F$114+AF8*Assumptions!$F$115+AE8*Assumptions!$F$116+AD8*Assumptions!$F$117+AC8*Assumptions!$F$118+AB8*Assumptions!$F$119+AA8*Assumptions!$F$120+Z8*Assumptions!$F$121+Y8*Assumptions!$F$122+X8*Assumptions!$F$123+W8*Assumptions!$F$124+V8*Assumptions!$F$125+U8*Assumptions!$F$126+T8*Assumptions!$F$127+S8*Assumptions!$F$128+R8*Assumptions!$F$129+Q8*Assumptions!$F$130+P8*Assumptions!$F$131+O8*Assumptions!$F$132+N8*Assumptions!$F$133)</f>
        <v>53.44</v>
      </c>
      <c r="AK11" s="26" t="n">
        <f aca="false">Assumptions!$F$10*(AK8*Assumptions!$F$111+AJ8*Assumptions!$F$112+AI8*Assumptions!$F$113+AH8*Assumptions!$F$114+AG8*Assumptions!$F$115+AF8*Assumptions!$F$116+AE8*Assumptions!$F$117+AD8*Assumptions!$F$118+AC8*Assumptions!$F$119+AB8*Assumptions!$F$120+AA8*Assumptions!$F$121+Z8*Assumptions!$F$122+Y8*Assumptions!$F$123+X8*Assumptions!$F$124+W8*Assumptions!$F$125+V8*Assumptions!$F$126+U8*Assumptions!$F$127+T8*Assumptions!$F$128+S8*Assumptions!$F$129+R8*Assumptions!$F$130+Q8*Assumptions!$F$131+P8*Assumptions!$F$132+O8*Assumptions!$F$133)</f>
        <v>56.64</v>
      </c>
      <c r="AL11" s="26" t="n">
        <f aca="false">Assumptions!$F$10*(AL8*Assumptions!$F$111+AK8*Assumptions!$F$112+AJ8*Assumptions!$F$113+AI8*Assumptions!$F$114+AH8*Assumptions!$F$115+AG8*Assumptions!$F$116+AF8*Assumptions!$F$117+AE8*Assumptions!$F$118+AD8*Assumptions!$F$119+AC8*Assumptions!$F$120+AB8*Assumptions!$F$121+AA8*Assumptions!$F$122+Z8*Assumptions!$F$123+Y8*Assumptions!$F$124+X8*Assumptions!$F$125+W8*Assumptions!$F$126+V8*Assumptions!$F$127+U8*Assumptions!$F$128+T8*Assumptions!$F$129+S8*Assumptions!$F$130+R8*Assumptions!$F$131+Q8*Assumptions!$F$132+P8*Assumptions!$F$133)</f>
        <v>58.24</v>
      </c>
      <c r="AM11" s="26" t="n">
        <f aca="false">Assumptions!$F$10*(AM8*Assumptions!$F$111+AL8*Assumptions!$F$112+AK8*Assumptions!$F$113+AJ8*Assumptions!$F$114+AI8*Assumptions!$F$115+AH8*Assumptions!$F$116+AG8*Assumptions!$F$117+AF8*Assumptions!$F$118+AE8*Assumptions!$F$119+AD8*Assumptions!$F$120+AC8*Assumptions!$F$121+AB8*Assumptions!$F$122+AA8*Assumptions!$F$123+Z8*Assumptions!$F$124+Y8*Assumptions!$F$125+X8*Assumptions!$F$126+W8*Assumptions!$F$127+V8*Assumptions!$F$128+U8*Assumptions!$F$129+T8*Assumptions!$F$130+S8*Assumptions!$F$131+R8*Assumptions!$F$132+Q8*Assumptions!$F$133)</f>
        <v>58.88</v>
      </c>
      <c r="AN11" s="37" t="n">
        <f aca="false">Assumptions!$F$10*(AN8*Assumptions!$F$111+AM8*Assumptions!$F$112+AL8*Assumptions!$F$113+AK8*Assumptions!$F$114+AJ8*Assumptions!$F$115+AI8*Assumptions!$F$116+AH8*Assumptions!$F$117+AG8*Assumptions!$F$118+AF8*Assumptions!$F$119+AE8*Assumptions!$F$120+AD8*Assumptions!$F$121+AC8*Assumptions!$F$122+AB8*Assumptions!$F$123+AA8*Assumptions!$F$124+Z8*Assumptions!$F$125+Y8*Assumptions!$F$126+X8*Assumptions!$F$127+W8*Assumptions!$F$128+V8*Assumptions!$F$129+U8*Assumptions!$F$130+T8*Assumptions!$F$131+S8*Assumptions!$F$132+R8*Assumptions!$F$133)</f>
        <v>60.48</v>
      </c>
      <c r="AO11" s="37" t="n">
        <f aca="false">Assumptions!$F$10*(AO8*Assumptions!$F$111+AN8*Assumptions!$F$112+AM8*Assumptions!$F$113+AL8*Assumptions!$F$114+AK8*Assumptions!$F$115+AJ8*Assumptions!$F$116+AI8*Assumptions!$F$117+AH8*Assumptions!$F$118+AG8*Assumptions!$F$119+AF8*Assumptions!$F$120+AE8*Assumptions!$F$121+AD8*Assumptions!$F$122+AC8*Assumptions!$F$123+AB8*Assumptions!$F$124+AA8*Assumptions!$F$125+Z8*Assumptions!$F$126+Y8*Assumptions!$F$127+X8*Assumptions!$F$128+W8*Assumptions!$F$129+V8*Assumptions!$F$130+U8*Assumptions!$F$131+T8*Assumptions!$F$132+S8*Assumptions!$F$133)</f>
        <v>60.8</v>
      </c>
      <c r="AP11" s="37" t="n">
        <f aca="false">Assumptions!$F$10*(AP8*Assumptions!$F$111+AO8*Assumptions!$F$112+AN8*Assumptions!$F$113+AM8*Assumptions!$F$114+AL8*Assumptions!$F$115+AK8*Assumptions!$F$116+AJ8*Assumptions!$F$117+AI8*Assumptions!$F$118+AH8*Assumptions!$F$119+AG8*Assumptions!$F$120+AF8*Assumptions!$F$121+AE8*Assumptions!$F$122+AD8*Assumptions!$F$123+AC8*Assumptions!$F$124+AB8*Assumptions!$F$125+AA8*Assumptions!$F$126+Z8*Assumptions!$F$127+Y8*Assumptions!$F$128+X8*Assumptions!$F$129+W8*Assumptions!$F$130+V8*Assumptions!$F$131+U8*Assumptions!$F$132+T8*Assumptions!$F$133)</f>
        <v>61.12</v>
      </c>
      <c r="AQ11" s="37" t="n">
        <f aca="false">Assumptions!$F$10*(AQ8*Assumptions!$F$111+AP8*Assumptions!$F$112+AO8*Assumptions!$F$113+AN8*Assumptions!$F$114+AM8*Assumptions!$F$115+AL8*Assumptions!$F$116+AK8*Assumptions!$F$117+AJ8*Assumptions!$F$118+AI8*Assumptions!$F$119+AH8*Assumptions!$F$120+AG8*Assumptions!$F$121+AF8*Assumptions!$F$122+AE8*Assumptions!$F$123+AD8*Assumptions!$F$124+AC8*Assumptions!$F$125+AB8*Assumptions!$F$126+AA8*Assumptions!$F$127+Z8*Assumptions!$F$128+Y8*Assumptions!$F$129+X8*Assumptions!$F$130+W8*Assumptions!$F$131+V8*Assumptions!$F$132+U8*Assumptions!$F$133)</f>
        <v>61.44</v>
      </c>
      <c r="AR11" s="37" t="n">
        <f aca="false">Assumptions!$F$10*(AR8*Assumptions!$F$111+AQ8*Assumptions!$F$112+AP8*Assumptions!$F$113+AO8*Assumptions!$F$114+AN8*Assumptions!$F$115+AM8*Assumptions!$F$116+AL8*Assumptions!$F$117+AK8*Assumptions!$F$118+AJ8*Assumptions!$F$119+AI8*Assumptions!$F$120+AH8*Assumptions!$F$121+AG8*Assumptions!$F$122+AF8*Assumptions!$F$123+AE8*Assumptions!$F$124+AD8*Assumptions!$F$125+AC8*Assumptions!$F$126+AB8*Assumptions!$F$127+AA8*Assumptions!$F$128+Z8*Assumptions!$F$129+Y8*Assumptions!$F$130+X8*Assumptions!$F$131+W8*Assumptions!$F$132+V8*Assumptions!$F$133)</f>
        <v>61.76</v>
      </c>
      <c r="AS11" s="37" t="n">
        <f aca="false">Assumptions!$F$10*(AS8*Assumptions!$F$111+AR8*Assumptions!$F$112+AQ8*Assumptions!$F$113+AP8*Assumptions!$F$114+AO8*Assumptions!$F$115+AN8*Assumptions!$F$116+AM8*Assumptions!$F$117+AL8*Assumptions!$F$118+AK8*Assumptions!$F$119+AJ8*Assumptions!$F$120+AI8*Assumptions!$F$121+AH8*Assumptions!$F$122+AG8*Assumptions!$F$123+AF8*Assumptions!$F$124+AE8*Assumptions!$F$125+AD8*Assumptions!$F$126+AC8*Assumptions!$F$127+AB8*Assumptions!$F$128+AA8*Assumptions!$F$129+Z8*Assumptions!$F$130+Y8*Assumptions!$F$131+X8*Assumptions!$F$132+W8*Assumptions!$F$133)</f>
        <v>62.08</v>
      </c>
      <c r="AT11" s="37" t="n">
        <f aca="false">Assumptions!$F$10*(AT8*Assumptions!$F$111+AS8*Assumptions!$F$112+AR8*Assumptions!$F$113+AQ8*Assumptions!$F$114+AP8*Assumptions!$F$115+AO8*Assumptions!$F$116+AN8*Assumptions!$F$117+AM8*Assumptions!$F$118+AL8*Assumptions!$F$119+AK8*Assumptions!$F$120+AJ8*Assumptions!$F$121+AI8*Assumptions!$F$122+AH8*Assumptions!$F$123+AG8*Assumptions!$F$124+AF8*Assumptions!$F$125+AE8*Assumptions!$F$126+AD8*Assumptions!$F$127+AC8*Assumptions!$F$128+AB8*Assumptions!$F$129+AA8*Assumptions!$F$130+Z8*Assumptions!$F$131+Y8*Assumptions!$F$132+X8*Assumptions!$F$133)</f>
        <v>62.08</v>
      </c>
      <c r="AU11" s="37" t="n">
        <f aca="false">Assumptions!$F$10*(AU8*Assumptions!$F$111+AT8*Assumptions!$F$112+AS8*Assumptions!$F$113+AR8*Assumptions!$F$114+AQ8*Assumptions!$F$115+AP8*Assumptions!$F$116+AO8*Assumptions!$F$117+AN8*Assumptions!$F$118+AM8*Assumptions!$F$119+AL8*Assumptions!$F$120+AK8*Assumptions!$F$121+AJ8*Assumptions!$F$122+AI8*Assumptions!$F$123+AH8*Assumptions!$F$124+AG8*Assumptions!$F$125+AF8*Assumptions!$F$126+AE8*Assumptions!$F$127+AD8*Assumptions!$F$128+AC8*Assumptions!$F$129+AB8*Assumptions!$F$130+AA8*Assumptions!$F$131+Z8*Assumptions!$F$132+Y8*Assumptions!$F$133)</f>
        <v>62.4</v>
      </c>
      <c r="AV11" s="37" t="n">
        <f aca="false">Assumptions!$F$10*(AV8*Assumptions!$F$111+AU8*Assumptions!$F$112+AT8*Assumptions!$F$113+AS8*Assumptions!$F$114+AR8*Assumptions!$F$115+AQ8*Assumptions!$F$116+AP8*Assumptions!$F$117+AO8*Assumptions!$F$118+AN8*Assumptions!$F$119+AM8*Assumptions!$F$120+AL8*Assumptions!$F$121+AK8*Assumptions!$F$122+AJ8*Assumptions!$F$123+AI8*Assumptions!$F$124+AH8*Assumptions!$F$125+AG8*Assumptions!$F$126+AF8*Assumptions!$F$127+AE8*Assumptions!$F$128+AD8*Assumptions!$F$129+AC8*Assumptions!$F$130+AB8*Assumptions!$F$131+AA8*Assumptions!$F$132+Z8*Assumptions!$F$133)</f>
        <v>62.72</v>
      </c>
      <c r="AW11" s="37" t="n">
        <f aca="false">Assumptions!$F$10*(AW8*Assumptions!$F$111+AV8*Assumptions!$F$112+AU8*Assumptions!$F$113+AT8*Assumptions!$F$114+AS8*Assumptions!$F$115+AR8*Assumptions!$F$116+AQ8*Assumptions!$F$117+AP8*Assumptions!$F$118+AO8*Assumptions!$F$119+AN8*Assumptions!$F$120+AM8*Assumptions!$F$121+AL8*Assumptions!$F$122+AK8*Assumptions!$F$123+AJ8*Assumptions!$F$124+AI8*Assumptions!$F$125+AH8*Assumptions!$F$126+AG8*Assumptions!$F$127+AF8*Assumptions!$F$128+AE8*Assumptions!$F$129+AD8*Assumptions!$F$130+AC8*Assumptions!$F$131+AB8*Assumptions!$F$132+AA8*Assumptions!$F$133)</f>
        <v>62.72</v>
      </c>
      <c r="AX11" s="37" t="n">
        <f aca="false">Assumptions!$F$10*(AX8*Assumptions!$F$111+AW8*Assumptions!$F$112+AV8*Assumptions!$F$113+AU8*Assumptions!$F$114+AT8*Assumptions!$F$115+AS8*Assumptions!$F$116+AR8*Assumptions!$F$117+AQ8*Assumptions!$F$118+AP8*Assumptions!$F$119+AO8*Assumptions!$F$120+AN8*Assumptions!$F$121+AM8*Assumptions!$F$122+AL8*Assumptions!$F$123+AK8*Assumptions!$F$124+AJ8*Assumptions!$F$125+AI8*Assumptions!$F$126+AH8*Assumptions!$F$127+AG8*Assumptions!$F$128+AF8*Assumptions!$F$129+AE8*Assumptions!$F$130+AD8*Assumptions!$F$131+AC8*Assumptions!$F$132+AB8*Assumptions!$F$133)</f>
        <v>63.04</v>
      </c>
      <c r="AY11" s="37" t="n">
        <f aca="false">Assumptions!$F$10*(AY8*Assumptions!$F$111+AX8*Assumptions!$F$112+AW8*Assumptions!$F$113+AV8*Assumptions!$F$114+AU8*Assumptions!$F$115+AT8*Assumptions!$F$116+AS8*Assumptions!$F$117+AR8*Assumptions!$F$118+AQ8*Assumptions!$F$119+AP8*Assumptions!$F$120+AO8*Assumptions!$F$121+AN8*Assumptions!$F$122+AM8*Assumptions!$F$123+AL8*Assumptions!$F$124+AK8*Assumptions!$F$125+AJ8*Assumptions!$F$126+AI8*Assumptions!$F$127+AH8*Assumptions!$F$128+AG8*Assumptions!$F$129+AF8*Assumptions!$F$130+AE8*Assumptions!$F$131+AD8*Assumptions!$F$132+AC8*Assumptions!$F$133)</f>
        <v>63.36</v>
      </c>
      <c r="AZ11" s="37" t="n">
        <f aca="false">Assumptions!$F$10*(AZ8*Assumptions!$F$111+AY8*Assumptions!$F$112+AX8*Assumptions!$F$113+AW8*Assumptions!$F$114+AV8*Assumptions!$F$115+AU8*Assumptions!$F$116+AT8*Assumptions!$F$117+AS8*Assumptions!$F$118+AR8*Assumptions!$F$119+AQ8*Assumptions!$F$120+AP8*Assumptions!$F$121+AO8*Assumptions!$F$122+AN8*Assumptions!$F$123+AM8*Assumptions!$F$124+AL8*Assumptions!$F$125+AK8*Assumptions!$F$126+AJ8*Assumptions!$F$127+AI8*Assumptions!$F$128+AH8*Assumptions!$F$129+AG8*Assumptions!$F$130+AF8*Assumptions!$F$131+AE8*Assumptions!$F$132+AD8*Assumptions!$F$133)</f>
        <v>63.36</v>
      </c>
      <c r="BA11" s="37" t="n">
        <f aca="false">Assumptions!$F$10*(BA8*Assumptions!$F$111+AZ8*Assumptions!$F$112+AY8*Assumptions!$F$113+AX8*Assumptions!$F$114+AW8*Assumptions!$F$115+AV8*Assumptions!$F$116+AU8*Assumptions!$F$117+AT8*Assumptions!$F$118+AS8*Assumptions!$F$119+AR8*Assumptions!$F$120+AQ8*Assumptions!$F$121+AP8*Assumptions!$F$122+AO8*Assumptions!$F$123+AN8*Assumptions!$F$124+AM8*Assumptions!$F$125+AL8*Assumptions!$F$126+AK8*Assumptions!$F$127+AJ8*Assumptions!$F$128+AI8*Assumptions!$F$129+AH8*Assumptions!$F$130+AG8*Assumptions!$F$131+AF8*Assumptions!$F$132+AE8*Assumptions!$F$133)</f>
        <v>63.36</v>
      </c>
      <c r="BB11" s="37" t="n">
        <f aca="false">Assumptions!$F$10*(BB8*Assumptions!$F$111+BA8*Assumptions!$F$112+AZ8*Assumptions!$F$113+AY8*Assumptions!$F$114+AX8*Assumptions!$F$115+AW8*Assumptions!$F$116+AV8*Assumptions!$F$117+AU8*Assumptions!$F$118+AT8*Assumptions!$F$119+AS8*Assumptions!$F$120+AR8*Assumptions!$F$121+AQ8*Assumptions!$F$122+AP8*Assumptions!$F$123+AO8*Assumptions!$F$124+AN8*Assumptions!$F$125+AM8*Assumptions!$F$126+AL8*Assumptions!$F$127+AK8*Assumptions!$F$128+AJ8*Assumptions!$F$129+AI8*Assumptions!$F$130+AH8*Assumptions!$F$131+AG8*Assumptions!$F$132+AF8*Assumptions!$F$133)</f>
        <v>63.68</v>
      </c>
      <c r="BC11" s="37" t="n">
        <f aca="false">Assumptions!$F$10*(BC8*Assumptions!$F$111+BB8*Assumptions!$F$112+BA8*Assumptions!$F$113+AZ8*Assumptions!$F$114+AY8*Assumptions!$F$115+AX8*Assumptions!$F$116+AW8*Assumptions!$F$117+AV8*Assumptions!$F$118+AU8*Assumptions!$F$119+AT8*Assumptions!$F$120+AS8*Assumptions!$F$121+AR8*Assumptions!$F$122+AQ8*Assumptions!$F$123+AP8*Assumptions!$F$124+AO8*Assumptions!$F$125+AN8*Assumptions!$F$126+AM8*Assumptions!$F$127+AL8*Assumptions!$F$128+AK8*Assumptions!$F$129+AJ8*Assumptions!$F$130+AI8*Assumptions!$F$131+AH8*Assumptions!$F$132+AG8*Assumptions!$F$133)</f>
        <v>63.68</v>
      </c>
      <c r="BD11" s="37" t="n">
        <f aca="false">Assumptions!$F$10*(BD8*Assumptions!$F$111+BC8*Assumptions!$F$112+BB8*Assumptions!$F$113+BA8*Assumptions!$F$114+AZ8*Assumptions!$F$115+AY8*Assumptions!$F$116+AX8*Assumptions!$F$117+AW8*Assumptions!$F$118+AV8*Assumptions!$F$119+AU8*Assumptions!$F$120+AT8*Assumptions!$F$121+AS8*Assumptions!$F$122+AR8*Assumptions!$F$123+AQ8*Assumptions!$F$124+AP8*Assumptions!$F$125+AO8*Assumptions!$F$126+AN8*Assumptions!$F$127+AM8*Assumptions!$F$128+AL8*Assumptions!$F$129+AK8*Assumptions!$F$130+AJ8*Assumptions!$F$131+AI8*Assumptions!$F$132+AH8*Assumptions!$F$133)</f>
        <v>63.68</v>
      </c>
      <c r="BE11" s="37" t="n">
        <f aca="false">Assumptions!$F$10*(BE8*Assumptions!$F$111+BD8*Assumptions!$F$112+BC8*Assumptions!$F$113+BB8*Assumptions!$F$114+BA8*Assumptions!$F$115+AZ8*Assumptions!$F$116+AY8*Assumptions!$F$117+AX8*Assumptions!$F$118+AW8*Assumptions!$F$119+AV8*Assumptions!$F$120+AU8*Assumptions!$F$121+AT8*Assumptions!$F$122+AS8*Assumptions!$F$123+AR8*Assumptions!$F$124+AQ8*Assumptions!$F$125+AP8*Assumptions!$F$126+AO8*Assumptions!$F$127+AN8*Assumptions!$F$128+AM8*Assumptions!$F$129+AL8*Assumptions!$F$130+AK8*Assumptions!$F$131+AJ8*Assumptions!$F$132+AI8*Assumptions!$F$133)</f>
        <v>64</v>
      </c>
      <c r="BF11" s="37" t="n">
        <f aca="false">Assumptions!$F$10*(BF8*Assumptions!$F$111+BE8*Assumptions!$F$112+BD8*Assumptions!$F$113+BC8*Assumptions!$F$114+BB8*Assumptions!$F$115+BA8*Assumptions!$F$116+AZ8*Assumptions!$F$117+AY8*Assumptions!$F$118+AX8*Assumptions!$F$119+AW8*Assumptions!$F$120+AV8*Assumptions!$F$121+AU8*Assumptions!$F$122+AT8*Assumptions!$F$123+AS8*Assumptions!$F$124+AR8*Assumptions!$F$125+AQ8*Assumptions!$F$126+AP8*Assumptions!$F$127+AO8*Assumptions!$F$128+AN8*Assumptions!$F$129+AM8*Assumptions!$F$130+AL8*Assumptions!$F$131+AK8*Assumptions!$F$132+AJ8*Assumptions!$F$133)</f>
        <v>64</v>
      </c>
      <c r="BG11" s="37" t="n">
        <f aca="false">Assumptions!$F$10*(BG8*Assumptions!$F$111+BF8*Assumptions!$F$112+BE8*Assumptions!$F$113+BD8*Assumptions!$F$114+BC8*Assumptions!$F$115+BB8*Assumptions!$F$116+BA8*Assumptions!$F$117+AZ8*Assumptions!$F$118+AY8*Assumptions!$F$119+AX8*Assumptions!$F$120+AW8*Assumptions!$F$121+AV8*Assumptions!$F$122+AU8*Assumptions!$F$123+AT8*Assumptions!$F$124+AS8*Assumptions!$F$125+AR8*Assumptions!$F$126+AQ8*Assumptions!$F$127+AP8*Assumptions!$F$128+AO8*Assumptions!$F$129+AN8*Assumptions!$F$130+AM8*Assumptions!$F$131+AL8*Assumptions!$F$132+AK8*Assumptions!$F$133)</f>
        <v>64</v>
      </c>
      <c r="BH11" s="37" t="n">
        <f aca="false">Assumptions!$F$10*(BH8*Assumptions!$F$111+BG8*Assumptions!$F$112+BF8*Assumptions!$F$113+BE8*Assumptions!$F$114+BD8*Assumptions!$F$115+BC8*Assumptions!$F$116+BB8*Assumptions!$F$117+BA8*Assumptions!$F$118+AZ8*Assumptions!$F$119+AY8*Assumptions!$F$120+AX8*Assumptions!$F$121+AW8*Assumptions!$F$122+AV8*Assumptions!$F$123+AU8*Assumptions!$F$124+AT8*Assumptions!$F$125+AS8*Assumptions!$F$126+AR8*Assumptions!$F$127+AQ8*Assumptions!$F$128+AP8*Assumptions!$F$129+AO8*Assumptions!$F$130+AN8*Assumptions!$F$131+AM8*Assumptions!$F$132+AL8*Assumptions!$F$133)</f>
        <v>64</v>
      </c>
      <c r="BI11" s="37" t="n">
        <f aca="false">Assumptions!$F$10*(BI8*Assumptions!$F$111+BH8*Assumptions!$F$112+BG8*Assumptions!$F$113+BF8*Assumptions!$F$114+BE8*Assumptions!$F$115+BD8*Assumptions!$F$116+BC8*Assumptions!$F$117+BB8*Assumptions!$F$118+BA8*Assumptions!$F$119+AZ8*Assumptions!$F$120+AY8*Assumptions!$F$121+AX8*Assumptions!$F$122+AW8*Assumptions!$F$123+AV8*Assumptions!$F$124+AU8*Assumptions!$F$125+AT8*Assumptions!$F$126+AS8*Assumptions!$F$127+AR8*Assumptions!$F$128+AQ8*Assumptions!$F$129+AP8*Assumptions!$F$130+AO8*Assumptions!$F$131+AN8*Assumptions!$F$132+AM8*Assumptions!$F$133)</f>
        <v>64</v>
      </c>
      <c r="BJ11" s="37" t="n">
        <f aca="false">Assumptions!$F$10*(BJ8*Assumptions!$F$111+BI8*Assumptions!$F$112+BH8*Assumptions!$F$113+BG8*Assumptions!$F$114+BF8*Assumptions!$F$115+BE8*Assumptions!$F$116+BD8*Assumptions!$F$117+BC8*Assumptions!$F$118+BB8*Assumptions!$F$119+BA8*Assumptions!$F$120+AZ8*Assumptions!$F$121+AY8*Assumptions!$F$122+AX8*Assumptions!$F$123+AW8*Assumptions!$F$124+AV8*Assumptions!$F$125+AU8*Assumptions!$F$126+AT8*Assumptions!$F$127+AS8*Assumptions!$F$128+AR8*Assumptions!$F$129+AQ8*Assumptions!$F$130+AP8*Assumptions!$F$131+AO8*Assumptions!$F$132+AN8*Assumptions!$F$133)</f>
        <v>64</v>
      </c>
      <c r="BK11" s="37" t="n">
        <f aca="false">Assumptions!$F$10*(BK8*Assumptions!$F$111+BJ8*Assumptions!$F$112+BI8*Assumptions!$F$113+BH8*Assumptions!$F$114+BG8*Assumptions!$F$115+BF8*Assumptions!$F$116+BE8*Assumptions!$F$117+BD8*Assumptions!$F$118+BC8*Assumptions!$F$119+BB8*Assumptions!$F$120+BA8*Assumptions!$F$121+AZ8*Assumptions!$F$122+AY8*Assumptions!$F$123+AX8*Assumptions!$F$124+AW8*Assumptions!$F$125+AV8*Assumptions!$F$126+AU8*Assumptions!$F$127+AT8*Assumptions!$F$128+AS8*Assumptions!$F$129+AR8*Assumptions!$F$130+AQ8*Assumptions!$F$131+AP8*Assumptions!$F$132+AO8*Assumptions!$F$133)</f>
        <v>64</v>
      </c>
    </row>
    <row r="12" customFormat="false" ht="15" hidden="false" customHeight="false" outlineLevel="0" collapsed="false">
      <c r="A12" s="28" t="s">
        <v>543</v>
      </c>
      <c r="B12" s="6" t="s">
        <v>544</v>
      </c>
      <c r="C12" s="36" t="n">
        <v>0</v>
      </c>
      <c r="D12" s="26" t="n">
        <f aca="false">C12*(1-Assumptions!$F$12)+D11</f>
        <v>0</v>
      </c>
      <c r="E12" s="26" t="n">
        <f aca="false">D12*(1-Assumptions!$F$12)+E11</f>
        <v>0</v>
      </c>
      <c r="F12" s="26" t="n">
        <f aca="false">E12*(1-Assumptions!$F$12)+F11</f>
        <v>0</v>
      </c>
      <c r="G12" s="26" t="n">
        <f aca="false">F12*(1-Assumptions!$F$12)+G11</f>
        <v>0</v>
      </c>
      <c r="H12" s="26" t="n">
        <f aca="false">G12*(1-Assumptions!$F$12)+H11</f>
        <v>8</v>
      </c>
      <c r="I12" s="26" t="n">
        <f aca="false">H12*(1-Assumptions!$F$12)+I11</f>
        <v>14.92</v>
      </c>
      <c r="J12" s="26" t="n">
        <f aca="false">I12*(1-Assumptions!$F$12)+J11</f>
        <v>19.4962</v>
      </c>
      <c r="K12" s="26" t="n">
        <f aca="false">J12*(1-Assumptions!$F$12)+K11</f>
        <v>30.403757</v>
      </c>
      <c r="L12" s="26" t="n">
        <f aca="false">K12*(1-Assumptions!$F$12)+L11</f>
        <v>46.907700645</v>
      </c>
      <c r="M12" s="26" t="n">
        <f aca="false">L12*(1-Assumptions!$F$12)+M11</f>
        <v>59.644085135325</v>
      </c>
      <c r="N12" s="26" t="n">
        <f aca="false">M12*(1-Assumptions!$F$12)+N11</f>
        <v>75.0694238582951</v>
      </c>
      <c r="O12" s="26" t="n">
        <f aca="false">N12*(1-Assumptions!$F$12)+O11</f>
        <v>94.4233825004207</v>
      </c>
      <c r="P12" s="26" t="n">
        <f aca="false">O12*(1-Assumptions!$F$12)+P11</f>
        <v>116.687031762914</v>
      </c>
      <c r="Q12" s="26" t="n">
        <f aca="false">P12*(1-Assumptions!$F$12)+Q11</f>
        <v>140.216726286471</v>
      </c>
      <c r="R12" s="26" t="n">
        <f aca="false">Q12*(1-Assumptions!$F$12)+R11</f>
        <v>164.033475392174</v>
      </c>
      <c r="S12" s="26" t="n">
        <f aca="false">R12*(1-Assumptions!$F$12)+S11</f>
        <v>189.092973261291</v>
      </c>
      <c r="T12" s="26" t="n">
        <f aca="false">S12*(1-Assumptions!$F$12)+T11</f>
        <v>214.096578662372</v>
      </c>
      <c r="U12" s="26" t="n">
        <f aca="false">T12*(1-Assumptions!$F$12)+U11</f>
        <v>239.045129982436</v>
      </c>
      <c r="V12" s="26" t="n">
        <f aca="false">U12*(1-Assumptions!$F$12)+V11</f>
        <v>263.9394530327</v>
      </c>
      <c r="W12" s="26" t="n">
        <f aca="false">V12*(1-Assumptions!$F$12)+W11</f>
        <v>296.780361237209</v>
      </c>
      <c r="X12" s="26" t="n">
        <f aca="false">W12*(1-Assumptions!$F$12)+X11</f>
        <v>328.488655818651</v>
      </c>
      <c r="Y12" s="26" t="n">
        <f aca="false">X12*(1-Assumptions!$F$12)+Y11</f>
        <v>357.801325981371</v>
      </c>
      <c r="Z12" s="26" t="n">
        <f aca="false">Y12*(1-Assumptions!$F$12)+Z11</f>
        <v>393.394306091651</v>
      </c>
      <c r="AA12" s="26" t="n">
        <f aca="false">Z12*(1-Assumptions!$F$12)+AA11</f>
        <v>426.533391500276</v>
      </c>
      <c r="AB12" s="26" t="n">
        <f aca="false">AA12*(1-Assumptions!$F$12)+AB11</f>
        <v>456.935390627772</v>
      </c>
      <c r="AC12" s="26" t="n">
        <f aca="false">AB12*(1-Assumptions!$F$12)+AC11</f>
        <v>492.321359768355</v>
      </c>
      <c r="AD12" s="26" t="n">
        <f aca="false">AC12*(1-Assumptions!$F$12)+AD11</f>
        <v>533.25653937183</v>
      </c>
      <c r="AE12" s="26" t="n">
        <f aca="false">AD12*(1-Assumptions!$F$12)+AE11</f>
        <v>570.057691281252</v>
      </c>
      <c r="AF12" s="26" t="n">
        <f aca="false">AE12*(1-Assumptions!$F$12)+AF11</f>
        <v>609.506825912034</v>
      </c>
      <c r="AG12" s="26" t="n">
        <f aca="false">AF12*(1-Assumptions!$F$12)+AG11</f>
        <v>652.844223523353</v>
      </c>
      <c r="AH12" s="26" t="n">
        <f aca="false">AG12*(1-Assumptions!$F$12)+AH11</f>
        <v>690.731560170503</v>
      </c>
      <c r="AI12" s="26" t="n">
        <f aca="false">AH12*(1-Assumptions!$F$12)+AI11</f>
        <v>730.610586767945</v>
      </c>
      <c r="AJ12" s="26" t="n">
        <f aca="false">AI12*(1-Assumptions!$F$12)+AJ11</f>
        <v>773.091427966426</v>
      </c>
      <c r="AK12" s="26" t="n">
        <f aca="false">AJ12*(1-Assumptions!$F$12)+AK11</f>
        <v>818.13505654693</v>
      </c>
      <c r="AL12" s="26" t="n">
        <f aca="false">AK12*(1-Assumptions!$F$12)+AL11</f>
        <v>864.103030698726</v>
      </c>
      <c r="AM12" s="26" t="n">
        <f aca="false">AL12*(1-Assumptions!$F$12)+AM11</f>
        <v>910.021485238245</v>
      </c>
      <c r="AN12" s="37" t="n">
        <f aca="false">AM12*(1-Assumptions!$F$12)+AN11</f>
        <v>956.851162959671</v>
      </c>
      <c r="AO12" s="37" t="n">
        <f aca="false">AN12*(1-Assumptions!$F$12)+AO11</f>
        <v>1003.29839551528</v>
      </c>
      <c r="AP12" s="37" t="n">
        <f aca="false">AO12*(1-Assumptions!$F$12)+AP11</f>
        <v>1049.36891958255</v>
      </c>
      <c r="AQ12" s="37" t="n">
        <f aca="false">AP12*(1-Assumptions!$F$12)+AQ11</f>
        <v>1095.06838578881</v>
      </c>
      <c r="AR12" s="37" t="n">
        <f aca="false">AQ12*(1-Assumptions!$F$12)+AR11</f>
        <v>1140.40236000198</v>
      </c>
      <c r="AS12" s="37" t="n">
        <f aca="false">AR12*(1-Assumptions!$F$12)+AS11</f>
        <v>1185.37632460195</v>
      </c>
      <c r="AT12" s="37" t="n">
        <f aca="false">AS12*(1-Assumptions!$F$12)+AT11</f>
        <v>1229.67567973292</v>
      </c>
      <c r="AU12" s="37" t="n">
        <f aca="false">AT12*(1-Assumptions!$F$12)+AU11</f>
        <v>1273.63054453692</v>
      </c>
      <c r="AV12" s="37" t="n">
        <f aca="false">AU12*(1-Assumptions!$F$12)+AV11</f>
        <v>1317.24608636887</v>
      </c>
      <c r="AW12" s="37" t="n">
        <f aca="false">AV12*(1-Assumptions!$F$12)+AW11</f>
        <v>1360.20739507334</v>
      </c>
      <c r="AX12" s="37" t="n">
        <f aca="false">AW12*(1-Assumptions!$F$12)+AX11</f>
        <v>1402.84428414724</v>
      </c>
      <c r="AY12" s="37" t="n">
        <f aca="false">AX12*(1-Assumptions!$F$12)+AY11</f>
        <v>1445.16161988503</v>
      </c>
      <c r="AZ12" s="37" t="n">
        <f aca="false">AY12*(1-Assumptions!$F$12)+AZ11</f>
        <v>1486.84419558675</v>
      </c>
      <c r="BA12" s="37" t="n">
        <f aca="false">AZ12*(1-Assumptions!$F$12)+BA11</f>
        <v>1527.90153265295</v>
      </c>
      <c r="BB12" s="37" t="n">
        <f aca="false">BA12*(1-Assumptions!$F$12)+BB11</f>
        <v>1568.66300966316</v>
      </c>
      <c r="BC12" s="37" t="n">
        <f aca="false">BB12*(1-Assumptions!$F$12)+BC11</f>
        <v>1608.81306451821</v>
      </c>
      <c r="BD12" s="37" t="n">
        <f aca="false">BC12*(1-Assumptions!$F$12)+BD11</f>
        <v>1648.36086855044</v>
      </c>
      <c r="BE12" s="37" t="n">
        <f aca="false">BD12*(1-Assumptions!$F$12)+BE11</f>
        <v>1687.63545552218</v>
      </c>
      <c r="BF12" s="37" t="n">
        <f aca="false">BE12*(1-Assumptions!$F$12)+BF11</f>
        <v>1726.32092368935</v>
      </c>
      <c r="BG12" s="37" t="n">
        <f aca="false">BF12*(1-Assumptions!$F$12)+BG11</f>
        <v>1764.42610983401</v>
      </c>
      <c r="BH12" s="37" t="n">
        <f aca="false">BG12*(1-Assumptions!$F$12)+BH11</f>
        <v>1801.9597181865</v>
      </c>
      <c r="BI12" s="37" t="n">
        <f aca="false">BH12*(1-Assumptions!$F$12)+BI11</f>
        <v>1838.9303224137</v>
      </c>
      <c r="BJ12" s="37" t="n">
        <f aca="false">BI12*(1-Assumptions!$F$12)+BJ11</f>
        <v>1875.34636757749</v>
      </c>
      <c r="BK12" s="37" t="n">
        <f aca="false">BJ12*(1-Assumptions!$F$12)+BK11</f>
        <v>1911.21617206383</v>
      </c>
    </row>
    <row r="13" customFormat="false" ht="15" hidden="false" customHeight="false" outlineLevel="0" collapsed="false">
      <c r="A13" s="28" t="s">
        <v>545</v>
      </c>
      <c r="B13" s="6" t="s">
        <v>546</v>
      </c>
      <c r="C13" s="36" t="n">
        <v>0</v>
      </c>
      <c r="D13" s="26" t="n">
        <f aca="false">D12*Assumptions!$F$11</f>
        <v>0</v>
      </c>
      <c r="E13" s="26" t="n">
        <f aca="false">E12*Assumptions!$F$11</f>
        <v>0</v>
      </c>
      <c r="F13" s="26" t="n">
        <f aca="false">F12*Assumptions!$F$11</f>
        <v>0</v>
      </c>
      <c r="G13" s="26" t="n">
        <f aca="false">G12*Assumptions!$F$11</f>
        <v>0</v>
      </c>
      <c r="H13" s="26" t="n">
        <f aca="false">H12*Assumptions!$F$11</f>
        <v>4.8</v>
      </c>
      <c r="I13" s="26" t="n">
        <f aca="false">I12*Assumptions!$F$11</f>
        <v>8.952</v>
      </c>
      <c r="J13" s="26" t="n">
        <f aca="false">J12*Assumptions!$F$11</f>
        <v>11.69772</v>
      </c>
      <c r="K13" s="26" t="n">
        <f aca="false">K12*Assumptions!$F$11</f>
        <v>18.2422542</v>
      </c>
      <c r="L13" s="26" t="n">
        <f aca="false">L12*Assumptions!$F$11</f>
        <v>28.144620387</v>
      </c>
      <c r="M13" s="26" t="n">
        <f aca="false">M12*Assumptions!$F$11</f>
        <v>35.786451081195</v>
      </c>
      <c r="N13" s="26" t="n">
        <f aca="false">N12*Assumptions!$F$11</f>
        <v>45.0416543149771</v>
      </c>
      <c r="O13" s="26" t="n">
        <f aca="false">O12*Assumptions!$F$11</f>
        <v>56.6540295002524</v>
      </c>
      <c r="P13" s="26" t="n">
        <f aca="false">P12*Assumptions!$F$11</f>
        <v>70.0122190577486</v>
      </c>
      <c r="Q13" s="26" t="n">
        <f aca="false">Q12*Assumptions!$F$11</f>
        <v>84.1300357718824</v>
      </c>
      <c r="R13" s="26" t="n">
        <f aca="false">R12*Assumptions!$F$11</f>
        <v>98.4200852353042</v>
      </c>
      <c r="S13" s="26" t="n">
        <f aca="false">S12*Assumptions!$F$11</f>
        <v>113.455783956775</v>
      </c>
      <c r="T13" s="26" t="n">
        <f aca="false">T12*Assumptions!$F$11</f>
        <v>128.457947197423</v>
      </c>
      <c r="U13" s="26" t="n">
        <f aca="false">U12*Assumptions!$F$11</f>
        <v>143.427077989462</v>
      </c>
      <c r="V13" s="26" t="n">
        <f aca="false">V12*Assumptions!$F$11</f>
        <v>158.36367181962</v>
      </c>
      <c r="W13" s="26" t="n">
        <f aca="false">W12*Assumptions!$F$11</f>
        <v>178.068216742325</v>
      </c>
      <c r="X13" s="26" t="n">
        <f aca="false">X12*Assumptions!$F$11</f>
        <v>197.093193491191</v>
      </c>
      <c r="Y13" s="26" t="n">
        <f aca="false">Y12*Assumptions!$F$11</f>
        <v>214.680795588823</v>
      </c>
      <c r="Z13" s="26" t="n">
        <f aca="false">Z12*Assumptions!$F$11</f>
        <v>236.03658365499</v>
      </c>
      <c r="AA13" s="26" t="n">
        <f aca="false">AA12*Assumptions!$F$11</f>
        <v>255.920034900166</v>
      </c>
      <c r="AB13" s="26" t="n">
        <f aca="false">AB12*Assumptions!$F$11</f>
        <v>274.161234376663</v>
      </c>
      <c r="AC13" s="26" t="n">
        <f aca="false">AC12*Assumptions!$F$11</f>
        <v>295.392815861013</v>
      </c>
      <c r="AD13" s="26" t="n">
        <f aca="false">AD12*Assumptions!$F$11</f>
        <v>319.953923623098</v>
      </c>
      <c r="AE13" s="26" t="n">
        <f aca="false">AE12*Assumptions!$F$11</f>
        <v>342.034614768751</v>
      </c>
      <c r="AF13" s="26" t="n">
        <f aca="false">AF12*Assumptions!$F$11</f>
        <v>365.70409554722</v>
      </c>
      <c r="AG13" s="26" t="n">
        <f aca="false">AG12*Assumptions!$F$11</f>
        <v>391.706534114012</v>
      </c>
      <c r="AH13" s="26" t="n">
        <f aca="false">AH12*Assumptions!$F$11</f>
        <v>414.438936102302</v>
      </c>
      <c r="AI13" s="26" t="n">
        <f aca="false">AI12*Assumptions!$F$11</f>
        <v>438.366352060767</v>
      </c>
      <c r="AJ13" s="26" t="n">
        <f aca="false">AJ12*Assumptions!$F$11</f>
        <v>463.854856779856</v>
      </c>
      <c r="AK13" s="26" t="n">
        <f aca="false">AK12*Assumptions!$F$11</f>
        <v>490.881033928158</v>
      </c>
      <c r="AL13" s="26" t="n">
        <f aca="false">AL12*Assumptions!$F$11</f>
        <v>518.461818419235</v>
      </c>
      <c r="AM13" s="26" t="n">
        <f aca="false">AM12*Assumptions!$F$11</f>
        <v>546.012891142947</v>
      </c>
      <c r="AN13" s="37" t="n">
        <f aca="false">AN12*Assumptions!$F$11</f>
        <v>574.110697775803</v>
      </c>
      <c r="AO13" s="37" t="n">
        <f aca="false">AO12*Assumptions!$F$11</f>
        <v>601.979037309166</v>
      </c>
      <c r="AP13" s="37" t="n">
        <f aca="false">AP12*Assumptions!$F$11</f>
        <v>629.621351749528</v>
      </c>
      <c r="AQ13" s="37" t="n">
        <f aca="false">AQ12*Assumptions!$F$11</f>
        <v>657.041031473285</v>
      </c>
      <c r="AR13" s="37" t="n">
        <f aca="false">AR12*Assumptions!$F$11</f>
        <v>684.241416001186</v>
      </c>
      <c r="AS13" s="37" t="n">
        <f aca="false">AS12*Assumptions!$F$11</f>
        <v>711.225794761168</v>
      </c>
      <c r="AT13" s="37" t="n">
        <f aca="false">AT12*Assumptions!$F$11</f>
        <v>737.805407839751</v>
      </c>
      <c r="AU13" s="37" t="n">
        <f aca="false">AU12*Assumptions!$F$11</f>
        <v>764.178326722154</v>
      </c>
      <c r="AV13" s="37" t="n">
        <f aca="false">AV12*Assumptions!$F$11</f>
        <v>790.347651821322</v>
      </c>
      <c r="AW13" s="37" t="n">
        <f aca="false">AW12*Assumptions!$F$11</f>
        <v>816.124437044002</v>
      </c>
      <c r="AX13" s="37" t="n">
        <f aca="false">AX12*Assumptions!$F$11</f>
        <v>841.706570488342</v>
      </c>
      <c r="AY13" s="37" t="n">
        <f aca="false">AY12*Assumptions!$F$11</f>
        <v>867.096971931017</v>
      </c>
      <c r="AZ13" s="37" t="n">
        <f aca="false">AZ12*Assumptions!$F$11</f>
        <v>892.106517352052</v>
      </c>
      <c r="BA13" s="37" t="n">
        <f aca="false">BA12*Assumptions!$F$11</f>
        <v>916.740919591771</v>
      </c>
      <c r="BB13" s="37" t="n">
        <f aca="false">BB12*Assumptions!$F$11</f>
        <v>941.197805797894</v>
      </c>
      <c r="BC13" s="37" t="n">
        <f aca="false">BC12*Assumptions!$F$11</f>
        <v>965.287838710926</v>
      </c>
      <c r="BD13" s="37" t="n">
        <f aca="false">BD12*Assumptions!$F$11</f>
        <v>989.016521130262</v>
      </c>
      <c r="BE13" s="37" t="n">
        <f aca="false">BE12*Assumptions!$F$11</f>
        <v>1012.58127331331</v>
      </c>
      <c r="BF13" s="37" t="n">
        <f aca="false">BF12*Assumptions!$F$11</f>
        <v>1035.79255421361</v>
      </c>
      <c r="BG13" s="37" t="n">
        <f aca="false">BG12*Assumptions!$F$11</f>
        <v>1058.6556659004</v>
      </c>
      <c r="BH13" s="37" t="n">
        <f aca="false">BH12*Assumptions!$F$11</f>
        <v>1081.1758309119</v>
      </c>
      <c r="BI13" s="37" t="n">
        <f aca="false">BI12*Assumptions!$F$11</f>
        <v>1103.35819344822</v>
      </c>
      <c r="BJ13" s="37" t="n">
        <f aca="false">BJ12*Assumptions!$F$11</f>
        <v>1125.2078205465</v>
      </c>
      <c r="BK13" s="37" t="n">
        <f aca="false">BK12*Assumptions!$F$11</f>
        <v>1146.7297032383</v>
      </c>
    </row>
    <row r="14" customFormat="false" ht="15" hidden="false" customHeight="false" outlineLevel="0" collapsed="false">
      <c r="A14" s="28" t="s">
        <v>547</v>
      </c>
      <c r="B14" s="6" t="s">
        <v>548</v>
      </c>
      <c r="C14" s="36" t="n">
        <v>0</v>
      </c>
      <c r="D14" s="26" t="n">
        <f aca="false">D11*Assumptions!$F$11</f>
        <v>0</v>
      </c>
      <c r="E14" s="26" t="n">
        <f aca="false">E11*Assumptions!$F$11</f>
        <v>0</v>
      </c>
      <c r="F14" s="26" t="n">
        <f aca="false">F11*Assumptions!$F$11</f>
        <v>0</v>
      </c>
      <c r="G14" s="26" t="n">
        <f aca="false">G11*Assumptions!$F$11</f>
        <v>0</v>
      </c>
      <c r="H14" s="26" t="n">
        <f aca="false">H11*Assumptions!$F$11</f>
        <v>4.8</v>
      </c>
      <c r="I14" s="26" t="n">
        <f aca="false">I11*Assumptions!$F$11</f>
        <v>4.224</v>
      </c>
      <c r="J14" s="26" t="n">
        <f aca="false">J11*Assumptions!$F$11</f>
        <v>2.88</v>
      </c>
      <c r="K14" s="26" t="n">
        <f aca="false">K11*Assumptions!$F$11</f>
        <v>6.72</v>
      </c>
      <c r="L14" s="26" t="n">
        <f aca="false">L11*Assumptions!$F$11</f>
        <v>10.176</v>
      </c>
      <c r="M14" s="26" t="n">
        <f aca="false">M11*Assumptions!$F$11</f>
        <v>8.064</v>
      </c>
      <c r="N14" s="26" t="n">
        <f aca="false">N11*Assumptions!$F$11</f>
        <v>9.792</v>
      </c>
      <c r="O14" s="26" t="n">
        <f aca="false">O11*Assumptions!$F$11</f>
        <v>12.288</v>
      </c>
      <c r="P14" s="26" t="n">
        <f aca="false">P11*Assumptions!$F$11</f>
        <v>14.208</v>
      </c>
      <c r="Q14" s="26" t="n">
        <f aca="false">Q11*Assumptions!$F$11</f>
        <v>15.168</v>
      </c>
      <c r="R14" s="26" t="n">
        <f aca="false">R11*Assumptions!$F$11</f>
        <v>15.552</v>
      </c>
      <c r="S14" s="26" t="n">
        <f aca="false">S11*Assumptions!$F$11</f>
        <v>16.512</v>
      </c>
      <c r="T14" s="26" t="n">
        <f aca="false">T11*Assumptions!$F$11</f>
        <v>16.704</v>
      </c>
      <c r="U14" s="26" t="n">
        <f aca="false">U11*Assumptions!$F$11</f>
        <v>16.896</v>
      </c>
      <c r="V14" s="26" t="n">
        <f aca="false">V11*Assumptions!$F$11</f>
        <v>17.088</v>
      </c>
      <c r="W14" s="26" t="n">
        <f aca="false">W11*Assumptions!$F$11</f>
        <v>22.08</v>
      </c>
      <c r="X14" s="26" t="n">
        <f aca="false">X11*Assumptions!$F$11</f>
        <v>21.696</v>
      </c>
      <c r="Y14" s="26" t="n">
        <f aca="false">Y11*Assumptions!$F$11</f>
        <v>20.544</v>
      </c>
      <c r="Z14" s="26" t="n">
        <f aca="false">Z11*Assumptions!$F$11</f>
        <v>24.576</v>
      </c>
      <c r="AA14" s="26" t="n">
        <f aca="false">AA11*Assumptions!$F$11</f>
        <v>23.424</v>
      </c>
      <c r="AB14" s="26" t="n">
        <f aca="false">AB11*Assumptions!$F$11</f>
        <v>22.08</v>
      </c>
      <c r="AC14" s="26" t="n">
        <f aca="false">AC11*Assumptions!$F$11</f>
        <v>25.344</v>
      </c>
      <c r="AD14" s="26" t="n">
        <f aca="false">AD11*Assumptions!$F$11</f>
        <v>28.992</v>
      </c>
      <c r="AE14" s="26" t="n">
        <f aca="false">AE11*Assumptions!$F$11</f>
        <v>26.88</v>
      </c>
      <c r="AF14" s="26" t="n">
        <f aca="false">AF11*Assumptions!$F$11</f>
        <v>28.8</v>
      </c>
      <c r="AG14" s="26" t="n">
        <f aca="false">AG11*Assumptions!$F$11</f>
        <v>31.488</v>
      </c>
      <c r="AH14" s="26" t="n">
        <f aca="false">AH11*Assumptions!$F$11</f>
        <v>28.608</v>
      </c>
      <c r="AI14" s="26" t="n">
        <f aca="false">AI11*Assumptions!$F$11</f>
        <v>30.144</v>
      </c>
      <c r="AJ14" s="26" t="n">
        <f aca="false">AJ11*Assumptions!$F$11</f>
        <v>32.064</v>
      </c>
      <c r="AK14" s="26" t="n">
        <f aca="false">AK11*Assumptions!$F$11</f>
        <v>33.984</v>
      </c>
      <c r="AL14" s="26" t="n">
        <f aca="false">AL11*Assumptions!$F$11</f>
        <v>34.944</v>
      </c>
      <c r="AM14" s="26" t="n">
        <f aca="false">AM11*Assumptions!$F$11</f>
        <v>35.328</v>
      </c>
      <c r="AN14" s="37" t="n">
        <f aca="false">AN11*Assumptions!$F$11</f>
        <v>36.288</v>
      </c>
      <c r="AO14" s="37" t="n">
        <f aca="false">AO11*Assumptions!$F$11</f>
        <v>36.48</v>
      </c>
      <c r="AP14" s="37" t="n">
        <f aca="false">AP11*Assumptions!$F$11</f>
        <v>36.672</v>
      </c>
      <c r="AQ14" s="37" t="n">
        <f aca="false">AQ11*Assumptions!$F$11</f>
        <v>36.864</v>
      </c>
      <c r="AR14" s="37" t="n">
        <f aca="false">AR11*Assumptions!$F$11</f>
        <v>37.056</v>
      </c>
      <c r="AS14" s="37" t="n">
        <f aca="false">AS11*Assumptions!$F$11</f>
        <v>37.248</v>
      </c>
      <c r="AT14" s="37" t="n">
        <f aca="false">AT11*Assumptions!$F$11</f>
        <v>37.248</v>
      </c>
      <c r="AU14" s="37" t="n">
        <f aca="false">AU11*Assumptions!$F$11</f>
        <v>37.44</v>
      </c>
      <c r="AV14" s="37" t="n">
        <f aca="false">AV11*Assumptions!$F$11</f>
        <v>37.632</v>
      </c>
      <c r="AW14" s="37" t="n">
        <f aca="false">AW11*Assumptions!$F$11</f>
        <v>37.632</v>
      </c>
      <c r="AX14" s="37" t="n">
        <f aca="false">AX11*Assumptions!$F$11</f>
        <v>37.824</v>
      </c>
      <c r="AY14" s="37" t="n">
        <f aca="false">AY11*Assumptions!$F$11</f>
        <v>38.016</v>
      </c>
      <c r="AZ14" s="37" t="n">
        <f aca="false">AZ11*Assumptions!$F$11</f>
        <v>38.016</v>
      </c>
      <c r="BA14" s="37" t="n">
        <f aca="false">BA11*Assumptions!$F$11</f>
        <v>38.016</v>
      </c>
      <c r="BB14" s="37" t="n">
        <f aca="false">BB11*Assumptions!$F$11</f>
        <v>38.208</v>
      </c>
      <c r="BC14" s="37" t="n">
        <f aca="false">BC11*Assumptions!$F$11</f>
        <v>38.208</v>
      </c>
      <c r="BD14" s="37" t="n">
        <f aca="false">BD11*Assumptions!$F$11</f>
        <v>38.208</v>
      </c>
      <c r="BE14" s="37" t="n">
        <f aca="false">BE11*Assumptions!$F$11</f>
        <v>38.4</v>
      </c>
      <c r="BF14" s="37" t="n">
        <f aca="false">BF11*Assumptions!$F$11</f>
        <v>38.4</v>
      </c>
      <c r="BG14" s="37" t="n">
        <f aca="false">BG11*Assumptions!$F$11</f>
        <v>38.4</v>
      </c>
      <c r="BH14" s="37" t="n">
        <f aca="false">BH11*Assumptions!$F$11</f>
        <v>38.4</v>
      </c>
      <c r="BI14" s="37" t="n">
        <f aca="false">BI11*Assumptions!$F$11</f>
        <v>38.4</v>
      </c>
      <c r="BJ14" s="37" t="n">
        <f aca="false">BJ11*Assumptions!$F$11</f>
        <v>38.4</v>
      </c>
      <c r="BK14" s="37" t="n">
        <f aca="false">BK11*Assumptions!$F$11</f>
        <v>38.4</v>
      </c>
    </row>
    <row r="15" customFormat="false" ht="15" hidden="false" customHeight="false" outlineLevel="0" collapsed="false">
      <c r="B15" s="5" t="s">
        <v>549</v>
      </c>
    </row>
    <row r="16" customFormat="false" ht="15" hidden="false" customHeight="false" outlineLevel="0" collapsed="false">
      <c r="A16" s="28" t="s">
        <v>550</v>
      </c>
      <c r="B16" s="6" t="s">
        <v>551</v>
      </c>
      <c r="C16" s="38" t="n">
        <v>0</v>
      </c>
      <c r="D16" s="39" t="n">
        <f aca="false">IF(OR(C16=1,AND(D13&gt;=Assumptions!$F$18,D7&gt;=Assumptions!$F$19)),1,0)</f>
        <v>0</v>
      </c>
      <c r="E16" s="39" t="n">
        <f aca="false">IF(OR(D16=1,AND(E13&gt;=Assumptions!$F$18,E7&gt;=Assumptions!$F$19)),1,0)</f>
        <v>0</v>
      </c>
      <c r="F16" s="39" t="n">
        <f aca="false">IF(OR(E16=1,AND(F13&gt;=Assumptions!$F$18,F7&gt;=Assumptions!$F$19)),1,0)</f>
        <v>0</v>
      </c>
      <c r="G16" s="39" t="n">
        <f aca="false">IF(OR(F16=1,AND(G13&gt;=Assumptions!$F$18,G7&gt;=Assumptions!$F$19)),1,0)</f>
        <v>0</v>
      </c>
      <c r="H16" s="39" t="n">
        <f aca="false">IF(OR(G16=1,AND(H13&gt;=Assumptions!$F$18,H7&gt;=Assumptions!$F$19)),1,0)</f>
        <v>0</v>
      </c>
      <c r="I16" s="39" t="n">
        <f aca="false">IF(OR(H16=1,AND(I13&gt;=Assumptions!$F$18,I7&gt;=Assumptions!$F$19)),1,0)</f>
        <v>0</v>
      </c>
      <c r="J16" s="39" t="n">
        <f aca="false">IF(OR(I16=1,AND(J13&gt;=Assumptions!$F$18,J7&gt;=Assumptions!$F$19)),1,0)</f>
        <v>0</v>
      </c>
      <c r="K16" s="39" t="n">
        <f aca="false">IF(OR(J16=1,AND(K13&gt;=Assumptions!$F$18,K7&gt;=Assumptions!$F$19)),1,0)</f>
        <v>0</v>
      </c>
      <c r="L16" s="39" t="n">
        <f aca="false">IF(OR(K16=1,AND(L13&gt;=Assumptions!$F$18,L7&gt;=Assumptions!$F$19)),1,0)</f>
        <v>0</v>
      </c>
      <c r="M16" s="39" t="n">
        <f aca="false">IF(OR(L16=1,AND(M13&gt;=Assumptions!$F$18,M7&gt;=Assumptions!$F$19)),1,0)</f>
        <v>0</v>
      </c>
      <c r="N16" s="39" t="n">
        <f aca="false">IF(OR(M16=1,AND(N13&gt;=Assumptions!$F$18,N7&gt;=Assumptions!$F$19)),1,0)</f>
        <v>0</v>
      </c>
      <c r="O16" s="39" t="n">
        <f aca="false">IF(OR(N16=1,AND(O13&gt;=Assumptions!$F$18,O7&gt;=Assumptions!$F$19)),1,0)</f>
        <v>0</v>
      </c>
      <c r="P16" s="39" t="n">
        <f aca="false">IF(OR(O16=1,AND(P13&gt;=Assumptions!$F$18,P7&gt;=Assumptions!$F$19)),1,0)</f>
        <v>0</v>
      </c>
      <c r="Q16" s="39" t="n">
        <f aca="false">IF(OR(P16=1,AND(Q13&gt;=Assumptions!$F$18,Q7&gt;=Assumptions!$F$19)),1,0)</f>
        <v>0</v>
      </c>
      <c r="R16" s="39" t="n">
        <f aca="false">IF(OR(Q16=1,AND(R13&gt;=Assumptions!$F$18,R7&gt;=Assumptions!$F$19)),1,0)</f>
        <v>0</v>
      </c>
      <c r="S16" s="39" t="n">
        <f aca="false">IF(OR(R16=1,AND(S13&gt;=Assumptions!$F$18,S7&gt;=Assumptions!$F$19)),1,0)</f>
        <v>1</v>
      </c>
      <c r="T16" s="39" t="n">
        <f aca="false">IF(OR(S16=1,AND(T13&gt;=Assumptions!$F$18,T7&gt;=Assumptions!$F$19)),1,0)</f>
        <v>1</v>
      </c>
      <c r="U16" s="39" t="n">
        <f aca="false">IF(OR(T16=1,AND(U13&gt;=Assumptions!$F$18,U7&gt;=Assumptions!$F$19)),1,0)</f>
        <v>1</v>
      </c>
      <c r="V16" s="39" t="n">
        <f aca="false">IF(OR(U16=1,AND(V13&gt;=Assumptions!$F$18,V7&gt;=Assumptions!$F$19)),1,0)</f>
        <v>1</v>
      </c>
      <c r="W16" s="39" t="n">
        <f aca="false">IF(OR(V16=1,AND(W13&gt;=Assumptions!$F$18,W7&gt;=Assumptions!$F$19)),1,0)</f>
        <v>1</v>
      </c>
      <c r="X16" s="39" t="n">
        <f aca="false">IF(OR(W16=1,AND(X13&gt;=Assumptions!$F$18,X7&gt;=Assumptions!$F$19)),1,0)</f>
        <v>1</v>
      </c>
      <c r="Y16" s="39" t="n">
        <f aca="false">IF(OR(X16=1,AND(Y13&gt;=Assumptions!$F$18,Y7&gt;=Assumptions!$F$19)),1,0)</f>
        <v>1</v>
      </c>
      <c r="Z16" s="39" t="n">
        <f aca="false">IF(OR(Y16=1,AND(Z13&gt;=Assumptions!$F$18,Z7&gt;=Assumptions!$F$19)),1,0)</f>
        <v>1</v>
      </c>
      <c r="AA16" s="39" t="n">
        <f aca="false">IF(OR(Z16=1,AND(AA13&gt;=Assumptions!$F$18,AA7&gt;=Assumptions!$F$19)),1,0)</f>
        <v>1</v>
      </c>
      <c r="AB16" s="39" t="n">
        <f aca="false">IF(OR(AA16=1,AND(AB13&gt;=Assumptions!$F$18,AB7&gt;=Assumptions!$F$19)),1,0)</f>
        <v>1</v>
      </c>
      <c r="AC16" s="39" t="n">
        <f aca="false">IF(OR(AB16=1,AND(AC13&gt;=Assumptions!$F$18,AC7&gt;=Assumptions!$F$19)),1,0)</f>
        <v>1</v>
      </c>
      <c r="AD16" s="39" t="n">
        <f aca="false">IF(OR(AC16=1,AND(AD13&gt;=Assumptions!$F$18,AD7&gt;=Assumptions!$F$19)),1,0)</f>
        <v>1</v>
      </c>
      <c r="AE16" s="39" t="n">
        <f aca="false">IF(OR(AD16=1,AND(AE13&gt;=Assumptions!$F$18,AE7&gt;=Assumptions!$F$19)),1,0)</f>
        <v>1</v>
      </c>
      <c r="AF16" s="39" t="n">
        <f aca="false">IF(OR(AE16=1,AND(AF13&gt;=Assumptions!$F$18,AF7&gt;=Assumptions!$F$19)),1,0)</f>
        <v>1</v>
      </c>
      <c r="AG16" s="39" t="n">
        <f aca="false">IF(OR(AF16=1,AND(AG13&gt;=Assumptions!$F$18,AG7&gt;=Assumptions!$F$19)),1,0)</f>
        <v>1</v>
      </c>
      <c r="AH16" s="39" t="n">
        <f aca="false">IF(OR(AG16=1,AND(AH13&gt;=Assumptions!$F$18,AH7&gt;=Assumptions!$F$19)),1,0)</f>
        <v>1</v>
      </c>
      <c r="AI16" s="39" t="n">
        <f aca="false">IF(OR(AH16=1,AND(AI13&gt;=Assumptions!$F$18,AI7&gt;=Assumptions!$F$19)),1,0)</f>
        <v>1</v>
      </c>
      <c r="AJ16" s="39" t="n">
        <f aca="false">IF(OR(AI16=1,AND(AJ13&gt;=Assumptions!$F$18,AJ7&gt;=Assumptions!$F$19)),1,0)</f>
        <v>1</v>
      </c>
      <c r="AK16" s="39" t="n">
        <f aca="false">IF(OR(AJ16=1,AND(AK13&gt;=Assumptions!$F$18,AK7&gt;=Assumptions!$F$19)),1,0)</f>
        <v>1</v>
      </c>
      <c r="AL16" s="39" t="n">
        <f aca="false">IF(OR(AK16=1,AND(AL13&gt;=Assumptions!$F$18,AL7&gt;=Assumptions!$F$19)),1,0)</f>
        <v>1</v>
      </c>
      <c r="AM16" s="39" t="n">
        <f aca="false">IF(OR(AL16=1,AND(AM13&gt;=Assumptions!$F$18,AM7&gt;=Assumptions!$F$19)),1,0)</f>
        <v>1</v>
      </c>
      <c r="AN16" s="40" t="n">
        <f aca="false">IF(OR(AM16=1,AND(AN13&gt;=Assumptions!$F$18,AN7&gt;=Assumptions!$F$19)),1,0)</f>
        <v>1</v>
      </c>
      <c r="AO16" s="40" t="n">
        <f aca="false">IF(OR(AN16=1,AND(AO13&gt;=Assumptions!$F$18,AO7&gt;=Assumptions!$F$19)),1,0)</f>
        <v>1</v>
      </c>
      <c r="AP16" s="40" t="n">
        <f aca="false">IF(OR(AO16=1,AND(AP13&gt;=Assumptions!$F$18,AP7&gt;=Assumptions!$F$19)),1,0)</f>
        <v>1</v>
      </c>
      <c r="AQ16" s="40" t="n">
        <f aca="false">IF(OR(AP16=1,AND(AQ13&gt;=Assumptions!$F$18,AQ7&gt;=Assumptions!$F$19)),1,0)</f>
        <v>1</v>
      </c>
      <c r="AR16" s="40" t="n">
        <f aca="false">IF(OR(AQ16=1,AND(AR13&gt;=Assumptions!$F$18,AR7&gt;=Assumptions!$F$19)),1,0)</f>
        <v>1</v>
      </c>
      <c r="AS16" s="40" t="n">
        <f aca="false">IF(OR(AR16=1,AND(AS13&gt;=Assumptions!$F$18,AS7&gt;=Assumptions!$F$19)),1,0)</f>
        <v>1</v>
      </c>
      <c r="AT16" s="40" t="n">
        <f aca="false">IF(OR(AS16=1,AND(AT13&gt;=Assumptions!$F$18,AT7&gt;=Assumptions!$F$19)),1,0)</f>
        <v>1</v>
      </c>
      <c r="AU16" s="40" t="n">
        <f aca="false">IF(OR(AT16=1,AND(AU13&gt;=Assumptions!$F$18,AU7&gt;=Assumptions!$F$19)),1,0)</f>
        <v>1</v>
      </c>
      <c r="AV16" s="40" t="n">
        <f aca="false">IF(OR(AU16=1,AND(AV13&gt;=Assumptions!$F$18,AV7&gt;=Assumptions!$F$19)),1,0)</f>
        <v>1</v>
      </c>
      <c r="AW16" s="40" t="n">
        <f aca="false">IF(OR(AV16=1,AND(AW13&gt;=Assumptions!$F$18,AW7&gt;=Assumptions!$F$19)),1,0)</f>
        <v>1</v>
      </c>
      <c r="AX16" s="40" t="n">
        <f aca="false">IF(OR(AW16=1,AND(AX13&gt;=Assumptions!$F$18,AX7&gt;=Assumptions!$F$19)),1,0)</f>
        <v>1</v>
      </c>
      <c r="AY16" s="40" t="n">
        <f aca="false">IF(OR(AX16=1,AND(AY13&gt;=Assumptions!$F$18,AY7&gt;=Assumptions!$F$19)),1,0)</f>
        <v>1</v>
      </c>
      <c r="AZ16" s="40" t="n">
        <f aca="false">IF(OR(AY16=1,AND(AZ13&gt;=Assumptions!$F$18,AZ7&gt;=Assumptions!$F$19)),1,0)</f>
        <v>1</v>
      </c>
      <c r="BA16" s="40" t="n">
        <f aca="false">IF(OR(AZ16=1,AND(BA13&gt;=Assumptions!$F$18,BA7&gt;=Assumptions!$F$19)),1,0)</f>
        <v>1</v>
      </c>
      <c r="BB16" s="40" t="n">
        <f aca="false">IF(OR(BA16=1,AND(BB13&gt;=Assumptions!$F$18,BB7&gt;=Assumptions!$F$19)),1,0)</f>
        <v>1</v>
      </c>
      <c r="BC16" s="40" t="n">
        <f aca="false">IF(OR(BB16=1,AND(BC13&gt;=Assumptions!$F$18,BC7&gt;=Assumptions!$F$19)),1,0)</f>
        <v>1</v>
      </c>
      <c r="BD16" s="40" t="n">
        <f aca="false">IF(OR(BC16=1,AND(BD13&gt;=Assumptions!$F$18,BD7&gt;=Assumptions!$F$19)),1,0)</f>
        <v>1</v>
      </c>
      <c r="BE16" s="40" t="n">
        <f aca="false">IF(OR(BD16=1,AND(BE13&gt;=Assumptions!$F$18,BE7&gt;=Assumptions!$F$19)),1,0)</f>
        <v>1</v>
      </c>
      <c r="BF16" s="40" t="n">
        <f aca="false">IF(OR(BE16=1,AND(BF13&gt;=Assumptions!$F$18,BF7&gt;=Assumptions!$F$19)),1,0)</f>
        <v>1</v>
      </c>
      <c r="BG16" s="40" t="n">
        <f aca="false">IF(OR(BF16=1,AND(BG13&gt;=Assumptions!$F$18,BG7&gt;=Assumptions!$F$19)),1,0)</f>
        <v>1</v>
      </c>
      <c r="BH16" s="40" t="n">
        <f aca="false">IF(OR(BG16=1,AND(BH13&gt;=Assumptions!$F$18,BH7&gt;=Assumptions!$F$19)),1,0)</f>
        <v>1</v>
      </c>
      <c r="BI16" s="40" t="n">
        <f aca="false">IF(OR(BH16=1,AND(BI13&gt;=Assumptions!$F$18,BI7&gt;=Assumptions!$F$19)),1,0)</f>
        <v>1</v>
      </c>
      <c r="BJ16" s="40" t="n">
        <f aca="false">IF(OR(BI16=1,AND(BJ13&gt;=Assumptions!$F$18,BJ7&gt;=Assumptions!$F$19)),1,0)</f>
        <v>1</v>
      </c>
      <c r="BK16" s="40" t="n">
        <f aca="false">IF(OR(BJ16=1,AND(BK13&gt;=Assumptions!$F$18,BK7&gt;=Assumptions!$F$19)),1,0)</f>
        <v>1</v>
      </c>
    </row>
    <row r="17" customFormat="false" ht="15" hidden="false" customHeight="false" outlineLevel="0" collapsed="false">
      <c r="A17" s="28" t="s">
        <v>552</v>
      </c>
      <c r="B17" s="6" t="s">
        <v>553</v>
      </c>
      <c r="C17" s="38" t="n">
        <v>0</v>
      </c>
      <c r="D17" s="39" t="n">
        <f aca="false">IF(OR(C17=1,AND(D13&gt;=Assumptions!$F$20,D7&gt;=Assumptions!$F$21)),1,0)</f>
        <v>0</v>
      </c>
      <c r="E17" s="39" t="n">
        <f aca="false">IF(OR(D17=1,AND(E13&gt;=Assumptions!$F$20,E7&gt;=Assumptions!$F$21)),1,0)</f>
        <v>0</v>
      </c>
      <c r="F17" s="39" t="n">
        <f aca="false">IF(OR(E17=1,AND(F13&gt;=Assumptions!$F$20,F7&gt;=Assumptions!$F$21)),1,0)</f>
        <v>0</v>
      </c>
      <c r="G17" s="39" t="n">
        <f aca="false">IF(OR(F17=1,AND(G13&gt;=Assumptions!$F$20,G7&gt;=Assumptions!$F$21)),1,0)</f>
        <v>0</v>
      </c>
      <c r="H17" s="39" t="n">
        <f aca="false">IF(OR(G17=1,AND(H13&gt;=Assumptions!$F$20,H7&gt;=Assumptions!$F$21)),1,0)</f>
        <v>0</v>
      </c>
      <c r="I17" s="39" t="n">
        <f aca="false">IF(OR(H17=1,AND(I13&gt;=Assumptions!$F$20,I7&gt;=Assumptions!$F$21)),1,0)</f>
        <v>0</v>
      </c>
      <c r="J17" s="39" t="n">
        <f aca="false">IF(OR(I17=1,AND(J13&gt;=Assumptions!$F$20,J7&gt;=Assumptions!$F$21)),1,0)</f>
        <v>0</v>
      </c>
      <c r="K17" s="39" t="n">
        <f aca="false">IF(OR(J17=1,AND(K13&gt;=Assumptions!$F$20,K7&gt;=Assumptions!$F$21)),1,0)</f>
        <v>0</v>
      </c>
      <c r="L17" s="39" t="n">
        <f aca="false">IF(OR(K17=1,AND(L13&gt;=Assumptions!$F$20,L7&gt;=Assumptions!$F$21)),1,0)</f>
        <v>0</v>
      </c>
      <c r="M17" s="39" t="n">
        <f aca="false">IF(OR(L17=1,AND(M13&gt;=Assumptions!$F$20,M7&gt;=Assumptions!$F$21)),1,0)</f>
        <v>0</v>
      </c>
      <c r="N17" s="39" t="n">
        <f aca="false">IF(OR(M17=1,AND(N13&gt;=Assumptions!$F$20,N7&gt;=Assumptions!$F$21)),1,0)</f>
        <v>1</v>
      </c>
      <c r="O17" s="39" t="n">
        <f aca="false">IF(OR(N17=1,AND(O13&gt;=Assumptions!$F$20,O7&gt;=Assumptions!$F$21)),1,0)</f>
        <v>1</v>
      </c>
      <c r="P17" s="39" t="n">
        <f aca="false">IF(OR(O17=1,AND(P13&gt;=Assumptions!$F$20,P7&gt;=Assumptions!$F$21)),1,0)</f>
        <v>1</v>
      </c>
      <c r="Q17" s="39" t="n">
        <f aca="false">IF(OR(P17=1,AND(Q13&gt;=Assumptions!$F$20,Q7&gt;=Assumptions!$F$21)),1,0)</f>
        <v>1</v>
      </c>
      <c r="R17" s="39" t="n">
        <f aca="false">IF(OR(Q17=1,AND(R13&gt;=Assumptions!$F$20,R7&gt;=Assumptions!$F$21)),1,0)</f>
        <v>1</v>
      </c>
      <c r="S17" s="39" t="n">
        <f aca="false">IF(OR(R17=1,AND(S13&gt;=Assumptions!$F$20,S7&gt;=Assumptions!$F$21)),1,0)</f>
        <v>1</v>
      </c>
      <c r="T17" s="39" t="n">
        <f aca="false">IF(OR(S17=1,AND(T13&gt;=Assumptions!$F$20,T7&gt;=Assumptions!$F$21)),1,0)</f>
        <v>1</v>
      </c>
      <c r="U17" s="39" t="n">
        <f aca="false">IF(OR(T17=1,AND(U13&gt;=Assumptions!$F$20,U7&gt;=Assumptions!$F$21)),1,0)</f>
        <v>1</v>
      </c>
      <c r="V17" s="39" t="n">
        <f aca="false">IF(OR(U17=1,AND(V13&gt;=Assumptions!$F$20,V7&gt;=Assumptions!$F$21)),1,0)</f>
        <v>1</v>
      </c>
      <c r="W17" s="39" t="n">
        <f aca="false">IF(OR(V17=1,AND(W13&gt;=Assumptions!$F$20,W7&gt;=Assumptions!$F$21)),1,0)</f>
        <v>1</v>
      </c>
      <c r="X17" s="39" t="n">
        <f aca="false">IF(OR(W17=1,AND(X13&gt;=Assumptions!$F$20,X7&gt;=Assumptions!$F$21)),1,0)</f>
        <v>1</v>
      </c>
      <c r="Y17" s="39" t="n">
        <f aca="false">IF(OR(X17=1,AND(Y13&gt;=Assumptions!$F$20,Y7&gt;=Assumptions!$F$21)),1,0)</f>
        <v>1</v>
      </c>
      <c r="Z17" s="39" t="n">
        <f aca="false">IF(OR(Y17=1,AND(Z13&gt;=Assumptions!$F$20,Z7&gt;=Assumptions!$F$21)),1,0)</f>
        <v>1</v>
      </c>
      <c r="AA17" s="39" t="n">
        <f aca="false">IF(OR(Z17=1,AND(AA13&gt;=Assumptions!$F$20,AA7&gt;=Assumptions!$F$21)),1,0)</f>
        <v>1</v>
      </c>
      <c r="AB17" s="39" t="n">
        <f aca="false">IF(OR(AA17=1,AND(AB13&gt;=Assumptions!$F$20,AB7&gt;=Assumptions!$F$21)),1,0)</f>
        <v>1</v>
      </c>
      <c r="AC17" s="39" t="n">
        <f aca="false">IF(OR(AB17=1,AND(AC13&gt;=Assumptions!$F$20,AC7&gt;=Assumptions!$F$21)),1,0)</f>
        <v>1</v>
      </c>
      <c r="AD17" s="39" t="n">
        <f aca="false">IF(OR(AC17=1,AND(AD13&gt;=Assumptions!$F$20,AD7&gt;=Assumptions!$F$21)),1,0)</f>
        <v>1</v>
      </c>
      <c r="AE17" s="39" t="n">
        <f aca="false">IF(OR(AD17=1,AND(AE13&gt;=Assumptions!$F$20,AE7&gt;=Assumptions!$F$21)),1,0)</f>
        <v>1</v>
      </c>
      <c r="AF17" s="39" t="n">
        <f aca="false">IF(OR(AE17=1,AND(AF13&gt;=Assumptions!$F$20,AF7&gt;=Assumptions!$F$21)),1,0)</f>
        <v>1</v>
      </c>
      <c r="AG17" s="39" t="n">
        <f aca="false">IF(OR(AF17=1,AND(AG13&gt;=Assumptions!$F$20,AG7&gt;=Assumptions!$F$21)),1,0)</f>
        <v>1</v>
      </c>
      <c r="AH17" s="39" t="n">
        <f aca="false">IF(OR(AG17=1,AND(AH13&gt;=Assumptions!$F$20,AH7&gt;=Assumptions!$F$21)),1,0)</f>
        <v>1</v>
      </c>
      <c r="AI17" s="39" t="n">
        <f aca="false">IF(OR(AH17=1,AND(AI13&gt;=Assumptions!$F$20,AI7&gt;=Assumptions!$F$21)),1,0)</f>
        <v>1</v>
      </c>
      <c r="AJ17" s="39" t="n">
        <f aca="false">IF(OR(AI17=1,AND(AJ13&gt;=Assumptions!$F$20,AJ7&gt;=Assumptions!$F$21)),1,0)</f>
        <v>1</v>
      </c>
      <c r="AK17" s="39" t="n">
        <f aca="false">IF(OR(AJ17=1,AND(AK13&gt;=Assumptions!$F$20,AK7&gt;=Assumptions!$F$21)),1,0)</f>
        <v>1</v>
      </c>
      <c r="AL17" s="39" t="n">
        <f aca="false">IF(OR(AK17=1,AND(AL13&gt;=Assumptions!$F$20,AL7&gt;=Assumptions!$F$21)),1,0)</f>
        <v>1</v>
      </c>
      <c r="AM17" s="39" t="n">
        <f aca="false">IF(OR(AL17=1,AND(AM13&gt;=Assumptions!$F$20,AM7&gt;=Assumptions!$F$21)),1,0)</f>
        <v>1</v>
      </c>
      <c r="AN17" s="40" t="n">
        <f aca="false">IF(OR(AM17=1,AND(AN13&gt;=Assumptions!$F$20,AN7&gt;=Assumptions!$F$21)),1,0)</f>
        <v>1</v>
      </c>
      <c r="AO17" s="40" t="n">
        <f aca="false">IF(OR(AN17=1,AND(AO13&gt;=Assumptions!$F$20,AO7&gt;=Assumptions!$F$21)),1,0)</f>
        <v>1</v>
      </c>
      <c r="AP17" s="40" t="n">
        <f aca="false">IF(OR(AO17=1,AND(AP13&gt;=Assumptions!$F$20,AP7&gt;=Assumptions!$F$21)),1,0)</f>
        <v>1</v>
      </c>
      <c r="AQ17" s="40" t="n">
        <f aca="false">IF(OR(AP17=1,AND(AQ13&gt;=Assumptions!$F$20,AQ7&gt;=Assumptions!$F$21)),1,0)</f>
        <v>1</v>
      </c>
      <c r="AR17" s="40" t="n">
        <f aca="false">IF(OR(AQ17=1,AND(AR13&gt;=Assumptions!$F$20,AR7&gt;=Assumptions!$F$21)),1,0)</f>
        <v>1</v>
      </c>
      <c r="AS17" s="40" t="n">
        <f aca="false">IF(OR(AR17=1,AND(AS13&gt;=Assumptions!$F$20,AS7&gt;=Assumptions!$F$21)),1,0)</f>
        <v>1</v>
      </c>
      <c r="AT17" s="40" t="n">
        <f aca="false">IF(OR(AS17=1,AND(AT13&gt;=Assumptions!$F$20,AT7&gt;=Assumptions!$F$21)),1,0)</f>
        <v>1</v>
      </c>
      <c r="AU17" s="40" t="n">
        <f aca="false">IF(OR(AT17=1,AND(AU13&gt;=Assumptions!$F$20,AU7&gt;=Assumptions!$F$21)),1,0)</f>
        <v>1</v>
      </c>
      <c r="AV17" s="40" t="n">
        <f aca="false">IF(OR(AU17=1,AND(AV13&gt;=Assumptions!$F$20,AV7&gt;=Assumptions!$F$21)),1,0)</f>
        <v>1</v>
      </c>
      <c r="AW17" s="40" t="n">
        <f aca="false">IF(OR(AV17=1,AND(AW13&gt;=Assumptions!$F$20,AW7&gt;=Assumptions!$F$21)),1,0)</f>
        <v>1</v>
      </c>
      <c r="AX17" s="40" t="n">
        <f aca="false">IF(OR(AW17=1,AND(AX13&gt;=Assumptions!$F$20,AX7&gt;=Assumptions!$F$21)),1,0)</f>
        <v>1</v>
      </c>
      <c r="AY17" s="40" t="n">
        <f aca="false">IF(OR(AX17=1,AND(AY13&gt;=Assumptions!$F$20,AY7&gt;=Assumptions!$F$21)),1,0)</f>
        <v>1</v>
      </c>
      <c r="AZ17" s="40" t="n">
        <f aca="false">IF(OR(AY17=1,AND(AZ13&gt;=Assumptions!$F$20,AZ7&gt;=Assumptions!$F$21)),1,0)</f>
        <v>1</v>
      </c>
      <c r="BA17" s="40" t="n">
        <f aca="false">IF(OR(AZ17=1,AND(BA13&gt;=Assumptions!$F$20,BA7&gt;=Assumptions!$F$21)),1,0)</f>
        <v>1</v>
      </c>
      <c r="BB17" s="40" t="n">
        <f aca="false">IF(OR(BA17=1,AND(BB13&gt;=Assumptions!$F$20,BB7&gt;=Assumptions!$F$21)),1,0)</f>
        <v>1</v>
      </c>
      <c r="BC17" s="40" t="n">
        <f aca="false">IF(OR(BB17=1,AND(BC13&gt;=Assumptions!$F$20,BC7&gt;=Assumptions!$F$21)),1,0)</f>
        <v>1</v>
      </c>
      <c r="BD17" s="40" t="n">
        <f aca="false">IF(OR(BC17=1,AND(BD13&gt;=Assumptions!$F$20,BD7&gt;=Assumptions!$F$21)),1,0)</f>
        <v>1</v>
      </c>
      <c r="BE17" s="40" t="n">
        <f aca="false">IF(OR(BD17=1,AND(BE13&gt;=Assumptions!$F$20,BE7&gt;=Assumptions!$F$21)),1,0)</f>
        <v>1</v>
      </c>
      <c r="BF17" s="40" t="n">
        <f aca="false">IF(OR(BE17=1,AND(BF13&gt;=Assumptions!$F$20,BF7&gt;=Assumptions!$F$21)),1,0)</f>
        <v>1</v>
      </c>
      <c r="BG17" s="40" t="n">
        <f aca="false">IF(OR(BF17=1,AND(BG13&gt;=Assumptions!$F$20,BG7&gt;=Assumptions!$F$21)),1,0)</f>
        <v>1</v>
      </c>
      <c r="BH17" s="40" t="n">
        <f aca="false">IF(OR(BG17=1,AND(BH13&gt;=Assumptions!$F$20,BH7&gt;=Assumptions!$F$21)),1,0)</f>
        <v>1</v>
      </c>
      <c r="BI17" s="40" t="n">
        <f aca="false">IF(OR(BH17=1,AND(BI13&gt;=Assumptions!$F$20,BI7&gt;=Assumptions!$F$21)),1,0)</f>
        <v>1</v>
      </c>
      <c r="BJ17" s="40" t="n">
        <f aca="false">IF(OR(BI17=1,AND(BJ13&gt;=Assumptions!$F$20,BJ7&gt;=Assumptions!$F$21)),1,0)</f>
        <v>1</v>
      </c>
      <c r="BK17" s="40" t="n">
        <f aca="false">IF(OR(BJ17=1,AND(BK13&gt;=Assumptions!$F$20,BK7&gt;=Assumptions!$F$21)),1,0)</f>
        <v>1</v>
      </c>
    </row>
    <row r="18" customFormat="false" ht="15" hidden="false" customHeight="false" outlineLevel="0" collapsed="false">
      <c r="A18" s="28" t="s">
        <v>554</v>
      </c>
      <c r="B18" s="6" t="s">
        <v>555</v>
      </c>
      <c r="C18" s="38" t="n">
        <v>0</v>
      </c>
      <c r="D18" s="39" t="n">
        <f aca="false">IF(OR(C18=1,D13&gt;=Assumptions!$F$22),1,0)</f>
        <v>0</v>
      </c>
      <c r="E18" s="39" t="n">
        <f aca="false">IF(OR(D18=1,E13&gt;=Assumptions!$F$22),1,0)</f>
        <v>0</v>
      </c>
      <c r="F18" s="39" t="n">
        <f aca="false">IF(OR(E18=1,F13&gt;=Assumptions!$F$22),1,0)</f>
        <v>0</v>
      </c>
      <c r="G18" s="39" t="n">
        <f aca="false">IF(OR(F18=1,G13&gt;=Assumptions!$F$22),1,0)</f>
        <v>0</v>
      </c>
      <c r="H18" s="39" t="n">
        <f aca="false">IF(OR(G18=1,H13&gt;=Assumptions!$F$22),1,0)</f>
        <v>0</v>
      </c>
      <c r="I18" s="39" t="n">
        <f aca="false">IF(OR(H18=1,I13&gt;=Assumptions!$F$22),1,0)</f>
        <v>0</v>
      </c>
      <c r="J18" s="39" t="n">
        <f aca="false">IF(OR(I18=1,J13&gt;=Assumptions!$F$22),1,0)</f>
        <v>0</v>
      </c>
      <c r="K18" s="39" t="n">
        <f aca="false">IF(OR(J18=1,K13&gt;=Assumptions!$F$22),1,0)</f>
        <v>0</v>
      </c>
      <c r="L18" s="39" t="n">
        <f aca="false">IF(OR(K18=1,L13&gt;=Assumptions!$F$22),1,0)</f>
        <v>0</v>
      </c>
      <c r="M18" s="39" t="n">
        <f aca="false">IF(OR(L18=1,M13&gt;=Assumptions!$F$22),1,0)</f>
        <v>0</v>
      </c>
      <c r="N18" s="39" t="n">
        <f aca="false">IF(OR(M18=1,N13&gt;=Assumptions!$F$22),1,0)</f>
        <v>0</v>
      </c>
      <c r="O18" s="39" t="n">
        <f aca="false">IF(OR(N18=1,O13&gt;=Assumptions!$F$22),1,0)</f>
        <v>0</v>
      </c>
      <c r="P18" s="39" t="n">
        <f aca="false">IF(OR(O18=1,P13&gt;=Assumptions!$F$22),1,0)</f>
        <v>0</v>
      </c>
      <c r="Q18" s="39" t="n">
        <f aca="false">IF(OR(P18=1,Q13&gt;=Assumptions!$F$22),1,0)</f>
        <v>0</v>
      </c>
      <c r="R18" s="39" t="n">
        <f aca="false">IF(OR(Q18=1,R13&gt;=Assumptions!$F$22),1,0)</f>
        <v>0</v>
      </c>
      <c r="S18" s="39" t="n">
        <f aca="false">IF(OR(R18=1,S13&gt;=Assumptions!$F$22),1,0)</f>
        <v>1</v>
      </c>
      <c r="T18" s="39" t="n">
        <f aca="false">IF(OR(S18=1,T13&gt;=Assumptions!$F$22),1,0)</f>
        <v>1</v>
      </c>
      <c r="U18" s="39" t="n">
        <f aca="false">IF(OR(T18=1,U13&gt;=Assumptions!$F$22),1,0)</f>
        <v>1</v>
      </c>
      <c r="V18" s="39" t="n">
        <f aca="false">IF(OR(U18=1,V13&gt;=Assumptions!$F$22),1,0)</f>
        <v>1</v>
      </c>
      <c r="W18" s="39" t="n">
        <f aca="false">IF(OR(V18=1,W13&gt;=Assumptions!$F$22),1,0)</f>
        <v>1</v>
      </c>
      <c r="X18" s="39" t="n">
        <f aca="false">IF(OR(W18=1,X13&gt;=Assumptions!$F$22),1,0)</f>
        <v>1</v>
      </c>
      <c r="Y18" s="39" t="n">
        <f aca="false">IF(OR(X18=1,Y13&gt;=Assumptions!$F$22),1,0)</f>
        <v>1</v>
      </c>
      <c r="Z18" s="39" t="n">
        <f aca="false">IF(OR(Y18=1,Z13&gt;=Assumptions!$F$22),1,0)</f>
        <v>1</v>
      </c>
      <c r="AA18" s="39" t="n">
        <f aca="false">IF(OR(Z18=1,AA13&gt;=Assumptions!$F$22),1,0)</f>
        <v>1</v>
      </c>
      <c r="AB18" s="39" t="n">
        <f aca="false">IF(OR(AA18=1,AB13&gt;=Assumptions!$F$22),1,0)</f>
        <v>1</v>
      </c>
      <c r="AC18" s="39" t="n">
        <f aca="false">IF(OR(AB18=1,AC13&gt;=Assumptions!$F$22),1,0)</f>
        <v>1</v>
      </c>
      <c r="AD18" s="39" t="n">
        <f aca="false">IF(OR(AC18=1,AD13&gt;=Assumptions!$F$22),1,0)</f>
        <v>1</v>
      </c>
      <c r="AE18" s="39" t="n">
        <f aca="false">IF(OR(AD18=1,AE13&gt;=Assumptions!$F$22),1,0)</f>
        <v>1</v>
      </c>
      <c r="AF18" s="39" t="n">
        <f aca="false">IF(OR(AE18=1,AF13&gt;=Assumptions!$F$22),1,0)</f>
        <v>1</v>
      </c>
      <c r="AG18" s="39" t="n">
        <f aca="false">IF(OR(AF18=1,AG13&gt;=Assumptions!$F$22),1,0)</f>
        <v>1</v>
      </c>
      <c r="AH18" s="39" t="n">
        <f aca="false">IF(OR(AG18=1,AH13&gt;=Assumptions!$F$22),1,0)</f>
        <v>1</v>
      </c>
      <c r="AI18" s="39" t="n">
        <f aca="false">IF(OR(AH18=1,AI13&gt;=Assumptions!$F$22),1,0)</f>
        <v>1</v>
      </c>
      <c r="AJ18" s="39" t="n">
        <f aca="false">IF(OR(AI18=1,AJ13&gt;=Assumptions!$F$22),1,0)</f>
        <v>1</v>
      </c>
      <c r="AK18" s="39" t="n">
        <f aca="false">IF(OR(AJ18=1,AK13&gt;=Assumptions!$F$22),1,0)</f>
        <v>1</v>
      </c>
      <c r="AL18" s="39" t="n">
        <f aca="false">IF(OR(AK18=1,AL13&gt;=Assumptions!$F$22),1,0)</f>
        <v>1</v>
      </c>
      <c r="AM18" s="39" t="n">
        <f aca="false">IF(OR(AL18=1,AM13&gt;=Assumptions!$F$22),1,0)</f>
        <v>1</v>
      </c>
      <c r="AN18" s="40" t="n">
        <f aca="false">IF(OR(AM18=1,AN13&gt;=Assumptions!$F$22),1,0)</f>
        <v>1</v>
      </c>
      <c r="AO18" s="40" t="n">
        <f aca="false">IF(OR(AN18=1,AO13&gt;=Assumptions!$F$22),1,0)</f>
        <v>1</v>
      </c>
      <c r="AP18" s="40" t="n">
        <f aca="false">IF(OR(AO18=1,AP13&gt;=Assumptions!$F$22),1,0)</f>
        <v>1</v>
      </c>
      <c r="AQ18" s="40" t="n">
        <f aca="false">IF(OR(AP18=1,AQ13&gt;=Assumptions!$F$22),1,0)</f>
        <v>1</v>
      </c>
      <c r="AR18" s="40" t="n">
        <f aca="false">IF(OR(AQ18=1,AR13&gt;=Assumptions!$F$22),1,0)</f>
        <v>1</v>
      </c>
      <c r="AS18" s="40" t="n">
        <f aca="false">IF(OR(AR18=1,AS13&gt;=Assumptions!$F$22),1,0)</f>
        <v>1</v>
      </c>
      <c r="AT18" s="40" t="n">
        <f aca="false">IF(OR(AS18=1,AT13&gt;=Assumptions!$F$22),1,0)</f>
        <v>1</v>
      </c>
      <c r="AU18" s="40" t="n">
        <f aca="false">IF(OR(AT18=1,AU13&gt;=Assumptions!$F$22),1,0)</f>
        <v>1</v>
      </c>
      <c r="AV18" s="40" t="n">
        <f aca="false">IF(OR(AU18=1,AV13&gt;=Assumptions!$F$22),1,0)</f>
        <v>1</v>
      </c>
      <c r="AW18" s="40" t="n">
        <f aca="false">IF(OR(AV18=1,AW13&gt;=Assumptions!$F$22),1,0)</f>
        <v>1</v>
      </c>
      <c r="AX18" s="40" t="n">
        <f aca="false">IF(OR(AW18=1,AX13&gt;=Assumptions!$F$22),1,0)</f>
        <v>1</v>
      </c>
      <c r="AY18" s="40" t="n">
        <f aca="false">IF(OR(AX18=1,AY13&gt;=Assumptions!$F$22),1,0)</f>
        <v>1</v>
      </c>
      <c r="AZ18" s="40" t="n">
        <f aca="false">IF(OR(AY18=1,AZ13&gt;=Assumptions!$F$22),1,0)</f>
        <v>1</v>
      </c>
      <c r="BA18" s="40" t="n">
        <f aca="false">IF(OR(AZ18=1,BA13&gt;=Assumptions!$F$22),1,0)</f>
        <v>1</v>
      </c>
      <c r="BB18" s="40" t="n">
        <f aca="false">IF(OR(BA18=1,BB13&gt;=Assumptions!$F$22),1,0)</f>
        <v>1</v>
      </c>
      <c r="BC18" s="40" t="n">
        <f aca="false">IF(OR(BB18=1,BC13&gt;=Assumptions!$F$22),1,0)</f>
        <v>1</v>
      </c>
      <c r="BD18" s="40" t="n">
        <f aca="false">IF(OR(BC18=1,BD13&gt;=Assumptions!$F$22),1,0)</f>
        <v>1</v>
      </c>
      <c r="BE18" s="40" t="n">
        <f aca="false">IF(OR(BD18=1,BE13&gt;=Assumptions!$F$22),1,0)</f>
        <v>1</v>
      </c>
      <c r="BF18" s="40" t="n">
        <f aca="false">IF(OR(BE18=1,BF13&gt;=Assumptions!$F$22),1,0)</f>
        <v>1</v>
      </c>
      <c r="BG18" s="40" t="n">
        <f aca="false">IF(OR(BF18=1,BG13&gt;=Assumptions!$F$22),1,0)</f>
        <v>1</v>
      </c>
      <c r="BH18" s="40" t="n">
        <f aca="false">IF(OR(BG18=1,BH13&gt;=Assumptions!$F$22),1,0)</f>
        <v>1</v>
      </c>
      <c r="BI18" s="40" t="n">
        <f aca="false">IF(OR(BH18=1,BI13&gt;=Assumptions!$F$22),1,0)</f>
        <v>1</v>
      </c>
      <c r="BJ18" s="40" t="n">
        <f aca="false">IF(OR(BI18=1,BJ13&gt;=Assumptions!$F$22),1,0)</f>
        <v>1</v>
      </c>
      <c r="BK18" s="40" t="n">
        <f aca="false">IF(OR(BJ18=1,BK13&gt;=Assumptions!$F$22),1,0)</f>
        <v>1</v>
      </c>
    </row>
    <row r="19" customFormat="false" ht="15" hidden="false" customHeight="false" outlineLevel="0" collapsed="false">
      <c r="A19" s="28" t="s">
        <v>556</v>
      </c>
      <c r="B19" s="6" t="s">
        <v>557</v>
      </c>
      <c r="C19" s="38" t="n">
        <v>0</v>
      </c>
      <c r="D19" s="39" t="n">
        <f aca="false">IF(OR(C19=1,AND(D13&gt;=Assumptions!$F$23,D7&gt;=Assumptions!$F$24)),1,0)</f>
        <v>0</v>
      </c>
      <c r="E19" s="39" t="n">
        <f aca="false">IF(OR(D19=1,AND(E13&gt;=Assumptions!$F$23,E7&gt;=Assumptions!$F$24)),1,0)</f>
        <v>0</v>
      </c>
      <c r="F19" s="39" t="n">
        <f aca="false">IF(OR(E19=1,AND(F13&gt;=Assumptions!$F$23,F7&gt;=Assumptions!$F$24)),1,0)</f>
        <v>0</v>
      </c>
      <c r="G19" s="39" t="n">
        <f aca="false">IF(OR(F19=1,AND(G13&gt;=Assumptions!$F$23,G7&gt;=Assumptions!$F$24)),1,0)</f>
        <v>0</v>
      </c>
      <c r="H19" s="39" t="n">
        <f aca="false">IF(OR(G19=1,AND(H13&gt;=Assumptions!$F$23,H7&gt;=Assumptions!$F$24)),1,0)</f>
        <v>0</v>
      </c>
      <c r="I19" s="39" t="n">
        <f aca="false">IF(OR(H19=1,AND(I13&gt;=Assumptions!$F$23,I7&gt;=Assumptions!$F$24)),1,0)</f>
        <v>0</v>
      </c>
      <c r="J19" s="39" t="n">
        <f aca="false">IF(OR(I19=1,AND(J13&gt;=Assumptions!$F$23,J7&gt;=Assumptions!$F$24)),1,0)</f>
        <v>0</v>
      </c>
      <c r="K19" s="39" t="n">
        <f aca="false">IF(OR(J19=1,AND(K13&gt;=Assumptions!$F$23,K7&gt;=Assumptions!$F$24)),1,0)</f>
        <v>0</v>
      </c>
      <c r="L19" s="39" t="n">
        <f aca="false">IF(OR(K19=1,AND(L13&gt;=Assumptions!$F$23,L7&gt;=Assumptions!$F$24)),1,0)</f>
        <v>0</v>
      </c>
      <c r="M19" s="39" t="n">
        <f aca="false">IF(OR(L19=1,AND(M13&gt;=Assumptions!$F$23,M7&gt;=Assumptions!$F$24)),1,0)</f>
        <v>0</v>
      </c>
      <c r="N19" s="39" t="n">
        <f aca="false">IF(OR(M19=1,AND(N13&gt;=Assumptions!$F$23,N7&gt;=Assumptions!$F$24)),1,0)</f>
        <v>0</v>
      </c>
      <c r="O19" s="39" t="n">
        <f aca="false">IF(OR(N19=1,AND(O13&gt;=Assumptions!$F$23,O7&gt;=Assumptions!$F$24)),1,0)</f>
        <v>0</v>
      </c>
      <c r="P19" s="39" t="n">
        <f aca="false">IF(OR(O19=1,AND(P13&gt;=Assumptions!$F$23,P7&gt;=Assumptions!$F$24)),1,0)</f>
        <v>0</v>
      </c>
      <c r="Q19" s="39" t="n">
        <f aca="false">IF(OR(P19=1,AND(Q13&gt;=Assumptions!$F$23,Q7&gt;=Assumptions!$F$24)),1,0)</f>
        <v>0</v>
      </c>
      <c r="R19" s="39" t="n">
        <f aca="false">IF(OR(Q19=1,AND(R13&gt;=Assumptions!$F$23,R7&gt;=Assumptions!$F$24)),1,0)</f>
        <v>0</v>
      </c>
      <c r="S19" s="39" t="n">
        <f aca="false">IF(OR(R19=1,AND(S13&gt;=Assumptions!$F$23,S7&gt;=Assumptions!$F$24)),1,0)</f>
        <v>0</v>
      </c>
      <c r="T19" s="39" t="n">
        <f aca="false">IF(OR(S19=1,AND(T13&gt;=Assumptions!$F$23,T7&gt;=Assumptions!$F$24)),1,0)</f>
        <v>0</v>
      </c>
      <c r="U19" s="39" t="n">
        <f aca="false">IF(OR(T19=1,AND(U13&gt;=Assumptions!$F$23,U7&gt;=Assumptions!$F$24)),1,0)</f>
        <v>0</v>
      </c>
      <c r="V19" s="39" t="n">
        <f aca="false">IF(OR(U19=1,AND(V13&gt;=Assumptions!$F$23,V7&gt;=Assumptions!$F$24)),1,0)</f>
        <v>0</v>
      </c>
      <c r="W19" s="39" t="n">
        <f aca="false">IF(OR(V19=1,AND(W13&gt;=Assumptions!$F$23,W7&gt;=Assumptions!$F$24)),1,0)</f>
        <v>0</v>
      </c>
      <c r="X19" s="39" t="n">
        <f aca="false">IF(OR(W19=1,AND(X13&gt;=Assumptions!$F$23,X7&gt;=Assumptions!$F$24)),1,0)</f>
        <v>0</v>
      </c>
      <c r="Y19" s="39" t="n">
        <f aca="false">IF(OR(X19=1,AND(Y13&gt;=Assumptions!$F$23,Y7&gt;=Assumptions!$F$24)),1,0)</f>
        <v>0</v>
      </c>
      <c r="Z19" s="39" t="n">
        <f aca="false">IF(OR(Y19=1,AND(Z13&gt;=Assumptions!$F$23,Z7&gt;=Assumptions!$F$24)),1,0)</f>
        <v>0</v>
      </c>
      <c r="AA19" s="39" t="n">
        <f aca="false">IF(OR(Z19=1,AND(AA13&gt;=Assumptions!$F$23,AA7&gt;=Assumptions!$F$24)),1,0)</f>
        <v>0</v>
      </c>
      <c r="AB19" s="39" t="n">
        <f aca="false">IF(OR(AA19=1,AND(AB13&gt;=Assumptions!$F$23,AB7&gt;=Assumptions!$F$24)),1,0)</f>
        <v>0</v>
      </c>
      <c r="AC19" s="39" t="n">
        <f aca="false">IF(OR(AB19=1,AND(AC13&gt;=Assumptions!$F$23,AC7&gt;=Assumptions!$F$24)),1,0)</f>
        <v>0</v>
      </c>
      <c r="AD19" s="39" t="n">
        <f aca="false">IF(OR(AC19=1,AND(AD13&gt;=Assumptions!$F$23,AD7&gt;=Assumptions!$F$24)),1,0)</f>
        <v>1</v>
      </c>
      <c r="AE19" s="39" t="n">
        <f aca="false">IF(OR(AD19=1,AND(AE13&gt;=Assumptions!$F$23,AE7&gt;=Assumptions!$F$24)),1,0)</f>
        <v>1</v>
      </c>
      <c r="AF19" s="39" t="n">
        <f aca="false">IF(OR(AE19=1,AND(AF13&gt;=Assumptions!$F$23,AF7&gt;=Assumptions!$F$24)),1,0)</f>
        <v>1</v>
      </c>
      <c r="AG19" s="39" t="n">
        <f aca="false">IF(OR(AF19=1,AND(AG13&gt;=Assumptions!$F$23,AG7&gt;=Assumptions!$F$24)),1,0)</f>
        <v>1</v>
      </c>
      <c r="AH19" s="39" t="n">
        <f aca="false">IF(OR(AG19=1,AND(AH13&gt;=Assumptions!$F$23,AH7&gt;=Assumptions!$F$24)),1,0)</f>
        <v>1</v>
      </c>
      <c r="AI19" s="39" t="n">
        <f aca="false">IF(OR(AH19=1,AND(AI13&gt;=Assumptions!$F$23,AI7&gt;=Assumptions!$F$24)),1,0)</f>
        <v>1</v>
      </c>
      <c r="AJ19" s="39" t="n">
        <f aca="false">IF(OR(AI19=1,AND(AJ13&gt;=Assumptions!$F$23,AJ7&gt;=Assumptions!$F$24)),1,0)</f>
        <v>1</v>
      </c>
      <c r="AK19" s="39" t="n">
        <f aca="false">IF(OR(AJ19=1,AND(AK13&gt;=Assumptions!$F$23,AK7&gt;=Assumptions!$F$24)),1,0)</f>
        <v>1</v>
      </c>
      <c r="AL19" s="39" t="n">
        <f aca="false">IF(OR(AK19=1,AND(AL13&gt;=Assumptions!$F$23,AL7&gt;=Assumptions!$F$24)),1,0)</f>
        <v>1</v>
      </c>
      <c r="AM19" s="39" t="n">
        <f aca="false">IF(OR(AL19=1,AND(AM13&gt;=Assumptions!$F$23,AM7&gt;=Assumptions!$F$24)),1,0)</f>
        <v>1</v>
      </c>
      <c r="AN19" s="40" t="n">
        <f aca="false">IF(OR(AM19=1,AND(AN13&gt;=Assumptions!$F$23,AN7&gt;=Assumptions!$F$24)),1,0)</f>
        <v>1</v>
      </c>
      <c r="AO19" s="40" t="n">
        <f aca="false">IF(OR(AN19=1,AND(AO13&gt;=Assumptions!$F$23,AO7&gt;=Assumptions!$F$24)),1,0)</f>
        <v>1</v>
      </c>
      <c r="AP19" s="40" t="n">
        <f aca="false">IF(OR(AO19=1,AND(AP13&gt;=Assumptions!$F$23,AP7&gt;=Assumptions!$F$24)),1,0)</f>
        <v>1</v>
      </c>
      <c r="AQ19" s="40" t="n">
        <f aca="false">IF(OR(AP19=1,AND(AQ13&gt;=Assumptions!$F$23,AQ7&gt;=Assumptions!$F$24)),1,0)</f>
        <v>1</v>
      </c>
      <c r="AR19" s="40" t="n">
        <f aca="false">IF(OR(AQ19=1,AND(AR13&gt;=Assumptions!$F$23,AR7&gt;=Assumptions!$F$24)),1,0)</f>
        <v>1</v>
      </c>
      <c r="AS19" s="40" t="n">
        <f aca="false">IF(OR(AR19=1,AND(AS13&gt;=Assumptions!$F$23,AS7&gt;=Assumptions!$F$24)),1,0)</f>
        <v>1</v>
      </c>
      <c r="AT19" s="40" t="n">
        <f aca="false">IF(OR(AS19=1,AND(AT13&gt;=Assumptions!$F$23,AT7&gt;=Assumptions!$F$24)),1,0)</f>
        <v>1</v>
      </c>
      <c r="AU19" s="40" t="n">
        <f aca="false">IF(OR(AT19=1,AND(AU13&gt;=Assumptions!$F$23,AU7&gt;=Assumptions!$F$24)),1,0)</f>
        <v>1</v>
      </c>
      <c r="AV19" s="40" t="n">
        <f aca="false">IF(OR(AU19=1,AND(AV13&gt;=Assumptions!$F$23,AV7&gt;=Assumptions!$F$24)),1,0)</f>
        <v>1</v>
      </c>
      <c r="AW19" s="40" t="n">
        <f aca="false">IF(OR(AV19=1,AND(AW13&gt;=Assumptions!$F$23,AW7&gt;=Assumptions!$F$24)),1,0)</f>
        <v>1</v>
      </c>
      <c r="AX19" s="40" t="n">
        <f aca="false">IF(OR(AW19=1,AND(AX13&gt;=Assumptions!$F$23,AX7&gt;=Assumptions!$F$24)),1,0)</f>
        <v>1</v>
      </c>
      <c r="AY19" s="40" t="n">
        <f aca="false">IF(OR(AX19=1,AND(AY13&gt;=Assumptions!$F$23,AY7&gt;=Assumptions!$F$24)),1,0)</f>
        <v>1</v>
      </c>
      <c r="AZ19" s="40" t="n">
        <f aca="false">IF(OR(AY19=1,AND(AZ13&gt;=Assumptions!$F$23,AZ7&gt;=Assumptions!$F$24)),1,0)</f>
        <v>1</v>
      </c>
      <c r="BA19" s="40" t="n">
        <f aca="false">IF(OR(AZ19=1,AND(BA13&gt;=Assumptions!$F$23,BA7&gt;=Assumptions!$F$24)),1,0)</f>
        <v>1</v>
      </c>
      <c r="BB19" s="40" t="n">
        <f aca="false">IF(OR(BA19=1,AND(BB13&gt;=Assumptions!$F$23,BB7&gt;=Assumptions!$F$24)),1,0)</f>
        <v>1</v>
      </c>
      <c r="BC19" s="40" t="n">
        <f aca="false">IF(OR(BB19=1,AND(BC13&gt;=Assumptions!$F$23,BC7&gt;=Assumptions!$F$24)),1,0)</f>
        <v>1</v>
      </c>
      <c r="BD19" s="40" t="n">
        <f aca="false">IF(OR(BC19=1,AND(BD13&gt;=Assumptions!$F$23,BD7&gt;=Assumptions!$F$24)),1,0)</f>
        <v>1</v>
      </c>
      <c r="BE19" s="40" t="n">
        <f aca="false">IF(OR(BD19=1,AND(BE13&gt;=Assumptions!$F$23,BE7&gt;=Assumptions!$F$24)),1,0)</f>
        <v>1</v>
      </c>
      <c r="BF19" s="40" t="n">
        <f aca="false">IF(OR(BE19=1,AND(BF13&gt;=Assumptions!$F$23,BF7&gt;=Assumptions!$F$24)),1,0)</f>
        <v>1</v>
      </c>
      <c r="BG19" s="40" t="n">
        <f aca="false">IF(OR(BF19=1,AND(BG13&gt;=Assumptions!$F$23,BG7&gt;=Assumptions!$F$24)),1,0)</f>
        <v>1</v>
      </c>
      <c r="BH19" s="40" t="n">
        <f aca="false">IF(OR(BG19=1,AND(BH13&gt;=Assumptions!$F$23,BH7&gt;=Assumptions!$F$24)),1,0)</f>
        <v>1</v>
      </c>
      <c r="BI19" s="40" t="n">
        <f aca="false">IF(OR(BH19=1,AND(BI13&gt;=Assumptions!$F$23,BI7&gt;=Assumptions!$F$24)),1,0)</f>
        <v>1</v>
      </c>
      <c r="BJ19" s="40" t="n">
        <f aca="false">IF(OR(BI19=1,AND(BJ13&gt;=Assumptions!$F$23,BJ7&gt;=Assumptions!$F$24)),1,0)</f>
        <v>1</v>
      </c>
      <c r="BK19" s="40" t="n">
        <f aca="false">IF(OR(BJ19=1,AND(BK13&gt;=Assumptions!$F$23,BK7&gt;=Assumptions!$F$24)),1,0)</f>
        <v>1</v>
      </c>
    </row>
    <row r="20" customFormat="false" ht="15" hidden="false" customHeight="false" outlineLevel="0" collapsed="false">
      <c r="A20" s="28" t="s">
        <v>558</v>
      </c>
      <c r="B20" s="6" t="s">
        <v>559</v>
      </c>
      <c r="C20" s="32" t="n">
        <v>0</v>
      </c>
      <c r="D20" s="34" t="n">
        <f aca="false">IF(D19=1,C20+1,0)</f>
        <v>0</v>
      </c>
      <c r="E20" s="34" t="n">
        <f aca="false">IF(E19=1,D20+1,0)</f>
        <v>0</v>
      </c>
      <c r="F20" s="34" t="n">
        <f aca="false">IF(F19=1,E20+1,0)</f>
        <v>0</v>
      </c>
      <c r="G20" s="34" t="n">
        <f aca="false">IF(G19=1,F20+1,0)</f>
        <v>0</v>
      </c>
      <c r="H20" s="34" t="n">
        <f aca="false">IF(H19=1,G20+1,0)</f>
        <v>0</v>
      </c>
      <c r="I20" s="34" t="n">
        <f aca="false">IF(I19=1,H20+1,0)</f>
        <v>0</v>
      </c>
      <c r="J20" s="34" t="n">
        <f aca="false">IF(J19=1,I20+1,0)</f>
        <v>0</v>
      </c>
      <c r="K20" s="34" t="n">
        <f aca="false">IF(K19=1,J20+1,0)</f>
        <v>0</v>
      </c>
      <c r="L20" s="34" t="n">
        <f aca="false">IF(L19=1,K20+1,0)</f>
        <v>0</v>
      </c>
      <c r="M20" s="34" t="n">
        <f aca="false">IF(M19=1,L20+1,0)</f>
        <v>0</v>
      </c>
      <c r="N20" s="34" t="n">
        <f aca="false">IF(N19=1,M20+1,0)</f>
        <v>0</v>
      </c>
      <c r="O20" s="34" t="n">
        <f aca="false">IF(O19=1,N20+1,0)</f>
        <v>0</v>
      </c>
      <c r="P20" s="34" t="n">
        <f aca="false">IF(P19=1,O20+1,0)</f>
        <v>0</v>
      </c>
      <c r="Q20" s="34" t="n">
        <f aca="false">IF(Q19=1,P20+1,0)</f>
        <v>0</v>
      </c>
      <c r="R20" s="34" t="n">
        <f aca="false">IF(R19=1,Q20+1,0)</f>
        <v>0</v>
      </c>
      <c r="S20" s="34" t="n">
        <f aca="false">IF(S19=1,R20+1,0)</f>
        <v>0</v>
      </c>
      <c r="T20" s="34" t="n">
        <f aca="false">IF(T19=1,S20+1,0)</f>
        <v>0</v>
      </c>
      <c r="U20" s="34" t="n">
        <f aca="false">IF(U19=1,T20+1,0)</f>
        <v>0</v>
      </c>
      <c r="V20" s="34" t="n">
        <f aca="false">IF(V19=1,U20+1,0)</f>
        <v>0</v>
      </c>
      <c r="W20" s="34" t="n">
        <f aca="false">IF(W19=1,V20+1,0)</f>
        <v>0</v>
      </c>
      <c r="X20" s="34" t="n">
        <f aca="false">IF(X19=1,W20+1,0)</f>
        <v>0</v>
      </c>
      <c r="Y20" s="34" t="n">
        <f aca="false">IF(Y19=1,X20+1,0)</f>
        <v>0</v>
      </c>
      <c r="Z20" s="34" t="n">
        <f aca="false">IF(Z19=1,Y20+1,0)</f>
        <v>0</v>
      </c>
      <c r="AA20" s="34" t="n">
        <f aca="false">IF(AA19=1,Z20+1,0)</f>
        <v>0</v>
      </c>
      <c r="AB20" s="34" t="n">
        <f aca="false">IF(AB19=1,AA20+1,0)</f>
        <v>0</v>
      </c>
      <c r="AC20" s="34" t="n">
        <f aca="false">IF(AC19=1,AB20+1,0)</f>
        <v>0</v>
      </c>
      <c r="AD20" s="34" t="n">
        <f aca="false">IF(AD19=1,AC20+1,0)</f>
        <v>1</v>
      </c>
      <c r="AE20" s="34" t="n">
        <f aca="false">IF(AE19=1,AD20+1,0)</f>
        <v>2</v>
      </c>
      <c r="AF20" s="34" t="n">
        <f aca="false">IF(AF19=1,AE20+1,0)</f>
        <v>3</v>
      </c>
      <c r="AG20" s="34" t="n">
        <f aca="false">IF(AG19=1,AF20+1,0)</f>
        <v>4</v>
      </c>
      <c r="AH20" s="34" t="n">
        <f aca="false">IF(AH19=1,AG20+1,0)</f>
        <v>5</v>
      </c>
      <c r="AI20" s="34" t="n">
        <f aca="false">IF(AI19=1,AH20+1,0)</f>
        <v>6</v>
      </c>
      <c r="AJ20" s="34" t="n">
        <f aca="false">IF(AJ19=1,AI20+1,0)</f>
        <v>7</v>
      </c>
      <c r="AK20" s="34" t="n">
        <f aca="false">IF(AK19=1,AJ20+1,0)</f>
        <v>8</v>
      </c>
      <c r="AL20" s="34" t="n">
        <f aca="false">IF(AL19=1,AK20+1,0)</f>
        <v>9</v>
      </c>
      <c r="AM20" s="34" t="n">
        <f aca="false">IF(AM19=1,AL20+1,0)</f>
        <v>10</v>
      </c>
      <c r="AN20" s="35" t="n">
        <f aca="false">IF(AN19=1,AM20+1,0)</f>
        <v>11</v>
      </c>
      <c r="AO20" s="35" t="n">
        <f aca="false">IF(AO19=1,AN20+1,0)</f>
        <v>12</v>
      </c>
      <c r="AP20" s="35" t="n">
        <f aca="false">IF(AP19=1,AO20+1,0)</f>
        <v>13</v>
      </c>
      <c r="AQ20" s="35" t="n">
        <f aca="false">IF(AQ19=1,AP20+1,0)</f>
        <v>14</v>
      </c>
      <c r="AR20" s="35" t="n">
        <f aca="false">IF(AR19=1,AQ20+1,0)</f>
        <v>15</v>
      </c>
      <c r="AS20" s="35" t="n">
        <f aca="false">IF(AS19=1,AR20+1,0)</f>
        <v>16</v>
      </c>
      <c r="AT20" s="35" t="n">
        <f aca="false">IF(AT19=1,AS20+1,0)</f>
        <v>17</v>
      </c>
      <c r="AU20" s="35" t="n">
        <f aca="false">IF(AU19=1,AT20+1,0)</f>
        <v>18</v>
      </c>
      <c r="AV20" s="35" t="n">
        <f aca="false">IF(AV19=1,AU20+1,0)</f>
        <v>19</v>
      </c>
      <c r="AW20" s="35" t="n">
        <f aca="false">IF(AW19=1,AV20+1,0)</f>
        <v>20</v>
      </c>
      <c r="AX20" s="35" t="n">
        <f aca="false">IF(AX19=1,AW20+1,0)</f>
        <v>21</v>
      </c>
      <c r="AY20" s="35" t="n">
        <f aca="false">IF(AY19=1,AX20+1,0)</f>
        <v>22</v>
      </c>
      <c r="AZ20" s="35" t="n">
        <f aca="false">IF(AZ19=1,AY20+1,0)</f>
        <v>23</v>
      </c>
      <c r="BA20" s="35" t="n">
        <f aca="false">IF(BA19=1,AZ20+1,0)</f>
        <v>24</v>
      </c>
      <c r="BB20" s="35" t="n">
        <f aca="false">IF(BB19=1,BA20+1,0)</f>
        <v>25</v>
      </c>
      <c r="BC20" s="35" t="n">
        <f aca="false">IF(BC19=1,BB20+1,0)</f>
        <v>26</v>
      </c>
      <c r="BD20" s="35" t="n">
        <f aca="false">IF(BD19=1,BC20+1,0)</f>
        <v>27</v>
      </c>
      <c r="BE20" s="35" t="n">
        <f aca="false">IF(BE19=1,BD20+1,0)</f>
        <v>28</v>
      </c>
      <c r="BF20" s="35" t="n">
        <f aca="false">IF(BF19=1,BE20+1,0)</f>
        <v>29</v>
      </c>
      <c r="BG20" s="35" t="n">
        <f aca="false">IF(BG19=1,BF20+1,0)</f>
        <v>30</v>
      </c>
      <c r="BH20" s="35" t="n">
        <f aca="false">IF(BH19=1,BG20+1,0)</f>
        <v>31</v>
      </c>
      <c r="BI20" s="35" t="n">
        <f aca="false">IF(BI19=1,BH20+1,0)</f>
        <v>32</v>
      </c>
      <c r="BJ20" s="35" t="n">
        <f aca="false">IF(BJ19=1,BI20+1,0)</f>
        <v>33</v>
      </c>
      <c r="BK20" s="35" t="n">
        <f aca="false">IF(BK19=1,BJ20+1,0)</f>
        <v>34</v>
      </c>
    </row>
    <row r="21" customFormat="false" ht="15" hidden="false" customHeight="false" outlineLevel="0" collapsed="false">
      <c r="A21" s="28" t="s">
        <v>560</v>
      </c>
      <c r="B21" s="6" t="s">
        <v>561</v>
      </c>
      <c r="C21" s="18" t="n">
        <v>0</v>
      </c>
      <c r="D21" s="13" t="n">
        <f aca="false">MIN(1,D20/Assumptions!$F$77)</f>
        <v>0</v>
      </c>
      <c r="E21" s="13" t="n">
        <f aca="false">MIN(1,E20/Assumptions!$F$77)</f>
        <v>0</v>
      </c>
      <c r="F21" s="13" t="n">
        <f aca="false">MIN(1,F20/Assumptions!$F$77)</f>
        <v>0</v>
      </c>
      <c r="G21" s="13" t="n">
        <f aca="false">MIN(1,G20/Assumptions!$F$77)</f>
        <v>0</v>
      </c>
      <c r="H21" s="13" t="n">
        <f aca="false">MIN(1,H20/Assumptions!$F$77)</f>
        <v>0</v>
      </c>
      <c r="I21" s="13" t="n">
        <f aca="false">MIN(1,I20/Assumptions!$F$77)</f>
        <v>0</v>
      </c>
      <c r="J21" s="13" t="n">
        <f aca="false">MIN(1,J20/Assumptions!$F$77)</f>
        <v>0</v>
      </c>
      <c r="K21" s="13" t="n">
        <f aca="false">MIN(1,K20/Assumptions!$F$77)</f>
        <v>0</v>
      </c>
      <c r="L21" s="13" t="n">
        <f aca="false">MIN(1,L20/Assumptions!$F$77)</f>
        <v>0</v>
      </c>
      <c r="M21" s="13" t="n">
        <f aca="false">MIN(1,M20/Assumptions!$F$77)</f>
        <v>0</v>
      </c>
      <c r="N21" s="13" t="n">
        <f aca="false">MIN(1,N20/Assumptions!$F$77)</f>
        <v>0</v>
      </c>
      <c r="O21" s="13" t="n">
        <f aca="false">MIN(1,O20/Assumptions!$F$77)</f>
        <v>0</v>
      </c>
      <c r="P21" s="13" t="n">
        <f aca="false">MIN(1,P20/Assumptions!$F$77)</f>
        <v>0</v>
      </c>
      <c r="Q21" s="13" t="n">
        <f aca="false">MIN(1,Q20/Assumptions!$F$77)</f>
        <v>0</v>
      </c>
      <c r="R21" s="13" t="n">
        <f aca="false">MIN(1,R20/Assumptions!$F$77)</f>
        <v>0</v>
      </c>
      <c r="S21" s="13" t="n">
        <f aca="false">MIN(1,S20/Assumptions!$F$77)</f>
        <v>0</v>
      </c>
      <c r="T21" s="13" t="n">
        <f aca="false">MIN(1,T20/Assumptions!$F$77)</f>
        <v>0</v>
      </c>
      <c r="U21" s="13" t="n">
        <f aca="false">MIN(1,U20/Assumptions!$F$77)</f>
        <v>0</v>
      </c>
      <c r="V21" s="13" t="n">
        <f aca="false">MIN(1,V20/Assumptions!$F$77)</f>
        <v>0</v>
      </c>
      <c r="W21" s="13" t="n">
        <f aca="false">MIN(1,W20/Assumptions!$F$77)</f>
        <v>0</v>
      </c>
      <c r="X21" s="13" t="n">
        <f aca="false">MIN(1,X20/Assumptions!$F$77)</f>
        <v>0</v>
      </c>
      <c r="Y21" s="13" t="n">
        <f aca="false">MIN(1,Y20/Assumptions!$F$77)</f>
        <v>0</v>
      </c>
      <c r="Z21" s="13" t="n">
        <f aca="false">MIN(1,Z20/Assumptions!$F$77)</f>
        <v>0</v>
      </c>
      <c r="AA21" s="13" t="n">
        <f aca="false">MIN(1,AA20/Assumptions!$F$77)</f>
        <v>0</v>
      </c>
      <c r="AB21" s="13" t="n">
        <f aca="false">MIN(1,AB20/Assumptions!$F$77)</f>
        <v>0</v>
      </c>
      <c r="AC21" s="13" t="n">
        <f aca="false">MIN(1,AC20/Assumptions!$F$77)</f>
        <v>0</v>
      </c>
      <c r="AD21" s="13" t="n">
        <f aca="false">MIN(1,AD20/Assumptions!$F$77)</f>
        <v>0.166666666666667</v>
      </c>
      <c r="AE21" s="13" t="n">
        <f aca="false">MIN(1,AE20/Assumptions!$F$77)</f>
        <v>0.333333333333333</v>
      </c>
      <c r="AF21" s="13" t="n">
        <f aca="false">MIN(1,AF20/Assumptions!$F$77)</f>
        <v>0.5</v>
      </c>
      <c r="AG21" s="13" t="n">
        <f aca="false">MIN(1,AG20/Assumptions!$F$77)</f>
        <v>0.666666666666667</v>
      </c>
      <c r="AH21" s="13" t="n">
        <f aca="false">MIN(1,AH20/Assumptions!$F$77)</f>
        <v>0.833333333333333</v>
      </c>
      <c r="AI21" s="13" t="n">
        <f aca="false">MIN(1,AI20/Assumptions!$F$77)</f>
        <v>1</v>
      </c>
      <c r="AJ21" s="13" t="n">
        <f aca="false">MIN(1,AJ20/Assumptions!$F$77)</f>
        <v>1</v>
      </c>
      <c r="AK21" s="13" t="n">
        <f aca="false">MIN(1,AK20/Assumptions!$F$77)</f>
        <v>1</v>
      </c>
      <c r="AL21" s="13" t="n">
        <f aca="false">MIN(1,AL20/Assumptions!$F$77)</f>
        <v>1</v>
      </c>
      <c r="AM21" s="13" t="n">
        <f aca="false">MIN(1,AM20/Assumptions!$F$77)</f>
        <v>1</v>
      </c>
      <c r="AN21" s="41" t="n">
        <f aca="false">MIN(1,AN20/Assumptions!$F$77)</f>
        <v>1</v>
      </c>
      <c r="AO21" s="41" t="n">
        <f aca="false">MIN(1,AO20/Assumptions!$F$77)</f>
        <v>1</v>
      </c>
      <c r="AP21" s="41" t="n">
        <f aca="false">MIN(1,AP20/Assumptions!$F$77)</f>
        <v>1</v>
      </c>
      <c r="AQ21" s="41" t="n">
        <f aca="false">MIN(1,AQ20/Assumptions!$F$77)</f>
        <v>1</v>
      </c>
      <c r="AR21" s="41" t="n">
        <f aca="false">MIN(1,AR20/Assumptions!$F$77)</f>
        <v>1</v>
      </c>
      <c r="AS21" s="41" t="n">
        <f aca="false">MIN(1,AS20/Assumptions!$F$77)</f>
        <v>1</v>
      </c>
      <c r="AT21" s="41" t="n">
        <f aca="false">MIN(1,AT20/Assumptions!$F$77)</f>
        <v>1</v>
      </c>
      <c r="AU21" s="41" t="n">
        <f aca="false">MIN(1,AU20/Assumptions!$F$77)</f>
        <v>1</v>
      </c>
      <c r="AV21" s="41" t="n">
        <f aca="false">MIN(1,AV20/Assumptions!$F$77)</f>
        <v>1</v>
      </c>
      <c r="AW21" s="41" t="n">
        <f aca="false">MIN(1,AW20/Assumptions!$F$77)</f>
        <v>1</v>
      </c>
      <c r="AX21" s="41" t="n">
        <f aca="false">MIN(1,AX20/Assumptions!$F$77)</f>
        <v>1</v>
      </c>
      <c r="AY21" s="41" t="n">
        <f aca="false">MIN(1,AY20/Assumptions!$F$77)</f>
        <v>1</v>
      </c>
      <c r="AZ21" s="41" t="n">
        <f aca="false">MIN(1,AZ20/Assumptions!$F$77)</f>
        <v>1</v>
      </c>
      <c r="BA21" s="41" t="n">
        <f aca="false">MIN(1,BA20/Assumptions!$F$77)</f>
        <v>1</v>
      </c>
      <c r="BB21" s="41" t="n">
        <f aca="false">MIN(1,BB20/Assumptions!$F$77)</f>
        <v>1</v>
      </c>
      <c r="BC21" s="41" t="n">
        <f aca="false">MIN(1,BC20/Assumptions!$F$77)</f>
        <v>1</v>
      </c>
      <c r="BD21" s="41" t="n">
        <f aca="false">MIN(1,BD20/Assumptions!$F$77)</f>
        <v>1</v>
      </c>
      <c r="BE21" s="41" t="n">
        <f aca="false">MIN(1,BE20/Assumptions!$F$77)</f>
        <v>1</v>
      </c>
      <c r="BF21" s="41" t="n">
        <f aca="false">MIN(1,BF20/Assumptions!$F$77)</f>
        <v>1</v>
      </c>
      <c r="BG21" s="41" t="n">
        <f aca="false">MIN(1,BG20/Assumptions!$F$77)</f>
        <v>1</v>
      </c>
      <c r="BH21" s="41" t="n">
        <f aca="false">MIN(1,BH20/Assumptions!$F$77)</f>
        <v>1</v>
      </c>
      <c r="BI21" s="41" t="n">
        <f aca="false">MIN(1,BI20/Assumptions!$F$77)</f>
        <v>1</v>
      </c>
      <c r="BJ21" s="41" t="n">
        <f aca="false">MIN(1,BJ20/Assumptions!$F$77)</f>
        <v>1</v>
      </c>
      <c r="BK21" s="41" t="n">
        <f aca="false">MIN(1,BK20/Assumptions!$F$77)</f>
        <v>1</v>
      </c>
    </row>
    <row r="22" customFormat="false" ht="15" hidden="false" customHeight="false" outlineLevel="0" collapsed="false">
      <c r="B22" s="5" t="s">
        <v>562</v>
      </c>
    </row>
    <row r="23" customFormat="false" ht="15" hidden="false" customHeight="false" outlineLevel="0" collapsed="false">
      <c r="A23" s="28" t="s">
        <v>563</v>
      </c>
      <c r="B23" s="6" t="s">
        <v>564</v>
      </c>
      <c r="C23" s="32" t="n">
        <v>0</v>
      </c>
      <c r="D23" s="34" t="n">
        <f aca="false">C23+(D13*Assumptions!$F$13-C23)*Assumptions!$F$14</f>
        <v>0</v>
      </c>
      <c r="E23" s="34" t="n">
        <f aca="false">D23+(E13*Assumptions!$F$13-D23)*Assumptions!$F$14</f>
        <v>0</v>
      </c>
      <c r="F23" s="34" t="n">
        <f aca="false">E23+(F13*Assumptions!$F$13-E23)*Assumptions!$F$14</f>
        <v>0</v>
      </c>
      <c r="G23" s="34" t="n">
        <f aca="false">F23+(G13*Assumptions!$F$13-F23)*Assumptions!$F$14</f>
        <v>0</v>
      </c>
      <c r="H23" s="34" t="n">
        <f aca="false">G23+(H13*Assumptions!$F$13-G23)*Assumptions!$F$14</f>
        <v>126</v>
      </c>
      <c r="I23" s="34" t="n">
        <f aca="false">H23+(I13*Assumptions!$F$13-H23)*Assumptions!$F$14</f>
        <v>316.89</v>
      </c>
      <c r="J23" s="34" t="n">
        <f aca="false">I23+(J13*Assumptions!$F$13-I23)*Assumptions!$F$14</f>
        <v>513.04365</v>
      </c>
      <c r="K23" s="34" t="n">
        <f aca="false">J23+(K13*Assumptions!$F$13-J23)*Assumptions!$F$14</f>
        <v>812.33754525</v>
      </c>
      <c r="L23" s="34" t="n">
        <f aca="false">K23+(L13*Assumptions!$F$13-K23)*Assumptions!$F$14</f>
        <v>1266.81568957125</v>
      </c>
      <c r="M23" s="34" t="n">
        <f aca="false">L23+(M13*Assumptions!$F$13-L23)*Assumptions!$F$14</f>
        <v>1762.82453910268</v>
      </c>
      <c r="N23" s="34" t="n">
        <f aca="false">M23+(N13*Assumptions!$F$13-M23)*Assumptions!$F$14</f>
        <v>2328.17937618489</v>
      </c>
      <c r="O23" s="34" t="n">
        <f aca="false">N23+(O13*Assumptions!$F$13-N23)*Assumptions!$F$14</f>
        <v>3000.48486890181</v>
      </c>
      <c r="P23" s="34" t="n">
        <f aca="false">O23+(P13*Assumptions!$F$13-O23)*Assumptions!$F$14</f>
        <v>3788.13591505208</v>
      </c>
      <c r="Q23" s="34" t="n">
        <f aca="false">P23+(Q13*Assumptions!$F$13-P23)*Assumptions!$F$14</f>
        <v>4670.70178379576</v>
      </c>
      <c r="R23" s="34" t="n">
        <f aca="false">Q23+(R13*Assumptions!$F$13-Q23)*Assumptions!$F$14</f>
        <v>5619.48339689398</v>
      </c>
      <c r="S23" s="34" t="n">
        <f aca="false">R23+(S13*Assumptions!$F$13-R23)*Assumptions!$F$14</f>
        <v>6630.87853684642</v>
      </c>
      <c r="T23" s="34" t="n">
        <f aca="false">S23+(T13*Assumptions!$F$13-S23)*Assumptions!$F$14</f>
        <v>7682.09216288253</v>
      </c>
      <c r="U23" s="34" t="n">
        <f aca="false">T23+(U13*Assumptions!$F$13-T23)*Assumptions!$F$14</f>
        <v>8758.32070309701</v>
      </c>
      <c r="V23" s="34" t="n">
        <f aca="false">U23+(V13*Assumptions!$F$13-U23)*Assumptions!$F$14</f>
        <v>9849.95484227807</v>
      </c>
      <c r="W23" s="34" t="n">
        <f aca="false">V23+(W13*Assumptions!$F$13-V23)*Assumptions!$F$14</f>
        <v>11076.7613369668</v>
      </c>
      <c r="X23" s="34" t="n">
        <f aca="false">W23+(X13*Assumptions!$F$13-W23)*Assumptions!$F$14</f>
        <v>12373.5911981722</v>
      </c>
      <c r="Y23" s="34" t="n">
        <f aca="false">X23+(Y13*Assumptions!$F$13-X23)*Assumptions!$F$14</f>
        <v>13678.2051630185</v>
      </c>
      <c r="Z23" s="34" t="n">
        <f aca="false">Y23+(Z13*Assumptions!$F$13-Y23)*Assumptions!$F$14</f>
        <v>15086.7936769055</v>
      </c>
      <c r="AA23" s="34" t="n">
        <f aca="false">Z23+(AA13*Assumptions!$F$13-Z23)*Assumptions!$F$14</f>
        <v>16524.3168061179</v>
      </c>
      <c r="AB23" s="34" t="n">
        <f aca="false">AA23+(AB13*Assumptions!$F$13-AA23)*Assumptions!$F$14</f>
        <v>17937.5383263641</v>
      </c>
      <c r="AC23" s="34" t="n">
        <f aca="false">AB23+(AC13*Assumptions!$F$13-AB23)*Assumptions!$F$14</f>
        <v>19413.4613284882</v>
      </c>
      <c r="AD23" s="34" t="n">
        <f aca="false">AC23+(AD13*Assumptions!$F$13-AC23)*Assumptions!$F$14</f>
        <v>21017.5403586237</v>
      </c>
      <c r="AE23" s="34" t="n">
        <f aca="false">AD23+(AE13*Assumptions!$F$13-AD23)*Assumptions!$F$14</f>
        <v>22639.8098707851</v>
      </c>
      <c r="AF23" s="34" t="n">
        <f aca="false">AE23+(AF13*Assumptions!$F$13-AE23)*Assumptions!$F$14</f>
        <v>24315.6089241249</v>
      </c>
      <c r="AG23" s="34" t="n">
        <f aca="false">AF23+(AG13*Assumptions!$F$13-AF23)*Assumptions!$F$14</f>
        <v>26087.442321174</v>
      </c>
      <c r="AH23" s="34" t="n">
        <f aca="false">AG23+(AH13*Assumptions!$F$13-AG23)*Assumptions!$F$14</f>
        <v>27835.8595814485</v>
      </c>
      <c r="AI23" s="34" t="n">
        <f aca="false">AH23+(AI13*Assumptions!$F$13-AH23)*Assumptions!$F$14</f>
        <v>29600.4254695367</v>
      </c>
      <c r="AJ23" s="34" t="n">
        <f aca="false">AI23+(AJ13*Assumptions!$F$13-AI23)*Assumptions!$F$14</f>
        <v>31416.46654567</v>
      </c>
      <c r="AK23" s="34" t="n">
        <f aca="false">AJ23+(AK13*Assumptions!$F$13-AJ23)*Assumptions!$F$14</f>
        <v>33306.3303952997</v>
      </c>
      <c r="AL23" s="34" t="n">
        <f aca="false">AK23+(AL13*Assumptions!$F$13-AK23)*Assumptions!$F$14</f>
        <v>35258.7374904497</v>
      </c>
      <c r="AM23" s="34" t="n">
        <f aca="false">AL23+(AM13*Assumptions!$F$13-AL23)*Assumptions!$F$14</f>
        <v>37251.0177612947</v>
      </c>
      <c r="AN23" s="35" t="n">
        <f aca="false">AM23+(AN13*Assumptions!$F$13-AM23)*Assumptions!$F$14</f>
        <v>39283.5673614563</v>
      </c>
      <c r="AO23" s="35" t="n">
        <f aca="false">AN23+(AO13*Assumptions!$F$13-AN23)*Assumptions!$F$14</f>
        <v>41336.2685143122</v>
      </c>
      <c r="AP23" s="35" t="n">
        <f aca="false">AO23+(AP13*Assumptions!$F$13-AO23)*Assumptions!$F$14</f>
        <v>43396.1350177281</v>
      </c>
      <c r="AQ23" s="35" t="n">
        <f aca="false">AP23+(AQ13*Assumptions!$F$13-AP23)*Assumptions!$F$14</f>
        <v>45454.814837697</v>
      </c>
      <c r="AR23" s="35" t="n">
        <f aca="false">AQ23+(AR13*Assumptions!$F$13-AQ23)*Assumptions!$F$14</f>
        <v>47506.9668145342</v>
      </c>
      <c r="AS23" s="35" t="n">
        <f aca="false">AR23+(AS13*Assumptions!$F$13-AR23)*Assumptions!$F$14</f>
        <v>49549.2055419279</v>
      </c>
      <c r="AT23" s="35" t="n">
        <f aca="false">AS23+(AT13*Assumptions!$F$13-AS23)*Assumptions!$F$14</f>
        <v>51574.3755580466</v>
      </c>
      <c r="AU23" s="35" t="n">
        <f aca="false">AT23+(AU13*Assumptions!$F$13-AT23)*Assumptions!$F$14</f>
        <v>53583.0251891868</v>
      </c>
      <c r="AV23" s="35" t="n">
        <f aca="false">AU23+(AV13*Assumptions!$F$13-AU23)*Assumptions!$F$14</f>
        <v>55575.5922332811</v>
      </c>
      <c r="AW23" s="35" t="n">
        <f aca="false">AV23+(AW13*Assumptions!$F$13-AV23)*Assumptions!$F$14</f>
        <v>57547.4014240378</v>
      </c>
      <c r="AX23" s="35" t="n">
        <f aca="false">AW23+(AX13*Assumptions!$F$13-AW23)*Assumptions!$F$14</f>
        <v>59500.6084009436</v>
      </c>
      <c r="AY23" s="35" t="n">
        <f aca="false">AX23+(AY13*Assumptions!$F$13-AX23)*Assumptions!$F$14</f>
        <v>61436.6909738025</v>
      </c>
      <c r="AZ23" s="35" t="n">
        <f aca="false">AY23+(AZ13*Assumptions!$F$13-AY23)*Assumptions!$F$14</f>
        <v>63351.645213463</v>
      </c>
      <c r="BA23" s="35" t="n">
        <f aca="false">AZ23+(BA13*Assumptions!$F$13-AZ23)*Assumptions!$F$14</f>
        <v>65243.0185280349</v>
      </c>
      <c r="BB23" s="35" t="n">
        <f aca="false">BA23+(BB13*Assumptions!$F$13-BA23)*Assumptions!$F$14</f>
        <v>67114.4044454174</v>
      </c>
      <c r="BC23" s="35" t="n">
        <f aca="false">BB23+(BC13*Assumptions!$F$13-BB23)*Assumptions!$F$14</f>
        <v>68963.1686556831</v>
      </c>
      <c r="BD23" s="35" t="n">
        <f aca="false">BC23+(BD13*Assumptions!$F$13-BC23)*Assumptions!$F$14</f>
        <v>70787.7433058634</v>
      </c>
      <c r="BE23" s="35" t="n">
        <f aca="false">BD23+(BE13*Assumptions!$F$13-BD23)*Assumptions!$F$14</f>
        <v>72592.2915732856</v>
      </c>
      <c r="BF23" s="35" t="n">
        <f aca="false">BE23+(BF13*Assumptions!$F$13-BE23)*Assumptions!$F$14</f>
        <v>74374.5440707428</v>
      </c>
      <c r="BG23" s="35" t="n">
        <f aca="false">BF23+(BG13*Assumptions!$F$13-BF23)*Assumptions!$F$14</f>
        <v>76133.1648758685</v>
      </c>
      <c r="BH23" s="35" t="n">
        <f aca="false">BG23+(BH13*Assumptions!$F$13-BG23)*Assumptions!$F$14</f>
        <v>77867.4227307518</v>
      </c>
      <c r="BI23" s="35" t="n">
        <f aca="false">BH23+(BI13*Assumptions!$F$13-BH23)*Assumptions!$F$14</f>
        <v>79576.9773530045</v>
      </c>
      <c r="BJ23" s="35" t="n">
        <f aca="false">BI23+(BJ13*Assumptions!$F$13-BI23)*Assumptions!$F$14</f>
        <v>81261.7405687984</v>
      </c>
      <c r="BK23" s="35" t="n">
        <f aca="false">BJ23+(BK13*Assumptions!$F$13-BJ23)*Assumptions!$F$14</f>
        <v>82921.7860797243</v>
      </c>
    </row>
    <row r="24" customFormat="false" ht="15" hidden="false" customHeight="false" outlineLevel="0" collapsed="false">
      <c r="A24" s="28" t="s">
        <v>565</v>
      </c>
      <c r="B24" s="6" t="s">
        <v>566</v>
      </c>
      <c r="C24" s="32" t="n">
        <v>0</v>
      </c>
      <c r="D24" s="34" t="n">
        <f aca="false">D23/Assumptions!$F$15</f>
        <v>0</v>
      </c>
      <c r="E24" s="34" t="n">
        <f aca="false">E23/Assumptions!$F$15</f>
        <v>0</v>
      </c>
      <c r="F24" s="34" t="n">
        <f aca="false">F23/Assumptions!$F$15</f>
        <v>0</v>
      </c>
      <c r="G24" s="34" t="n">
        <f aca="false">G23/Assumptions!$F$15</f>
        <v>0</v>
      </c>
      <c r="H24" s="34" t="n">
        <f aca="false">H23/Assumptions!$F$15</f>
        <v>90</v>
      </c>
      <c r="I24" s="34" t="n">
        <f aca="false">I23/Assumptions!$F$15</f>
        <v>226.35</v>
      </c>
      <c r="J24" s="34" t="n">
        <f aca="false">J23/Assumptions!$F$15</f>
        <v>366.45975</v>
      </c>
      <c r="K24" s="34" t="n">
        <f aca="false">K23/Assumptions!$F$15</f>
        <v>580.24110375</v>
      </c>
      <c r="L24" s="34" t="n">
        <f aca="false">L23/Assumptions!$F$15</f>
        <v>904.86834969375</v>
      </c>
      <c r="M24" s="34" t="n">
        <f aca="false">M23/Assumptions!$F$15</f>
        <v>1259.16038507334</v>
      </c>
      <c r="N24" s="34" t="n">
        <f aca="false">N23/Assumptions!$F$15</f>
        <v>1662.98526870349</v>
      </c>
      <c r="O24" s="34" t="n">
        <f aca="false">O23/Assumptions!$F$15</f>
        <v>2143.203477787</v>
      </c>
      <c r="P24" s="34" t="n">
        <f aca="false">P23/Assumptions!$F$15</f>
        <v>2705.81136789434</v>
      </c>
      <c r="Q24" s="34" t="n">
        <f aca="false">Q23/Assumptions!$F$15</f>
        <v>3336.21555985412</v>
      </c>
      <c r="R24" s="34" t="n">
        <f aca="false">R23/Assumptions!$F$15</f>
        <v>4013.91671206713</v>
      </c>
      <c r="S24" s="34" t="n">
        <f aca="false">S23/Assumptions!$F$15</f>
        <v>4736.34181203316</v>
      </c>
      <c r="T24" s="34" t="n">
        <f aca="false">T23/Assumptions!$F$15</f>
        <v>5487.20868777323</v>
      </c>
      <c r="U24" s="34" t="n">
        <f aca="false">U23/Assumptions!$F$15</f>
        <v>6255.94335935501</v>
      </c>
      <c r="V24" s="34" t="n">
        <f aca="false">V23/Assumptions!$F$15</f>
        <v>7035.68203019862</v>
      </c>
      <c r="W24" s="34" t="n">
        <f aca="false">W23/Assumptions!$F$15</f>
        <v>7911.97238354771</v>
      </c>
      <c r="X24" s="34" t="n">
        <f aca="false">X23/Assumptions!$F$15</f>
        <v>8838.27942726583</v>
      </c>
      <c r="Y24" s="34" t="n">
        <f aca="false">Y23/Assumptions!$F$15</f>
        <v>9770.14654501322</v>
      </c>
      <c r="Z24" s="34" t="n">
        <f aca="false">Z23/Assumptions!$F$15</f>
        <v>10776.2811977897</v>
      </c>
      <c r="AA24" s="34" t="n">
        <f aca="false">AA23/Assumptions!$F$15</f>
        <v>11803.0834329414</v>
      </c>
      <c r="AB24" s="34" t="n">
        <f aca="false">AB23/Assumptions!$F$15</f>
        <v>12812.5273759743</v>
      </c>
      <c r="AC24" s="34" t="n">
        <f aca="false">AC23/Assumptions!$F$15</f>
        <v>13866.7580917773</v>
      </c>
      <c r="AD24" s="34" t="n">
        <f aca="false">AD23/Assumptions!$F$15</f>
        <v>15012.5288275883</v>
      </c>
      <c r="AE24" s="34" t="n">
        <f aca="false">AE23/Assumptions!$F$15</f>
        <v>16171.2927648465</v>
      </c>
      <c r="AF24" s="34" t="n">
        <f aca="false">AF23/Assumptions!$F$15</f>
        <v>17368.2920886606</v>
      </c>
      <c r="AG24" s="34" t="n">
        <f aca="false">AG23/Assumptions!$F$15</f>
        <v>18633.8873722671</v>
      </c>
      <c r="AH24" s="34" t="n">
        <f aca="false">AH23/Assumptions!$F$15</f>
        <v>19882.7568438918</v>
      </c>
      <c r="AI24" s="34" t="n">
        <f aca="false">AI23/Assumptions!$F$15</f>
        <v>21143.161049669</v>
      </c>
      <c r="AJ24" s="34" t="n">
        <f aca="false">AJ23/Assumptions!$F$15</f>
        <v>22440.3332469072</v>
      </c>
      <c r="AK24" s="34" t="n">
        <f aca="false">AK23/Assumptions!$F$15</f>
        <v>23790.2359966426</v>
      </c>
      <c r="AL24" s="34" t="n">
        <f aca="false">AL23/Assumptions!$F$15</f>
        <v>25184.8124931784</v>
      </c>
      <c r="AM24" s="34" t="n">
        <f aca="false">AM23/Assumptions!$F$15</f>
        <v>26607.8698294962</v>
      </c>
      <c r="AN24" s="35" t="n">
        <f aca="false">AN23/Assumptions!$F$15</f>
        <v>28059.6909724688</v>
      </c>
      <c r="AO24" s="35" t="n">
        <f aca="false">AO23/Assumptions!$F$15</f>
        <v>29525.9060816516</v>
      </c>
      <c r="AP24" s="35" t="n">
        <f aca="false">AP23/Assumptions!$F$15</f>
        <v>30997.2392983772</v>
      </c>
      <c r="AQ24" s="35" t="n">
        <f aca="false">AQ23/Assumptions!$F$15</f>
        <v>32467.7248840693</v>
      </c>
      <c r="AR24" s="35" t="n">
        <f aca="false">AR23/Assumptions!$F$15</f>
        <v>33933.5477246673</v>
      </c>
      <c r="AS24" s="35" t="n">
        <f aca="false">AS23/Assumptions!$F$15</f>
        <v>35392.2896728056</v>
      </c>
      <c r="AT24" s="35" t="n">
        <f aca="false">AT23/Assumptions!$F$15</f>
        <v>36838.839684319</v>
      </c>
      <c r="AU24" s="35" t="n">
        <f aca="false">AU23/Assumptions!$F$15</f>
        <v>38273.5894208477</v>
      </c>
      <c r="AV24" s="35" t="n">
        <f aca="false">AV23/Assumptions!$F$15</f>
        <v>39696.8515952008</v>
      </c>
      <c r="AW24" s="35" t="n">
        <f aca="false">AW23/Assumptions!$F$15</f>
        <v>41105.2867314556</v>
      </c>
      <c r="AX24" s="35" t="n">
        <f aca="false">AX23/Assumptions!$F$15</f>
        <v>42500.4345721025</v>
      </c>
      <c r="AY24" s="35" t="n">
        <f aca="false">AY23/Assumptions!$F$15</f>
        <v>43883.3506955732</v>
      </c>
      <c r="AZ24" s="35" t="n">
        <f aca="false">AZ23/Assumptions!$F$15</f>
        <v>45251.1751524736</v>
      </c>
      <c r="BA24" s="35" t="n">
        <f aca="false">BA23/Assumptions!$F$15</f>
        <v>46602.1560914535</v>
      </c>
      <c r="BB24" s="35" t="n">
        <f aca="false">BB23/Assumptions!$F$15</f>
        <v>47938.8603181553</v>
      </c>
      <c r="BC24" s="35" t="n">
        <f aca="false">BC23/Assumptions!$F$15</f>
        <v>49259.4061826308</v>
      </c>
      <c r="BD24" s="35" t="n">
        <f aca="false">BD23/Assumptions!$F$15</f>
        <v>50562.6737899024</v>
      </c>
      <c r="BE24" s="35" t="n">
        <f aca="false">BE23/Assumptions!$F$15</f>
        <v>51851.6368380611</v>
      </c>
      <c r="BF24" s="35" t="n">
        <f aca="false">BF23/Assumptions!$F$15</f>
        <v>53124.6743362449</v>
      </c>
      <c r="BG24" s="35" t="n">
        <f aca="false">BG23/Assumptions!$F$15</f>
        <v>54380.8320541918</v>
      </c>
      <c r="BH24" s="35" t="n">
        <f aca="false">BH23/Assumptions!$F$15</f>
        <v>55619.5876648227</v>
      </c>
      <c r="BI24" s="35" t="n">
        <f aca="false">BI23/Assumptions!$F$15</f>
        <v>56840.6981092889</v>
      </c>
      <c r="BJ24" s="35" t="n">
        <f aca="false">BJ23/Assumptions!$F$15</f>
        <v>58044.1004062846</v>
      </c>
      <c r="BK24" s="35" t="n">
        <f aca="false">BK23/Assumptions!$F$15</f>
        <v>59229.8471998031</v>
      </c>
    </row>
    <row r="25" customFormat="false" ht="15" hidden="false" customHeight="false" outlineLevel="0" collapsed="false">
      <c r="A25" s="28" t="s">
        <v>567</v>
      </c>
      <c r="B25" s="6" t="s">
        <v>568</v>
      </c>
      <c r="C25" s="32" t="n">
        <v>0</v>
      </c>
      <c r="D25" s="34" t="n">
        <f aca="false">MAX(0,D24-C24)+C24*Assumptions!$F$16</f>
        <v>0</v>
      </c>
      <c r="E25" s="34" t="n">
        <f aca="false">MAX(0,E24-D24)+D24*Assumptions!$F$16</f>
        <v>0</v>
      </c>
      <c r="F25" s="34" t="n">
        <f aca="false">MAX(0,F24-E24)+E24*Assumptions!$F$16</f>
        <v>0</v>
      </c>
      <c r="G25" s="34" t="n">
        <f aca="false">MAX(0,G24-F24)+F24*Assumptions!$F$16</f>
        <v>0</v>
      </c>
      <c r="H25" s="34" t="n">
        <f aca="false">MAX(0,H24-G24)+G24*Assumptions!$F$16</f>
        <v>90</v>
      </c>
      <c r="I25" s="34" t="n">
        <f aca="false">MAX(0,I24-H24)+H24*Assumptions!$F$16</f>
        <v>139.95</v>
      </c>
      <c r="J25" s="34" t="n">
        <f aca="false">MAX(0,J24-I24)+I24*Assumptions!$F$16</f>
        <v>149.16375</v>
      </c>
      <c r="K25" s="34" t="n">
        <f aca="false">MAX(0,K24-J24)+J24*Assumptions!$F$16</f>
        <v>228.43974375</v>
      </c>
      <c r="L25" s="34" t="n">
        <f aca="false">MAX(0,L24-K24)+K24*Assumptions!$F$16</f>
        <v>347.83689009375</v>
      </c>
      <c r="M25" s="34" t="n">
        <f aca="false">MAX(0,M24-L24)+L24*Assumptions!$F$16</f>
        <v>390.486769367344</v>
      </c>
      <c r="N25" s="34" t="n">
        <f aca="false">MAX(0,N24-M24)+M24*Assumptions!$F$16</f>
        <v>454.191299033084</v>
      </c>
      <c r="O25" s="34" t="n">
        <f aca="false">MAX(0,O24-N24)+N24*Assumptions!$F$16</f>
        <v>546.73761983165</v>
      </c>
      <c r="P25" s="34" t="n">
        <f aca="false">MAX(0,P24-O24)+O24*Assumptions!$F$16</f>
        <v>648.336029218816</v>
      </c>
      <c r="Q25" s="34" t="n">
        <f aca="false">MAX(0,Q24-P24)+P24*Assumptions!$F$16</f>
        <v>738.63664667555</v>
      </c>
      <c r="R25" s="34" t="n">
        <f aca="false">MAX(0,R24-Q24)+Q24*Assumptions!$F$16</f>
        <v>811.149774607177</v>
      </c>
      <c r="S25" s="34" t="n">
        <f aca="false">MAX(0,S24-R24)+R24*Assumptions!$F$16</f>
        <v>882.981768448714</v>
      </c>
      <c r="T25" s="34" t="n">
        <f aca="false">MAX(0,T24-S24)+S24*Assumptions!$F$16</f>
        <v>940.320548221403</v>
      </c>
      <c r="U25" s="34" t="n">
        <f aca="false">MAX(0,U24-T24)+T24*Assumptions!$F$16</f>
        <v>988.223019092703</v>
      </c>
      <c r="V25" s="34" t="n">
        <f aca="false">MAX(0,V24-U24)+U24*Assumptions!$F$16</f>
        <v>1029.97640521782</v>
      </c>
      <c r="W25" s="34" t="n">
        <f aca="false">MAX(0,W24-V24)+V24*Assumptions!$F$16</f>
        <v>1157.71763455703</v>
      </c>
      <c r="X25" s="34" t="n">
        <f aca="false">MAX(0,X24-W24)+W24*Assumptions!$F$16</f>
        <v>1242.78593906003</v>
      </c>
      <c r="Y25" s="34" t="n">
        <f aca="false">MAX(0,Y24-X24)+X24*Assumptions!$F$16</f>
        <v>1285.39829483802</v>
      </c>
      <c r="Z25" s="34" t="n">
        <f aca="false">MAX(0,Z24-Y24)+Y24*Assumptions!$F$16</f>
        <v>1396.94051457697</v>
      </c>
      <c r="AA25" s="34" t="n">
        <f aca="false">MAX(0,AA24-Z24)+Z24*Assumptions!$F$16</f>
        <v>1457.85348306331</v>
      </c>
      <c r="AB25" s="34" t="n">
        <f aca="false">MAX(0,AB24-AA24)+AA24*Assumptions!$F$16</f>
        <v>1481.5672803506</v>
      </c>
      <c r="AC25" s="34" t="n">
        <f aca="false">MAX(0,AC24-AB24)+AB24*Assumptions!$F$16</f>
        <v>1566.73181084195</v>
      </c>
      <c r="AD25" s="34" t="n">
        <f aca="false">MAX(0,AD24-AC24)+AC24*Assumptions!$F$16</f>
        <v>1700.44105948212</v>
      </c>
      <c r="AE25" s="34" t="n">
        <f aca="false">MAX(0,AE24-AD24)+AD24*Assumptions!$F$16</f>
        <v>1759.26509036171</v>
      </c>
      <c r="AF25" s="34" t="n">
        <f aca="false">MAX(0,AF24-AE24)+AE24*Assumptions!$F$16</f>
        <v>1843.85103440796</v>
      </c>
      <c r="AG25" s="34" t="n">
        <f aca="false">MAX(0,AG24-AF24)+AF24*Assumptions!$F$16</f>
        <v>1960.32696715293</v>
      </c>
      <c r="AH25" s="34" t="n">
        <f aca="false">MAX(0,AH24-AG24)+AG24*Assumptions!$F$16</f>
        <v>1994.22496651535</v>
      </c>
      <c r="AI25" s="34" t="n">
        <f aca="false">MAX(0,AI24-AH24)+AH24*Assumptions!$F$16</f>
        <v>2055.71447953293</v>
      </c>
      <c r="AJ25" s="34" t="n">
        <f aca="false">MAX(0,AJ24-AI24)+AI24*Assumptions!$F$16</f>
        <v>2142.89863922489</v>
      </c>
      <c r="AK25" s="34" t="n">
        <f aca="false">MAX(0,AK24-AJ24)+AJ24*Assumptions!$F$16</f>
        <v>2247.51607961173</v>
      </c>
      <c r="AL25" s="34" t="n">
        <f aca="false">MAX(0,AL24-AK24)+AK24*Assumptions!$F$16</f>
        <v>2346.18593640145</v>
      </c>
      <c r="AM25" s="34" t="n">
        <f aca="false">MAX(0,AM24-AL24)+AL24*Assumptions!$F$16</f>
        <v>2430.44983604496</v>
      </c>
      <c r="AN25" s="35" t="n">
        <f aca="false">MAX(0,AN24-AM24)+AM24*Assumptions!$F$16</f>
        <v>2516.13593615248</v>
      </c>
      <c r="AO25" s="35" t="n">
        <f aca="false">MAX(0,AO24-AN24)+AN24*Assumptions!$F$16</f>
        <v>2588.60274808152</v>
      </c>
      <c r="AP25" s="35" t="n">
        <f aca="false">MAX(0,AP24-AO24)+AO24*Assumptions!$F$16</f>
        <v>2652.36945999166</v>
      </c>
      <c r="AQ25" s="35" t="n">
        <f aca="false">MAX(0,AQ24-AP24)+AP24*Assumptions!$F$16</f>
        <v>2710.37515762717</v>
      </c>
      <c r="AR25" s="35" t="n">
        <f aca="false">MAX(0,AR24-AQ24)+AQ24*Assumptions!$F$16</f>
        <v>2764.53183596076</v>
      </c>
      <c r="AS25" s="35" t="n">
        <f aca="false">MAX(0,AS24-AR24)+AR24*Assumptions!$F$16</f>
        <v>2816.08385712505</v>
      </c>
      <c r="AT25" s="35" t="n">
        <f aca="false">MAX(0,AT24-AS24)+AS24*Assumptions!$F$16</f>
        <v>2862.24159842558</v>
      </c>
      <c r="AU25" s="35" t="n">
        <f aca="false">MAX(0,AU24-AT24)+AT24*Assumptions!$F$16</f>
        <v>2908.30332390152</v>
      </c>
      <c r="AV25" s="35" t="n">
        <f aca="false">MAX(0,AV24-AU24)+AU24*Assumptions!$F$16</f>
        <v>2954.20575118699</v>
      </c>
      <c r="AW25" s="35" t="n">
        <f aca="false">MAX(0,AW24-AV24)+AV24*Assumptions!$F$16</f>
        <v>2996.30920006279</v>
      </c>
      <c r="AX25" s="35" t="n">
        <f aca="false">MAX(0,AX24-AW24)+AW24*Assumptions!$F$16</f>
        <v>3039.35930990519</v>
      </c>
      <c r="AY25" s="35" t="n">
        <f aca="false">MAX(0,AY24-AX24)+AX24*Assumptions!$F$16</f>
        <v>3082.93350635479</v>
      </c>
      <c r="AZ25" s="35" t="n">
        <f aca="false">MAX(0,AZ24-AY24)+AY24*Assumptions!$F$16</f>
        <v>3123.15848472327</v>
      </c>
      <c r="BA25" s="35" t="n">
        <f aca="false">MAX(0,BA24-AZ24)+AZ24*Assumptions!$F$16</f>
        <v>3161.0279450789</v>
      </c>
      <c r="BB25" s="35" t="n">
        <f aca="false">MAX(0,BB24-BA24)+BA24*Assumptions!$F$16</f>
        <v>3200.79047035993</v>
      </c>
      <c r="BC25" s="35" t="n">
        <f aca="false">MAX(0,BC24-BB24)+BB24*Assumptions!$F$16</f>
        <v>3238.10027720172</v>
      </c>
      <c r="BD25" s="35" t="n">
        <f aca="false">MAX(0,BD24-BC24)+BC24*Assumptions!$F$16</f>
        <v>3273.64385457686</v>
      </c>
      <c r="BE25" s="35" t="n">
        <f aca="false">MAX(0,BE24-BD24)+BD24*Assumptions!$F$16</f>
        <v>3311.46999975477</v>
      </c>
      <c r="BF25" s="35" t="n">
        <f aca="false">MAX(0,BF24-BE24)+BE24*Assumptions!$F$16</f>
        <v>3347.10297170621</v>
      </c>
      <c r="BG25" s="35" t="n">
        <f aca="false">MAX(0,BG24-BF24)+BF24*Assumptions!$F$16</f>
        <v>3381.14469139668</v>
      </c>
      <c r="BH25" s="35" t="n">
        <f aca="false">MAX(0,BH24-BG24)+BG24*Assumptions!$F$16</f>
        <v>3413.98889279865</v>
      </c>
      <c r="BI25" s="35" t="n">
        <f aca="false">MAX(0,BI24-BH24)+BH24*Assumptions!$F$16</f>
        <v>3445.89395105907</v>
      </c>
      <c r="BJ25" s="35" t="n">
        <f aca="false">MAX(0,BJ24-BI24)+BI24*Assumptions!$F$16</f>
        <v>3477.03022136726</v>
      </c>
      <c r="BK25" s="35" t="n">
        <f aca="false">MAX(0,BK24-BJ24)+BJ24*Assumptions!$F$16</f>
        <v>3507.51080976988</v>
      </c>
    </row>
    <row r="26" customFormat="false" ht="15" hidden="false" customHeight="false" outlineLevel="0" collapsed="false">
      <c r="B26" s="5" t="s">
        <v>569</v>
      </c>
    </row>
    <row r="27" customFormat="false" ht="15" hidden="false" customHeight="false" outlineLevel="0" collapsed="false">
      <c r="A27" s="28" t="s">
        <v>570</v>
      </c>
      <c r="B27" s="6" t="s">
        <v>571</v>
      </c>
      <c r="C27" s="36" t="n">
        <v>0</v>
      </c>
      <c r="D27" s="26" t="n">
        <f aca="false">C27*(1-Assumptions!$F$41)+D16*((1-(1-Assumptions!$F$30)^(1/12))*Assumptions!$F$40)*MAX(0,D13*Assumptions!$F$25-C27)</f>
        <v>0</v>
      </c>
      <c r="E27" s="26" t="n">
        <f aca="false">D27*(1-Assumptions!$F$41)+E16*((1-(1-Assumptions!$F$30)^(1/12))*Assumptions!$F$40)*MAX(0,E13*Assumptions!$F$25-D27)</f>
        <v>0</v>
      </c>
      <c r="F27" s="26" t="n">
        <f aca="false">E27*(1-Assumptions!$F$41)+F16*((1-(1-Assumptions!$F$30)^(1/12))*Assumptions!$F$40)*MAX(0,F13*Assumptions!$F$25-E27)</f>
        <v>0</v>
      </c>
      <c r="G27" s="26" t="n">
        <f aca="false">F27*(1-Assumptions!$F$41)+G16*((1-(1-Assumptions!$F$30)^(1/12))*Assumptions!$F$40)*MAX(0,G13*Assumptions!$F$25-F27)</f>
        <v>0</v>
      </c>
      <c r="H27" s="26" t="n">
        <f aca="false">G27*(1-Assumptions!$F$41)+H16*((1-(1-Assumptions!$F$30)^(1/12))*Assumptions!$F$40)*MAX(0,H13*Assumptions!$F$25-G27)</f>
        <v>0</v>
      </c>
      <c r="I27" s="26" t="n">
        <f aca="false">H27*(1-Assumptions!$F$41)+I16*((1-(1-Assumptions!$F$30)^(1/12))*Assumptions!$F$40)*MAX(0,I13*Assumptions!$F$25-H27)</f>
        <v>0</v>
      </c>
      <c r="J27" s="26" t="n">
        <f aca="false">I27*(1-Assumptions!$F$41)+J16*((1-(1-Assumptions!$F$30)^(1/12))*Assumptions!$F$40)*MAX(0,J13*Assumptions!$F$25-I27)</f>
        <v>0</v>
      </c>
      <c r="K27" s="26" t="n">
        <f aca="false">J27*(1-Assumptions!$F$41)+K16*((1-(1-Assumptions!$F$30)^(1/12))*Assumptions!$F$40)*MAX(0,K13*Assumptions!$F$25-J27)</f>
        <v>0</v>
      </c>
      <c r="L27" s="26" t="n">
        <f aca="false">K27*(1-Assumptions!$F$41)+L16*((1-(1-Assumptions!$F$30)^(1/12))*Assumptions!$F$40)*MAX(0,L13*Assumptions!$F$25-K27)</f>
        <v>0</v>
      </c>
      <c r="M27" s="26" t="n">
        <f aca="false">L27*(1-Assumptions!$F$41)+M16*((1-(1-Assumptions!$F$30)^(1/12))*Assumptions!$F$40)*MAX(0,M13*Assumptions!$F$25-L27)</f>
        <v>0</v>
      </c>
      <c r="N27" s="26" t="n">
        <f aca="false">M27*(1-Assumptions!$F$41)+N16*((1-(1-Assumptions!$F$30)^(1/12))*Assumptions!$F$40)*MAX(0,N13*Assumptions!$F$25-M27)</f>
        <v>0</v>
      </c>
      <c r="O27" s="26" t="n">
        <f aca="false">N27*(1-Assumptions!$F$41)+O16*((1-(1-Assumptions!$F$30)^(1/12))*Assumptions!$F$40)*MAX(0,O13*Assumptions!$F$25-N27)</f>
        <v>0</v>
      </c>
      <c r="P27" s="26" t="n">
        <f aca="false">O27*(1-Assumptions!$F$41)+P16*((1-(1-Assumptions!$F$30)^(1/12))*Assumptions!$F$40)*MAX(0,P13*Assumptions!$F$25-O27)</f>
        <v>0</v>
      </c>
      <c r="Q27" s="26" t="n">
        <f aca="false">P27*(1-Assumptions!$F$41)+Q16*((1-(1-Assumptions!$F$30)^(1/12))*Assumptions!$F$40)*MAX(0,Q13*Assumptions!$F$25-P27)</f>
        <v>0</v>
      </c>
      <c r="R27" s="26" t="n">
        <f aca="false">Q27*(1-Assumptions!$F$41)+R16*((1-(1-Assumptions!$F$30)^(1/12))*Assumptions!$F$40)*MAX(0,R13*Assumptions!$F$25-Q27)</f>
        <v>0</v>
      </c>
      <c r="S27" s="26" t="n">
        <f aca="false">R27*(1-Assumptions!$F$41)+S16*((1-(1-Assumptions!$F$30)^(1/12))*Assumptions!$F$40)*MAX(0,S13*Assumptions!$F$25-R27)</f>
        <v>0.731587236232203</v>
      </c>
      <c r="T27" s="26" t="n">
        <f aca="false">S27*(1-Assumptions!$F$41)+T16*((1-(1-Assumptions!$F$30)^(1/12))*Assumptions!$F$40)*MAX(0,T13*Assumptions!$F$25-S27)</f>
        <v>1.52448564698859</v>
      </c>
      <c r="U27" s="26" t="n">
        <f aca="false">T27*(1-Assumptions!$F$41)+U16*((1-(1-Assumptions!$F$30)^(1/12))*Assumptions!$F$40)*MAX(0,U13*Assumptions!$F$25-T27)</f>
        <v>2.37551333212562</v>
      </c>
      <c r="V27" s="26" t="n">
        <f aca="false">U27*(1-Assumptions!$F$41)+V16*((1-(1-Assumptions!$F$30)^(1/12))*Assumptions!$F$40)*MAX(0,V13*Assumptions!$F$25-U27)</f>
        <v>3.28164566515104</v>
      </c>
      <c r="W27" s="26" t="n">
        <f aca="false">V27*(1-Assumptions!$F$41)+W16*((1-(1-Assumptions!$F$30)^(1/12))*Assumptions!$F$40)*MAX(0,W13*Assumptions!$F$25-V27)</f>
        <v>4.27095905937496</v>
      </c>
      <c r="X27" s="26" t="n">
        <f aca="false">W27*(1-Assumptions!$F$41)+X16*((1-(1-Assumptions!$F$30)^(1/12))*Assumptions!$F$40)*MAX(0,X13*Assumptions!$F$25-W27)</f>
        <v>5.33504359778303</v>
      </c>
      <c r="Y27" s="26" t="n">
        <f aca="false">X27*(1-Assumptions!$F$41)+Y16*((1-(1-Assumptions!$F$30)^(1/12))*Assumptions!$F$40)*MAX(0,Y13*Assumptions!$F$25-X27)</f>
        <v>6.46101010197702</v>
      </c>
      <c r="Z27" s="26" t="n">
        <f aca="false">Y27*(1-Assumptions!$F$41)+Z16*((1-(1-Assumptions!$F$30)^(1/12))*Assumptions!$F$40)*MAX(0,Z13*Assumptions!$F$25-Y27)</f>
        <v>7.67016010400284</v>
      </c>
      <c r="AA27" s="26" t="n">
        <f aca="false">Z27*(1-Assumptions!$F$41)+AA16*((1-(1-Assumptions!$F$30)^(1/12))*Assumptions!$F$40)*MAX(0,AA13*Assumptions!$F$25-Z27)</f>
        <v>8.94897162653519</v>
      </c>
      <c r="AB27" s="26" t="n">
        <f aca="false">AA27*(1-Assumptions!$F$41)+AB16*((1-(1-Assumptions!$F$30)^(1/12))*Assumptions!$F$40)*MAX(0,AB13*Assumptions!$F$25-AA27)</f>
        <v>10.2834818252769</v>
      </c>
      <c r="AC27" s="26" t="n">
        <f aca="false">AB27*(1-Assumptions!$F$41)+AC16*((1-(1-Assumptions!$F$30)^(1/12))*Assumptions!$F$40)*MAX(0,AC13*Assumptions!$F$25-AB27)</f>
        <v>11.6902762018001</v>
      </c>
      <c r="AD27" s="26" t="n">
        <f aca="false">AC27*(1-Assumptions!$F$41)+AD16*((1-(1-Assumptions!$F$30)^(1/12))*Assumptions!$F$40)*MAX(0,AD13*Assumptions!$F$25-AC27)</f>
        <v>13.1873240051507</v>
      </c>
      <c r="AE27" s="26" t="n">
        <f aca="false">AD27*(1-Assumptions!$F$41)+AE16*((1-(1-Assumptions!$F$30)^(1/12))*Assumptions!$F$40)*MAX(0,AE13*Assumptions!$F$25-AD27)</f>
        <v>14.7542605927094</v>
      </c>
      <c r="AF27" s="26" t="n">
        <f aca="false">AE27*(1-Assumptions!$F$41)+AF16*((1-(1-Assumptions!$F$30)^(1/12))*Assumptions!$F$40)*MAX(0,AF13*Assumptions!$F$25-AE27)</f>
        <v>16.3979465634397</v>
      </c>
      <c r="AG27" s="26" t="n">
        <f aca="false">AF27*(1-Assumptions!$F$41)+AG16*((1-(1-Assumptions!$F$30)^(1/12))*Assumptions!$F$40)*MAX(0,AG13*Assumptions!$F$25-AF27)</f>
        <v>18.1297088582202</v>
      </c>
      <c r="AH27" s="26" t="n">
        <f aca="false">AG27*(1-Assumptions!$F$41)+AH16*((1-(1-Assumptions!$F$30)^(1/12))*Assumptions!$F$40)*MAX(0,AH13*Assumptions!$F$25-AG27)</f>
        <v>19.9241966183788</v>
      </c>
      <c r="AI27" s="26" t="n">
        <f aca="false">AH27*(1-Assumptions!$F$41)+AI16*((1-(1-Assumptions!$F$30)^(1/12))*Assumptions!$F$40)*MAX(0,AI13*Assumptions!$F$25-AH27)</f>
        <v>21.7860781656797</v>
      </c>
      <c r="AJ27" s="26" t="n">
        <f aca="false">AI27*(1-Assumptions!$F$41)+AJ16*((1-(1-Assumptions!$F$30)^(1/12))*Assumptions!$F$40)*MAX(0,AJ13*Assumptions!$F$25-AI27)</f>
        <v>23.7221562943354</v>
      </c>
      <c r="AK27" s="26" t="n">
        <f aca="false">AJ27*(1-Assumptions!$F$41)+AK16*((1-(1-Assumptions!$F$30)^(1/12))*Assumptions!$F$40)*MAX(0,AK13*Assumptions!$F$25-AJ27)</f>
        <v>25.7387533901275</v>
      </c>
      <c r="AL27" s="26" t="n">
        <f aca="false">AK27*(1-Assumptions!$F$41)+AL16*((1-(1-Assumptions!$F$30)^(1/12))*Assumptions!$F$40)*MAX(0,AL13*Assumptions!$F$25-AK27)</f>
        <v>27.8355466723903</v>
      </c>
      <c r="AM27" s="26" t="n">
        <f aca="false">AL27*(1-Assumptions!$F$41)+AM16*((1-(1-Assumptions!$F$30)^(1/12))*Assumptions!$F$40)*MAX(0,AM13*Assumptions!$F$25-AL27)</f>
        <v>30.0084611756335</v>
      </c>
      <c r="AN27" s="37" t="n">
        <f aca="false">AM27*(1-Assumptions!$F$41)+AN16*((1-(1-Assumptions!$F$30)^(1/12))*Assumptions!$F$40)*MAX(0,AN13*Assumptions!$F$25-AM27)</f>
        <v>32.2573363037318</v>
      </c>
      <c r="AO27" s="37" t="n">
        <f aca="false">AN27*(1-Assumptions!$F$41)+AO16*((1-(1-Assumptions!$F$30)^(1/12))*Assumptions!$F$40)*MAX(0,AO13*Assumptions!$F$25-AN27)</f>
        <v>34.5770141265483</v>
      </c>
      <c r="AP27" s="37" t="n">
        <f aca="false">AO27*(1-Assumptions!$F$41)+AP16*((1-(1-Assumptions!$F$30)^(1/12))*Assumptions!$F$40)*MAX(0,AP13*Assumptions!$F$25-AO27)</f>
        <v>36.9626086736184</v>
      </c>
      <c r="AQ27" s="37" t="n">
        <f aca="false">AP27*(1-Assumptions!$F$41)+AQ16*((1-(1-Assumptions!$F$30)^(1/12))*Assumptions!$F$40)*MAX(0,AQ13*Assumptions!$F$25-AP27)</f>
        <v>39.4094924319969</v>
      </c>
      <c r="AR27" s="37" t="n">
        <f aca="false">AQ27*(1-Assumptions!$F$41)+AR16*((1-(1-Assumptions!$F$30)^(1/12))*Assumptions!$F$40)*MAX(0,AR13*Assumptions!$F$25-AQ27)</f>
        <v>41.9132835029194</v>
      </c>
      <c r="AS27" s="37" t="n">
        <f aca="false">AR27*(1-Assumptions!$F$41)+AS16*((1-(1-Assumptions!$F$30)^(1/12))*Assumptions!$F$40)*MAX(0,AS13*Assumptions!$F$25-AR27)</f>
        <v>44.4698333853026</v>
      </c>
      <c r="AT27" s="37" t="n">
        <f aca="false">AS27*(1-Assumptions!$F$41)+AT16*((1-(1-Assumptions!$F$30)^(1/12))*Assumptions!$F$40)*MAX(0,AT13*Assumptions!$F$25-AS27)</f>
        <v>47.0739772984622</v>
      </c>
      <c r="AU27" s="37" t="n">
        <f aca="false">AT27*(1-Assumptions!$F$41)+AU16*((1-(1-Assumptions!$F$30)^(1/12))*Assumptions!$F$40)*MAX(0,AU13*Assumptions!$F$25-AT27)</f>
        <v>49.7220777657487</v>
      </c>
      <c r="AV27" s="37" t="n">
        <f aca="false">AU27*(1-Assumptions!$F$41)+AV16*((1-(1-Assumptions!$F$30)^(1/12))*Assumptions!$F$40)*MAX(0,AV13*Assumptions!$F$25-AU27)</f>
        <v>52.4106934418822</v>
      </c>
      <c r="AW27" s="37" t="n">
        <f aca="false">AV27*(1-Assumptions!$F$41)+AW16*((1-(1-Assumptions!$F$30)^(1/12))*Assumptions!$F$40)*MAX(0,AW13*Assumptions!$F$25-AV27)</f>
        <v>55.1353312585167</v>
      </c>
      <c r="AX27" s="37" t="n">
        <f aca="false">AW27*(1-Assumptions!$F$41)+AX16*((1-(1-Assumptions!$F$30)^(1/12))*Assumptions!$F$40)*MAX(0,AX13*Assumptions!$F$25-AW27)</f>
        <v>57.8929917421797</v>
      </c>
      <c r="AY27" s="37" t="n">
        <f aca="false">AX27*(1-Assumptions!$F$41)+AY16*((1-(1-Assumptions!$F$30)^(1/12))*Assumptions!$F$40)*MAX(0,AY13*Assumptions!$F$25-AX27)</f>
        <v>60.6808394916592</v>
      </c>
      <c r="AZ27" s="37" t="n">
        <f aca="false">AY27*(1-Assumptions!$F$41)+AZ16*((1-(1-Assumptions!$F$30)^(1/12))*Assumptions!$F$40)*MAX(0,AZ13*Assumptions!$F$25-AY27)</f>
        <v>63.4949568934526</v>
      </c>
      <c r="BA27" s="37" t="n">
        <f aca="false">AZ27*(1-Assumptions!$F$41)+BA16*((1-(1-Assumptions!$F$30)^(1/12))*Assumptions!$F$40)*MAX(0,BA13*Assumptions!$F$25-AZ27)</f>
        <v>66.331652876118</v>
      </c>
      <c r="BB27" s="37" t="n">
        <f aca="false">BA27*(1-Assumptions!$F$41)+BB16*((1-(1-Assumptions!$F$30)^(1/12))*Assumptions!$F$40)*MAX(0,BB13*Assumptions!$F$25-BA27)</f>
        <v>69.1886894449494</v>
      </c>
      <c r="BC27" s="37" t="n">
        <f aca="false">BB27*(1-Assumptions!$F$41)+BC16*((1-(1-Assumptions!$F$30)^(1/12))*Assumptions!$F$40)*MAX(0,BC13*Assumptions!$F$25-BB27)</f>
        <v>72.0627160894402</v>
      </c>
      <c r="BD27" s="37" t="n">
        <f aca="false">BC27*(1-Assumptions!$F$41)+BD16*((1-(1-Assumptions!$F$30)^(1/12))*Assumptions!$F$40)*MAX(0,BD13*Assumptions!$F$25-BC27)</f>
        <v>74.9505800256602</v>
      </c>
      <c r="BE27" s="37" t="n">
        <f aca="false">BD27*(1-Assumptions!$F$41)+BE16*((1-(1-Assumptions!$F$30)^(1/12))*Assumptions!$F$40)*MAX(0,BE13*Assumptions!$F$25-BD27)</f>
        <v>77.8505541465928</v>
      </c>
      <c r="BF27" s="37" t="n">
        <f aca="false">BE27*(1-Assumptions!$F$41)+BF16*((1-(1-Assumptions!$F$30)^(1/12))*Assumptions!$F$40)*MAX(0,BF13*Assumptions!$F$25-BE27)</f>
        <v>80.7597727764041</v>
      </c>
      <c r="BG27" s="37" t="n">
        <f aca="false">BF27*(1-Assumptions!$F$41)+BG16*((1-(1-Assumptions!$F$30)^(1/12))*Assumptions!$F$40)*MAX(0,BG13*Assumptions!$F$25-BF27)</f>
        <v>83.6755431941082</v>
      </c>
      <c r="BH27" s="37" t="n">
        <f aca="false">BG27*(1-Assumptions!$F$41)+BH16*((1-(1-Assumptions!$F$30)^(1/12))*Assumptions!$F$40)*MAX(0,BH13*Assumptions!$F$25-BG27)</f>
        <v>86.5953367456602</v>
      </c>
      <c r="BI27" s="37" t="n">
        <f aca="false">BH27*(1-Assumptions!$F$41)+BI16*((1-(1-Assumptions!$F$30)^(1/12))*Assumptions!$F$40)*MAX(0,BI13*Assumptions!$F$25-BH27)</f>
        <v>89.5167803941249</v>
      </c>
      <c r="BJ27" s="37" t="n">
        <f aca="false">BI27*(1-Assumptions!$F$41)+BJ16*((1-(1-Assumptions!$F$30)^(1/12))*Assumptions!$F$40)*MAX(0,BJ13*Assumptions!$F$25-BI27)</f>
        <v>92.4376486865928</v>
      </c>
      <c r="BK27" s="37" t="n">
        <f aca="false">BJ27*(1-Assumptions!$F$41)+BK16*((1-(1-Assumptions!$F$30)^(1/12))*Assumptions!$F$40)*MAX(0,BK13*Assumptions!$F$25-BJ27)</f>
        <v>95.3558561175493</v>
      </c>
    </row>
    <row r="28" customFormat="false" ht="15" hidden="false" customHeight="false" outlineLevel="0" collapsed="false">
      <c r="A28" s="28" t="s">
        <v>572</v>
      </c>
      <c r="B28" s="6" t="s">
        <v>573</v>
      </c>
      <c r="C28" s="36" t="n">
        <v>0</v>
      </c>
      <c r="D28" s="26" t="n">
        <f aca="false">C28*(1-Assumptions!$F$41)+D16*((1-(1-Assumptions!$F$31)^(1/12))*Assumptions!$F$40)*MAX(0,D13*Assumptions!$F$26-C28)</f>
        <v>0</v>
      </c>
      <c r="E28" s="26" t="n">
        <f aca="false">D28*(1-Assumptions!$F$41)+E16*((1-(1-Assumptions!$F$31)^(1/12))*Assumptions!$F$40)*MAX(0,E13*Assumptions!$F$26-D28)</f>
        <v>0</v>
      </c>
      <c r="F28" s="26" t="n">
        <f aca="false">E28*(1-Assumptions!$F$41)+F16*((1-(1-Assumptions!$F$31)^(1/12))*Assumptions!$F$40)*MAX(0,F13*Assumptions!$F$26-E28)</f>
        <v>0</v>
      </c>
      <c r="G28" s="26" t="n">
        <f aca="false">F28*(1-Assumptions!$F$41)+G16*((1-(1-Assumptions!$F$31)^(1/12))*Assumptions!$F$40)*MAX(0,G13*Assumptions!$F$26-F28)</f>
        <v>0</v>
      </c>
      <c r="H28" s="26" t="n">
        <f aca="false">G28*(1-Assumptions!$F$41)+H16*((1-(1-Assumptions!$F$31)^(1/12))*Assumptions!$F$40)*MAX(0,H13*Assumptions!$F$26-G28)</f>
        <v>0</v>
      </c>
      <c r="I28" s="26" t="n">
        <f aca="false">H28*(1-Assumptions!$F$41)+I16*((1-(1-Assumptions!$F$31)^(1/12))*Assumptions!$F$40)*MAX(0,I13*Assumptions!$F$26-H28)</f>
        <v>0</v>
      </c>
      <c r="J28" s="26" t="n">
        <f aca="false">I28*(1-Assumptions!$F$41)+J16*((1-(1-Assumptions!$F$31)^(1/12))*Assumptions!$F$40)*MAX(0,J13*Assumptions!$F$26-I28)</f>
        <v>0</v>
      </c>
      <c r="K28" s="26" t="n">
        <f aca="false">J28*(1-Assumptions!$F$41)+K16*((1-(1-Assumptions!$F$31)^(1/12))*Assumptions!$F$40)*MAX(0,K13*Assumptions!$F$26-J28)</f>
        <v>0</v>
      </c>
      <c r="L28" s="26" t="n">
        <f aca="false">K28*(1-Assumptions!$F$41)+L16*((1-(1-Assumptions!$F$31)^(1/12))*Assumptions!$F$40)*MAX(0,L13*Assumptions!$F$26-K28)</f>
        <v>0</v>
      </c>
      <c r="M28" s="26" t="n">
        <f aca="false">L28*(1-Assumptions!$F$41)+M16*((1-(1-Assumptions!$F$31)^(1/12))*Assumptions!$F$40)*MAX(0,M13*Assumptions!$F$26-L28)</f>
        <v>0</v>
      </c>
      <c r="N28" s="26" t="n">
        <f aca="false">M28*(1-Assumptions!$F$41)+N16*((1-(1-Assumptions!$F$31)^(1/12))*Assumptions!$F$40)*MAX(0,N13*Assumptions!$F$26-M28)</f>
        <v>0</v>
      </c>
      <c r="O28" s="26" t="n">
        <f aca="false">N28*(1-Assumptions!$F$41)+O16*((1-(1-Assumptions!$F$31)^(1/12))*Assumptions!$F$40)*MAX(0,O13*Assumptions!$F$26-N28)</f>
        <v>0</v>
      </c>
      <c r="P28" s="26" t="n">
        <f aca="false">O28*(1-Assumptions!$F$41)+P16*((1-(1-Assumptions!$F$31)^(1/12))*Assumptions!$F$40)*MAX(0,P13*Assumptions!$F$26-O28)</f>
        <v>0</v>
      </c>
      <c r="Q28" s="26" t="n">
        <f aca="false">P28*(1-Assumptions!$F$41)+Q16*((1-(1-Assumptions!$F$31)^(1/12))*Assumptions!$F$40)*MAX(0,Q13*Assumptions!$F$26-P28)</f>
        <v>0</v>
      </c>
      <c r="R28" s="26" t="n">
        <f aca="false">Q28*(1-Assumptions!$F$41)+R16*((1-(1-Assumptions!$F$31)^(1/12))*Assumptions!$F$40)*MAX(0,R13*Assumptions!$F$26-Q28)</f>
        <v>0</v>
      </c>
      <c r="S28" s="26" t="n">
        <f aca="false">R28*(1-Assumptions!$F$41)+S16*((1-(1-Assumptions!$F$31)^(1/12))*Assumptions!$F$40)*MAX(0,S13*Assumptions!$F$26-R28)</f>
        <v>0.300551208414265</v>
      </c>
      <c r="T28" s="26" t="n">
        <f aca="false">S28*(1-Assumptions!$F$41)+T16*((1-(1-Assumptions!$F$31)^(1/12))*Assumptions!$F$40)*MAX(0,T13*Assumptions!$F$26-S28)</f>
        <v>0.628642801965566</v>
      </c>
      <c r="U28" s="26" t="n">
        <f aca="false">T28*(1-Assumptions!$F$41)+U16*((1-(1-Assumptions!$F$31)^(1/12))*Assumptions!$F$40)*MAX(0,U13*Assumptions!$F$26-T28)</f>
        <v>0.983069239593811</v>
      </c>
      <c r="V28" s="26" t="n">
        <f aca="false">U28*(1-Assumptions!$F$41)+V16*((1-(1-Assumptions!$F$31)^(1/12))*Assumptions!$F$40)*MAX(0,V13*Assumptions!$F$26-U28)</f>
        <v>1.36267523324856</v>
      </c>
      <c r="W28" s="26" t="n">
        <f aca="false">V28*(1-Assumptions!$F$41)+W16*((1-(1-Assumptions!$F$31)^(1/12))*Assumptions!$F$40)*MAX(0,W13*Assumptions!$F$26-V28)</f>
        <v>1.77906917735952</v>
      </c>
      <c r="X28" s="26" t="n">
        <f aca="false">W28*(1-Assumptions!$F$41)+X16*((1-(1-Assumptions!$F$31)^(1/12))*Assumptions!$F$40)*MAX(0,X13*Assumptions!$F$26-W28)</f>
        <v>2.22895740238028</v>
      </c>
      <c r="Y28" s="26" t="n">
        <f aca="false">X28*(1-Assumptions!$F$41)+Y16*((1-(1-Assumptions!$F$31)^(1/12))*Assumptions!$F$40)*MAX(0,Y13*Assumptions!$F$26-X28)</f>
        <v>2.70717247434409</v>
      </c>
      <c r="Z28" s="26" t="n">
        <f aca="false">Y28*(1-Assumptions!$F$41)+Z16*((1-(1-Assumptions!$F$31)^(1/12))*Assumptions!$F$40)*MAX(0,Z13*Assumptions!$F$26-Y28)</f>
        <v>3.22254658144182</v>
      </c>
      <c r="AA28" s="26" t="n">
        <f aca="false">Z28*(1-Assumptions!$F$41)+AA16*((1-(1-Assumptions!$F$31)^(1/12))*Assumptions!$F$40)*MAX(0,AA13*Assumptions!$F$26-Z28)</f>
        <v>3.76967089756641</v>
      </c>
      <c r="AB28" s="26" t="n">
        <f aca="false">AA28*(1-Assumptions!$F$41)+AB16*((1-(1-Assumptions!$F$31)^(1/12))*Assumptions!$F$40)*MAX(0,AB13*Assumptions!$F$26-AA28)</f>
        <v>4.3429060596839</v>
      </c>
      <c r="AC28" s="26" t="n">
        <f aca="false">AB28*(1-Assumptions!$F$41)+AC16*((1-(1-Assumptions!$F$31)^(1/12))*Assumptions!$F$40)*MAX(0,AC13*Assumptions!$F$26-AB28)</f>
        <v>4.94911376773245</v>
      </c>
      <c r="AD28" s="26" t="n">
        <f aca="false">AC28*(1-Assumptions!$F$41)+AD16*((1-(1-Assumptions!$F$31)^(1/12))*Assumptions!$F$40)*MAX(0,AD13*Assumptions!$F$26-AC28)</f>
        <v>5.59577557603296</v>
      </c>
      <c r="AE28" s="26" t="n">
        <f aca="false">AD28*(1-Assumptions!$F$41)+AE16*((1-(1-Assumptions!$F$31)^(1/12))*Assumptions!$F$40)*MAX(0,AE13*Assumptions!$F$26-AD28)</f>
        <v>6.27467842709682</v>
      </c>
      <c r="AF28" s="26" t="n">
        <f aca="false">AE28*(1-Assumptions!$F$41)+AF16*((1-(1-Assumptions!$F$31)^(1/12))*Assumptions!$F$40)*MAX(0,AF13*Assumptions!$F$26-AE28)</f>
        <v>6.9887222552567</v>
      </c>
      <c r="AG28" s="26" t="n">
        <f aca="false">AF28*(1-Assumptions!$F$41)+AG16*((1-(1-Assumptions!$F$31)^(1/12))*Assumptions!$F$40)*MAX(0,AG13*Assumptions!$F$26-AF28)</f>
        <v>7.74266061469876</v>
      </c>
      <c r="AH28" s="26" t="n">
        <f aca="false">AG28*(1-Assumptions!$F$41)+AH16*((1-(1-Assumptions!$F$31)^(1/12))*Assumptions!$F$40)*MAX(0,AH13*Assumptions!$F$26-AG28)</f>
        <v>8.52621141347007</v>
      </c>
      <c r="AI28" s="26" t="n">
        <f aca="false">AH28*(1-Assumptions!$F$41)+AI16*((1-(1-Assumptions!$F$31)^(1/12))*Assumptions!$F$40)*MAX(0,AI13*Assumptions!$F$26-AH28)</f>
        <v>9.3413381618631</v>
      </c>
      <c r="AJ28" s="26" t="n">
        <f aca="false">AI28*(1-Assumptions!$F$41)+AJ16*((1-(1-Assumptions!$F$31)^(1/12))*Assumptions!$F$40)*MAX(0,AJ13*Assumptions!$F$26-AI28)</f>
        <v>10.1908944132124</v>
      </c>
      <c r="AK28" s="26" t="n">
        <f aca="false">AJ28*(1-Assumptions!$F$41)+AK16*((1-(1-Assumptions!$F$31)^(1/12))*Assumptions!$F$40)*MAX(0,AK13*Assumptions!$F$26-AJ28)</f>
        <v>11.0775558460404</v>
      </c>
      <c r="AL28" s="26" t="n">
        <f aca="false">AK28*(1-Assumptions!$F$41)+AL16*((1-(1-Assumptions!$F$31)^(1/12))*Assumptions!$F$40)*MAX(0,AL13*Assumptions!$F$26-AK28)</f>
        <v>12.0012853177274</v>
      </c>
      <c r="AM28" s="26" t="n">
        <f aca="false">AL28*(1-Assumptions!$F$41)+AM16*((1-(1-Assumptions!$F$31)^(1/12))*Assumptions!$F$40)*MAX(0,AM13*Assumptions!$F$26-AL28)</f>
        <v>12.9604992969708</v>
      </c>
      <c r="AN28" s="37" t="n">
        <f aca="false">AM28*(1-Assumptions!$F$41)+AN16*((1-(1-Assumptions!$F$31)^(1/12))*Assumptions!$F$40)*MAX(0,AN13*Assumptions!$F$26-AM28)</f>
        <v>13.9552055772198</v>
      </c>
      <c r="AO28" s="37" t="n">
        <f aca="false">AN28*(1-Assumptions!$F$41)+AO16*((1-(1-Assumptions!$F$31)^(1/12))*Assumptions!$F$40)*MAX(0,AO13*Assumptions!$F$26-AN28)</f>
        <v>14.9833554322938</v>
      </c>
      <c r="AP28" s="37" t="n">
        <f aca="false">AO28*(1-Assumptions!$F$41)+AP16*((1-(1-Assumptions!$F$31)^(1/12))*Assumptions!$F$40)*MAX(0,AP13*Assumptions!$F$26-AO28)</f>
        <v>16.0429924246769</v>
      </c>
      <c r="AQ28" s="37" t="n">
        <f aca="false">AP28*(1-Assumptions!$F$41)+AQ16*((1-(1-Assumptions!$F$31)^(1/12))*Assumptions!$F$40)*MAX(0,AQ13*Assumptions!$F$26-AP28)</f>
        <v>17.1322485221733</v>
      </c>
      <c r="AR28" s="37" t="n">
        <f aca="false">AQ28*(1-Assumptions!$F$41)+AR16*((1-(1-Assumptions!$F$31)^(1/12))*Assumptions!$F$40)*MAX(0,AR13*Assumptions!$F$26-AQ28)</f>
        <v>18.2493403742643</v>
      </c>
      <c r="AS28" s="37" t="n">
        <f aca="false">AR28*(1-Assumptions!$F$41)+AS16*((1-(1-Assumptions!$F$31)^(1/12))*Assumptions!$F$40)*MAX(0,AS13*Assumptions!$F$26-AR28)</f>
        <v>19.3925657416515</v>
      </c>
      <c r="AT28" s="37" t="n">
        <f aca="false">AS28*(1-Assumptions!$F$41)+AT16*((1-(1-Assumptions!$F$31)^(1/12))*Assumptions!$F$40)*MAX(0,AT13*Assumptions!$F$26-AS28)</f>
        <v>20.5597914531681</v>
      </c>
      <c r="AU28" s="37" t="n">
        <f aca="false">AT28*(1-Assumptions!$F$41)+AU16*((1-(1-Assumptions!$F$31)^(1/12))*Assumptions!$F$40)*MAX(0,AU13*Assumptions!$F$26-AT28)</f>
        <v>21.7494956396781</v>
      </c>
      <c r="AV28" s="37" t="n">
        <f aca="false">AU28*(1-Assumptions!$F$41)+AV16*((1-(1-Assumptions!$F$31)^(1/12))*Assumptions!$F$40)*MAX(0,AV13*Assumptions!$F$26-AU28)</f>
        <v>22.9602264273924</v>
      </c>
      <c r="AW28" s="37" t="n">
        <f aca="false">AV28*(1-Assumptions!$F$41)+AW16*((1-(1-Assumptions!$F$31)^(1/12))*Assumptions!$F$40)*MAX(0,AW13*Assumptions!$F$26-AV28)</f>
        <v>24.1900903535535</v>
      </c>
      <c r="AX28" s="37" t="n">
        <f aca="false">AW28*(1-Assumptions!$F$41)+AX16*((1-(1-Assumptions!$F$31)^(1/12))*Assumptions!$F$40)*MAX(0,AX13*Assumptions!$F$26-AW28)</f>
        <v>25.437795040371</v>
      </c>
      <c r="AY28" s="37" t="n">
        <f aca="false">AX28*(1-Assumptions!$F$41)+AY16*((1-(1-Assumptions!$F$31)^(1/12))*Assumptions!$F$40)*MAX(0,AY13*Assumptions!$F$26-AX28)</f>
        <v>26.7021083103992</v>
      </c>
      <c r="AZ28" s="37" t="n">
        <f aca="false">AY28*(1-Assumptions!$F$41)+AZ16*((1-(1-Assumptions!$F$31)^(1/12))*Assumptions!$F$40)*MAX(0,AZ13*Assumptions!$F$26-AY28)</f>
        <v>27.9813470070393</v>
      </c>
      <c r="BA28" s="37" t="n">
        <f aca="false">AZ28*(1-Assumptions!$F$41)+BA16*((1-(1-Assumptions!$F$31)^(1/12))*Assumptions!$F$40)*MAX(0,BA13*Assumptions!$F$26-AZ28)</f>
        <v>29.2739114371823</v>
      </c>
      <c r="BB28" s="37" t="n">
        <f aca="false">BA28*(1-Assumptions!$F$41)+BB16*((1-(1-Assumptions!$F$31)^(1/12))*Assumptions!$F$40)*MAX(0,BB13*Assumptions!$F$26-BA28)</f>
        <v>30.5787903754688</v>
      </c>
      <c r="BC28" s="37" t="n">
        <f aca="false">BB28*(1-Assumptions!$F$41)+BC16*((1-(1-Assumptions!$F$31)^(1/12))*Assumptions!$F$40)*MAX(0,BC13*Assumptions!$F$26-BB28)</f>
        <v>31.8945120826785</v>
      </c>
      <c r="BD28" s="37" t="n">
        <f aca="false">BC28*(1-Assumptions!$F$41)+BD16*((1-(1-Assumptions!$F$31)^(1/12))*Assumptions!$F$40)*MAX(0,BD13*Assumptions!$F$26-BC28)</f>
        <v>33.2196791439184</v>
      </c>
      <c r="BE28" s="37" t="n">
        <f aca="false">BD28*(1-Assumptions!$F$41)+BE16*((1-(1-Assumptions!$F$31)^(1/12))*Assumptions!$F$40)*MAX(0,BE13*Assumptions!$F$26-BD28)</f>
        <v>34.5534738522455</v>
      </c>
      <c r="BF28" s="37" t="n">
        <f aca="false">BE28*(1-Assumptions!$F$41)+BF16*((1-(1-Assumptions!$F$31)^(1/12))*Assumptions!$F$40)*MAX(0,BF13*Assumptions!$F$26-BE28)</f>
        <v>35.8946095908911</v>
      </c>
      <c r="BG28" s="37" t="n">
        <f aca="false">BF28*(1-Assumptions!$F$41)+BG16*((1-(1-Assumptions!$F$31)^(1/12))*Assumptions!$F$40)*MAX(0,BG13*Assumptions!$F$26-BF28)</f>
        <v>37.2418660203923</v>
      </c>
      <c r="BH28" s="37" t="n">
        <f aca="false">BG28*(1-Assumptions!$F$41)+BH16*((1-(1-Assumptions!$F$31)^(1/12))*Assumptions!$F$40)*MAX(0,BH13*Assumptions!$F$26-BG28)</f>
        <v>38.5940861772994</v>
      </c>
      <c r="BI28" s="37" t="n">
        <f aca="false">BH28*(1-Assumptions!$F$41)+BI16*((1-(1-Assumptions!$F$31)^(1/12))*Assumptions!$F$40)*MAX(0,BI13*Assumptions!$F$26-BH28)</f>
        <v>39.9501736938257</v>
      </c>
      <c r="BJ28" s="37" t="n">
        <f aca="false">BI28*(1-Assumptions!$F$41)+BJ16*((1-(1-Assumptions!$F$31)^(1/12))*Assumptions!$F$40)*MAX(0,BJ13*Assumptions!$F$26-BI28)</f>
        <v>41.3090901334825</v>
      </c>
      <c r="BK28" s="37" t="n">
        <f aca="false">BJ28*(1-Assumptions!$F$41)+BK16*((1-(1-Assumptions!$F$31)^(1/12))*Assumptions!$F$40)*MAX(0,BK13*Assumptions!$F$26-BJ28)</f>
        <v>42.6698524379421</v>
      </c>
    </row>
    <row r="29" customFormat="false" ht="15" hidden="false" customHeight="false" outlineLevel="0" collapsed="false">
      <c r="A29" s="28" t="s">
        <v>574</v>
      </c>
      <c r="B29" s="6" t="s">
        <v>575</v>
      </c>
      <c r="C29" s="36" t="n">
        <v>0</v>
      </c>
      <c r="D29" s="26" t="n">
        <f aca="false">C29*(1-Assumptions!$F$41)+D17*((1-(1-Assumptions!$F$32)^(1/12))*Assumptions!$F$40)*MAX(0,D13*Assumptions!$F$27-C29)</f>
        <v>0</v>
      </c>
      <c r="E29" s="26" t="n">
        <f aca="false">D29*(1-Assumptions!$F$41)+E17*((1-(1-Assumptions!$F$32)^(1/12))*Assumptions!$F$40)*MAX(0,E13*Assumptions!$F$27-D29)</f>
        <v>0</v>
      </c>
      <c r="F29" s="26" t="n">
        <f aca="false">E29*(1-Assumptions!$F$41)+F17*((1-(1-Assumptions!$F$32)^(1/12))*Assumptions!$F$40)*MAX(0,F13*Assumptions!$F$27-E29)</f>
        <v>0</v>
      </c>
      <c r="G29" s="26" t="n">
        <f aca="false">F29*(1-Assumptions!$F$41)+G17*((1-(1-Assumptions!$F$32)^(1/12))*Assumptions!$F$40)*MAX(0,G13*Assumptions!$F$27-F29)</f>
        <v>0</v>
      </c>
      <c r="H29" s="26" t="n">
        <f aca="false">G29*(1-Assumptions!$F$41)+H17*((1-(1-Assumptions!$F$32)^(1/12))*Assumptions!$F$40)*MAX(0,H13*Assumptions!$F$27-G29)</f>
        <v>0</v>
      </c>
      <c r="I29" s="26" t="n">
        <f aca="false">H29*(1-Assumptions!$F$41)+I17*((1-(1-Assumptions!$F$32)^(1/12))*Assumptions!$F$40)*MAX(0,I13*Assumptions!$F$27-H29)</f>
        <v>0</v>
      </c>
      <c r="J29" s="26" t="n">
        <f aca="false">I29*(1-Assumptions!$F$41)+J17*((1-(1-Assumptions!$F$32)^(1/12))*Assumptions!$F$40)*MAX(0,J13*Assumptions!$F$27-I29)</f>
        <v>0</v>
      </c>
      <c r="K29" s="26" t="n">
        <f aca="false">J29*(1-Assumptions!$F$41)+K17*((1-(1-Assumptions!$F$32)^(1/12))*Assumptions!$F$40)*MAX(0,K13*Assumptions!$F$27-J29)</f>
        <v>0</v>
      </c>
      <c r="L29" s="26" t="n">
        <f aca="false">K29*(1-Assumptions!$F$41)+L17*((1-(1-Assumptions!$F$32)^(1/12))*Assumptions!$F$40)*MAX(0,L13*Assumptions!$F$27-K29)</f>
        <v>0</v>
      </c>
      <c r="M29" s="26" t="n">
        <f aca="false">L29*(1-Assumptions!$F$41)+M17*((1-(1-Assumptions!$F$32)^(1/12))*Assumptions!$F$40)*MAX(0,M13*Assumptions!$F$27-L29)</f>
        <v>0</v>
      </c>
      <c r="N29" s="26" t="n">
        <f aca="false">M29*(1-Assumptions!$F$41)+N17*((1-(1-Assumptions!$F$32)^(1/12))*Assumptions!$F$40)*MAX(0,N13*Assumptions!$F$27-M29)</f>
        <v>0.375426434997945</v>
      </c>
      <c r="O29" s="26" t="n">
        <f aca="false">N29*(1-Assumptions!$F$41)+O17*((1-(1-Assumptions!$F$32)^(1/12))*Assumptions!$F$40)*MAX(0,O13*Assumptions!$F$27-N29)</f>
        <v>0.820734245222534</v>
      </c>
      <c r="P29" s="26" t="n">
        <f aca="false">O29*(1-Assumptions!$F$41)+P17*((1-(1-Assumptions!$F$32)^(1/12))*Assumptions!$F$40)*MAX(0,P13*Assumptions!$F$27-O29)</f>
        <v>1.34546617754258</v>
      </c>
      <c r="Q29" s="26" t="n">
        <f aca="false">P29*(1-Assumptions!$F$41)+Q17*((1-(1-Assumptions!$F$32)^(1/12))*Assumptions!$F$40)*MAX(0,Q13*Assumptions!$F$27-P29)</f>
        <v>1.9502610345326</v>
      </c>
      <c r="R29" s="26" t="n">
        <f aca="false">Q29*(1-Assumptions!$F$41)+R17*((1-(1-Assumptions!$F$32)^(1/12))*Assumptions!$F$40)*MAX(0,R13*Assumptions!$F$27-Q29)</f>
        <v>2.63081584452989</v>
      </c>
      <c r="S29" s="26" t="n">
        <f aca="false">R29*(1-Assumptions!$F$41)+S17*((1-(1-Assumptions!$F$32)^(1/12))*Assumptions!$F$40)*MAX(0,S13*Assumptions!$F$27-R29)</f>
        <v>3.38791553405305</v>
      </c>
      <c r="T29" s="26" t="n">
        <f aca="false">S29*(1-Assumptions!$F$41)+T17*((1-(1-Assumptions!$F$32)^(1/12))*Assumptions!$F$40)*MAX(0,T13*Assumptions!$F$27-S29)</f>
        <v>4.21579419138669</v>
      </c>
      <c r="U29" s="26" t="n">
        <f aca="false">T29*(1-Assumptions!$F$41)+U17*((1-(1-Assumptions!$F$32)^(1/12))*Assumptions!$F$40)*MAX(0,U13*Assumptions!$F$27-T29)</f>
        <v>5.10910337207644</v>
      </c>
      <c r="V29" s="26" t="n">
        <f aca="false">U29*(1-Assumptions!$F$41)+V17*((1-(1-Assumptions!$F$32)^(1/12))*Assumptions!$F$40)*MAX(0,V13*Assumptions!$F$27-U29)</f>
        <v>6.0628821138739</v>
      </c>
      <c r="W29" s="26" t="n">
        <f aca="false">V29*(1-Assumptions!$F$41)+W17*((1-(1-Assumptions!$F$32)^(1/12))*Assumptions!$F$40)*MAX(0,W13*Assumptions!$F$27-V29)</f>
        <v>7.11253755433587</v>
      </c>
      <c r="X29" s="26" t="n">
        <f aca="false">W29*(1-Assumptions!$F$41)+X17*((1-(1-Assumptions!$F$32)^(1/12))*Assumptions!$F$40)*MAX(0,X13*Assumptions!$F$27-W29)</f>
        <v>8.24553342109695</v>
      </c>
      <c r="Y29" s="26" t="n">
        <f aca="false">X29*(1-Assumptions!$F$41)+Y17*((1-(1-Assumptions!$F$32)^(1/12))*Assumptions!$F$40)*MAX(0,Y13*Assumptions!$F$27-X29)</f>
        <v>9.44391559659184</v>
      </c>
      <c r="Z29" s="26" t="n">
        <f aca="false">Y29*(1-Assumptions!$F$41)+Z17*((1-(1-Assumptions!$F$32)^(1/12))*Assumptions!$F$40)*MAX(0,Z13*Assumptions!$F$27-Y29)</f>
        <v>10.7344056716126</v>
      </c>
      <c r="AA29" s="26" t="n">
        <f aca="false">Z29*(1-Assumptions!$F$41)+AA17*((1-(1-Assumptions!$F$32)^(1/12))*Assumptions!$F$40)*MAX(0,AA13*Assumptions!$F$27-Z29)</f>
        <v>12.0981297028365</v>
      </c>
      <c r="AB29" s="26" t="n">
        <f aca="false">AA29*(1-Assumptions!$F$41)+AB17*((1-(1-Assumptions!$F$32)^(1/12))*Assumptions!$F$40)*MAX(0,AB13*Assumptions!$F$27-AA29)</f>
        <v>13.5161502886179</v>
      </c>
      <c r="AC29" s="26" t="n">
        <f aca="false">AB29*(1-Assumptions!$F$41)+AC17*((1-(1-Assumptions!$F$32)^(1/12))*Assumptions!$F$40)*MAX(0,AC13*Assumptions!$F$27-AB29)</f>
        <v>15.0095008137673</v>
      </c>
      <c r="AD29" s="26" t="n">
        <f aca="false">AC29*(1-Assumptions!$F$41)+AD17*((1-(1-Assumptions!$F$32)^(1/12))*Assumptions!$F$40)*MAX(0,AD13*Assumptions!$F$27-AC29)</f>
        <v>16.6005338847865</v>
      </c>
      <c r="AE29" s="26" t="n">
        <f aca="false">AD29*(1-Assumptions!$F$41)+AE17*((1-(1-Assumptions!$F$32)^(1/12))*Assumptions!$F$40)*MAX(0,AE13*Assumptions!$F$27-AD29)</f>
        <v>18.2615735528173</v>
      </c>
      <c r="AF29" s="26" t="n">
        <f aca="false">AE29*(1-Assumptions!$F$41)+AF17*((1-(1-Assumptions!$F$32)^(1/12))*Assumptions!$F$40)*MAX(0,AF13*Assumptions!$F$27-AE29)</f>
        <v>20.0008447733917</v>
      </c>
      <c r="AG29" s="26" t="n">
        <f aca="false">AF29*(1-Assumptions!$F$41)+AG17*((1-(1-Assumptions!$F$32)^(1/12))*Assumptions!$F$40)*MAX(0,AG13*Assumptions!$F$27-AF29)</f>
        <v>21.8321856862092</v>
      </c>
      <c r="AH29" s="26" t="n">
        <f aca="false">AG29*(1-Assumptions!$F$41)+AH17*((1-(1-Assumptions!$F$32)^(1/12))*Assumptions!$F$40)*MAX(0,AH13*Assumptions!$F$27-AG29)</f>
        <v>23.7217410895158</v>
      </c>
      <c r="AI29" s="26" t="n">
        <f aca="false">AH29*(1-Assumptions!$F$41)+AI17*((1-(1-Assumptions!$F$32)^(1/12))*Assumptions!$F$40)*MAX(0,AI13*Assumptions!$F$27-AH29)</f>
        <v>25.675298986366</v>
      </c>
      <c r="AJ29" s="26" t="n">
        <f aca="false">AI29*(1-Assumptions!$F$41)+AJ17*((1-(1-Assumptions!$F$32)^(1/12))*Assumptions!$F$40)*MAX(0,AJ13*Assumptions!$F$27-AI29)</f>
        <v>27.7012837898568</v>
      </c>
      <c r="AK29" s="26" t="n">
        <f aca="false">AJ29*(1-Assumptions!$F$41)+AK17*((1-(1-Assumptions!$F$32)^(1/12))*Assumptions!$F$40)*MAX(0,AK13*Assumptions!$F$27-AJ29)</f>
        <v>29.8073209119754</v>
      </c>
      <c r="AL29" s="26" t="n">
        <f aca="false">AK29*(1-Assumptions!$F$41)+AL17*((1-(1-Assumptions!$F$32)^(1/12))*Assumptions!$F$40)*MAX(0,AL13*Assumptions!$F$27-AK29)</f>
        <v>31.9922952695373</v>
      </c>
      <c r="AM29" s="26" t="n">
        <f aca="false">AL29*(1-Assumptions!$F$41)+AM17*((1-(1-Assumptions!$F$32)^(1/12))*Assumptions!$F$40)*MAX(0,AM13*Assumptions!$F$27-AL29)</f>
        <v>34.2503013486009</v>
      </c>
      <c r="AN29" s="37" t="n">
        <f aca="false">AM29*(1-Assumptions!$F$41)+AN17*((1-(1-Assumptions!$F$32)^(1/12))*Assumptions!$F$40)*MAX(0,AN13*Assumptions!$F$27-AM29)</f>
        <v>36.5806616447784</v>
      </c>
      <c r="AO29" s="37" t="n">
        <f aca="false">AN29*(1-Assumptions!$F$41)+AO17*((1-(1-Assumptions!$F$32)^(1/12))*Assumptions!$F$40)*MAX(0,AO13*Assumptions!$F$27-AN29)</f>
        <v>38.9762775055452</v>
      </c>
      <c r="AP29" s="37" t="n">
        <f aca="false">AO29*(1-Assumptions!$F$41)+AP17*((1-(1-Assumptions!$F$32)^(1/12))*Assumptions!$F$40)*MAX(0,AP13*Assumptions!$F$27-AO29)</f>
        <v>41.4305877670909</v>
      </c>
      <c r="AQ29" s="37" t="n">
        <f aca="false">AP29*(1-Assumptions!$F$41)+AQ17*((1-(1-Assumptions!$F$32)^(1/12))*Assumptions!$F$40)*MAX(0,AQ13*Assumptions!$F$27-AP29)</f>
        <v>43.9375297992211</v>
      </c>
      <c r="AR29" s="37" t="n">
        <f aca="false">AQ29*(1-Assumptions!$F$41)+AR17*((1-(1-Assumptions!$F$32)^(1/12))*Assumptions!$F$40)*MAX(0,AR13*Assumptions!$F$27-AQ29)</f>
        <v>46.4915033488387</v>
      </c>
      <c r="AS29" s="37" t="n">
        <f aca="false">AR29*(1-Assumptions!$F$41)+AS17*((1-(1-Assumptions!$F$32)^(1/12))*Assumptions!$F$40)*MAX(0,AS13*Assumptions!$F$27-AR29)</f>
        <v>49.0873369813187</v>
      </c>
      <c r="AT29" s="37" t="n">
        <f aca="false">AS29*(1-Assumptions!$F$41)+AT17*((1-(1-Assumptions!$F$32)^(1/12))*Assumptions!$F$40)*MAX(0,AT13*Assumptions!$F$27-AS29)</f>
        <v>51.7186565953768</v>
      </c>
      <c r="AU29" s="37" t="n">
        <f aca="false">AT29*(1-Assumptions!$F$41)+AU17*((1-(1-Assumptions!$F$32)^(1/12))*Assumptions!$F$40)*MAX(0,AU13*Assumptions!$F$27-AT29)</f>
        <v>54.3811959009452</v>
      </c>
      <c r="AV29" s="37" t="n">
        <f aca="false">AU29*(1-Assumptions!$F$41)+AV17*((1-(1-Assumptions!$F$32)^(1/12))*Assumptions!$F$40)*MAX(0,AV13*Assumptions!$F$27-AU29)</f>
        <v>57.0710202385416</v>
      </c>
      <c r="AW29" s="37" t="n">
        <f aca="false">AV29*(1-Assumptions!$F$41)+AW17*((1-(1-Assumptions!$F$32)^(1/12))*Assumptions!$F$40)*MAX(0,AW13*Assumptions!$F$27-AV29)</f>
        <v>59.782902083757</v>
      </c>
      <c r="AX29" s="37" t="n">
        <f aca="false">AW29*(1-Assumptions!$F$41)+AX17*((1-(1-Assumptions!$F$32)^(1/12))*Assumptions!$F$40)*MAX(0,AX13*Assumptions!$F$27-AW29)</f>
        <v>62.5136380134123</v>
      </c>
      <c r="AY29" s="37" t="n">
        <f aca="false">AX29*(1-Assumptions!$F$41)+AY17*((1-(1-Assumptions!$F$32)^(1/12))*Assumptions!$F$40)*MAX(0,AY13*Assumptions!$F$27-AX29)</f>
        <v>65.2602785478087</v>
      </c>
      <c r="AZ29" s="37" t="n">
        <f aca="false">AY29*(1-Assumptions!$F$41)+AZ17*((1-(1-Assumptions!$F$32)^(1/12))*Assumptions!$F$40)*MAX(0,AZ13*Assumptions!$F$27-AY29)</f>
        <v>68.0185092460589</v>
      </c>
      <c r="BA29" s="37" t="n">
        <f aca="false">AZ29*(1-Assumptions!$F$41)+BA17*((1-(1-Assumptions!$F$32)^(1/12))*Assumptions!$F$40)*MAX(0,BA13*Assumptions!$F$27-AZ29)</f>
        <v>70.7843725239227</v>
      </c>
      <c r="BB29" s="37" t="n">
        <f aca="false">BA29*(1-Assumptions!$F$41)+BB17*((1-(1-Assumptions!$F$32)^(1/12))*Assumptions!$F$40)*MAX(0,BB13*Assumptions!$F$27-BA29)</f>
        <v>73.5558416997832</v>
      </c>
      <c r="BC29" s="37" t="n">
        <f aca="false">BB29*(1-Assumptions!$F$41)+BC17*((1-(1-Assumptions!$F$32)^(1/12))*Assumptions!$F$40)*MAX(0,BC13*Assumptions!$F$27-BB29)</f>
        <v>76.3294572114763</v>
      </c>
      <c r="BD29" s="37" t="n">
        <f aca="false">BC29*(1-Assumptions!$F$41)+BD17*((1-(1-Assumptions!$F$32)^(1/12))*Assumptions!$F$40)*MAX(0,BD13*Assumptions!$F$27-BC29)</f>
        <v>79.1020533289381</v>
      </c>
      <c r="BE29" s="37" t="n">
        <f aca="false">BD29*(1-Assumptions!$F$41)+BE17*((1-(1-Assumptions!$F$32)^(1/12))*Assumptions!$F$40)*MAX(0,BE13*Assumptions!$F$27-BD29)</f>
        <v>81.872336743757</v>
      </c>
      <c r="BF29" s="37" t="n">
        <f aca="false">BE29*(1-Assumptions!$F$41)+BF17*((1-(1-Assumptions!$F$32)^(1/12))*Assumptions!$F$40)*MAX(0,BF13*Assumptions!$F$27-BE29)</f>
        <v>84.6375270035198</v>
      </c>
      <c r="BG29" s="37" t="n">
        <f aca="false">BF29*(1-Assumptions!$F$41)+BG17*((1-(1-Assumptions!$F$32)^(1/12))*Assumptions!$F$40)*MAX(0,BG13*Assumptions!$F$27-BF29)</f>
        <v>87.395087139298</v>
      </c>
      <c r="BH29" s="37" t="n">
        <f aca="false">BG29*(1-Assumptions!$F$41)+BH17*((1-(1-Assumptions!$F$32)^(1/12))*Assumptions!$F$40)*MAX(0,BH13*Assumptions!$F$27-BG29)</f>
        <v>90.142705550955</v>
      </c>
      <c r="BI29" s="37" t="n">
        <f aca="false">BH29*(1-Assumptions!$F$41)+BI17*((1-(1-Assumptions!$F$32)^(1/12))*Assumptions!$F$40)*MAX(0,BI13*Assumptions!$F$27-BH29)</f>
        <v>92.8782792007767</v>
      </c>
      <c r="BJ29" s="37" t="n">
        <f aca="false">BI29*(1-Assumptions!$F$41)+BJ17*((1-(1-Assumptions!$F$32)^(1/12))*Assumptions!$F$40)*MAX(0,BJ13*Assumptions!$F$27-BI29)</f>
        <v>95.5998980215006</v>
      </c>
      <c r="BK29" s="37" t="n">
        <f aca="false">BJ29*(1-Assumptions!$F$41)+BK17*((1-(1-Assumptions!$F$32)^(1/12))*Assumptions!$F$40)*MAX(0,BK13*Assumptions!$F$27-BJ29)</f>
        <v>98.3058304515543</v>
      </c>
    </row>
    <row r="30" customFormat="false" ht="15" hidden="false" customHeight="false" outlineLevel="0" collapsed="false">
      <c r="A30" s="28" t="s">
        <v>576</v>
      </c>
      <c r="B30" s="6" t="s">
        <v>577</v>
      </c>
      <c r="C30" s="36" t="n">
        <v>0</v>
      </c>
      <c r="D30" s="26" t="n">
        <f aca="false">C30*(1-Assumptions!$F$41)+D16*((1-(1-Assumptions!$F$33)^(1/12))*Assumptions!$F$40)*MAX(0,D13*Assumptions!$F$28-C30)</f>
        <v>0</v>
      </c>
      <c r="E30" s="26" t="n">
        <f aca="false">D30*(1-Assumptions!$F$41)+E16*((1-(1-Assumptions!$F$33)^(1/12))*Assumptions!$F$40)*MAX(0,E13*Assumptions!$F$28-D30)</f>
        <v>0</v>
      </c>
      <c r="F30" s="26" t="n">
        <f aca="false">E30*(1-Assumptions!$F$41)+F16*((1-(1-Assumptions!$F$33)^(1/12))*Assumptions!$F$40)*MAX(0,F13*Assumptions!$F$28-E30)</f>
        <v>0</v>
      </c>
      <c r="G30" s="26" t="n">
        <f aca="false">F30*(1-Assumptions!$F$41)+G16*((1-(1-Assumptions!$F$33)^(1/12))*Assumptions!$F$40)*MAX(0,G13*Assumptions!$F$28-F30)</f>
        <v>0</v>
      </c>
      <c r="H30" s="26" t="n">
        <f aca="false">G30*(1-Assumptions!$F$41)+H16*((1-(1-Assumptions!$F$33)^(1/12))*Assumptions!$F$40)*MAX(0,H13*Assumptions!$F$28-G30)</f>
        <v>0</v>
      </c>
      <c r="I30" s="26" t="n">
        <f aca="false">H30*(1-Assumptions!$F$41)+I16*((1-(1-Assumptions!$F$33)^(1/12))*Assumptions!$F$40)*MAX(0,I13*Assumptions!$F$28-H30)</f>
        <v>0</v>
      </c>
      <c r="J30" s="26" t="n">
        <f aca="false">I30*(1-Assumptions!$F$41)+J16*((1-(1-Assumptions!$F$33)^(1/12))*Assumptions!$F$40)*MAX(0,J13*Assumptions!$F$28-I30)</f>
        <v>0</v>
      </c>
      <c r="K30" s="26" t="n">
        <f aca="false">J30*(1-Assumptions!$F$41)+K16*((1-(1-Assumptions!$F$33)^(1/12))*Assumptions!$F$40)*MAX(0,K13*Assumptions!$F$28-J30)</f>
        <v>0</v>
      </c>
      <c r="L30" s="26" t="n">
        <f aca="false">K30*(1-Assumptions!$F$41)+L16*((1-(1-Assumptions!$F$33)^(1/12))*Assumptions!$F$40)*MAX(0,L13*Assumptions!$F$28-K30)</f>
        <v>0</v>
      </c>
      <c r="M30" s="26" t="n">
        <f aca="false">L30*(1-Assumptions!$F$41)+M16*((1-(1-Assumptions!$F$33)^(1/12))*Assumptions!$F$40)*MAX(0,M13*Assumptions!$F$28-L30)</f>
        <v>0</v>
      </c>
      <c r="N30" s="26" t="n">
        <f aca="false">M30*(1-Assumptions!$F$41)+N16*((1-(1-Assumptions!$F$33)^(1/12))*Assumptions!$F$40)*MAX(0,N13*Assumptions!$F$28-M30)</f>
        <v>0</v>
      </c>
      <c r="O30" s="26" t="n">
        <f aca="false">N30*(1-Assumptions!$F$41)+O16*((1-(1-Assumptions!$F$33)^(1/12))*Assumptions!$F$40)*MAX(0,O13*Assumptions!$F$28-N30)</f>
        <v>0</v>
      </c>
      <c r="P30" s="26" t="n">
        <f aca="false">O30*(1-Assumptions!$F$41)+P16*((1-(1-Assumptions!$F$33)^(1/12))*Assumptions!$F$40)*MAX(0,P13*Assumptions!$F$28-O30)</f>
        <v>0</v>
      </c>
      <c r="Q30" s="26" t="n">
        <f aca="false">P30*(1-Assumptions!$F$41)+Q16*((1-(1-Assumptions!$F$33)^(1/12))*Assumptions!$F$40)*MAX(0,Q13*Assumptions!$F$28-P30)</f>
        <v>0</v>
      </c>
      <c r="R30" s="26" t="n">
        <f aca="false">Q30*(1-Assumptions!$F$41)+R16*((1-(1-Assumptions!$F$33)^(1/12))*Assumptions!$F$40)*MAX(0,R13*Assumptions!$F$28-Q30)</f>
        <v>0</v>
      </c>
      <c r="S30" s="26" t="n">
        <f aca="false">R30*(1-Assumptions!$F$41)+S16*((1-(1-Assumptions!$F$33)^(1/12))*Assumptions!$F$40)*MAX(0,S13*Assumptions!$F$28-R30)</f>
        <v>0.183144143277189</v>
      </c>
      <c r="T30" s="26" t="n">
        <f aca="false">S30*(1-Assumptions!$F$41)+T16*((1-(1-Assumptions!$F$33)^(1/12))*Assumptions!$F$40)*MAX(0,T13*Assumptions!$F$28-S30)</f>
        <v>0.382547313542358</v>
      </c>
      <c r="U30" s="26" t="n">
        <f aca="false">T30*(1-Assumptions!$F$41)+U16*((1-(1-Assumptions!$F$33)^(1/12))*Assumptions!$F$40)*MAX(0,U13*Assumptions!$F$28-T30)</f>
        <v>0.597449702326554</v>
      </c>
      <c r="V30" s="26" t="n">
        <f aca="false">U30*(1-Assumptions!$F$41)+V16*((1-(1-Assumptions!$F$33)^(1/12))*Assumptions!$F$40)*MAX(0,V13*Assumptions!$F$28-U30)</f>
        <v>0.827125316149506</v>
      </c>
      <c r="W30" s="26" t="n">
        <f aca="false">V30*(1-Assumptions!$F$41)+W16*((1-(1-Assumptions!$F$33)^(1/12))*Assumptions!$F$40)*MAX(0,W13*Assumptions!$F$28-V30)</f>
        <v>1.07862881667389</v>
      </c>
      <c r="X30" s="26" t="n">
        <f aca="false">W30*(1-Assumptions!$F$41)+X16*((1-(1-Assumptions!$F$33)^(1/12))*Assumptions!$F$40)*MAX(0,X13*Assumptions!$F$28-W30)</f>
        <v>1.34991475791553</v>
      </c>
      <c r="Y30" s="26" t="n">
        <f aca="false">X30*(1-Assumptions!$F$41)+Y16*((1-(1-Assumptions!$F$33)^(1/12))*Assumptions!$F$40)*MAX(0,Y13*Assumptions!$F$28-X30)</f>
        <v>1.63780329579125</v>
      </c>
      <c r="Z30" s="26" t="n">
        <f aca="false">Y30*(1-Assumptions!$F$41)+Z16*((1-(1-Assumptions!$F$33)^(1/12))*Assumptions!$F$40)*MAX(0,Z13*Assumptions!$F$28-Y30)</f>
        <v>1.9476557477094</v>
      </c>
      <c r="AA30" s="26" t="n">
        <f aca="false">Z30*(1-Assumptions!$F$41)+AA16*((1-(1-Assumptions!$F$33)^(1/12))*Assumptions!$F$40)*MAX(0,AA13*Assumptions!$F$28-Z30)</f>
        <v>2.27614104321289</v>
      </c>
      <c r="AB30" s="26" t="n">
        <f aca="false">AA30*(1-Assumptions!$F$41)+AB16*((1-(1-Assumptions!$F$33)^(1/12))*Assumptions!$F$40)*MAX(0,AB13*Assumptions!$F$28-AA30)</f>
        <v>2.61979857091688</v>
      </c>
      <c r="AC30" s="26" t="n">
        <f aca="false">AB30*(1-Assumptions!$F$41)+AC16*((1-(1-Assumptions!$F$33)^(1/12))*Assumptions!$F$40)*MAX(0,AC13*Assumptions!$F$28-AB30)</f>
        <v>2.98279624302952</v>
      </c>
      <c r="AD30" s="26" t="n">
        <f aca="false">AC30*(1-Assumptions!$F$41)+AD16*((1-(1-Assumptions!$F$33)^(1/12))*Assumptions!$F$40)*MAX(0,AD13*Assumptions!$F$28-AC30)</f>
        <v>3.36966832594829</v>
      </c>
      <c r="AE30" s="26" t="n">
        <f aca="false">AD30*(1-Assumptions!$F$41)+AE16*((1-(1-Assumptions!$F$33)^(1/12))*Assumptions!$F$40)*MAX(0,AE13*Assumptions!$F$28-AD30)</f>
        <v>3.77537345809292</v>
      </c>
      <c r="AF30" s="26" t="n">
        <f aca="false">AE30*(1-Assumptions!$F$41)+AF16*((1-(1-Assumptions!$F$33)^(1/12))*Assumptions!$F$40)*MAX(0,AF13*Assumptions!$F$28-AE30)</f>
        <v>4.20165798448081</v>
      </c>
      <c r="AG30" s="26" t="n">
        <f aca="false">AF30*(1-Assumptions!$F$41)+AG16*((1-(1-Assumptions!$F$33)^(1/12))*Assumptions!$F$40)*MAX(0,AG13*Assumptions!$F$28-AF30)</f>
        <v>4.6513936293097</v>
      </c>
      <c r="AH30" s="26" t="n">
        <f aca="false">AG30*(1-Assumptions!$F$41)+AH16*((1-(1-Assumptions!$F$33)^(1/12))*Assumptions!$F$40)*MAX(0,AH13*Assumptions!$F$28-AG30)</f>
        <v>5.11828279277001</v>
      </c>
      <c r="AI30" s="26" t="n">
        <f aca="false">AH30*(1-Assumptions!$F$41)+AI16*((1-(1-Assumptions!$F$33)^(1/12))*Assumptions!$F$40)*MAX(0,AI13*Assumptions!$F$28-AH30)</f>
        <v>5.60350915283173</v>
      </c>
      <c r="AJ30" s="26" t="n">
        <f aca="false">AI30*(1-Assumptions!$F$41)+AJ16*((1-(1-Assumptions!$F$33)^(1/12))*Assumptions!$F$40)*MAX(0,AJ13*Assumptions!$F$28-AI30)</f>
        <v>6.10879588459444</v>
      </c>
      <c r="AK30" s="26" t="n">
        <f aca="false">AJ30*(1-Assumptions!$F$41)+AK16*((1-(1-Assumptions!$F$33)^(1/12))*Assumptions!$F$40)*MAX(0,AK13*Assumptions!$F$28-AJ30)</f>
        <v>6.63575348841468</v>
      </c>
      <c r="AL30" s="26" t="n">
        <f aca="false">AK30*(1-Assumptions!$F$41)+AL16*((1-(1-Assumptions!$F$33)^(1/12))*Assumptions!$F$40)*MAX(0,AL13*Assumptions!$F$28-AK30)</f>
        <v>7.18433558853859</v>
      </c>
      <c r="AM30" s="26" t="n">
        <f aca="false">AL30*(1-Assumptions!$F$41)+AM16*((1-(1-Assumptions!$F$33)^(1/12))*Assumptions!$F$40)*MAX(0,AM13*Assumptions!$F$28-AL30)</f>
        <v>7.7535545967642</v>
      </c>
      <c r="AN30" s="37" t="n">
        <f aca="false">AM30*(1-Assumptions!$F$41)+AN16*((1-(1-Assumptions!$F$33)^(1/12))*Assumptions!$F$40)*MAX(0,AN13*Assumptions!$F$28-AM30)</f>
        <v>8.34339635552323</v>
      </c>
      <c r="AO30" s="37" t="n">
        <f aca="false">AN30*(1-Assumptions!$F$41)+AO16*((1-(1-Assumptions!$F$33)^(1/12))*Assumptions!$F$40)*MAX(0,AO13*Assumptions!$F$28-AN30)</f>
        <v>8.95259435264067</v>
      </c>
      <c r="AP30" s="37" t="n">
        <f aca="false">AO30*(1-Assumptions!$F$41)+AP16*((1-(1-Assumptions!$F$33)^(1/12))*Assumptions!$F$40)*MAX(0,AP13*Assumptions!$F$28-AO30)</f>
        <v>9.57994266456408</v>
      </c>
      <c r="AQ30" s="37" t="n">
        <f aca="false">AP30*(1-Assumptions!$F$41)+AQ16*((1-(1-Assumptions!$F$33)^(1/12))*Assumptions!$F$40)*MAX(0,AQ13*Assumptions!$F$28-AP30)</f>
        <v>10.224293240327</v>
      </c>
      <c r="AR30" s="37" t="n">
        <f aca="false">AQ30*(1-Assumptions!$F$41)+AR16*((1-(1-Assumptions!$F$33)^(1/12))*Assumptions!$F$40)*MAX(0,AR13*Assumptions!$F$28-AQ30)</f>
        <v>10.8845533047794</v>
      </c>
      <c r="AS30" s="37" t="n">
        <f aca="false">AR30*(1-Assumptions!$F$41)+AS16*((1-(1-Assumptions!$F$33)^(1/12))*Assumptions!$F$40)*MAX(0,AS13*Assumptions!$F$28-AR30)</f>
        <v>11.5596828758844</v>
      </c>
      <c r="AT30" s="37" t="n">
        <f aca="false">AS30*(1-Assumptions!$F$41)+AT16*((1-(1-Assumptions!$F$33)^(1/12))*Assumptions!$F$40)*MAX(0,AT13*Assumptions!$F$28-AS30)</f>
        <v>12.2483824582472</v>
      </c>
      <c r="AU30" s="37" t="n">
        <f aca="false">AT30*(1-Assumptions!$F$41)+AU16*((1-(1-Assumptions!$F$33)^(1/12))*Assumptions!$F$40)*MAX(0,AU13*Assumptions!$F$28-AT30)</f>
        <v>12.9497287557325</v>
      </c>
      <c r="AV30" s="37" t="n">
        <f aca="false">AU30*(1-Assumptions!$F$41)+AV16*((1-(1-Assumptions!$F$33)^(1/12))*Assumptions!$F$40)*MAX(0,AV13*Assumptions!$F$28-AU30)</f>
        <v>13.662843596011</v>
      </c>
      <c r="AW30" s="37" t="n">
        <f aca="false">AV30*(1-Assumptions!$F$41)+AW16*((1-(1-Assumptions!$F$33)^(1/12))*Assumptions!$F$40)*MAX(0,AW13*Assumptions!$F$28-AV30)</f>
        <v>14.3865819619106</v>
      </c>
      <c r="AX30" s="37" t="n">
        <f aca="false">AW30*(1-Assumptions!$F$41)+AX16*((1-(1-Assumptions!$F$33)^(1/12))*Assumptions!$F$40)*MAX(0,AX13*Assumptions!$F$28-AW30)</f>
        <v>15.1201680271098</v>
      </c>
      <c r="AY30" s="37" t="n">
        <f aca="false">AX30*(1-Assumptions!$F$41)+AY16*((1-(1-Assumptions!$F$33)^(1/12))*Assumptions!$F$40)*MAX(0,AY13*Assumptions!$F$28-AX30)</f>
        <v>15.8628643896535</v>
      </c>
      <c r="AZ30" s="37" t="n">
        <f aca="false">AY30*(1-Assumptions!$F$41)+AZ16*((1-(1-Assumptions!$F$33)^(1/12))*Assumptions!$F$40)*MAX(0,AZ13*Assumptions!$F$28-AY30)</f>
        <v>16.6136603987813</v>
      </c>
      <c r="BA30" s="37" t="n">
        <f aca="false">AZ30*(1-Assumptions!$F$41)+BA16*((1-(1-Assumptions!$F$33)^(1/12))*Assumptions!$F$40)*MAX(0,BA13*Assumptions!$F$28-AZ30)</f>
        <v>17.3715985403355</v>
      </c>
      <c r="BB30" s="37" t="n">
        <f aca="false">BA30*(1-Assumptions!$F$41)+BB16*((1-(1-Assumptions!$F$33)^(1/12))*Assumptions!$F$40)*MAX(0,BB13*Assumptions!$F$28-BA30)</f>
        <v>18.1360819224031</v>
      </c>
      <c r="BC30" s="37" t="n">
        <f aca="false">BB30*(1-Assumptions!$F$41)+BC16*((1-(1-Assumptions!$F$33)^(1/12))*Assumptions!$F$40)*MAX(0,BC13*Assumptions!$F$28-BB30)</f>
        <v>18.9062339546128</v>
      </c>
      <c r="BD30" s="37" t="n">
        <f aca="false">BC30*(1-Assumptions!$F$41)+BD16*((1-(1-Assumptions!$F$33)^(1/12))*Assumptions!$F$40)*MAX(0,BD13*Assumptions!$F$28-BC30)</f>
        <v>19.6812250189558</v>
      </c>
      <c r="BE30" s="37" t="n">
        <f aca="false">BD30*(1-Assumptions!$F$41)+BE16*((1-(1-Assumptions!$F$33)^(1/12))*Assumptions!$F$40)*MAX(0,BE13*Assumptions!$F$28-BD30)</f>
        <v>20.4605802283621</v>
      </c>
      <c r="BF30" s="37" t="n">
        <f aca="false">BE30*(1-Assumptions!$F$41)+BF16*((1-(1-Assumptions!$F$33)^(1/12))*Assumptions!$F$40)*MAX(0,BF13*Assumptions!$F$28-BE30)</f>
        <v>21.2435393669956</v>
      </c>
      <c r="BG30" s="37" t="n">
        <f aca="false">BF30*(1-Assumptions!$F$41)+BG16*((1-(1-Assumptions!$F$33)^(1/12))*Assumptions!$F$40)*MAX(0,BG13*Assumptions!$F$28-BF30)</f>
        <v>22.0293838106572</v>
      </c>
      <c r="BH30" s="37" t="n">
        <f aca="false">BG30*(1-Assumptions!$F$41)+BH16*((1-(1-Assumptions!$F$33)^(1/12))*Assumptions!$F$40)*MAX(0,BH13*Assumptions!$F$28-BG30)</f>
        <v>22.8174345911652</v>
      </c>
      <c r="BI30" s="37" t="n">
        <f aca="false">BH30*(1-Assumptions!$F$41)+BI16*((1-(1-Assumptions!$F$33)^(1/12))*Assumptions!$F$40)*MAX(0,BI13*Assumptions!$F$28-BH30)</f>
        <v>23.6070505467683</v>
      </c>
      <c r="BJ30" s="37" t="n">
        <f aca="false">BI30*(1-Assumptions!$F$41)+BJ16*((1-(1-Assumptions!$F$33)^(1/12))*Assumptions!$F$40)*MAX(0,BJ13*Assumptions!$F$28-BI30)</f>
        <v>24.3976265548235</v>
      </c>
      <c r="BK30" s="37" t="n">
        <f aca="false">BJ30*(1-Assumptions!$F$41)+BK16*((1-(1-Assumptions!$F$33)^(1/12))*Assumptions!$F$40)*MAX(0,BK13*Assumptions!$F$28-BJ30)</f>
        <v>25.1885918431356</v>
      </c>
    </row>
    <row r="31" customFormat="false" ht="15" hidden="false" customHeight="false" outlineLevel="0" collapsed="false">
      <c r="A31" s="28" t="s">
        <v>578</v>
      </c>
      <c r="B31" s="6" t="s">
        <v>579</v>
      </c>
      <c r="C31" s="36" t="n">
        <v>0</v>
      </c>
      <c r="D31" s="26" t="n">
        <f aca="false">C31*(1-Assumptions!$F$41)+D16*((1-(1-Assumptions!$F$34)^(1/12))*Assumptions!$F$40)*MAX(0,D13*Assumptions!$F$29-C31)</f>
        <v>0</v>
      </c>
      <c r="E31" s="26" t="n">
        <f aca="false">D31*(1-Assumptions!$F$41)+E16*((1-(1-Assumptions!$F$34)^(1/12))*Assumptions!$F$40)*MAX(0,E13*Assumptions!$F$29-D31)</f>
        <v>0</v>
      </c>
      <c r="F31" s="26" t="n">
        <f aca="false">E31*(1-Assumptions!$F$41)+F16*((1-(1-Assumptions!$F$34)^(1/12))*Assumptions!$F$40)*MAX(0,F13*Assumptions!$F$29-E31)</f>
        <v>0</v>
      </c>
      <c r="G31" s="26" t="n">
        <f aca="false">F31*(1-Assumptions!$F$41)+G16*((1-(1-Assumptions!$F$34)^(1/12))*Assumptions!$F$40)*MAX(0,G13*Assumptions!$F$29-F31)</f>
        <v>0</v>
      </c>
      <c r="H31" s="26" t="n">
        <f aca="false">G31*(1-Assumptions!$F$41)+H16*((1-(1-Assumptions!$F$34)^(1/12))*Assumptions!$F$40)*MAX(0,H13*Assumptions!$F$29-G31)</f>
        <v>0</v>
      </c>
      <c r="I31" s="26" t="n">
        <f aca="false">H31*(1-Assumptions!$F$41)+I16*((1-(1-Assumptions!$F$34)^(1/12))*Assumptions!$F$40)*MAX(0,I13*Assumptions!$F$29-H31)</f>
        <v>0</v>
      </c>
      <c r="J31" s="26" t="n">
        <f aca="false">I31*(1-Assumptions!$F$41)+J16*((1-(1-Assumptions!$F$34)^(1/12))*Assumptions!$F$40)*MAX(0,J13*Assumptions!$F$29-I31)</f>
        <v>0</v>
      </c>
      <c r="K31" s="26" t="n">
        <f aca="false">J31*(1-Assumptions!$F$41)+K16*((1-(1-Assumptions!$F$34)^(1/12))*Assumptions!$F$40)*MAX(0,K13*Assumptions!$F$29-J31)</f>
        <v>0</v>
      </c>
      <c r="L31" s="26" t="n">
        <f aca="false">K31*(1-Assumptions!$F$41)+L16*((1-(1-Assumptions!$F$34)^(1/12))*Assumptions!$F$40)*MAX(0,L13*Assumptions!$F$29-K31)</f>
        <v>0</v>
      </c>
      <c r="M31" s="26" t="n">
        <f aca="false">L31*(1-Assumptions!$F$41)+M16*((1-(1-Assumptions!$F$34)^(1/12))*Assumptions!$F$40)*MAX(0,M13*Assumptions!$F$29-L31)</f>
        <v>0</v>
      </c>
      <c r="N31" s="26" t="n">
        <f aca="false">M31*(1-Assumptions!$F$41)+N16*((1-(1-Assumptions!$F$34)^(1/12))*Assumptions!$F$40)*MAX(0,N13*Assumptions!$F$29-M31)</f>
        <v>0</v>
      </c>
      <c r="O31" s="26" t="n">
        <f aca="false">N31*(1-Assumptions!$F$41)+O16*((1-(1-Assumptions!$F$34)^(1/12))*Assumptions!$F$40)*MAX(0,O13*Assumptions!$F$29-N31)</f>
        <v>0</v>
      </c>
      <c r="P31" s="26" t="n">
        <f aca="false">O31*(1-Assumptions!$F$41)+P16*((1-(1-Assumptions!$F$34)^(1/12))*Assumptions!$F$40)*MAX(0,P13*Assumptions!$F$29-O31)</f>
        <v>0</v>
      </c>
      <c r="Q31" s="26" t="n">
        <f aca="false">P31*(1-Assumptions!$F$41)+Q16*((1-(1-Assumptions!$F$34)^(1/12))*Assumptions!$F$40)*MAX(0,Q13*Assumptions!$F$29-P31)</f>
        <v>0</v>
      </c>
      <c r="R31" s="26" t="n">
        <f aca="false">Q31*(1-Assumptions!$F$41)+R16*((1-(1-Assumptions!$F$34)^(1/12))*Assumptions!$F$40)*MAX(0,R13*Assumptions!$F$29-Q31)</f>
        <v>0</v>
      </c>
      <c r="S31" s="26" t="n">
        <f aca="false">R31*(1-Assumptions!$F$41)+S16*((1-(1-Assumptions!$F$34)^(1/12))*Assumptions!$F$40)*MAX(0,S13*Assumptions!$F$29-R31)</f>
        <v>0.0387140068586956</v>
      </c>
      <c r="T31" s="26" t="n">
        <f aca="false">S31*(1-Assumptions!$F$41)+T16*((1-(1-Assumptions!$F$34)^(1/12))*Assumptions!$F$40)*MAX(0,T13*Assumptions!$F$29-S31)</f>
        <v>0.0812205866171707</v>
      </c>
      <c r="U31" s="26" t="n">
        <f aca="false">T31*(1-Assumptions!$F$41)+U16*((1-(1-Assumptions!$F$34)^(1/12))*Assumptions!$F$40)*MAX(0,U13*Assumptions!$F$29-T31)</f>
        <v>0.127378514042161</v>
      </c>
      <c r="V31" s="26" t="n">
        <f aca="false">U31*(1-Assumptions!$F$41)+V16*((1-(1-Assumptions!$F$34)^(1/12))*Assumptions!$F$40)*MAX(0,V13*Assumptions!$F$29-U31)</f>
        <v>0.177051572100749</v>
      </c>
      <c r="W31" s="26" t="n">
        <f aca="false">V31*(1-Assumptions!$F$41)+W16*((1-(1-Assumptions!$F$34)^(1/12))*Assumptions!$F$40)*MAX(0,W13*Assumptions!$F$29-V31)</f>
        <v>0.231746260227271</v>
      </c>
      <c r="X31" s="26" t="n">
        <f aca="false">W31*(1-Assumptions!$F$41)+X16*((1-(1-Assumptions!$F$34)^(1/12))*Assumptions!$F$40)*MAX(0,X13*Assumptions!$F$29-W31)</f>
        <v>0.291058624675265</v>
      </c>
      <c r="Y31" s="26" t="n">
        <f aca="false">X31*(1-Assumptions!$F$41)+Y16*((1-(1-Assumptions!$F$34)^(1/12))*Assumptions!$F$40)*MAX(0,Y13*Assumptions!$F$29-X31)</f>
        <v>0.354339970406342</v>
      </c>
      <c r="Z31" s="26" t="n">
        <f aca="false">Y31*(1-Assumptions!$F$41)+Z16*((1-(1-Assumptions!$F$34)^(1/12))*Assumptions!$F$40)*MAX(0,Z13*Assumptions!$F$29-Y31)</f>
        <v>0.422740100161129</v>
      </c>
      <c r="AA31" s="26" t="n">
        <f aca="false">Z31*(1-Assumptions!$F$41)+AA16*((1-(1-Assumptions!$F$34)^(1/12))*Assumptions!$F$40)*MAX(0,AA13*Assumptions!$F$29-Z31)</f>
        <v>0.495581218302142</v>
      </c>
      <c r="AB31" s="26" t="n">
        <f aca="false">AA31*(1-Assumptions!$F$41)+AB16*((1-(1-Assumptions!$F$34)^(1/12))*Assumptions!$F$40)*MAX(0,AB13*Assumptions!$F$29-AA31)</f>
        <v>0.572150774762126</v>
      </c>
      <c r="AC31" s="26" t="n">
        <f aca="false">AB31*(1-Assumptions!$F$41)+AC16*((1-(1-Assumptions!$F$34)^(1/12))*Assumptions!$F$40)*MAX(0,AC13*Assumptions!$F$29-AB31)</f>
        <v>0.653341408015953</v>
      </c>
      <c r="AD31" s="26" t="n">
        <f aca="false">AC31*(1-Assumptions!$F$41)+AD16*((1-(1-Assumptions!$F$34)^(1/12))*Assumptions!$F$40)*MAX(0,AD13*Assumptions!$F$29-AC31)</f>
        <v>0.74013089467041</v>
      </c>
      <c r="AE31" s="26" t="n">
        <f aca="false">AD31*(1-Assumptions!$F$41)+AE16*((1-(1-Assumptions!$F$34)^(1/12))*Assumptions!$F$40)*MAX(0,AE13*Assumptions!$F$29-AD31)</f>
        <v>0.831481006823318</v>
      </c>
      <c r="AF31" s="26" t="n">
        <f aca="false">AE31*(1-Assumptions!$F$41)+AF16*((1-(1-Assumptions!$F$34)^(1/12))*Assumptions!$F$40)*MAX(0,AF13*Assumptions!$F$29-AE31)</f>
        <v>0.927777608728501</v>
      </c>
      <c r="AG31" s="26" t="n">
        <f aca="false">AF31*(1-Assumptions!$F$41)+AG16*((1-(1-Assumptions!$F$34)^(1/12))*Assumptions!$F$40)*MAX(0,AG13*Assumptions!$F$29-AF31)</f>
        <v>1.02964727203071</v>
      </c>
      <c r="AH31" s="26" t="n">
        <f aca="false">AG31*(1-Assumptions!$F$41)+AH16*((1-(1-Assumptions!$F$34)^(1/12))*Assumptions!$F$40)*MAX(0,AH13*Assumptions!$F$29-AG31)</f>
        <v>1.13578321413089</v>
      </c>
      <c r="AI31" s="26" t="n">
        <f aca="false">AH31*(1-Assumptions!$F$41)+AI16*((1-(1-Assumptions!$F$34)^(1/12))*Assumptions!$F$40)*MAX(0,AI13*Assumptions!$F$29-AH31)</f>
        <v>1.24644701886813</v>
      </c>
      <c r="AJ31" s="26" t="n">
        <f aca="false">AI31*(1-Assumptions!$F$41)+AJ16*((1-(1-Assumptions!$F$34)^(1/12))*Assumptions!$F$40)*MAX(0,AJ13*Assumptions!$F$29-AI31)</f>
        <v>1.36201622088214</v>
      </c>
      <c r="AK31" s="26" t="n">
        <f aca="false">AJ31*(1-Assumptions!$F$41)+AK16*((1-(1-Assumptions!$F$34)^(1/12))*Assumptions!$F$40)*MAX(0,AK13*Assumptions!$F$29-AJ31)</f>
        <v>1.48284742821838</v>
      </c>
      <c r="AL31" s="26" t="n">
        <f aca="false">AK31*(1-Assumptions!$F$41)+AL16*((1-(1-Assumptions!$F$34)^(1/12))*Assumptions!$F$40)*MAX(0,AL13*Assumptions!$F$29-AK31)</f>
        <v>1.60894958275613</v>
      </c>
      <c r="AM31" s="26" t="n">
        <f aca="false">AL31*(1-Assumptions!$F$41)+AM16*((1-(1-Assumptions!$F$34)^(1/12))*Assumptions!$F$40)*MAX(0,AM13*Assumptions!$F$29-AL31)</f>
        <v>1.74013193539655</v>
      </c>
      <c r="AN31" s="37" t="n">
        <f aca="false">AM31*(1-Assumptions!$F$41)+AN16*((1-(1-Assumptions!$F$34)^(1/12))*Assumptions!$F$40)*MAX(0,AN13*Assumptions!$F$29-AM31)</f>
        <v>1.8764069710849</v>
      </c>
      <c r="AO31" s="37" t="n">
        <f aca="false">AN31*(1-Assumptions!$F$41)+AO16*((1-(1-Assumptions!$F$34)^(1/12))*Assumptions!$F$40)*MAX(0,AO13*Assumptions!$F$29-AN31)</f>
        <v>2.01752188738685</v>
      </c>
      <c r="AP31" s="37" t="n">
        <f aca="false">AO31*(1-Assumptions!$F$41)+AP16*((1-(1-Assumptions!$F$34)^(1/12))*Assumptions!$F$40)*MAX(0,AP13*Assumptions!$F$29-AO31)</f>
        <v>2.16323371872446</v>
      </c>
      <c r="AQ31" s="37" t="n">
        <f aca="false">AP31*(1-Assumptions!$F$41)+AQ16*((1-(1-Assumptions!$F$34)^(1/12))*Assumptions!$F$40)*MAX(0,AQ13*Assumptions!$F$29-AP31)</f>
        <v>2.31330898169567</v>
      </c>
      <c r="AR31" s="37" t="n">
        <f aca="false">AQ31*(1-Assumptions!$F$41)+AR16*((1-(1-Assumptions!$F$34)^(1/12))*Assumptions!$F$40)*MAX(0,AR13*Assumptions!$F$29-AQ31)</f>
        <v>2.46752333281123</v>
      </c>
      <c r="AS31" s="37" t="n">
        <f aca="false">AR31*(1-Assumptions!$F$41)+AS16*((1-(1-Assumptions!$F$34)^(1/12))*Assumptions!$F$40)*MAX(0,AS13*Assumptions!$F$29-AR31)</f>
        <v>2.62566123821981</v>
      </c>
      <c r="AT31" s="37" t="n">
        <f aca="false">AS31*(1-Assumptions!$F$41)+AT16*((1-(1-Assumptions!$F$34)^(1/12))*Assumptions!$F$40)*MAX(0,AT13*Assumptions!$F$29-AS31)</f>
        <v>2.7874501397099</v>
      </c>
      <c r="AU31" s="37" t="n">
        <f aca="false">AT31*(1-Assumptions!$F$41)+AU16*((1-(1-Assumptions!$F$34)^(1/12))*Assumptions!$F$40)*MAX(0,AU13*Assumptions!$F$29-AT31)</f>
        <v>2.95269440540601</v>
      </c>
      <c r="AV31" s="37" t="n">
        <f aca="false">AU31*(1-Assumptions!$F$41)+AV16*((1-(1-Assumptions!$F$34)^(1/12))*Assumptions!$F$40)*MAX(0,AV13*Assumptions!$F$29-AU31)</f>
        <v>3.12120616476121</v>
      </c>
      <c r="AW31" s="37" t="n">
        <f aca="false">AV31*(1-Assumptions!$F$41)+AW16*((1-(1-Assumptions!$F$34)^(1/12))*Assumptions!$F$40)*MAX(0,AW13*Assumptions!$F$29-AV31)</f>
        <v>3.29273951144717</v>
      </c>
      <c r="AX31" s="37" t="n">
        <f aca="false">AW31*(1-Assumptions!$F$41)+AX16*((1-(1-Assumptions!$F$34)^(1/12))*Assumptions!$F$40)*MAX(0,AX13*Assumptions!$F$29-AW31)</f>
        <v>3.46712448965998</v>
      </c>
      <c r="AY31" s="37" t="n">
        <f aca="false">AX31*(1-Assumptions!$F$41)+AY16*((1-(1-Assumptions!$F$34)^(1/12))*Assumptions!$F$40)*MAX(0,AY13*Assumptions!$F$29-AX31)</f>
        <v>3.64419796348776</v>
      </c>
      <c r="AZ31" s="37" t="n">
        <f aca="false">AY31*(1-Assumptions!$F$41)+AZ16*((1-(1-Assumptions!$F$34)^(1/12))*Assumptions!$F$40)*MAX(0,AZ13*Assumptions!$F$29-AY31)</f>
        <v>3.82373785298399</v>
      </c>
      <c r="BA31" s="37" t="n">
        <f aca="false">AZ31*(1-Assumptions!$F$41)+BA16*((1-(1-Assumptions!$F$34)^(1/12))*Assumptions!$F$40)*MAX(0,BA13*Assumptions!$F$29-AZ31)</f>
        <v>4.0055316372091</v>
      </c>
      <c r="BB31" s="37" t="n">
        <f aca="false">BA31*(1-Assumptions!$F$41)+BB16*((1-(1-Assumptions!$F$34)^(1/12))*Assumptions!$F$40)*MAX(0,BB13*Assumptions!$F$29-BA31)</f>
        <v>4.18944151274402</v>
      </c>
      <c r="BC31" s="37" t="n">
        <f aca="false">BB31*(1-Assumptions!$F$41)+BC16*((1-(1-Assumptions!$F$34)^(1/12))*Assumptions!$F$40)*MAX(0,BC13*Assumptions!$F$29-BB31)</f>
        <v>4.37526979134627</v>
      </c>
      <c r="BD31" s="37" t="n">
        <f aca="false">BC31*(1-Assumptions!$F$41)+BD16*((1-(1-Assumptions!$F$34)^(1/12))*Assumptions!$F$40)*MAX(0,BD13*Assumptions!$F$29-BC31)</f>
        <v>4.56282743631953</v>
      </c>
      <c r="BE31" s="37" t="n">
        <f aca="false">BD31*(1-Assumptions!$F$41)+BE16*((1-(1-Assumptions!$F$34)^(1/12))*Assumptions!$F$40)*MAX(0,BE13*Assumptions!$F$29-BD31)</f>
        <v>4.7519992531966</v>
      </c>
      <c r="BF31" s="37" t="n">
        <f aca="false">BE31*(1-Assumptions!$F$41)+BF16*((1-(1-Assumptions!$F$34)^(1/12))*Assumptions!$F$40)*MAX(0,BF13*Assumptions!$F$29-BE31)</f>
        <v>4.94260931844668</v>
      </c>
      <c r="BG31" s="37" t="n">
        <f aca="false">BF31*(1-Assumptions!$F$41)+BG16*((1-(1-Assumptions!$F$34)^(1/12))*Assumptions!$F$40)*MAX(0,BG13*Assumptions!$F$29-BF31)</f>
        <v>5.13448954581604</v>
      </c>
      <c r="BH31" s="37" t="n">
        <f aca="false">BG31*(1-Assumptions!$F$41)+BH16*((1-(1-Assumptions!$F$34)^(1/12))*Assumptions!$F$40)*MAX(0,BH13*Assumptions!$F$29-BG31)</f>
        <v>5.32747939064326</v>
      </c>
      <c r="BI31" s="37" t="n">
        <f aca="false">BH31*(1-Assumptions!$F$41)+BI16*((1-(1-Assumptions!$F$34)^(1/12))*Assumptions!$F$40)*MAX(0,BI13*Assumptions!$F$29-BH31)</f>
        <v>5.52142556471319</v>
      </c>
      <c r="BJ31" s="37" t="n">
        <f aca="false">BI31*(1-Assumptions!$F$41)+BJ16*((1-(1-Assumptions!$F$34)^(1/12))*Assumptions!$F$40)*MAX(0,BJ13*Assumptions!$F$29-BI31)</f>
        <v>5.71618176128252</v>
      </c>
      <c r="BK31" s="37" t="n">
        <f aca="false">BJ31*(1-Assumptions!$F$41)+BK16*((1-(1-Assumptions!$F$34)^(1/12))*Assumptions!$F$40)*MAX(0,BK13*Assumptions!$F$29-BJ31)</f>
        <v>5.91160838992241</v>
      </c>
    </row>
    <row r="32" customFormat="false" ht="15" hidden="false" customHeight="false" outlineLevel="0" collapsed="false">
      <c r="A32" s="28" t="s">
        <v>580</v>
      </c>
      <c r="B32" s="6" t="s">
        <v>581</v>
      </c>
      <c r="C32" s="36" t="n">
        <v>0</v>
      </c>
      <c r="D32" s="26" t="n">
        <f aca="false">D27+D28+D29+D30+D31</f>
        <v>0</v>
      </c>
      <c r="E32" s="26" t="n">
        <f aca="false">E27+E28+E29+E30+E31</f>
        <v>0</v>
      </c>
      <c r="F32" s="26" t="n">
        <f aca="false">F27+F28+F29+F30+F31</f>
        <v>0</v>
      </c>
      <c r="G32" s="26" t="n">
        <f aca="false">G27+G28+G29+G30+G31</f>
        <v>0</v>
      </c>
      <c r="H32" s="26" t="n">
        <f aca="false">H27+H28+H29+H30+H31</f>
        <v>0</v>
      </c>
      <c r="I32" s="26" t="n">
        <f aca="false">I27+I28+I29+I30+I31</f>
        <v>0</v>
      </c>
      <c r="J32" s="26" t="n">
        <f aca="false">J27+J28+J29+J30+J31</f>
        <v>0</v>
      </c>
      <c r="K32" s="26" t="n">
        <f aca="false">K27+K28+K29+K30+K31</f>
        <v>0</v>
      </c>
      <c r="L32" s="26" t="n">
        <f aca="false">L27+L28+L29+L30+L31</f>
        <v>0</v>
      </c>
      <c r="M32" s="26" t="n">
        <f aca="false">M27+M28+M29+M30+M31</f>
        <v>0</v>
      </c>
      <c r="N32" s="26" t="n">
        <f aca="false">N27+N28+N29+N30+N31</f>
        <v>0.375426434997945</v>
      </c>
      <c r="O32" s="26" t="n">
        <f aca="false">O27+O28+O29+O30+O31</f>
        <v>0.820734245222534</v>
      </c>
      <c r="P32" s="26" t="n">
        <f aca="false">P27+P28+P29+P30+P31</f>
        <v>1.34546617754258</v>
      </c>
      <c r="Q32" s="26" t="n">
        <f aca="false">Q27+Q28+Q29+Q30+Q31</f>
        <v>1.9502610345326</v>
      </c>
      <c r="R32" s="26" t="n">
        <f aca="false">R27+R28+R29+R30+R31</f>
        <v>2.63081584452989</v>
      </c>
      <c r="S32" s="26" t="n">
        <f aca="false">S27+S28+S29+S30+S31</f>
        <v>4.6419121288354</v>
      </c>
      <c r="T32" s="26" t="n">
        <f aca="false">T27+T28+T29+T30+T31</f>
        <v>6.83269054050038</v>
      </c>
      <c r="U32" s="26" t="n">
        <f aca="false">U27+U28+U29+U30+U31</f>
        <v>9.19251416016459</v>
      </c>
      <c r="V32" s="26" t="n">
        <f aca="false">V27+V28+V29+V30+V31</f>
        <v>11.7113799005238</v>
      </c>
      <c r="W32" s="26" t="n">
        <f aca="false">W27+W28+W29+W30+W31</f>
        <v>14.4729408679715</v>
      </c>
      <c r="X32" s="26" t="n">
        <f aca="false">X27+X28+X29+X30+X31</f>
        <v>17.4505078038511</v>
      </c>
      <c r="Y32" s="26" t="n">
        <f aca="false">Y27+Y28+Y29+Y30+Y31</f>
        <v>20.6042414391105</v>
      </c>
      <c r="Z32" s="26" t="n">
        <f aca="false">Z27+Z28+Z29+Z30+Z31</f>
        <v>23.9975082049277</v>
      </c>
      <c r="AA32" s="26" t="n">
        <f aca="false">AA27+AA28+AA29+AA30+AA31</f>
        <v>27.5884944884532</v>
      </c>
      <c r="AB32" s="26" t="n">
        <f aca="false">AB27+AB28+AB29+AB30+AB31</f>
        <v>31.3344875192577</v>
      </c>
      <c r="AC32" s="26" t="n">
        <f aca="false">AC27+AC28+AC29+AC30+AC31</f>
        <v>35.2850284343452</v>
      </c>
      <c r="AD32" s="26" t="n">
        <f aca="false">AD27+AD28+AD29+AD30+AD31</f>
        <v>39.4934326865889</v>
      </c>
      <c r="AE32" s="26" t="n">
        <f aca="false">AE27+AE28+AE29+AE30+AE31</f>
        <v>43.8973670375398</v>
      </c>
      <c r="AF32" s="26" t="n">
        <f aca="false">AF27+AF28+AF29+AF30+AF31</f>
        <v>48.5169491852975</v>
      </c>
      <c r="AG32" s="26" t="n">
        <f aca="false">AG27+AG28+AG29+AG30+AG31</f>
        <v>53.3855960604685</v>
      </c>
      <c r="AH32" s="26" t="n">
        <f aca="false">AH27+AH28+AH29+AH30+AH31</f>
        <v>58.4262151282656</v>
      </c>
      <c r="AI32" s="26" t="n">
        <f aca="false">AI27+AI28+AI29+AI30+AI31</f>
        <v>63.6526714856087</v>
      </c>
      <c r="AJ32" s="26" t="n">
        <f aca="false">AJ27+AJ28+AJ29+AJ30+AJ31</f>
        <v>69.0851466028811</v>
      </c>
      <c r="AK32" s="26" t="n">
        <f aca="false">AK27+AK28+AK29+AK30+AK31</f>
        <v>74.7422310647764</v>
      </c>
      <c r="AL32" s="26" t="n">
        <f aca="false">AL27+AL28+AL29+AL30+AL31</f>
        <v>80.6224124309496</v>
      </c>
      <c r="AM32" s="26" t="n">
        <f aca="false">AM27+AM28+AM29+AM30+AM31</f>
        <v>86.712948353366</v>
      </c>
      <c r="AN32" s="37" t="n">
        <f aca="false">AN27+AN28+AN29+AN30+AN31</f>
        <v>93.0130068523381</v>
      </c>
      <c r="AO32" s="37" t="n">
        <f aca="false">AO27+AO28+AO29+AO30+AO31</f>
        <v>99.5067633044148</v>
      </c>
      <c r="AP32" s="37" t="n">
        <f aca="false">AP27+AP28+AP29+AP30+AP31</f>
        <v>106.179365248675</v>
      </c>
      <c r="AQ32" s="37" t="n">
        <f aca="false">AQ27+AQ28+AQ29+AQ30+AQ31</f>
        <v>113.016872975414</v>
      </c>
      <c r="AR32" s="37" t="n">
        <f aca="false">AR27+AR28+AR29+AR30+AR31</f>
        <v>120.006203863613</v>
      </c>
      <c r="AS32" s="37" t="n">
        <f aca="false">AS27+AS28+AS29+AS30+AS31</f>
        <v>127.135080222377</v>
      </c>
      <c r="AT32" s="37" t="n">
        <f aca="false">AT27+AT28+AT29+AT30+AT31</f>
        <v>134.388257944964</v>
      </c>
      <c r="AU32" s="37" t="n">
        <f aca="false">AU27+AU28+AU29+AU30+AU31</f>
        <v>141.75519246751</v>
      </c>
      <c r="AV32" s="37" t="n">
        <f aca="false">AV27+AV28+AV29+AV30+AV31</f>
        <v>149.225989868588</v>
      </c>
      <c r="AW32" s="37" t="n">
        <f aca="false">AW27+AW28+AW29+AW30+AW31</f>
        <v>156.787645169185</v>
      </c>
      <c r="AX32" s="37" t="n">
        <f aca="false">AX27+AX28+AX29+AX30+AX31</f>
        <v>164.431717312733</v>
      </c>
      <c r="AY32" s="37" t="n">
        <f aca="false">AY27+AY28+AY29+AY30+AY31</f>
        <v>172.150288703008</v>
      </c>
      <c r="AZ32" s="37" t="n">
        <f aca="false">AZ27+AZ28+AZ29+AZ30+AZ31</f>
        <v>179.932211398316</v>
      </c>
      <c r="BA32" s="37" t="n">
        <f aca="false">BA27+BA28+BA29+BA30+BA31</f>
        <v>187.767067014768</v>
      </c>
      <c r="BB32" s="37" t="n">
        <f aca="false">BB27+BB28+BB29+BB30+BB31</f>
        <v>195.648844955349</v>
      </c>
      <c r="BC32" s="37" t="n">
        <f aca="false">BC27+BC28+BC29+BC30+BC31</f>
        <v>203.568189129554</v>
      </c>
      <c r="BD32" s="37" t="n">
        <f aca="false">BD27+BD28+BD29+BD30+BD31</f>
        <v>211.516364953792</v>
      </c>
      <c r="BE32" s="37" t="n">
        <f aca="false">BE27+BE28+BE29+BE30+BE31</f>
        <v>219.488944224154</v>
      </c>
      <c r="BF32" s="37" t="n">
        <f aca="false">BF27+BF28+BF29+BF30+BF31</f>
        <v>227.478058056257</v>
      </c>
      <c r="BG32" s="37" t="n">
        <f aca="false">BG27+BG28+BG29+BG30+BG31</f>
        <v>235.476369710272</v>
      </c>
      <c r="BH32" s="37" t="n">
        <f aca="false">BH27+BH28+BH29+BH30+BH31</f>
        <v>243.477042455723</v>
      </c>
      <c r="BI32" s="37" t="n">
        <f aca="false">BI27+BI28+BI29+BI30+BI31</f>
        <v>251.473709400209</v>
      </c>
      <c r="BJ32" s="37" t="n">
        <f aca="false">BJ27+BJ28+BJ29+BJ30+BJ31</f>
        <v>259.460445157682</v>
      </c>
      <c r="BK32" s="37" t="n">
        <f aca="false">BK27+BK28+BK29+BK30+BK31</f>
        <v>267.431739240104</v>
      </c>
    </row>
    <row r="33" customFormat="false" ht="15" hidden="false" customHeight="false" outlineLevel="0" collapsed="false">
      <c r="A33" s="28" t="s">
        <v>582</v>
      </c>
      <c r="B33" s="6" t="s">
        <v>583</v>
      </c>
      <c r="C33" s="42"/>
      <c r="D33" s="26" t="n">
        <f aca="false">D27*(1-Assumptions!$F$35)+D28*(1-Assumptions!$F$36)+D29*(1-Assumptions!$F$37)+D30*(1-Assumptions!$F$38)+D31*(1-Assumptions!$F$39)</f>
        <v>0</v>
      </c>
      <c r="E33" s="26" t="n">
        <f aca="false">E27*(1-Assumptions!$F$35)+E28*(1-Assumptions!$F$36)+E29*(1-Assumptions!$F$37)+E30*(1-Assumptions!$F$38)+E31*(1-Assumptions!$F$39)</f>
        <v>0</v>
      </c>
      <c r="F33" s="26" t="n">
        <f aca="false">F27*(1-Assumptions!$F$35)+F28*(1-Assumptions!$F$36)+F29*(1-Assumptions!$F$37)+F30*(1-Assumptions!$F$38)+F31*(1-Assumptions!$F$39)</f>
        <v>0</v>
      </c>
      <c r="G33" s="26" t="n">
        <f aca="false">G27*(1-Assumptions!$F$35)+G28*(1-Assumptions!$F$36)+G29*(1-Assumptions!$F$37)+G30*(1-Assumptions!$F$38)+G31*(1-Assumptions!$F$39)</f>
        <v>0</v>
      </c>
      <c r="H33" s="26" t="n">
        <f aca="false">H27*(1-Assumptions!$F$35)+H28*(1-Assumptions!$F$36)+H29*(1-Assumptions!$F$37)+H30*(1-Assumptions!$F$38)+H31*(1-Assumptions!$F$39)</f>
        <v>0</v>
      </c>
      <c r="I33" s="26" t="n">
        <f aca="false">I27*(1-Assumptions!$F$35)+I28*(1-Assumptions!$F$36)+I29*(1-Assumptions!$F$37)+I30*(1-Assumptions!$F$38)+I31*(1-Assumptions!$F$39)</f>
        <v>0</v>
      </c>
      <c r="J33" s="26" t="n">
        <f aca="false">J27*(1-Assumptions!$F$35)+J28*(1-Assumptions!$F$36)+J29*(1-Assumptions!$F$37)+J30*(1-Assumptions!$F$38)+J31*(1-Assumptions!$F$39)</f>
        <v>0</v>
      </c>
      <c r="K33" s="26" t="n">
        <f aca="false">K27*(1-Assumptions!$F$35)+K28*(1-Assumptions!$F$36)+K29*(1-Assumptions!$F$37)+K30*(1-Assumptions!$F$38)+K31*(1-Assumptions!$F$39)</f>
        <v>0</v>
      </c>
      <c r="L33" s="26" t="n">
        <f aca="false">L27*(1-Assumptions!$F$35)+L28*(1-Assumptions!$F$36)+L29*(1-Assumptions!$F$37)+L30*(1-Assumptions!$F$38)+L31*(1-Assumptions!$F$39)</f>
        <v>0</v>
      </c>
      <c r="M33" s="26" t="n">
        <f aca="false">M27*(1-Assumptions!$F$35)+M28*(1-Assumptions!$F$36)+M29*(1-Assumptions!$F$37)+M30*(1-Assumptions!$F$38)+M31*(1-Assumptions!$F$39)</f>
        <v>0</v>
      </c>
      <c r="N33" s="26" t="n">
        <f aca="false">N27*(1-Assumptions!$F$35)+N28*(1-Assumptions!$F$36)+N29*(1-Assumptions!$F$37)+N30*(1-Assumptions!$F$38)+N31*(1-Assumptions!$F$39)</f>
        <v>0.0563139652496917</v>
      </c>
      <c r="O33" s="26" t="n">
        <f aca="false">O27*(1-Assumptions!$F$35)+O28*(1-Assumptions!$F$36)+O29*(1-Assumptions!$F$37)+O30*(1-Assumptions!$F$38)+O31*(1-Assumptions!$F$39)</f>
        <v>0.12311013678338</v>
      </c>
      <c r="P33" s="26" t="n">
        <f aca="false">P27*(1-Assumptions!$F$35)+P28*(1-Assumptions!$F$36)+P29*(1-Assumptions!$F$37)+P30*(1-Assumptions!$F$38)+P31*(1-Assumptions!$F$39)</f>
        <v>0.201819926631386</v>
      </c>
      <c r="Q33" s="26" t="n">
        <f aca="false">Q27*(1-Assumptions!$F$35)+Q28*(1-Assumptions!$F$36)+Q29*(1-Assumptions!$F$37)+Q30*(1-Assumptions!$F$38)+Q31*(1-Assumptions!$F$39)</f>
        <v>0.29253915517989</v>
      </c>
      <c r="R33" s="26" t="n">
        <f aca="false">R27*(1-Assumptions!$F$35)+R28*(1-Assumptions!$F$36)+R29*(1-Assumptions!$F$37)+R30*(1-Assumptions!$F$38)+R31*(1-Assumptions!$F$39)</f>
        <v>0.394622376679483</v>
      </c>
      <c r="S33" s="26" t="n">
        <f aca="false">S27*(1-Assumptions!$F$35)+S28*(1-Assumptions!$F$36)+S29*(1-Assumptions!$F$37)+S30*(1-Assumptions!$F$38)+S31*(1-Assumptions!$F$39)</f>
        <v>1.65563375967483</v>
      </c>
      <c r="T33" s="26" t="n">
        <f aca="false">T27*(1-Assumptions!$F$35)+T28*(1-Assumptions!$F$36)+T29*(1-Assumptions!$F$37)+T30*(1-Assumptions!$F$38)+T31*(1-Assumptions!$F$39)</f>
        <v>3.02684486131127</v>
      </c>
      <c r="U33" s="26" t="n">
        <f aca="false">U27*(1-Assumptions!$F$35)+U28*(1-Assumptions!$F$36)+U29*(1-Assumptions!$F$37)+U30*(1-Assumptions!$F$38)+U31*(1-Assumptions!$F$39)</f>
        <v>4.50261225461567</v>
      </c>
      <c r="V33" s="26" t="n">
        <f aca="false">V27*(1-Assumptions!$F$35)+V28*(1-Assumptions!$F$36)+V29*(1-Assumptions!$F$37)+V30*(1-Assumptions!$F$38)+V31*(1-Assumptions!$F$39)</f>
        <v>6.07757646396611</v>
      </c>
      <c r="W33" s="26" t="n">
        <f aca="false">W27*(1-Assumptions!$F$35)+W28*(1-Assumptions!$F$36)+W29*(1-Assumptions!$F$37)+W30*(1-Assumptions!$F$38)+W31*(1-Assumptions!$F$39)</f>
        <v>7.80119388994713</v>
      </c>
      <c r="X33" s="26" t="n">
        <f aca="false">X27*(1-Assumptions!$F$35)+X28*(1-Assumptions!$F$36)+X29*(1-Assumptions!$F$37)+X30*(1-Assumptions!$F$38)+X31*(1-Assumptions!$F$39)</f>
        <v>9.65862991853582</v>
      </c>
      <c r="Y33" s="26" t="n">
        <f aca="false">Y27*(1-Assumptions!$F$35)+Y28*(1-Assumptions!$F$36)+Y29*(1-Assumptions!$F$37)+Y30*(1-Assumptions!$F$38)+Y31*(1-Assumptions!$F$39)</f>
        <v>11.627163064454</v>
      </c>
      <c r="Z33" s="26" t="n">
        <f aca="false">Z27*(1-Assumptions!$F$35)+Z28*(1-Assumptions!$F$36)+Z29*(1-Assumptions!$F$37)+Z30*(1-Assumptions!$F$38)+Z31*(1-Assumptions!$F$39)</f>
        <v>13.744331325472</v>
      </c>
      <c r="AA33" s="26" t="n">
        <f aca="false">AA27*(1-Assumptions!$F$35)+AA28*(1-Assumptions!$F$36)+AA29*(1-Assumptions!$F$37)+AA30*(1-Assumptions!$F$38)+AA31*(1-Assumptions!$F$39)</f>
        <v>15.9863098018732</v>
      </c>
      <c r="AB33" s="26" t="n">
        <f aca="false">AB27*(1-Assumptions!$F$35)+AB28*(1-Assumptions!$F$36)+AB29*(1-Assumptions!$F$37)+AB30*(1-Assumptions!$F$38)+AB31*(1-Assumptions!$F$39)</f>
        <v>18.3285008084093</v>
      </c>
      <c r="AC33" s="26" t="n">
        <f aca="false">AC27*(1-Assumptions!$F$35)+AC28*(1-Assumptions!$F$36)+AC29*(1-Assumptions!$F$37)+AC30*(1-Assumptions!$F$38)+AC31*(1-Assumptions!$F$39)</f>
        <v>20.8001443712576</v>
      </c>
      <c r="AD33" s="26" t="n">
        <f aca="false">AD27*(1-Assumptions!$F$35)+AD28*(1-Assumptions!$F$36)+AD29*(1-Assumptions!$F$37)+AD30*(1-Assumptions!$F$38)+AD31*(1-Assumptions!$F$39)</f>
        <v>23.4329234076767</v>
      </c>
      <c r="AE33" s="26" t="n">
        <f aca="false">AE27*(1-Assumptions!$F$35)+AE28*(1-Assumptions!$F$36)+AE29*(1-Assumptions!$F$37)+AE30*(1-Assumptions!$F$38)+AE31*(1-Assumptions!$F$39)</f>
        <v>26.1909705292269</v>
      </c>
      <c r="AF33" s="26" t="n">
        <f aca="false">AF27*(1-Assumptions!$F$35)+AF28*(1-Assumptions!$F$36)+AF29*(1-Assumptions!$F$37)+AF30*(1-Assumptions!$F$38)+AF31*(1-Assumptions!$F$39)</f>
        <v>29.0864002916355</v>
      </c>
      <c r="AG33" s="26" t="n">
        <f aca="false">AG27*(1-Assumptions!$F$35)+AG28*(1-Assumptions!$F$36)+AG29*(1-Assumptions!$F$37)+AG30*(1-Assumptions!$F$38)+AG31*(1-Assumptions!$F$39)</f>
        <v>32.1392016647519</v>
      </c>
      <c r="AH33" s="26" t="n">
        <f aca="false">AH27*(1-Assumptions!$F$35)+AH28*(1-Assumptions!$F$36)+AH29*(1-Assumptions!$F$37)+AH30*(1-Assumptions!$F$38)+AH31*(1-Assumptions!$F$39)</f>
        <v>35.3047299627537</v>
      </c>
      <c r="AI33" s="26" t="n">
        <f aca="false">AI27*(1-Assumptions!$F$35)+AI28*(1-Assumptions!$F$36)+AI29*(1-Assumptions!$F$37)+AI30*(1-Assumptions!$F$38)+AI31*(1-Assumptions!$F$39)</f>
        <v>38.5912437849709</v>
      </c>
      <c r="AJ33" s="26" t="n">
        <f aca="false">AJ27*(1-Assumptions!$F$35)+AJ28*(1-Assumptions!$F$36)+AJ29*(1-Assumptions!$F$37)+AJ30*(1-Assumptions!$F$38)+AJ31*(1-Assumptions!$F$39)</f>
        <v>42.0107640807471</v>
      </c>
      <c r="AK33" s="26" t="n">
        <f aca="false">AK27*(1-Assumptions!$F$35)+AK28*(1-Assumptions!$F$36)+AK29*(1-Assumptions!$F$37)+AK30*(1-Assumptions!$F$38)+AK31*(1-Assumptions!$F$39)</f>
        <v>45.5744667812645</v>
      </c>
      <c r="AL33" s="26" t="n">
        <f aca="false">AL27*(1-Assumptions!$F$35)+AL28*(1-Assumptions!$F$36)+AL29*(1-Assumptions!$F$37)+AL30*(1-Assumptions!$F$38)+AL31*(1-Assumptions!$F$39)</f>
        <v>49.2818191757755</v>
      </c>
      <c r="AM33" s="26" t="n">
        <f aca="false">AM27*(1-Assumptions!$F$35)+AM28*(1-Assumptions!$F$36)+AM29*(1-Assumptions!$F$37)+AM30*(1-Assumptions!$F$38)+AM31*(1-Assumptions!$F$39)</f>
        <v>53.1256778043957</v>
      </c>
      <c r="AN33" s="37" t="n">
        <f aca="false">AN27*(1-Assumptions!$F$35)+AN28*(1-Assumptions!$F$36)+AN29*(1-Assumptions!$F$37)+AN30*(1-Assumptions!$F$38)+AN31*(1-Assumptions!$F$39)</f>
        <v>57.1057984535719</v>
      </c>
      <c r="AO33" s="37" t="n">
        <f aca="false">AO27*(1-Assumptions!$F$35)+AO28*(1-Assumptions!$F$36)+AO29*(1-Assumptions!$F$37)+AO30*(1-Assumptions!$F$38)+AO31*(1-Assumptions!$F$39)</f>
        <v>61.2131306409671</v>
      </c>
      <c r="AP33" s="37" t="n">
        <f aca="false">AP27*(1-Assumptions!$F$35)+AP28*(1-Assumptions!$F$36)+AP29*(1-Assumptions!$F$37)+AP30*(1-Assumptions!$F$38)+AP31*(1-Assumptions!$F$39)</f>
        <v>65.4391027923635</v>
      </c>
      <c r="AQ33" s="37" t="n">
        <f aca="false">AQ27*(1-Assumptions!$F$35)+AQ28*(1-Assumptions!$F$36)+AQ29*(1-Assumptions!$F$37)+AQ30*(1-Assumptions!$F$38)+AQ31*(1-Assumptions!$F$39)</f>
        <v>69.7755976262694</v>
      </c>
      <c r="AR33" s="37" t="n">
        <f aca="false">AR27*(1-Assumptions!$F$35)+AR28*(1-Assumptions!$F$36)+AR29*(1-Assumptions!$F$37)+AR30*(1-Assumptions!$F$38)+AR31*(1-Assumptions!$F$39)</f>
        <v>74.2149288318071</v>
      </c>
      <c r="AS33" s="37" t="n">
        <f aca="false">AS27*(1-Assumptions!$F$35)+AS28*(1-Assumptions!$F$36)+AS29*(1-Assumptions!$F$37)+AS30*(1-Assumptions!$F$38)+AS31*(1-Assumptions!$F$39)</f>
        <v>78.7498189691431</v>
      </c>
      <c r="AT33" s="37" t="n">
        <f aca="false">AT27*(1-Assumptions!$F$35)+AT28*(1-Assumptions!$F$36)+AT29*(1-Assumptions!$F$37)+AT30*(1-Assumptions!$F$38)+AT31*(1-Assumptions!$F$39)</f>
        <v>83.3711966638383</v>
      </c>
      <c r="AU33" s="37" t="n">
        <f aca="false">AU27*(1-Assumptions!$F$35)+AU28*(1-Assumptions!$F$36)+AU29*(1-Assumptions!$F$37)+AU30*(1-Assumptions!$F$38)+AU31*(1-Assumptions!$F$39)</f>
        <v>88.0726786547159</v>
      </c>
      <c r="AV33" s="37" t="n">
        <f aca="false">AV27*(1-Assumptions!$F$35)+AV28*(1-Assumptions!$F$36)+AV29*(1-Assumptions!$F$37)+AV30*(1-Assumptions!$F$38)+AV31*(1-Assumptions!$F$39)</f>
        <v>92.848223593561</v>
      </c>
      <c r="AW33" s="37" t="n">
        <f aca="false">AW27*(1-Assumptions!$F$35)+AW28*(1-Assumptions!$F$36)+AW29*(1-Assumptions!$F$37)+AW30*(1-Assumptions!$F$38)+AW31*(1-Assumptions!$F$39)</f>
        <v>97.6899327288148</v>
      </c>
      <c r="AX33" s="37" t="n">
        <f aca="false">AX27*(1-Assumptions!$F$35)+AX28*(1-Assumptions!$F$36)+AX29*(1-Assumptions!$F$37)+AX30*(1-Assumptions!$F$38)+AX31*(1-Assumptions!$F$39)</f>
        <v>102.592535254072</v>
      </c>
      <c r="AY33" s="37" t="n">
        <f aca="false">AY27*(1-Assumptions!$F$35)+AY28*(1-Assumptions!$F$36)+AY29*(1-Assumptions!$F$37)+AY30*(1-Assumptions!$F$38)+AY31*(1-Assumptions!$F$39)</f>
        <v>107.551045230372</v>
      </c>
      <c r="AZ33" s="37" t="n">
        <f aca="false">AZ27*(1-Assumptions!$F$35)+AZ28*(1-Assumptions!$F$36)+AZ29*(1-Assumptions!$F$37)+AZ30*(1-Assumptions!$F$38)+AZ31*(1-Assumptions!$F$39)</f>
        <v>112.558565224507</v>
      </c>
      <c r="BA33" s="37" t="n">
        <f aca="false">BA27*(1-Assumptions!$F$35)+BA28*(1-Assumptions!$F$36)+BA29*(1-Assumptions!$F$37)+BA30*(1-Assumptions!$F$38)+BA31*(1-Assumptions!$F$39)</f>
        <v>117.608592591668</v>
      </c>
      <c r="BB33" s="37" t="n">
        <f aca="false">BB27*(1-Assumptions!$F$35)+BB28*(1-Assumptions!$F$36)+BB29*(1-Assumptions!$F$37)+BB30*(1-Assumptions!$F$38)+BB31*(1-Assumptions!$F$39)</f>
        <v>122.697180942791</v>
      </c>
      <c r="BC33" s="37" t="n">
        <f aca="false">BC27*(1-Assumptions!$F$35)+BC28*(1-Assumptions!$F$36)+BC29*(1-Assumptions!$F$37)+BC30*(1-Assumptions!$F$38)+BC31*(1-Assumptions!$F$39)</f>
        <v>127.818418904809</v>
      </c>
      <c r="BD33" s="37" t="n">
        <f aca="false">BD27*(1-Assumptions!$F$35)+BD28*(1-Assumptions!$F$36)+BD29*(1-Assumptions!$F$37)+BD30*(1-Assumptions!$F$38)+BD31*(1-Assumptions!$F$39)</f>
        <v>132.966739160029</v>
      </c>
      <c r="BE33" s="37" t="n">
        <f aca="false">BE27*(1-Assumptions!$F$35)+BE28*(1-Assumptions!$F$36)+BE29*(1-Assumptions!$F$37)+BE30*(1-Assumptions!$F$38)+BE31*(1-Assumptions!$F$39)</f>
        <v>138.13908252351</v>
      </c>
      <c r="BF33" s="37" t="n">
        <f aca="false">BF27*(1-Assumptions!$F$35)+BF28*(1-Assumptions!$F$36)+BF29*(1-Assumptions!$F$37)+BF30*(1-Assumptions!$F$38)+BF31*(1-Assumptions!$F$39)</f>
        <v>143.330379174802</v>
      </c>
      <c r="BG33" s="37" t="n">
        <f aca="false">BG27*(1-Assumptions!$F$35)+BG28*(1-Assumptions!$F$36)+BG29*(1-Assumptions!$F$37)+BG30*(1-Assumptions!$F$38)+BG31*(1-Assumptions!$F$39)</f>
        <v>148.535860037946</v>
      </c>
      <c r="BH33" s="37" t="n">
        <f aca="false">BH27*(1-Assumptions!$F$35)+BH28*(1-Assumptions!$F$36)+BH29*(1-Assumptions!$F$37)+BH30*(1-Assumptions!$F$38)+BH31*(1-Assumptions!$F$39)</f>
        <v>153.751041213914</v>
      </c>
      <c r="BI33" s="37" t="n">
        <f aca="false">BI27*(1-Assumptions!$F$35)+BI28*(1-Assumptions!$F$36)+BI29*(1-Assumptions!$F$37)+BI30*(1-Assumptions!$F$38)+BI31*(1-Assumptions!$F$39)</f>
        <v>158.971709211121</v>
      </c>
      <c r="BJ33" s="37" t="n">
        <f aca="false">BJ27*(1-Assumptions!$F$35)+BJ28*(1-Assumptions!$F$36)+BJ29*(1-Assumptions!$F$37)+BJ30*(1-Assumptions!$F$38)+BJ31*(1-Assumptions!$F$39)</f>
        <v>164.193906931956</v>
      </c>
      <c r="BK33" s="37" t="n">
        <f aca="false">BK27*(1-Assumptions!$F$35)+BK28*(1-Assumptions!$F$36)+BK29*(1-Assumptions!$F$37)+BK30*(1-Assumptions!$F$38)+BK31*(1-Assumptions!$F$39)</f>
        <v>169.413920375567</v>
      </c>
    </row>
    <row r="34" customFormat="false" ht="15" hidden="false" customHeight="false" outlineLevel="0" collapsed="false">
      <c r="A34" s="28" t="s">
        <v>584</v>
      </c>
      <c r="B34" s="6" t="s">
        <v>585</v>
      </c>
      <c r="C34" s="42"/>
      <c r="D34" s="26" t="n">
        <f aca="false">D27*Assumptions!$F$35+D28*Assumptions!$F$36+D29*Assumptions!$F$37+D30*Assumptions!$F$38+D31*Assumptions!$F$39</f>
        <v>0</v>
      </c>
      <c r="E34" s="26" t="n">
        <f aca="false">E27*Assumptions!$F$35+E28*Assumptions!$F$36+E29*Assumptions!$F$37+E30*Assumptions!$F$38+E31*Assumptions!$F$39</f>
        <v>0</v>
      </c>
      <c r="F34" s="26" t="n">
        <f aca="false">F27*Assumptions!$F$35+F28*Assumptions!$F$36+F29*Assumptions!$F$37+F30*Assumptions!$F$38+F31*Assumptions!$F$39</f>
        <v>0</v>
      </c>
      <c r="G34" s="26" t="n">
        <f aca="false">G27*Assumptions!$F$35+G28*Assumptions!$F$36+G29*Assumptions!$F$37+G30*Assumptions!$F$38+G31*Assumptions!$F$39</f>
        <v>0</v>
      </c>
      <c r="H34" s="26" t="n">
        <f aca="false">H27*Assumptions!$F$35+H28*Assumptions!$F$36+H29*Assumptions!$F$37+H30*Assumptions!$F$38+H31*Assumptions!$F$39</f>
        <v>0</v>
      </c>
      <c r="I34" s="26" t="n">
        <f aca="false">I27*Assumptions!$F$35+I28*Assumptions!$F$36+I29*Assumptions!$F$37+I30*Assumptions!$F$38+I31*Assumptions!$F$39</f>
        <v>0</v>
      </c>
      <c r="J34" s="26" t="n">
        <f aca="false">J27*Assumptions!$F$35+J28*Assumptions!$F$36+J29*Assumptions!$F$37+J30*Assumptions!$F$38+J31*Assumptions!$F$39</f>
        <v>0</v>
      </c>
      <c r="K34" s="26" t="n">
        <f aca="false">K27*Assumptions!$F$35+K28*Assumptions!$F$36+K29*Assumptions!$F$37+K30*Assumptions!$F$38+K31*Assumptions!$F$39</f>
        <v>0</v>
      </c>
      <c r="L34" s="26" t="n">
        <f aca="false">L27*Assumptions!$F$35+L28*Assumptions!$F$36+L29*Assumptions!$F$37+L30*Assumptions!$F$38+L31*Assumptions!$F$39</f>
        <v>0</v>
      </c>
      <c r="M34" s="26" t="n">
        <f aca="false">M27*Assumptions!$F$35+M28*Assumptions!$F$36+M29*Assumptions!$F$37+M30*Assumptions!$F$38+M31*Assumptions!$F$39</f>
        <v>0</v>
      </c>
      <c r="N34" s="26" t="n">
        <f aca="false">N27*Assumptions!$F$35+N28*Assumptions!$F$36+N29*Assumptions!$F$37+N30*Assumptions!$F$38+N31*Assumptions!$F$39</f>
        <v>0.319112469748253</v>
      </c>
      <c r="O34" s="26" t="n">
        <f aca="false">O27*Assumptions!$F$35+O28*Assumptions!$F$36+O29*Assumptions!$F$37+O30*Assumptions!$F$38+O31*Assumptions!$F$39</f>
        <v>0.697624108439154</v>
      </c>
      <c r="P34" s="26" t="n">
        <f aca="false">P27*Assumptions!$F$35+P28*Assumptions!$F$36+P29*Assumptions!$F$37+P30*Assumptions!$F$38+P31*Assumptions!$F$39</f>
        <v>1.14364625091119</v>
      </c>
      <c r="Q34" s="26" t="n">
        <f aca="false">Q27*Assumptions!$F$35+Q28*Assumptions!$F$36+Q29*Assumptions!$F$37+Q30*Assumptions!$F$38+Q31*Assumptions!$F$39</f>
        <v>1.65772187935271</v>
      </c>
      <c r="R34" s="26" t="n">
        <f aca="false">R27*Assumptions!$F$35+R28*Assumptions!$F$36+R29*Assumptions!$F$37+R30*Assumptions!$F$38+R31*Assumptions!$F$39</f>
        <v>2.2361934678504</v>
      </c>
      <c r="S34" s="26" t="n">
        <f aca="false">S27*Assumptions!$F$35+S28*Assumptions!$F$36+S29*Assumptions!$F$37+S30*Assumptions!$F$38+S31*Assumptions!$F$39</f>
        <v>2.98627836916057</v>
      </c>
      <c r="T34" s="26" t="n">
        <f aca="false">T27*Assumptions!$F$35+T28*Assumptions!$F$36+T29*Assumptions!$F$37+T30*Assumptions!$F$38+T31*Assumptions!$F$39</f>
        <v>3.8058456791891</v>
      </c>
      <c r="U34" s="26" t="n">
        <f aca="false">U27*Assumptions!$F$35+U28*Assumptions!$F$36+U29*Assumptions!$F$37+U30*Assumptions!$F$38+U31*Assumptions!$F$39</f>
        <v>4.68990190554892</v>
      </c>
      <c r="V34" s="26" t="n">
        <f aca="false">V27*Assumptions!$F$35+V28*Assumptions!$F$36+V29*Assumptions!$F$37+V30*Assumptions!$F$38+V31*Assumptions!$F$39</f>
        <v>5.63380343655764</v>
      </c>
      <c r="W34" s="26" t="n">
        <f aca="false">W27*Assumptions!$F$35+W28*Assumptions!$F$36+W29*Assumptions!$F$37+W30*Assumptions!$F$38+W31*Assumptions!$F$39</f>
        <v>6.67174697802438</v>
      </c>
      <c r="X34" s="26" t="n">
        <f aca="false">X27*Assumptions!$F$35+X28*Assumptions!$F$36+X29*Assumptions!$F$37+X30*Assumptions!$F$38+X31*Assumptions!$F$39</f>
        <v>7.79187788531523</v>
      </c>
      <c r="Y34" s="26" t="n">
        <f aca="false">Y27*Assumptions!$F$35+Y28*Assumptions!$F$36+Y29*Assumptions!$F$37+Y30*Assumptions!$F$38+Y31*Assumptions!$F$39</f>
        <v>8.97707837465649</v>
      </c>
      <c r="Z34" s="26" t="n">
        <f aca="false">Z27*Assumptions!$F$35+Z28*Assumptions!$F$36+Z29*Assumptions!$F$37+Z30*Assumptions!$F$38+Z31*Assumptions!$F$39</f>
        <v>10.2531768794557</v>
      </c>
      <c r="AA34" s="26" t="n">
        <f aca="false">AA27*Assumptions!$F$35+AA28*Assumptions!$F$36+AA29*Assumptions!$F$37+AA30*Assumptions!$F$38+AA31*Assumptions!$F$39</f>
        <v>11.60218468658</v>
      </c>
      <c r="AB34" s="26" t="n">
        <f aca="false">AB27*Assumptions!$F$35+AB28*Assumptions!$F$36+AB29*Assumptions!$F$37+AB30*Assumptions!$F$38+AB31*Assumptions!$F$39</f>
        <v>13.0059867108483</v>
      </c>
      <c r="AC34" s="26" t="n">
        <f aca="false">AC27*Assumptions!$F$35+AC28*Assumptions!$F$36+AC29*Assumptions!$F$37+AC30*Assumptions!$F$38+AC31*Assumptions!$F$39</f>
        <v>14.4848840630877</v>
      </c>
      <c r="AD34" s="26" t="n">
        <f aca="false">AD27*Assumptions!$F$35+AD28*Assumptions!$F$36+AD29*Assumptions!$F$37+AD30*Assumptions!$F$38+AD31*Assumptions!$F$39</f>
        <v>16.0605092789122</v>
      </c>
      <c r="AE34" s="26" t="n">
        <f aca="false">AE27*Assumptions!$F$35+AE28*Assumptions!$F$36+AE29*Assumptions!$F$37+AE30*Assumptions!$F$38+AE31*Assumptions!$F$39</f>
        <v>17.7063965083129</v>
      </c>
      <c r="AF34" s="26" t="n">
        <f aca="false">AF27*Assumptions!$F$35+AF28*Assumptions!$F$36+AF29*Assumptions!$F$37+AF30*Assumptions!$F$38+AF31*Assumptions!$F$39</f>
        <v>19.430548893662</v>
      </c>
      <c r="AG34" s="26" t="n">
        <f aca="false">AG27*Assumptions!$F$35+AG28*Assumptions!$F$36+AG29*Assumptions!$F$37+AG30*Assumptions!$F$38+AG31*Assumptions!$F$39</f>
        <v>21.2463943957166</v>
      </c>
      <c r="AH34" s="26" t="n">
        <f aca="false">AH27*Assumptions!$F$35+AH28*Assumptions!$F$36+AH29*Assumptions!$F$37+AH30*Assumptions!$F$38+AH31*Assumptions!$F$39</f>
        <v>23.1214851655119</v>
      </c>
      <c r="AI34" s="26" t="n">
        <f aca="false">AI27*Assumptions!$F$35+AI28*Assumptions!$F$36+AI29*Assumptions!$F$37+AI30*Assumptions!$F$38+AI31*Assumptions!$F$39</f>
        <v>25.0614277006378</v>
      </c>
      <c r="AJ34" s="26" t="n">
        <f aca="false">AJ27*Assumptions!$F$35+AJ28*Assumptions!$F$36+AJ29*Assumptions!$F$37+AJ30*Assumptions!$F$38+AJ31*Assumptions!$F$39</f>
        <v>27.074382522134</v>
      </c>
      <c r="AK34" s="26" t="n">
        <f aca="false">AK27*Assumptions!$F$35+AK28*Assumptions!$F$36+AK29*Assumptions!$F$37+AK30*Assumptions!$F$38+AK31*Assumptions!$F$39</f>
        <v>29.1677642835119</v>
      </c>
      <c r="AL34" s="26" t="n">
        <f aca="false">AL27*Assumptions!$F$35+AL28*Assumptions!$F$36+AL29*Assumptions!$F$37+AL30*Assumptions!$F$38+AL31*Assumptions!$F$39</f>
        <v>31.3405932551741</v>
      </c>
      <c r="AM34" s="26" t="n">
        <f aca="false">AM27*Assumptions!$F$35+AM28*Assumptions!$F$36+AM29*Assumptions!$F$37+AM30*Assumptions!$F$38+AM31*Assumptions!$F$39</f>
        <v>33.5872705489702</v>
      </c>
      <c r="AN34" s="37" t="n">
        <f aca="false">AN27*Assumptions!$F$35+AN28*Assumptions!$F$36+AN29*Assumptions!$F$37+AN30*Assumptions!$F$38+AN31*Assumptions!$F$39</f>
        <v>35.9072083987662</v>
      </c>
      <c r="AO34" s="37" t="n">
        <f aca="false">AO27*Assumptions!$F$35+AO28*Assumptions!$F$36+AO29*Assumptions!$F$37+AO30*Assumptions!$F$38+AO31*Assumptions!$F$39</f>
        <v>38.2936326634477</v>
      </c>
      <c r="AP34" s="37" t="n">
        <f aca="false">AP27*Assumptions!$F$35+AP28*Assumptions!$F$36+AP29*Assumptions!$F$37+AP30*Assumptions!$F$38+AP31*Assumptions!$F$39</f>
        <v>40.7402624563112</v>
      </c>
      <c r="AQ34" s="37" t="n">
        <f aca="false">AQ27*Assumptions!$F$35+AQ28*Assumptions!$F$36+AQ29*Assumptions!$F$37+AQ30*Assumptions!$F$38+AQ31*Assumptions!$F$39</f>
        <v>43.2412753491446</v>
      </c>
      <c r="AR34" s="37" t="n">
        <f aca="false">AR27*Assumptions!$F$35+AR28*Assumptions!$F$36+AR29*Assumptions!$F$37+AR30*Assumptions!$F$38+AR31*Assumptions!$F$39</f>
        <v>45.7912750318058</v>
      </c>
      <c r="AS34" s="37" t="n">
        <f aca="false">AS27*Assumptions!$F$35+AS28*Assumptions!$F$36+AS29*Assumptions!$F$37+AS30*Assumptions!$F$38+AS31*Assumptions!$F$39</f>
        <v>48.3852612532339</v>
      </c>
      <c r="AT34" s="37" t="n">
        <f aca="false">AT27*Assumptions!$F$35+AT28*Assumptions!$F$36+AT29*Assumptions!$F$37+AT30*Assumptions!$F$38+AT31*Assumptions!$F$39</f>
        <v>51.017061281126</v>
      </c>
      <c r="AU34" s="37" t="n">
        <f aca="false">AU27*Assumptions!$F$35+AU28*Assumptions!$F$36+AU29*Assumptions!$F$37+AU30*Assumptions!$F$38+AU31*Assumptions!$F$39</f>
        <v>53.6825138127945</v>
      </c>
      <c r="AV34" s="37" t="n">
        <f aca="false">AV27*Assumptions!$F$35+AV28*Assumptions!$F$36+AV29*Assumptions!$F$37+AV30*Assumptions!$F$38+AV31*Assumptions!$F$39</f>
        <v>56.3777662750274</v>
      </c>
      <c r="AW34" s="37" t="n">
        <f aca="false">AW27*Assumptions!$F$35+AW28*Assumptions!$F$36+AW29*Assumptions!$F$37+AW30*Assumptions!$F$38+AW31*Assumptions!$F$39</f>
        <v>59.0977124403701</v>
      </c>
      <c r="AX34" s="37" t="n">
        <f aca="false">AX27*Assumptions!$F$35+AX28*Assumptions!$F$36+AX29*Assumptions!$F$37+AX30*Assumptions!$F$38+AX31*Assumptions!$F$39</f>
        <v>61.8391820586609</v>
      </c>
      <c r="AY34" s="37" t="n">
        <f aca="false">AY27*Assumptions!$F$35+AY28*Assumptions!$F$36+AY29*Assumptions!$F$37+AY30*Assumptions!$F$38+AY31*Assumptions!$F$39</f>
        <v>64.5992434726364</v>
      </c>
      <c r="AZ34" s="37" t="n">
        <f aca="false">AZ27*Assumptions!$F$35+AZ28*Assumptions!$F$36+AZ29*Assumptions!$F$37+AZ30*Assumptions!$F$38+AZ31*Assumptions!$F$39</f>
        <v>67.3736461738091</v>
      </c>
      <c r="BA34" s="37" t="n">
        <f aca="false">BA27*Assumptions!$F$35+BA28*Assumptions!$F$36+BA29*Assumptions!$F$37+BA30*Assumptions!$F$38+BA31*Assumptions!$F$39</f>
        <v>70.1584744231</v>
      </c>
      <c r="BB34" s="37" t="n">
        <f aca="false">BB27*Assumptions!$F$35+BB28*Assumptions!$F$36+BB29*Assumptions!$F$37+BB30*Assumptions!$F$38+BB31*Assumptions!$F$39</f>
        <v>72.9516640125576</v>
      </c>
      <c r="BC34" s="37" t="n">
        <f aca="false">BC27*Assumptions!$F$35+BC28*Assumptions!$F$36+BC29*Assumptions!$F$37+BC30*Assumptions!$F$38+BC31*Assumptions!$F$39</f>
        <v>75.7497702247446</v>
      </c>
      <c r="BD34" s="37" t="n">
        <f aca="false">BD27*Assumptions!$F$35+BD28*Assumptions!$F$36+BD29*Assumptions!$F$37+BD30*Assumptions!$F$38+BD31*Assumptions!$F$39</f>
        <v>78.5496257937631</v>
      </c>
      <c r="BE34" s="37" t="n">
        <f aca="false">BE27*Assumptions!$F$35+BE28*Assumptions!$F$36+BE29*Assumptions!$F$37+BE30*Assumptions!$F$38+BE31*Assumptions!$F$39</f>
        <v>81.349861700644</v>
      </c>
      <c r="BF34" s="37" t="n">
        <f aca="false">BF27*Assumptions!$F$35+BF28*Assumptions!$F$36+BF29*Assumptions!$F$37+BF30*Assumptions!$F$38+BF31*Assumptions!$F$39</f>
        <v>84.1476788814553</v>
      </c>
      <c r="BG34" s="37" t="n">
        <f aca="false">BG27*Assumptions!$F$35+BG28*Assumptions!$F$36+BG29*Assumptions!$F$37+BG30*Assumptions!$F$38+BG31*Assumptions!$F$39</f>
        <v>86.9405096723255</v>
      </c>
      <c r="BH34" s="37" t="n">
        <f aca="false">BH27*Assumptions!$F$35+BH28*Assumptions!$F$36+BH29*Assumptions!$F$37+BH30*Assumptions!$F$38+BH31*Assumptions!$F$39</f>
        <v>89.7260012418093</v>
      </c>
      <c r="BI34" s="37" t="n">
        <f aca="false">BI27*Assumptions!$F$35+BI28*Assumptions!$F$36+BI29*Assumptions!$F$37+BI30*Assumptions!$F$38+BI31*Assumptions!$F$39</f>
        <v>92.5020001890882</v>
      </c>
      <c r="BJ34" s="37" t="n">
        <f aca="false">BJ27*Assumptions!$F$35+BJ28*Assumptions!$F$36+BJ29*Assumptions!$F$37+BJ30*Assumptions!$F$38+BJ31*Assumptions!$F$39</f>
        <v>95.2665382257263</v>
      </c>
      <c r="BK34" s="37" t="n">
        <f aca="false">BK27*Assumptions!$F$35+BK28*Assumptions!$F$36+BK29*Assumptions!$F$37+BK30*Assumptions!$F$38+BK31*Assumptions!$F$39</f>
        <v>98.0178188645364</v>
      </c>
    </row>
    <row r="35" customFormat="false" ht="15" hidden="false" customHeight="false" outlineLevel="0" collapsed="false">
      <c r="A35" s="28" t="s">
        <v>586</v>
      </c>
      <c r="B35" s="6" t="s">
        <v>587</v>
      </c>
      <c r="C35" s="42"/>
      <c r="D35" s="26" t="n">
        <f aca="false">MAX(0,D32-C32*(1-Assumptions!$F$41))</f>
        <v>0</v>
      </c>
      <c r="E35" s="26" t="n">
        <f aca="false">MAX(0,E32-D32*(1-Assumptions!$F$41))</f>
        <v>0</v>
      </c>
      <c r="F35" s="26" t="n">
        <f aca="false">MAX(0,F32-E32*(1-Assumptions!$F$41))</f>
        <v>0</v>
      </c>
      <c r="G35" s="26" t="n">
        <f aca="false">MAX(0,G32-F32*(1-Assumptions!$F$41))</f>
        <v>0</v>
      </c>
      <c r="H35" s="26" t="n">
        <f aca="false">MAX(0,H32-G32*(1-Assumptions!$F$41))</f>
        <v>0</v>
      </c>
      <c r="I35" s="26" t="n">
        <f aca="false">MAX(0,I32-H32*(1-Assumptions!$F$41))</f>
        <v>0</v>
      </c>
      <c r="J35" s="26" t="n">
        <f aca="false">MAX(0,J32-I32*(1-Assumptions!$F$41))</f>
        <v>0</v>
      </c>
      <c r="K35" s="26" t="n">
        <f aca="false">MAX(0,K32-J32*(1-Assumptions!$F$41))</f>
        <v>0</v>
      </c>
      <c r="L35" s="26" t="n">
        <f aca="false">MAX(0,L32-K32*(1-Assumptions!$F$41))</f>
        <v>0</v>
      </c>
      <c r="M35" s="26" t="n">
        <f aca="false">MAX(0,M32-L32*(1-Assumptions!$F$41))</f>
        <v>0</v>
      </c>
      <c r="N35" s="26" t="n">
        <f aca="false">MAX(0,N32-M32*(1-Assumptions!$F$41))</f>
        <v>0.375426434997945</v>
      </c>
      <c r="O35" s="26" t="n">
        <f aca="false">MAX(0,O32-N32*(1-Assumptions!$F$41))</f>
        <v>0.456570603274528</v>
      </c>
      <c r="P35" s="26" t="n">
        <f aca="false">MAX(0,P32-O32*(1-Assumptions!$F$41))</f>
        <v>0.549353959676718</v>
      </c>
      <c r="Q35" s="26" t="n">
        <f aca="false">MAX(0,Q32-P32*(1-Assumptions!$F$41))</f>
        <v>0.645158842316304</v>
      </c>
      <c r="R35" s="26" t="n">
        <f aca="false">MAX(0,R32-Q32*(1-Assumptions!$F$41))</f>
        <v>0.739062641033262</v>
      </c>
      <c r="S35" s="26" t="n">
        <f aca="false">MAX(0,S32-R32*(1-Assumptions!$F$41))</f>
        <v>2.09002075964141</v>
      </c>
      <c r="T35" s="26" t="n">
        <f aca="false">MAX(0,T32-S32*(1-Assumptions!$F$41))</f>
        <v>2.33003577553004</v>
      </c>
      <c r="U35" s="26" t="n">
        <f aca="false">MAX(0,U32-T32*(1-Assumptions!$F$41))</f>
        <v>2.56480433587923</v>
      </c>
      <c r="V35" s="26" t="n">
        <f aca="false">MAX(0,V32-U32*(1-Assumptions!$F$41))</f>
        <v>2.79464116516411</v>
      </c>
      <c r="W35" s="26" t="n">
        <f aca="false">MAX(0,W32-V32*(1-Assumptions!$F$41))</f>
        <v>3.11290236446347</v>
      </c>
      <c r="X35" s="26" t="n">
        <f aca="false">MAX(0,X32-W32*(1-Assumptions!$F$41))</f>
        <v>3.41175516191869</v>
      </c>
      <c r="Y35" s="26" t="n">
        <f aca="false">MAX(0,Y32-X32*(1-Assumptions!$F$41))</f>
        <v>3.67724886937501</v>
      </c>
      <c r="Z35" s="26" t="n">
        <f aca="false">MAX(0,Z32-Y32*(1-Assumptions!$F$41))</f>
        <v>4.01139400899053</v>
      </c>
      <c r="AA35" s="26" t="n">
        <f aca="false">MAX(0,AA32-Z32*(1-Assumptions!$F$41))</f>
        <v>4.31091152967326</v>
      </c>
      <c r="AB35" s="26" t="n">
        <f aca="false">MAX(0,AB32-AA32*(1-Assumptions!$F$41))</f>
        <v>4.57364786545809</v>
      </c>
      <c r="AC35" s="26" t="n">
        <f aca="false">MAX(0,AC32-AB32*(1-Assumptions!$F$41))</f>
        <v>4.89057554066531</v>
      </c>
      <c r="AD35" s="26" t="n">
        <f aca="false">MAX(0,AD32-AC32*(1-Assumptions!$F$41))</f>
        <v>5.26695510527402</v>
      </c>
      <c r="AE35" s="26" t="n">
        <f aca="false">MAX(0,AE32-AD32*(1-Assumptions!$F$41))</f>
        <v>5.58873733154856</v>
      </c>
      <c r="AF35" s="26" t="n">
        <f aca="false">MAX(0,AF32-AE32*(1-Assumptions!$F$41))</f>
        <v>5.9365031588839</v>
      </c>
      <c r="AG35" s="26" t="n">
        <f aca="false">MAX(0,AG32-AF32*(1-Assumptions!$F$41))</f>
        <v>6.32415535072999</v>
      </c>
      <c r="AH35" s="26" t="n">
        <f aca="false">MAX(0,AH32-AG32*(1-Assumptions!$F$41))</f>
        <v>6.64218694961112</v>
      </c>
      <c r="AI35" s="26" t="n">
        <f aca="false">MAX(0,AI32-AH32*(1-Assumptions!$F$41))</f>
        <v>6.97924281119101</v>
      </c>
      <c r="AJ35" s="26" t="n">
        <f aca="false">MAX(0,AJ32-AI32*(1-Assumptions!$F$41))</f>
        <v>7.3420552618407</v>
      </c>
      <c r="AK35" s="26" t="n">
        <f aca="false">MAX(0,AK32-AJ32*(1-Assumptions!$F$41))</f>
        <v>7.72963885998176</v>
      </c>
      <c r="AL35" s="26" t="n">
        <f aca="false">MAX(0,AL32-AK32*(1-Assumptions!$F$41))</f>
        <v>8.12244829811651</v>
      </c>
      <c r="AM35" s="26" t="n">
        <f aca="false">MAX(0,AM32-AL32*(1-Assumptions!$F$41))</f>
        <v>8.50920829534482</v>
      </c>
      <c r="AN35" s="37" t="n">
        <f aca="false">MAX(0,AN32-AM32*(1-Assumptions!$F$41))</f>
        <v>8.90144694957309</v>
      </c>
      <c r="AO35" s="37" t="n">
        <f aca="false">MAX(0,AO32-AN32*(1-Assumptions!$F$41))</f>
        <v>9.28414665764683</v>
      </c>
      <c r="AP35" s="37" t="n">
        <f aca="false">MAX(0,AP32-AO32*(1-Assumptions!$F$41))</f>
        <v>9.65780484339244</v>
      </c>
      <c r="AQ35" s="37" t="n">
        <f aca="false">MAX(0,AQ32-AP32*(1-Assumptions!$F$41))</f>
        <v>10.0228886841994</v>
      </c>
      <c r="AR35" s="37" t="n">
        <f aca="false">MAX(0,AR32-AQ32*(1-Assumptions!$F$41))</f>
        <v>10.3798370774614</v>
      </c>
      <c r="AS35" s="37" t="n">
        <f aca="false">MAX(0,AS32-AR32*(1-Assumptions!$F$41))</f>
        <v>10.7290624746725</v>
      </c>
      <c r="AT35" s="37" t="n">
        <f aca="false">MAX(0,AT32-AS32*(1-Assumptions!$F$41))</f>
        <v>11.0672301292585</v>
      </c>
      <c r="AU35" s="37" t="n">
        <f aca="false">MAX(0,AU32-AT32*(1-Assumptions!$F$41))</f>
        <v>11.3985822608951</v>
      </c>
      <c r="AV35" s="37" t="n">
        <f aca="false">MAX(0,AV32-AU32*(1-Assumptions!$F$41))</f>
        <v>11.7234531751032</v>
      </c>
      <c r="AW35" s="37" t="n">
        <f aca="false">MAX(0,AW32-AV32*(1-Assumptions!$F$41))</f>
        <v>12.0384349966542</v>
      </c>
      <c r="AX35" s="37" t="n">
        <f aca="false">MAX(0,AX32-AW32*(1-Assumptions!$F$41))</f>
        <v>12.3477014986235</v>
      </c>
      <c r="AY35" s="37" t="n">
        <f aca="false">MAX(0,AY32-AX32*(1-Assumptions!$F$41))</f>
        <v>12.6515229096574</v>
      </c>
      <c r="AZ35" s="37" t="n">
        <f aca="false">MAX(0,AZ32-AY32*(1-Assumptions!$F$41))</f>
        <v>12.9464313563981</v>
      </c>
      <c r="BA35" s="37" t="n">
        <f aca="false">MAX(0,BA32-AZ32*(1-Assumptions!$F$41))</f>
        <v>13.232821958401</v>
      </c>
      <c r="BB35" s="37" t="n">
        <f aca="false">MAX(0,BB32-BA32*(1-Assumptions!$F$41))</f>
        <v>13.5147899510239</v>
      </c>
      <c r="BC35" s="37" t="n">
        <f aca="false">MAX(0,BC32-BB32*(1-Assumptions!$F$41))</f>
        <v>13.788809522866</v>
      </c>
      <c r="BD35" s="37" t="n">
        <f aca="false">MAX(0,BD32-BC32*(1-Assumptions!$F$41))</f>
        <v>14.0552214981246</v>
      </c>
      <c r="BE35" s="37" t="n">
        <f aca="false">MAX(0,BE32-BD32*(1-Assumptions!$F$41))</f>
        <v>14.3180702189756</v>
      </c>
      <c r="BF35" s="37" t="n">
        <f aca="false">MAX(0,BF32-BE32*(1-Assumptions!$F$41))</f>
        <v>14.573782158828</v>
      </c>
      <c r="BG35" s="37" t="n">
        <f aca="false">MAX(0,BG32-BF32*(1-Assumptions!$F$41))</f>
        <v>14.8226533957021</v>
      </c>
      <c r="BH35" s="37" t="n">
        <f aca="false">MAX(0,BH32-BG32*(1-Assumptions!$F$41))</f>
        <v>15.0649638367594</v>
      </c>
      <c r="BI35" s="37" t="n">
        <f aca="false">MAX(0,BI32-BH32*(1-Assumptions!$F$41))</f>
        <v>15.3009782181575</v>
      </c>
      <c r="BJ35" s="37" t="n">
        <f aca="false">MAX(0,BJ32-BI32*(1-Assumptions!$F$41))</f>
        <v>15.5309470394794</v>
      </c>
      <c r="BK35" s="37" t="n">
        <f aca="false">MAX(0,BK32-BJ32*(1-Assumptions!$F$41))</f>
        <v>15.7551074371524</v>
      </c>
    </row>
    <row r="36" customFormat="false" ht="15" hidden="false" customHeight="false" outlineLevel="0" collapsed="false">
      <c r="B36" s="5" t="s">
        <v>588</v>
      </c>
    </row>
    <row r="37" customFormat="false" ht="15" hidden="false" customHeight="false" outlineLevel="0" collapsed="false">
      <c r="A37" s="28" t="s">
        <v>589</v>
      </c>
      <c r="B37" s="6" t="s">
        <v>590</v>
      </c>
      <c r="C37" s="43"/>
      <c r="D37" s="17" t="n">
        <f aca="false">D33*Assumptions!$F$42</f>
        <v>0</v>
      </c>
      <c r="E37" s="17" t="n">
        <f aca="false">E33*Assumptions!$F$42</f>
        <v>0</v>
      </c>
      <c r="F37" s="17" t="n">
        <f aca="false">F33*Assumptions!$F$42</f>
        <v>0</v>
      </c>
      <c r="G37" s="17" t="n">
        <f aca="false">G33*Assumptions!$F$42</f>
        <v>0</v>
      </c>
      <c r="H37" s="17" t="n">
        <f aca="false">H33*Assumptions!$F$42</f>
        <v>0</v>
      </c>
      <c r="I37" s="17" t="n">
        <f aca="false">I33*Assumptions!$F$42</f>
        <v>0</v>
      </c>
      <c r="J37" s="17" t="n">
        <f aca="false">J33*Assumptions!$F$42</f>
        <v>0</v>
      </c>
      <c r="K37" s="17" t="n">
        <f aca="false">K33*Assumptions!$F$42</f>
        <v>0</v>
      </c>
      <c r="L37" s="17" t="n">
        <f aca="false">L33*Assumptions!$F$42</f>
        <v>0</v>
      </c>
      <c r="M37" s="17" t="n">
        <f aca="false">M33*Assumptions!$F$42</f>
        <v>0</v>
      </c>
      <c r="N37" s="17" t="n">
        <f aca="false">N33*Assumptions!$F$42</f>
        <v>2.19624464473798</v>
      </c>
      <c r="O37" s="17" t="n">
        <f aca="false">O33*Assumptions!$F$42</f>
        <v>4.80129533455182</v>
      </c>
      <c r="P37" s="17" t="n">
        <f aca="false">P33*Assumptions!$F$42</f>
        <v>7.87097713862407</v>
      </c>
      <c r="Q37" s="17" t="n">
        <f aca="false">Q33*Assumptions!$F$42</f>
        <v>11.4090270520157</v>
      </c>
      <c r="R37" s="17" t="n">
        <f aca="false">R33*Assumptions!$F$42</f>
        <v>15.3902726904998</v>
      </c>
      <c r="S37" s="17" t="n">
        <f aca="false">S33*Assumptions!$F$42</f>
        <v>64.5697166273184</v>
      </c>
      <c r="T37" s="17" t="n">
        <f aca="false">T33*Assumptions!$F$42</f>
        <v>118.04694959114</v>
      </c>
      <c r="U37" s="17" t="n">
        <f aca="false">U33*Assumptions!$F$42</f>
        <v>175.601877930011</v>
      </c>
      <c r="V37" s="17" t="n">
        <f aca="false">V33*Assumptions!$F$42</f>
        <v>237.025482094678</v>
      </c>
      <c r="W37" s="17" t="n">
        <f aca="false">W33*Assumptions!$F$42</f>
        <v>304.246561707938</v>
      </c>
      <c r="X37" s="17" t="n">
        <f aca="false">X33*Assumptions!$F$42</f>
        <v>376.686566822897</v>
      </c>
      <c r="Y37" s="17" t="n">
        <f aca="false">Y33*Assumptions!$F$42</f>
        <v>453.459359513708</v>
      </c>
      <c r="Z37" s="17" t="n">
        <f aca="false">Z33*Assumptions!$F$42</f>
        <v>536.028921693409</v>
      </c>
      <c r="AA37" s="17" t="n">
        <f aca="false">AA33*Assumptions!$F$42</f>
        <v>623.466082273053</v>
      </c>
      <c r="AB37" s="17" t="n">
        <f aca="false">AB33*Assumptions!$F$42</f>
        <v>714.811531527965</v>
      </c>
      <c r="AC37" s="17" t="n">
        <f aca="false">AC33*Assumptions!$F$42</f>
        <v>811.205630479046</v>
      </c>
      <c r="AD37" s="17" t="n">
        <f aca="false">AD33*Assumptions!$F$42</f>
        <v>913.884012899391</v>
      </c>
      <c r="AE37" s="17" t="n">
        <f aca="false">AE33*Assumptions!$F$42</f>
        <v>1021.44785063985</v>
      </c>
      <c r="AF37" s="17" t="n">
        <f aca="false">AF33*Assumptions!$F$42</f>
        <v>1134.36961137378</v>
      </c>
      <c r="AG37" s="17" t="n">
        <f aca="false">AG33*Assumptions!$F$42</f>
        <v>1253.42886492532</v>
      </c>
      <c r="AH37" s="17" t="n">
        <f aca="false">AH33*Assumptions!$F$42</f>
        <v>1376.8844685474</v>
      </c>
      <c r="AI37" s="17" t="n">
        <f aca="false">AI33*Assumptions!$F$42</f>
        <v>1505.05850761386</v>
      </c>
      <c r="AJ37" s="17" t="n">
        <f aca="false">AJ33*Assumptions!$F$42</f>
        <v>1638.41979914914</v>
      </c>
      <c r="AK37" s="17" t="n">
        <f aca="false">AK33*Assumptions!$F$42</f>
        <v>1777.40420446932</v>
      </c>
      <c r="AL37" s="17" t="n">
        <f aca="false">AL33*Assumptions!$F$42</f>
        <v>1921.99094785524</v>
      </c>
      <c r="AM37" s="17" t="n">
        <f aca="false">AM33*Assumptions!$F$42</f>
        <v>2071.90143437143</v>
      </c>
      <c r="AN37" s="44" t="n">
        <f aca="false">AN33*Assumptions!$F$42</f>
        <v>2227.1261396893</v>
      </c>
      <c r="AO37" s="44" t="n">
        <f aca="false">AO33*Assumptions!$F$42</f>
        <v>2387.31209499772</v>
      </c>
      <c r="AP37" s="44" t="n">
        <f aca="false">AP33*Assumptions!$F$42</f>
        <v>2552.12500890218</v>
      </c>
      <c r="AQ37" s="44" t="n">
        <f aca="false">AQ33*Assumptions!$F$42</f>
        <v>2721.24830742451</v>
      </c>
      <c r="AR37" s="44" t="n">
        <f aca="false">AR33*Assumptions!$F$42</f>
        <v>2894.38222444048</v>
      </c>
      <c r="AS37" s="44" t="n">
        <f aca="false">AS33*Assumptions!$F$42</f>
        <v>3071.24293979658</v>
      </c>
      <c r="AT37" s="44" t="n">
        <f aca="false">AT33*Assumptions!$F$42</f>
        <v>3251.47666988969</v>
      </c>
      <c r="AU37" s="44" t="n">
        <f aca="false">AU33*Assumptions!$F$42</f>
        <v>3434.83446753392</v>
      </c>
      <c r="AV37" s="44" t="n">
        <f aca="false">AV33*Assumptions!$F$42</f>
        <v>3621.08072014888</v>
      </c>
      <c r="AW37" s="44" t="n">
        <f aca="false">AW33*Assumptions!$F$42</f>
        <v>3809.90737642378</v>
      </c>
      <c r="AX37" s="44" t="n">
        <f aca="false">AX33*Assumptions!$F$42</f>
        <v>4001.10887490881</v>
      </c>
      <c r="AY37" s="44" t="n">
        <f aca="false">AY33*Assumptions!$F$42</f>
        <v>4194.49076398451</v>
      </c>
      <c r="AZ37" s="44" t="n">
        <f aca="false">AZ33*Assumptions!$F$42</f>
        <v>4389.78404375578</v>
      </c>
      <c r="BA37" s="44" t="n">
        <f aca="false">BA33*Assumptions!$F$42</f>
        <v>4586.73511107504</v>
      </c>
      <c r="BB37" s="44" t="n">
        <f aca="false">BB33*Assumptions!$F$42</f>
        <v>4785.19005676885</v>
      </c>
      <c r="BC37" s="44" t="n">
        <f aca="false">BC33*Assumptions!$F$42</f>
        <v>4984.91833728757</v>
      </c>
      <c r="BD37" s="44" t="n">
        <f aca="false">BD33*Assumptions!$F$42</f>
        <v>5185.70282724113</v>
      </c>
      <c r="BE37" s="44" t="n">
        <f aca="false">BE33*Assumptions!$F$42</f>
        <v>5387.42421841689</v>
      </c>
      <c r="BF37" s="44" t="n">
        <f aca="false">BF33*Assumptions!$F$42</f>
        <v>5589.88478781728</v>
      </c>
      <c r="BG37" s="44" t="n">
        <f aca="false">BG33*Assumptions!$F$42</f>
        <v>5792.8985414799</v>
      </c>
      <c r="BH37" s="44" t="n">
        <f aca="false">BH33*Assumptions!$F$42</f>
        <v>5996.29060734263</v>
      </c>
      <c r="BI37" s="44" t="n">
        <f aca="false">BI33*Assumptions!$F$42</f>
        <v>6199.8966592337</v>
      </c>
      <c r="BJ37" s="44" t="n">
        <f aca="false">BJ33*Assumptions!$F$42</f>
        <v>6403.56237034627</v>
      </c>
      <c r="BK37" s="44" t="n">
        <f aca="false">BK33*Assumptions!$F$42</f>
        <v>6607.14289464713</v>
      </c>
    </row>
    <row r="38" customFormat="false" ht="15" hidden="false" customHeight="false" outlineLevel="0" collapsed="false">
      <c r="A38" s="28" t="s">
        <v>591</v>
      </c>
      <c r="B38" s="6" t="s">
        <v>592</v>
      </c>
      <c r="C38" s="43"/>
      <c r="D38" s="17" t="n">
        <f aca="false">D34*Assumptions!$F$43</f>
        <v>0</v>
      </c>
      <c r="E38" s="17" t="n">
        <f aca="false">E34*Assumptions!$F$43</f>
        <v>0</v>
      </c>
      <c r="F38" s="17" t="n">
        <f aca="false">F34*Assumptions!$F$43</f>
        <v>0</v>
      </c>
      <c r="G38" s="17" t="n">
        <f aca="false">G34*Assumptions!$F$43</f>
        <v>0</v>
      </c>
      <c r="H38" s="17" t="n">
        <f aca="false">H34*Assumptions!$F$43</f>
        <v>0</v>
      </c>
      <c r="I38" s="17" t="n">
        <f aca="false">I34*Assumptions!$F$43</f>
        <v>0</v>
      </c>
      <c r="J38" s="17" t="n">
        <f aca="false">J34*Assumptions!$F$43</f>
        <v>0</v>
      </c>
      <c r="K38" s="17" t="n">
        <f aca="false">K34*Assumptions!$F$43</f>
        <v>0</v>
      </c>
      <c r="L38" s="17" t="n">
        <f aca="false">L34*Assumptions!$F$43</f>
        <v>0</v>
      </c>
      <c r="M38" s="17" t="n">
        <f aca="false">M34*Assumptions!$F$43</f>
        <v>0</v>
      </c>
      <c r="N38" s="17" t="n">
        <f aca="false">N34*Assumptions!$F$43</f>
        <v>25.209885110112</v>
      </c>
      <c r="O38" s="17" t="n">
        <f aca="false">O34*Assumptions!$F$43</f>
        <v>55.1123045666932</v>
      </c>
      <c r="P38" s="17" t="n">
        <f aca="false">P34*Assumptions!$F$43</f>
        <v>90.348053821984</v>
      </c>
      <c r="Q38" s="17" t="n">
        <f aca="false">Q34*Assumptions!$F$43</f>
        <v>130.960028468864</v>
      </c>
      <c r="R38" s="17" t="n">
        <f aca="false">R34*Assumptions!$F$43</f>
        <v>176.659283960182</v>
      </c>
      <c r="S38" s="17" t="n">
        <f aca="false">S34*Assumptions!$F$43</f>
        <v>235.915991163685</v>
      </c>
      <c r="T38" s="17" t="n">
        <f aca="false">T34*Assumptions!$F$43</f>
        <v>300.661808655939</v>
      </c>
      <c r="U38" s="17" t="n">
        <f aca="false">U34*Assumptions!$F$43</f>
        <v>370.502250538364</v>
      </c>
      <c r="V38" s="17" t="n">
        <f aca="false">V34*Assumptions!$F$43</f>
        <v>445.070471488054</v>
      </c>
      <c r="W38" s="17" t="n">
        <f aca="false">W34*Assumptions!$F$43</f>
        <v>527.068011263926</v>
      </c>
      <c r="X38" s="17" t="n">
        <f aca="false">X34*Assumptions!$F$43</f>
        <v>615.558352939903</v>
      </c>
      <c r="Y38" s="17" t="n">
        <f aca="false">Y34*Assumptions!$F$43</f>
        <v>709.189191597863</v>
      </c>
      <c r="Z38" s="17" t="n">
        <f aca="false">Z34*Assumptions!$F$43</f>
        <v>810.000973477002</v>
      </c>
      <c r="AA38" s="17" t="n">
        <f aca="false">AA34*Assumptions!$F$43</f>
        <v>916.57259023982</v>
      </c>
      <c r="AB38" s="17" t="n">
        <f aca="false">AB34*Assumptions!$F$43</f>
        <v>1027.47295015702</v>
      </c>
      <c r="AC38" s="17" t="n">
        <f aca="false">AC34*Assumptions!$F$43</f>
        <v>1144.30584098392</v>
      </c>
      <c r="AD38" s="17" t="n">
        <f aca="false">AD34*Assumptions!$F$43</f>
        <v>1268.78023303406</v>
      </c>
      <c r="AE38" s="17" t="n">
        <f aca="false">AE34*Assumptions!$F$43</f>
        <v>1398.80532415672</v>
      </c>
      <c r="AF38" s="17" t="n">
        <f aca="false">AF34*Assumptions!$F$43</f>
        <v>1535.0133625993</v>
      </c>
      <c r="AG38" s="17" t="n">
        <f aca="false">AG34*Assumptions!$F$43</f>
        <v>1678.46515726161</v>
      </c>
      <c r="AH38" s="17" t="n">
        <f aca="false">AH34*Assumptions!$F$43</f>
        <v>1826.59732807544</v>
      </c>
      <c r="AI38" s="17" t="n">
        <f aca="false">AI34*Assumptions!$F$43</f>
        <v>1979.85278835038</v>
      </c>
      <c r="AJ38" s="17" t="n">
        <f aca="false">AJ34*Assumptions!$F$43</f>
        <v>2138.87621924859</v>
      </c>
      <c r="AK38" s="17" t="n">
        <f aca="false">AK34*Assumptions!$F$43</f>
        <v>2304.25337839744</v>
      </c>
      <c r="AL38" s="17" t="n">
        <f aca="false">AL34*Assumptions!$F$43</f>
        <v>2475.90686715876</v>
      </c>
      <c r="AM38" s="17" t="n">
        <f aca="false">AM34*Assumptions!$F$43</f>
        <v>2653.39437336865</v>
      </c>
      <c r="AN38" s="44" t="n">
        <f aca="false">AN34*Assumptions!$F$43</f>
        <v>2836.66946350253</v>
      </c>
      <c r="AO38" s="44" t="n">
        <f aca="false">AO34*Assumptions!$F$43</f>
        <v>3025.19698041237</v>
      </c>
      <c r="AP38" s="44" t="n">
        <f aca="false">AP34*Assumptions!$F$43</f>
        <v>3218.48073404859</v>
      </c>
      <c r="AQ38" s="44" t="n">
        <f aca="false">AQ34*Assumptions!$F$43</f>
        <v>3416.06075258242</v>
      </c>
      <c r="AR38" s="44" t="n">
        <f aca="false">AR34*Assumptions!$F$43</f>
        <v>3617.51072751266</v>
      </c>
      <c r="AS38" s="44" t="n">
        <f aca="false">AS34*Assumptions!$F$43</f>
        <v>3822.43563900548</v>
      </c>
      <c r="AT38" s="44" t="n">
        <f aca="false">AT34*Assumptions!$F$43</f>
        <v>4030.34784120895</v>
      </c>
      <c r="AU38" s="44" t="n">
        <f aca="false">AU34*Assumptions!$F$43</f>
        <v>4240.91859121076</v>
      </c>
      <c r="AV38" s="44" t="n">
        <f aca="false">AV34*Assumptions!$F$43</f>
        <v>4453.84353572716</v>
      </c>
      <c r="AW38" s="44" t="n">
        <f aca="false">AW34*Assumptions!$F$43</f>
        <v>4668.71928278924</v>
      </c>
      <c r="AX38" s="44" t="n">
        <f aca="false">AX34*Assumptions!$F$43</f>
        <v>4885.29538263422</v>
      </c>
      <c r="AY38" s="44" t="n">
        <f aca="false">AY34*Assumptions!$F$43</f>
        <v>5103.34023433827</v>
      </c>
      <c r="AZ38" s="44" t="n">
        <f aca="false">AZ34*Assumptions!$F$43</f>
        <v>5322.51804773092</v>
      </c>
      <c r="BA38" s="44" t="n">
        <f aca="false">BA34*Assumptions!$F$43</f>
        <v>5542.5194794249</v>
      </c>
      <c r="BB38" s="44" t="n">
        <f aca="false">BB34*Assumptions!$F$43</f>
        <v>5763.18145699205</v>
      </c>
      <c r="BC38" s="44" t="n">
        <f aca="false">BC34*Assumptions!$F$43</f>
        <v>5984.23184775482</v>
      </c>
      <c r="BD38" s="44" t="n">
        <f aca="false">BD34*Assumptions!$F$43</f>
        <v>6205.42043770729</v>
      </c>
      <c r="BE38" s="44" t="n">
        <f aca="false">BE34*Assumptions!$F$43</f>
        <v>6426.63907435087</v>
      </c>
      <c r="BF38" s="44" t="n">
        <f aca="false">BF34*Assumptions!$F$43</f>
        <v>6647.66663163497</v>
      </c>
      <c r="BG38" s="44" t="n">
        <f aca="false">BG34*Assumptions!$F$43</f>
        <v>6868.30026411371</v>
      </c>
      <c r="BH38" s="44" t="n">
        <f aca="false">BH34*Assumptions!$F$43</f>
        <v>7088.35409810293</v>
      </c>
      <c r="BI38" s="44" t="n">
        <f aca="false">BI34*Assumptions!$F$43</f>
        <v>7307.65801493797</v>
      </c>
      <c r="BJ38" s="44" t="n">
        <f aca="false">BJ34*Assumptions!$F$43</f>
        <v>7526.05651983238</v>
      </c>
      <c r="BK38" s="44" t="n">
        <f aca="false">BK34*Assumptions!$F$43</f>
        <v>7743.40769029838</v>
      </c>
    </row>
    <row r="39" customFormat="false" ht="15" hidden="false" customHeight="false" outlineLevel="0" collapsed="false">
      <c r="A39" s="28" t="s">
        <v>593</v>
      </c>
      <c r="B39" s="6" t="s">
        <v>594</v>
      </c>
      <c r="C39" s="43"/>
      <c r="D39" s="17" t="n">
        <f aca="false">(D33*Assumptions!$F$46+D34*Assumptions!$F$47)*Assumptions!$F$45</f>
        <v>0</v>
      </c>
      <c r="E39" s="17" t="n">
        <f aca="false">(E33*Assumptions!$F$46+E34*Assumptions!$F$47)*Assumptions!$F$45</f>
        <v>0</v>
      </c>
      <c r="F39" s="17" t="n">
        <f aca="false">(F33*Assumptions!$F$46+F34*Assumptions!$F$47)*Assumptions!$F$45</f>
        <v>0</v>
      </c>
      <c r="G39" s="17" t="n">
        <f aca="false">(G33*Assumptions!$F$46+G34*Assumptions!$F$47)*Assumptions!$F$45</f>
        <v>0</v>
      </c>
      <c r="H39" s="17" t="n">
        <f aca="false">(H33*Assumptions!$F$46+H34*Assumptions!$F$47)*Assumptions!$F$45</f>
        <v>0</v>
      </c>
      <c r="I39" s="17" t="n">
        <f aca="false">(I33*Assumptions!$F$46+I34*Assumptions!$F$47)*Assumptions!$F$45</f>
        <v>0</v>
      </c>
      <c r="J39" s="17" t="n">
        <f aca="false">(J33*Assumptions!$F$46+J34*Assumptions!$F$47)*Assumptions!$F$45</f>
        <v>0</v>
      </c>
      <c r="K39" s="17" t="n">
        <f aca="false">(K33*Assumptions!$F$46+K34*Assumptions!$F$47)*Assumptions!$F$45</f>
        <v>0</v>
      </c>
      <c r="L39" s="17" t="n">
        <f aca="false">(L33*Assumptions!$F$46+L34*Assumptions!$F$47)*Assumptions!$F$45</f>
        <v>0</v>
      </c>
      <c r="M39" s="17" t="n">
        <f aca="false">(M33*Assumptions!$F$46+M34*Assumptions!$F$47)*Assumptions!$F$45</f>
        <v>0</v>
      </c>
      <c r="N39" s="17" t="n">
        <f aca="false">(N33*Assumptions!$F$46+N34*Assumptions!$F$47)*Assumptions!$F$45</f>
        <v>1233.27583896825</v>
      </c>
      <c r="O39" s="17" t="n">
        <f aca="false">(O33*Assumptions!$F$46+O34*Assumptions!$F$47)*Assumptions!$F$45</f>
        <v>2696.11199555602</v>
      </c>
      <c r="P39" s="17" t="n">
        <f aca="false">(P33*Assumptions!$F$46+P34*Assumptions!$F$47)*Assumptions!$F$45</f>
        <v>4419.85639322736</v>
      </c>
      <c r="Q39" s="17" t="n">
        <f aca="false">(Q33*Assumptions!$F$46+Q34*Assumptions!$F$47)*Assumptions!$F$45</f>
        <v>6406.6074984396</v>
      </c>
      <c r="R39" s="17" t="n">
        <f aca="false">(R33*Assumptions!$F$46+R34*Assumptions!$F$47)*Assumptions!$F$45</f>
        <v>8642.23004928068</v>
      </c>
      <c r="S39" s="17" t="n">
        <f aca="false">(S33*Assumptions!$F$46+S34*Assumptions!$F$47)*Assumptions!$F$45</f>
        <v>13234.0527684903</v>
      </c>
      <c r="T39" s="17" t="n">
        <f aca="false">(T33*Assumptions!$F$46+T34*Assumptions!$F$47)*Assumptions!$F$45</f>
        <v>18241.3117370477</v>
      </c>
      <c r="U39" s="17" t="n">
        <f aca="false">(U33*Assumptions!$F$46+U34*Assumptions!$F$47)*Assumptions!$F$45</f>
        <v>23637.5652418996</v>
      </c>
      <c r="V39" s="17" t="n">
        <f aca="false">(V33*Assumptions!$F$46+V34*Assumptions!$F$47)*Assumptions!$F$45</f>
        <v>29398.0570675567</v>
      </c>
      <c r="W39" s="17" t="n">
        <f aca="false">(W33*Assumptions!$F$46+W34*Assumptions!$F$47)*Assumptions!$F$45</f>
        <v>35720.0799558085</v>
      </c>
      <c r="X39" s="17" t="n">
        <f aca="false">(X33*Assumptions!$F$46+X34*Assumptions!$F$47)*Assumptions!$F$45</f>
        <v>42538.7052649386</v>
      </c>
      <c r="Y39" s="17" t="n">
        <f aca="false">(Y33*Assumptions!$F$46+Y34*Assumptions!$F$47)*Assumptions!$F$45</f>
        <v>49758.2267454444</v>
      </c>
      <c r="Z39" s="17" t="n">
        <f aca="false">(Z33*Assumptions!$F$46+Z34*Assumptions!$F$47)*Assumptions!$F$45</f>
        <v>57527.9337542486</v>
      </c>
      <c r="AA39" s="17" t="n">
        <f aca="false">(AA33*Assumptions!$F$46+AA34*Assumptions!$F$47)*Assumptions!$F$45</f>
        <v>65747.3295744978</v>
      </c>
      <c r="AB39" s="17" t="n">
        <f aca="false">(AB33*Assumptions!$F$46+AB34*Assumptions!$F$47)*Assumptions!$F$45</f>
        <v>74314.303371668</v>
      </c>
      <c r="AC39" s="17" t="n">
        <f aca="false">(AC33*Assumptions!$F$46+AC34*Assumptions!$F$47)*Assumptions!$F$45</f>
        <v>83345.7991840019</v>
      </c>
      <c r="AD39" s="17" t="n">
        <f aca="false">(AD33*Assumptions!$F$46+AD34*Assumptions!$F$47)*Assumptions!$F$45</f>
        <v>92967.218515599</v>
      </c>
      <c r="AE39" s="17" t="n">
        <f aca="false">(AE33*Assumptions!$F$46+AE34*Assumptions!$F$47)*Assumptions!$F$45</f>
        <v>103029.483223767</v>
      </c>
      <c r="AF39" s="17" t="n">
        <f aca="false">(AF33*Assumptions!$F$46+AF34*Assumptions!$F$47)*Assumptions!$F$45</f>
        <v>113579.576454636</v>
      </c>
      <c r="AG39" s="17" t="n">
        <f aca="false">(AG33*Assumptions!$F$46+AG34*Assumptions!$F$47)*Assumptions!$F$45</f>
        <v>124695.822321708</v>
      </c>
      <c r="AH39" s="17" t="n">
        <f aca="false">(AH33*Assumptions!$F$46+AH34*Assumptions!$F$47)*Assumptions!$F$45</f>
        <v>136194.441539973</v>
      </c>
      <c r="AI39" s="17" t="n">
        <f aca="false">(AI33*Assumptions!$F$46+AI34*Assumptions!$F$47)*Assumptions!$F$45</f>
        <v>148108.005399752</v>
      </c>
      <c r="AJ39" s="17" t="n">
        <f aca="false">(AJ33*Assumptions!$F$46+AJ34*Assumptions!$F$47)*Assumptions!$F$45</f>
        <v>160483.923200803</v>
      </c>
      <c r="AK39" s="17" t="n">
        <f aca="false">(AK33*Assumptions!$F$46+AK34*Assumptions!$F$47)*Assumptions!$F$45</f>
        <v>173365.65159254</v>
      </c>
      <c r="AL39" s="17" t="n">
        <f aca="false">(AL33*Assumptions!$F$46+AL34*Assumptions!$F$47)*Assumptions!$F$45</f>
        <v>186748.86448229</v>
      </c>
      <c r="AM39" s="17" t="n">
        <f aca="false">(AM33*Assumptions!$F$46+AM34*Assumptions!$F$47)*Assumptions!$F$45</f>
        <v>200602.690682886</v>
      </c>
      <c r="AN39" s="44" t="n">
        <f aca="false">(AN33*Assumptions!$F$46+AN34*Assumptions!$F$47)*Assumptions!$F$45</f>
        <v>214924.647915916</v>
      </c>
      <c r="AO39" s="44" t="n">
        <f aca="false">(AO33*Assumptions!$F$46+AO34*Assumptions!$F$47)*Assumptions!$F$45</f>
        <v>229676.773549862</v>
      </c>
      <c r="AP39" s="44" t="n">
        <f aca="false">(AP33*Assumptions!$F$46+AP34*Assumptions!$F$47)*Assumptions!$F$45</f>
        <v>244823.599031266</v>
      </c>
      <c r="AQ39" s="44" t="n">
        <f aca="false">(AQ33*Assumptions!$F$46+AQ34*Assumptions!$F$47)*Assumptions!$F$45</f>
        <v>260331.987696324</v>
      </c>
      <c r="AR39" s="44" t="n">
        <f aca="false">(AR33*Assumptions!$F$46+AR34*Assumptions!$F$47)*Assumptions!$F$45</f>
        <v>276170.983362212</v>
      </c>
      <c r="AS39" s="44" t="n">
        <f aca="false">(AS33*Assumptions!$F$46+AS34*Assumptions!$F$47)*Assumptions!$F$45</f>
        <v>292311.668965357</v>
      </c>
      <c r="AT39" s="44" t="n">
        <f aca="false">(AT33*Assumptions!$F$46+AT34*Assumptions!$F$47)*Assumptions!$F$45</f>
        <v>308718.215607811</v>
      </c>
      <c r="AU39" s="44" t="n">
        <f aca="false">(AU33*Assumptions!$F$46+AU34*Assumptions!$F$47)*Assumptions!$F$45</f>
        <v>325366.067708134</v>
      </c>
      <c r="AV39" s="44" t="n">
        <f aca="false">(AV33*Assumptions!$F$46+AV34*Assumptions!$F$47)*Assumptions!$F$45</f>
        <v>342232.29398044</v>
      </c>
      <c r="AW39" s="44" t="n">
        <f aca="false">(AW33*Assumptions!$F$46+AW34*Assumptions!$F$47)*Assumptions!$F$45</f>
        <v>359286.663878555</v>
      </c>
      <c r="AX39" s="44" t="n">
        <f aca="false">(AX33*Assumptions!$F$46+AX34*Assumptions!$F$47)*Assumptions!$F$45</f>
        <v>376509.858292287</v>
      </c>
      <c r="AY39" s="44" t="n">
        <f aca="false">(AY33*Assumptions!$F$46+AY34*Assumptions!$F$47)*Assumptions!$F$45</f>
        <v>393883.844347049</v>
      </c>
      <c r="AZ39" s="44" t="n">
        <f aca="false">(AZ33*Assumptions!$F$46+AZ34*Assumptions!$F$47)*Assumptions!$F$45</f>
        <v>411382.974062473</v>
      </c>
      <c r="BA39" s="44" t="n">
        <f aca="false">(BA33*Assumptions!$F$46+BA34*Assumptions!$F$47)*Assumptions!$F$45</f>
        <v>428983.396810661</v>
      </c>
      <c r="BB39" s="44" t="n">
        <f aca="false">(BB33*Assumptions!$F$46+BB34*Assumptions!$F$47)*Assumptions!$F$45</f>
        <v>446671.761859394</v>
      </c>
      <c r="BC39" s="44" t="n">
        <f aca="false">(BC33*Assumptions!$F$46+BC34*Assumptions!$F$47)*Assumptions!$F$45</f>
        <v>464426.801166295</v>
      </c>
      <c r="BD39" s="44" t="n">
        <f aca="false">(BD33*Assumptions!$F$46+BD34*Assumptions!$F$47)*Assumptions!$F$45</f>
        <v>482228.761597591</v>
      </c>
      <c r="BE39" s="44" t="n">
        <f aca="false">(BE33*Assumptions!$F$46+BE34*Assumptions!$F$47)*Assumptions!$F$45</f>
        <v>500068.125907583</v>
      </c>
      <c r="BF39" s="44" t="n">
        <f aca="false">(BF33*Assumptions!$F$46+BF34*Assumptions!$F$47)*Assumptions!$F$45</f>
        <v>517927.212735442</v>
      </c>
      <c r="BG39" s="44" t="n">
        <f aca="false">(BG33*Assumptions!$F$46+BG34*Assumptions!$F$47)*Assumptions!$F$45</f>
        <v>535789.624877291</v>
      </c>
      <c r="BH39" s="44" t="n">
        <f aca="false">(BH33*Assumptions!$F$46+BH34*Assumptions!$F$47)*Assumptions!$F$45</f>
        <v>553640.166291384</v>
      </c>
      <c r="BI39" s="44" t="n">
        <f aca="false">(BI33*Assumptions!$F$46+BI34*Assumptions!$F$47)*Assumptions!$F$45</f>
        <v>571464.764497398</v>
      </c>
      <c r="BJ39" s="44" t="n">
        <f aca="false">(BJ33*Assumptions!$F$46+BJ34*Assumptions!$F$47)*Assumptions!$F$45</f>
        <v>589250.398010548</v>
      </c>
      <c r="BK39" s="44" t="n">
        <f aca="false">(BK33*Assumptions!$F$46+BK34*Assumptions!$F$47)*Assumptions!$F$45</f>
        <v>606985.028475682</v>
      </c>
    </row>
    <row r="40" customFormat="false" ht="15" hidden="false" customHeight="false" outlineLevel="0" collapsed="false">
      <c r="A40" s="28" t="s">
        <v>595</v>
      </c>
      <c r="B40" s="6" t="s">
        <v>596</v>
      </c>
      <c r="C40" s="43"/>
      <c r="D40" s="17" t="n">
        <f aca="false">D39*Assumptions!$F$44</f>
        <v>0</v>
      </c>
      <c r="E40" s="17" t="n">
        <f aca="false">E39*Assumptions!$F$44</f>
        <v>0</v>
      </c>
      <c r="F40" s="17" t="n">
        <f aca="false">F39*Assumptions!$F$44</f>
        <v>0</v>
      </c>
      <c r="G40" s="17" t="n">
        <f aca="false">G39*Assumptions!$F$44</f>
        <v>0</v>
      </c>
      <c r="H40" s="17" t="n">
        <f aca="false">H39*Assumptions!$F$44</f>
        <v>0</v>
      </c>
      <c r="I40" s="17" t="n">
        <f aca="false">I39*Assumptions!$F$44</f>
        <v>0</v>
      </c>
      <c r="J40" s="17" t="n">
        <f aca="false">J39*Assumptions!$F$44</f>
        <v>0</v>
      </c>
      <c r="K40" s="17" t="n">
        <f aca="false">K39*Assumptions!$F$44</f>
        <v>0</v>
      </c>
      <c r="L40" s="17" t="n">
        <f aca="false">L39*Assumptions!$F$44</f>
        <v>0</v>
      </c>
      <c r="M40" s="17" t="n">
        <f aca="false">M39*Assumptions!$F$44</f>
        <v>0</v>
      </c>
      <c r="N40" s="17" t="n">
        <f aca="false">N39*Assumptions!$F$44</f>
        <v>9.24956879226186</v>
      </c>
      <c r="O40" s="17" t="n">
        <f aca="false">O39*Assumptions!$F$44</f>
        <v>20.2208399666702</v>
      </c>
      <c r="P40" s="17" t="n">
        <f aca="false">P39*Assumptions!$F$44</f>
        <v>33.1489229492052</v>
      </c>
      <c r="Q40" s="17" t="n">
        <f aca="false">Q39*Assumptions!$F$44</f>
        <v>48.049556238297</v>
      </c>
      <c r="R40" s="17" t="n">
        <f aca="false">R39*Assumptions!$F$44</f>
        <v>64.8167253696051</v>
      </c>
      <c r="S40" s="17" t="n">
        <f aca="false">S39*Assumptions!$F$44</f>
        <v>99.2553957636772</v>
      </c>
      <c r="T40" s="17" t="n">
        <f aca="false">T39*Assumptions!$F$44</f>
        <v>136.809838027858</v>
      </c>
      <c r="U40" s="17" t="n">
        <f aca="false">U39*Assumptions!$F$44</f>
        <v>177.281739314247</v>
      </c>
      <c r="V40" s="17" t="n">
        <f aca="false">V39*Assumptions!$F$44</f>
        <v>220.485428006675</v>
      </c>
      <c r="W40" s="17" t="n">
        <f aca="false">W39*Assumptions!$F$44</f>
        <v>267.900599668564</v>
      </c>
      <c r="X40" s="17" t="n">
        <f aca="false">X39*Assumptions!$F$44</f>
        <v>319.040289487039</v>
      </c>
      <c r="Y40" s="17" t="n">
        <f aca="false">Y39*Assumptions!$F$44</f>
        <v>373.186700590833</v>
      </c>
      <c r="Z40" s="17" t="n">
        <f aca="false">Z39*Assumptions!$F$44</f>
        <v>431.459503156865</v>
      </c>
      <c r="AA40" s="17" t="n">
        <f aca="false">AA39*Assumptions!$F$44</f>
        <v>493.104971808733</v>
      </c>
      <c r="AB40" s="17" t="n">
        <f aca="false">AB39*Assumptions!$F$44</f>
        <v>557.35727528751</v>
      </c>
      <c r="AC40" s="17" t="n">
        <f aca="false">AC39*Assumptions!$F$44</f>
        <v>625.093493880015</v>
      </c>
      <c r="AD40" s="17" t="n">
        <f aca="false">AD39*Assumptions!$F$44</f>
        <v>697.254138866992</v>
      </c>
      <c r="AE40" s="17" t="n">
        <f aca="false">AE39*Assumptions!$F$44</f>
        <v>772.721124178251</v>
      </c>
      <c r="AF40" s="17" t="n">
        <f aca="false">AF39*Assumptions!$F$44</f>
        <v>851.846823409774</v>
      </c>
      <c r="AG40" s="17" t="n">
        <f aca="false">AG39*Assumptions!$F$44</f>
        <v>935.218667412808</v>
      </c>
      <c r="AH40" s="17" t="n">
        <f aca="false">AH39*Assumptions!$F$44</f>
        <v>1021.4583115498</v>
      </c>
      <c r="AI40" s="17" t="n">
        <f aca="false">AI39*Assumptions!$F$44</f>
        <v>1110.81004049814</v>
      </c>
      <c r="AJ40" s="17" t="n">
        <f aca="false">AJ39*Assumptions!$F$44</f>
        <v>1203.62942400602</v>
      </c>
      <c r="AK40" s="17" t="n">
        <f aca="false">AK39*Assumptions!$F$44</f>
        <v>1300.24238694405</v>
      </c>
      <c r="AL40" s="17" t="n">
        <f aca="false">AL39*Assumptions!$F$44</f>
        <v>1400.61648361718</v>
      </c>
      <c r="AM40" s="17" t="n">
        <f aca="false">AM39*Assumptions!$F$44</f>
        <v>1504.52018012165</v>
      </c>
      <c r="AN40" s="44" t="n">
        <f aca="false">AN39*Assumptions!$F$44</f>
        <v>1611.93485936937</v>
      </c>
      <c r="AO40" s="44" t="n">
        <f aca="false">AO39*Assumptions!$F$44</f>
        <v>1722.57580162397</v>
      </c>
      <c r="AP40" s="44" t="n">
        <f aca="false">AP39*Assumptions!$F$44</f>
        <v>1836.17699273449</v>
      </c>
      <c r="AQ40" s="44" t="n">
        <f aca="false">AQ39*Assumptions!$F$44</f>
        <v>1952.48990772243</v>
      </c>
      <c r="AR40" s="44" t="n">
        <f aca="false">AR39*Assumptions!$F$44</f>
        <v>2071.28237521659</v>
      </c>
      <c r="AS40" s="44" t="n">
        <f aca="false">AS39*Assumptions!$F$44</f>
        <v>2192.33751724018</v>
      </c>
      <c r="AT40" s="44" t="n">
        <f aca="false">AT39*Assumptions!$F$44</f>
        <v>2315.38661705858</v>
      </c>
      <c r="AU40" s="44" t="n">
        <f aca="false">AU39*Assumptions!$F$44</f>
        <v>2440.24550781101</v>
      </c>
      <c r="AV40" s="44" t="n">
        <f aca="false">AV39*Assumptions!$F$44</f>
        <v>2566.7422048533</v>
      </c>
      <c r="AW40" s="44" t="n">
        <f aca="false">AW39*Assumptions!$F$44</f>
        <v>2694.64997908916</v>
      </c>
      <c r="AX40" s="44" t="n">
        <f aca="false">AX39*Assumptions!$F$44</f>
        <v>2823.82393719216</v>
      </c>
      <c r="AY40" s="44" t="n">
        <f aca="false">AY39*Assumptions!$F$44</f>
        <v>2954.12883260287</v>
      </c>
      <c r="AZ40" s="44" t="n">
        <f aca="false">AZ39*Assumptions!$F$44</f>
        <v>3085.37230546855</v>
      </c>
      <c r="BA40" s="44" t="n">
        <f aca="false">BA39*Assumptions!$F$44</f>
        <v>3217.37547607996</v>
      </c>
      <c r="BB40" s="44" t="n">
        <f aca="false">BB39*Assumptions!$F$44</f>
        <v>3350.03821394545</v>
      </c>
      <c r="BC40" s="44" t="n">
        <f aca="false">BC39*Assumptions!$F$44</f>
        <v>3483.20100874721</v>
      </c>
      <c r="BD40" s="44" t="n">
        <f aca="false">BD39*Assumptions!$F$44</f>
        <v>3616.71571198193</v>
      </c>
      <c r="BE40" s="44" t="n">
        <f aca="false">BE39*Assumptions!$F$44</f>
        <v>3750.51094430687</v>
      </c>
      <c r="BF40" s="44" t="n">
        <f aca="false">BF39*Assumptions!$F$44</f>
        <v>3884.45409551581</v>
      </c>
      <c r="BG40" s="44" t="n">
        <f aca="false">BG39*Assumptions!$F$44</f>
        <v>4018.42218657968</v>
      </c>
      <c r="BH40" s="44" t="n">
        <f aca="false">BH39*Assumptions!$F$44</f>
        <v>4152.30124718538</v>
      </c>
      <c r="BI40" s="44" t="n">
        <f aca="false">BI39*Assumptions!$F$44</f>
        <v>4285.98573373049</v>
      </c>
      <c r="BJ40" s="44" t="n">
        <f aca="false">BJ39*Assumptions!$F$44</f>
        <v>4419.37798507911</v>
      </c>
      <c r="BK40" s="44" t="n">
        <f aca="false">BK39*Assumptions!$F$44</f>
        <v>4552.38771356762</v>
      </c>
    </row>
    <row r="41" customFormat="false" ht="15" hidden="false" customHeight="false" outlineLevel="0" collapsed="false">
      <c r="A41" s="28" t="s">
        <v>597</v>
      </c>
      <c r="B41" s="6" t="s">
        <v>598</v>
      </c>
      <c r="C41" s="43"/>
      <c r="D41" s="17" t="n">
        <f aca="false">D24*Assumptions!$F$17*Assumptions!$F$68*Assumptions!$F$69*Assumptions!$F$70*Assumptions!$F$71/1000*D21</f>
        <v>0</v>
      </c>
      <c r="E41" s="17" t="n">
        <f aca="false">E24*Assumptions!$F$17*Assumptions!$F$68*Assumptions!$F$69*Assumptions!$F$70*Assumptions!$F$71/1000*E21</f>
        <v>0</v>
      </c>
      <c r="F41" s="17" t="n">
        <f aca="false">F24*Assumptions!$F$17*Assumptions!$F$68*Assumptions!$F$69*Assumptions!$F$70*Assumptions!$F$71/1000*F21</f>
        <v>0</v>
      </c>
      <c r="G41" s="17" t="n">
        <f aca="false">G24*Assumptions!$F$17*Assumptions!$F$68*Assumptions!$F$69*Assumptions!$F$70*Assumptions!$F$71/1000*G21</f>
        <v>0</v>
      </c>
      <c r="H41" s="17" t="n">
        <f aca="false">H24*Assumptions!$F$17*Assumptions!$F$68*Assumptions!$F$69*Assumptions!$F$70*Assumptions!$F$71/1000*H21</f>
        <v>0</v>
      </c>
      <c r="I41" s="17" t="n">
        <f aca="false">I24*Assumptions!$F$17*Assumptions!$F$68*Assumptions!$F$69*Assumptions!$F$70*Assumptions!$F$71/1000*I21</f>
        <v>0</v>
      </c>
      <c r="J41" s="17" t="n">
        <f aca="false">J24*Assumptions!$F$17*Assumptions!$F$68*Assumptions!$F$69*Assumptions!$F$70*Assumptions!$F$71/1000*J21</f>
        <v>0</v>
      </c>
      <c r="K41" s="17" t="n">
        <f aca="false">K24*Assumptions!$F$17*Assumptions!$F$68*Assumptions!$F$69*Assumptions!$F$70*Assumptions!$F$71/1000*K21</f>
        <v>0</v>
      </c>
      <c r="L41" s="17" t="n">
        <f aca="false">L24*Assumptions!$F$17*Assumptions!$F$68*Assumptions!$F$69*Assumptions!$F$70*Assumptions!$F$71/1000*L21</f>
        <v>0</v>
      </c>
      <c r="M41" s="17" t="n">
        <f aca="false">M24*Assumptions!$F$17*Assumptions!$F$68*Assumptions!$F$69*Assumptions!$F$70*Assumptions!$F$71/1000*M21</f>
        <v>0</v>
      </c>
      <c r="N41" s="17" t="n">
        <f aca="false">N24*Assumptions!$F$17*Assumptions!$F$68*Assumptions!$F$69*Assumptions!$F$70*Assumptions!$F$71/1000*N21</f>
        <v>0</v>
      </c>
      <c r="O41" s="17" t="n">
        <f aca="false">O24*Assumptions!$F$17*Assumptions!$F$68*Assumptions!$F$69*Assumptions!$F$70*Assumptions!$F$71/1000*O21</f>
        <v>0</v>
      </c>
      <c r="P41" s="17" t="n">
        <f aca="false">P24*Assumptions!$F$17*Assumptions!$F$68*Assumptions!$F$69*Assumptions!$F$70*Assumptions!$F$71/1000*P21</f>
        <v>0</v>
      </c>
      <c r="Q41" s="17" t="n">
        <f aca="false">Q24*Assumptions!$F$17*Assumptions!$F$68*Assumptions!$F$69*Assumptions!$F$70*Assumptions!$F$71/1000*Q21</f>
        <v>0</v>
      </c>
      <c r="R41" s="17" t="n">
        <f aca="false">R24*Assumptions!$F$17*Assumptions!$F$68*Assumptions!$F$69*Assumptions!$F$70*Assumptions!$F$71/1000*R21</f>
        <v>0</v>
      </c>
      <c r="S41" s="17" t="n">
        <f aca="false">S24*Assumptions!$F$17*Assumptions!$F$68*Assumptions!$F$69*Assumptions!$F$70*Assumptions!$F$71/1000*S21</f>
        <v>0</v>
      </c>
      <c r="T41" s="17" t="n">
        <f aca="false">T24*Assumptions!$F$17*Assumptions!$F$68*Assumptions!$F$69*Assumptions!$F$70*Assumptions!$F$71/1000*T21</f>
        <v>0</v>
      </c>
      <c r="U41" s="17" t="n">
        <f aca="false">U24*Assumptions!$F$17*Assumptions!$F$68*Assumptions!$F$69*Assumptions!$F$70*Assumptions!$F$71/1000*U21</f>
        <v>0</v>
      </c>
      <c r="V41" s="17" t="n">
        <f aca="false">V24*Assumptions!$F$17*Assumptions!$F$68*Assumptions!$F$69*Assumptions!$F$70*Assumptions!$F$71/1000*V21</f>
        <v>0</v>
      </c>
      <c r="W41" s="17" t="n">
        <f aca="false">W24*Assumptions!$F$17*Assumptions!$F$68*Assumptions!$F$69*Assumptions!$F$70*Assumptions!$F$71/1000*W21</f>
        <v>0</v>
      </c>
      <c r="X41" s="17" t="n">
        <f aca="false">X24*Assumptions!$F$17*Assumptions!$F$68*Assumptions!$F$69*Assumptions!$F$70*Assumptions!$F$71/1000*X21</f>
        <v>0</v>
      </c>
      <c r="Y41" s="17" t="n">
        <f aca="false">Y24*Assumptions!$F$17*Assumptions!$F$68*Assumptions!$F$69*Assumptions!$F$70*Assumptions!$F$71/1000*Y21</f>
        <v>0</v>
      </c>
      <c r="Z41" s="17" t="n">
        <f aca="false">Z24*Assumptions!$F$17*Assumptions!$F$68*Assumptions!$F$69*Assumptions!$F$70*Assumptions!$F$71/1000*Z21</f>
        <v>0</v>
      </c>
      <c r="AA41" s="17" t="n">
        <f aca="false">AA24*Assumptions!$F$17*Assumptions!$F$68*Assumptions!$F$69*Assumptions!$F$70*Assumptions!$F$71/1000*AA21</f>
        <v>0</v>
      </c>
      <c r="AB41" s="17" t="n">
        <f aca="false">AB24*Assumptions!$F$17*Assumptions!$F$68*Assumptions!$F$69*Assumptions!$F$70*Assumptions!$F$71/1000*AB21</f>
        <v>0</v>
      </c>
      <c r="AC41" s="17" t="n">
        <f aca="false">AC24*Assumptions!$F$17*Assumptions!$F$68*Assumptions!$F$69*Assumptions!$F$70*Assumptions!$F$71/1000*AC21</f>
        <v>0</v>
      </c>
      <c r="AD41" s="17" t="n">
        <f aca="false">AD24*Assumptions!$F$17*Assumptions!$F$68*Assumptions!$F$69*Assumptions!$F$70*Assumptions!$F$71/1000*AD21</f>
        <v>25.2210484303484</v>
      </c>
      <c r="AE41" s="17" t="n">
        <f aca="false">AE24*Assumptions!$F$17*Assumptions!$F$68*Assumptions!$F$69*Assumptions!$F$70*Assumptions!$F$71/1000*AE21</f>
        <v>54.3355436898843</v>
      </c>
      <c r="AF41" s="17" t="n">
        <f aca="false">AF24*Assumptions!$F$17*Assumptions!$F$68*Assumptions!$F$69*Assumptions!$F$70*Assumptions!$F$71/1000*AF21</f>
        <v>87.5361921268494</v>
      </c>
      <c r="AG41" s="17" t="n">
        <f aca="false">AG24*Assumptions!$F$17*Assumptions!$F$68*Assumptions!$F$69*Assumptions!$F$70*Assumptions!$F$71/1000*AG21</f>
        <v>125.219723141635</v>
      </c>
      <c r="AH41" s="17" t="n">
        <f aca="false">AH24*Assumptions!$F$17*Assumptions!$F$68*Assumptions!$F$69*Assumptions!$F$70*Assumptions!$F$71/1000*AH21</f>
        <v>167.015157488691</v>
      </c>
      <c r="AI41" s="17" t="n">
        <f aca="false">AI24*Assumptions!$F$17*Assumptions!$F$68*Assumptions!$F$69*Assumptions!$F$70*Assumptions!$F$71/1000*AI21</f>
        <v>213.123063380664</v>
      </c>
      <c r="AJ41" s="17" t="n">
        <f aca="false">AJ24*Assumptions!$F$17*Assumptions!$F$68*Assumptions!$F$69*Assumptions!$F$70*Assumptions!$F$71/1000*AJ21</f>
        <v>226.198559128824</v>
      </c>
      <c r="AK41" s="17" t="n">
        <f aca="false">AK24*Assumptions!$F$17*Assumptions!$F$68*Assumptions!$F$69*Assumptions!$F$70*Assumptions!$F$71/1000*AK21</f>
        <v>239.805578846158</v>
      </c>
      <c r="AL41" s="17" t="n">
        <f aca="false">AL24*Assumptions!$F$17*Assumptions!$F$68*Assumptions!$F$69*Assumptions!$F$70*Assumptions!$F$71/1000*AL21</f>
        <v>253.862909931238</v>
      </c>
      <c r="AM41" s="17" t="n">
        <f aca="false">AM24*Assumptions!$F$17*Assumptions!$F$68*Assumptions!$F$69*Assumptions!$F$70*Assumptions!$F$71/1000*AM21</f>
        <v>268.207327881322</v>
      </c>
      <c r="AN41" s="44" t="n">
        <f aca="false">AN24*Assumptions!$F$17*Assumptions!$F$68*Assumptions!$F$69*Assumptions!$F$70*Assumptions!$F$71/1000*AN21</f>
        <v>282.841685002486</v>
      </c>
      <c r="AO41" s="44" t="n">
        <f aca="false">AO24*Assumptions!$F$17*Assumptions!$F$68*Assumptions!$F$69*Assumptions!$F$70*Assumptions!$F$71/1000*AO21</f>
        <v>297.621133303048</v>
      </c>
      <c r="AP41" s="44" t="n">
        <f aca="false">AP24*Assumptions!$F$17*Assumptions!$F$68*Assumptions!$F$69*Assumptions!$F$70*Assumptions!$F$71/1000*AP21</f>
        <v>312.452172127642</v>
      </c>
      <c r="AQ41" s="44" t="n">
        <f aca="false">AQ24*Assumptions!$F$17*Assumptions!$F$68*Assumptions!$F$69*Assumptions!$F$70*Assumptions!$F$71/1000*AQ21</f>
        <v>327.274666831418</v>
      </c>
      <c r="AR41" s="44" t="n">
        <f aca="false">AR24*Assumptions!$F$17*Assumptions!$F$68*Assumptions!$F$69*Assumptions!$F$70*Assumptions!$F$71/1000*AR21</f>
        <v>342.050161064646</v>
      </c>
      <c r="AS41" s="44" t="n">
        <f aca="false">AS24*Assumptions!$F$17*Assumptions!$F$68*Assumptions!$F$69*Assumptions!$F$70*Assumptions!$F$71/1000*AS21</f>
        <v>356.754279901881</v>
      </c>
      <c r="AT41" s="44" t="n">
        <f aca="false">AT24*Assumptions!$F$17*Assumptions!$F$68*Assumptions!$F$69*Assumptions!$F$70*Assumptions!$F$71/1000*AT21</f>
        <v>371.335504017935</v>
      </c>
      <c r="AU41" s="44" t="n">
        <f aca="false">AU24*Assumptions!$F$17*Assumptions!$F$68*Assumptions!$F$69*Assumptions!$F$70*Assumptions!$F$71/1000*AU21</f>
        <v>385.797781362145</v>
      </c>
      <c r="AV41" s="44" t="n">
        <f aca="false">AV24*Assumptions!$F$17*Assumptions!$F$68*Assumptions!$F$69*Assumptions!$F$70*Assumptions!$F$71/1000*AV21</f>
        <v>400.144264079624</v>
      </c>
      <c r="AW41" s="44" t="n">
        <f aca="false">AW24*Assumptions!$F$17*Assumptions!$F$68*Assumptions!$F$69*Assumptions!$F$70*Assumptions!$F$71/1000*AW21</f>
        <v>414.341290253072</v>
      </c>
      <c r="AX41" s="44" t="n">
        <f aca="false">AX24*Assumptions!$F$17*Assumptions!$F$68*Assumptions!$F$69*Assumptions!$F$70*Assumptions!$F$71/1000*AX21</f>
        <v>428.404380486794</v>
      </c>
      <c r="AY41" s="44" t="n">
        <f aca="false">AY24*Assumptions!$F$17*Assumptions!$F$68*Assumptions!$F$69*Assumptions!$F$70*Assumptions!$F$71/1000*AY21</f>
        <v>442.344175011378</v>
      </c>
      <c r="AZ41" s="44" t="n">
        <f aca="false">AZ24*Assumptions!$F$17*Assumptions!$F$68*Assumptions!$F$69*Assumptions!$F$70*Assumptions!$F$71/1000*AZ21</f>
        <v>456.131845536934</v>
      </c>
      <c r="BA41" s="44" t="n">
        <f aca="false">BA24*Assumptions!$F$17*Assumptions!$F$68*Assumptions!$F$69*Assumptions!$F$70*Assumptions!$F$71/1000*BA21</f>
        <v>469.749733401852</v>
      </c>
      <c r="BB41" s="44" t="n">
        <f aca="false">BB24*Assumptions!$F$17*Assumptions!$F$68*Assumptions!$F$69*Assumptions!$F$70*Assumptions!$F$71/1000*BB21</f>
        <v>483.223712007006</v>
      </c>
      <c r="BC41" s="44" t="n">
        <f aca="false">BC24*Assumptions!$F$17*Assumptions!$F$68*Assumptions!$F$69*Assumptions!$F$70*Assumptions!$F$71/1000*BC21</f>
        <v>496.534814320919</v>
      </c>
      <c r="BD41" s="44" t="n">
        <f aca="false">BD24*Assumptions!$F$17*Assumptions!$F$68*Assumptions!$F$69*Assumptions!$F$70*Assumptions!$F$71/1000*BD21</f>
        <v>509.671751802217</v>
      </c>
      <c r="BE41" s="44" t="n">
        <f aca="false">BE24*Assumptions!$F$17*Assumptions!$F$68*Assumptions!$F$69*Assumptions!$F$70*Assumptions!$F$71/1000*BE21</f>
        <v>522.664499327656</v>
      </c>
      <c r="BF41" s="44" t="n">
        <f aca="false">BF24*Assumptions!$F$17*Assumptions!$F$68*Assumptions!$F$69*Assumptions!$F$70*Assumptions!$F$71/1000*BF21</f>
        <v>535.496717309348</v>
      </c>
      <c r="BG41" s="44" t="n">
        <f aca="false">BG24*Assumptions!$F$17*Assumptions!$F$68*Assumptions!$F$69*Assumptions!$F$70*Assumptions!$F$71/1000*BG21</f>
        <v>548.158787106253</v>
      </c>
      <c r="BH41" s="44" t="n">
        <f aca="false">BH24*Assumptions!$F$17*Assumptions!$F$68*Assumptions!$F$69*Assumptions!$F$70*Assumptions!$F$71/1000*BH21</f>
        <v>560.645443661413</v>
      </c>
      <c r="BI41" s="44" t="n">
        <f aca="false">BI24*Assumptions!$F$17*Assumptions!$F$68*Assumptions!$F$69*Assumptions!$F$70*Assumptions!$F$71/1000*BI21</f>
        <v>572.954236941632</v>
      </c>
      <c r="BJ41" s="44" t="n">
        <f aca="false">BJ24*Assumptions!$F$17*Assumptions!$F$68*Assumptions!$F$69*Assumptions!$F$70*Assumptions!$F$71/1000*BJ21</f>
        <v>585.084532095349</v>
      </c>
      <c r="BK41" s="44" t="n">
        <f aca="false">BK24*Assumptions!$F$17*Assumptions!$F$68*Assumptions!$F$69*Assumptions!$F$70*Assumptions!$F$71/1000*BK21</f>
        <v>597.036859774015</v>
      </c>
    </row>
    <row r="42" customFormat="false" ht="15" hidden="false" customHeight="false" outlineLevel="0" collapsed="false">
      <c r="A42" s="28" t="s">
        <v>599</v>
      </c>
      <c r="B42" s="6" t="s">
        <v>600</v>
      </c>
      <c r="C42" s="43"/>
      <c r="D42" s="17" t="n">
        <f aca="false">D13*Assumptions!$F$72*Assumptions!$F$73*D21</f>
        <v>0</v>
      </c>
      <c r="E42" s="17" t="n">
        <f aca="false">E13*Assumptions!$F$72*Assumptions!$F$73*E21</f>
        <v>0</v>
      </c>
      <c r="F42" s="17" t="n">
        <f aca="false">F13*Assumptions!$F$72*Assumptions!$F$73*F21</f>
        <v>0</v>
      </c>
      <c r="G42" s="17" t="n">
        <f aca="false">G13*Assumptions!$F$72*Assumptions!$F$73*G21</f>
        <v>0</v>
      </c>
      <c r="H42" s="17" t="n">
        <f aca="false">H13*Assumptions!$F$72*Assumptions!$F$73*H21</f>
        <v>0</v>
      </c>
      <c r="I42" s="17" t="n">
        <f aca="false">I13*Assumptions!$F$72*Assumptions!$F$73*I21</f>
        <v>0</v>
      </c>
      <c r="J42" s="17" t="n">
        <f aca="false">J13*Assumptions!$F$72*Assumptions!$F$73*J21</f>
        <v>0</v>
      </c>
      <c r="K42" s="17" t="n">
        <f aca="false">K13*Assumptions!$F$72*Assumptions!$F$73*K21</f>
        <v>0</v>
      </c>
      <c r="L42" s="17" t="n">
        <f aca="false">L13*Assumptions!$F$72*Assumptions!$F$73*L21</f>
        <v>0</v>
      </c>
      <c r="M42" s="17" t="n">
        <f aca="false">M13*Assumptions!$F$72*Assumptions!$F$73*M21</f>
        <v>0</v>
      </c>
      <c r="N42" s="17" t="n">
        <f aca="false">N13*Assumptions!$F$72*Assumptions!$F$73*N21</f>
        <v>0</v>
      </c>
      <c r="O42" s="17" t="n">
        <f aca="false">O13*Assumptions!$F$72*Assumptions!$F$73*O21</f>
        <v>0</v>
      </c>
      <c r="P42" s="17" t="n">
        <f aca="false">P13*Assumptions!$F$72*Assumptions!$F$73*P21</f>
        <v>0</v>
      </c>
      <c r="Q42" s="17" t="n">
        <f aca="false">Q13*Assumptions!$F$72*Assumptions!$F$73*Q21</f>
        <v>0</v>
      </c>
      <c r="R42" s="17" t="n">
        <f aca="false">R13*Assumptions!$F$72*Assumptions!$F$73*R21</f>
        <v>0</v>
      </c>
      <c r="S42" s="17" t="n">
        <f aca="false">S13*Assumptions!$F$72*Assumptions!$F$73*S21</f>
        <v>0</v>
      </c>
      <c r="T42" s="17" t="n">
        <f aca="false">T13*Assumptions!$F$72*Assumptions!$F$73*T21</f>
        <v>0</v>
      </c>
      <c r="U42" s="17" t="n">
        <f aca="false">U13*Assumptions!$F$72*Assumptions!$F$73*U21</f>
        <v>0</v>
      </c>
      <c r="V42" s="17" t="n">
        <f aca="false">V13*Assumptions!$F$72*Assumptions!$F$73*V21</f>
        <v>0</v>
      </c>
      <c r="W42" s="17" t="n">
        <f aca="false">W13*Assumptions!$F$72*Assumptions!$F$73*W21</f>
        <v>0</v>
      </c>
      <c r="X42" s="17" t="n">
        <f aca="false">X13*Assumptions!$F$72*Assumptions!$F$73*X21</f>
        <v>0</v>
      </c>
      <c r="Y42" s="17" t="n">
        <f aca="false">Y13*Assumptions!$F$72*Assumptions!$F$73*Y21</f>
        <v>0</v>
      </c>
      <c r="Z42" s="17" t="n">
        <f aca="false">Z13*Assumptions!$F$72*Assumptions!$F$73*Z21</f>
        <v>0</v>
      </c>
      <c r="AA42" s="17" t="n">
        <f aca="false">AA13*Assumptions!$F$72*Assumptions!$F$73*AA21</f>
        <v>0</v>
      </c>
      <c r="AB42" s="17" t="n">
        <f aca="false">AB13*Assumptions!$F$72*Assumptions!$F$73*AB21</f>
        <v>0</v>
      </c>
      <c r="AC42" s="17" t="n">
        <f aca="false">AC13*Assumptions!$F$72*Assumptions!$F$73*AC21</f>
        <v>0</v>
      </c>
      <c r="AD42" s="17" t="n">
        <f aca="false">AD13*Assumptions!$F$72*Assumptions!$F$73*AD21</f>
        <v>119.982721358662</v>
      </c>
      <c r="AE42" s="17" t="n">
        <f aca="false">AE13*Assumptions!$F$72*Assumptions!$F$73*AE21</f>
        <v>256.525961076564</v>
      </c>
      <c r="AF42" s="17" t="n">
        <f aca="false">AF13*Assumptions!$F$72*Assumptions!$F$73*AF21</f>
        <v>411.417107490623</v>
      </c>
      <c r="AG42" s="17" t="n">
        <f aca="false">AG13*Assumptions!$F$72*Assumptions!$F$73*AG21</f>
        <v>587.559801171018</v>
      </c>
      <c r="AH42" s="17" t="n">
        <f aca="false">AH13*Assumptions!$F$72*Assumptions!$F$73*AH21</f>
        <v>777.073005191816</v>
      </c>
      <c r="AI42" s="17" t="n">
        <f aca="false">AI13*Assumptions!$F$72*Assumptions!$F$73*AI21</f>
        <v>986.324292136726</v>
      </c>
      <c r="AJ42" s="17" t="n">
        <f aca="false">AJ13*Assumptions!$F$72*Assumptions!$F$73*AJ21</f>
        <v>1043.67342775467</v>
      </c>
      <c r="AK42" s="17" t="n">
        <f aca="false">AK13*Assumptions!$F$72*Assumptions!$F$73*AK21</f>
        <v>1104.48232633835</v>
      </c>
      <c r="AL42" s="17" t="n">
        <f aca="false">AL13*Assumptions!$F$72*Assumptions!$F$73*AL21</f>
        <v>1166.53909144328</v>
      </c>
      <c r="AM42" s="17" t="n">
        <f aca="false">AM13*Assumptions!$F$72*Assumptions!$F$73*AM21</f>
        <v>1228.52900507163</v>
      </c>
      <c r="AN42" s="44" t="n">
        <f aca="false">AN13*Assumptions!$F$72*Assumptions!$F$73*AN21</f>
        <v>1291.74906999556</v>
      </c>
      <c r="AO42" s="44" t="n">
        <f aca="false">AO13*Assumptions!$F$72*Assumptions!$F$73*AO21</f>
        <v>1354.45283394562</v>
      </c>
      <c r="AP42" s="44" t="n">
        <f aca="false">AP13*Assumptions!$F$72*Assumptions!$F$73*AP21</f>
        <v>1416.64804143644</v>
      </c>
      <c r="AQ42" s="44" t="n">
        <f aca="false">AQ13*Assumptions!$F$72*Assumptions!$F$73*AQ21</f>
        <v>1478.34232081489</v>
      </c>
      <c r="AR42" s="44" t="n">
        <f aca="false">AR13*Assumptions!$F$72*Assumptions!$F$73*AR21</f>
        <v>1539.54318600267</v>
      </c>
      <c r="AS42" s="44" t="n">
        <f aca="false">AS13*Assumptions!$F$72*Assumptions!$F$73*AS21</f>
        <v>1600.25803821263</v>
      </c>
      <c r="AT42" s="44" t="n">
        <f aca="false">AT13*Assumptions!$F$72*Assumptions!$F$73*AT21</f>
        <v>1660.06216763944</v>
      </c>
      <c r="AU42" s="44" t="n">
        <f aca="false">AU13*Assumptions!$F$72*Assumptions!$F$73*AU21</f>
        <v>1719.40123512485</v>
      </c>
      <c r="AV42" s="44" t="n">
        <f aca="false">AV13*Assumptions!$F$72*Assumptions!$F$73*AV21</f>
        <v>1778.28221659797</v>
      </c>
      <c r="AW42" s="44" t="n">
        <f aca="false">AW13*Assumptions!$F$72*Assumptions!$F$73*AW21</f>
        <v>1836.27998334901</v>
      </c>
      <c r="AX42" s="44" t="n">
        <f aca="false">AX13*Assumptions!$F$72*Assumptions!$F$73*AX21</f>
        <v>1893.83978359877</v>
      </c>
      <c r="AY42" s="44" t="n">
        <f aca="false">AY13*Assumptions!$F$72*Assumptions!$F$73*AY21</f>
        <v>1950.96818684479</v>
      </c>
      <c r="AZ42" s="44" t="n">
        <f aca="false">AZ13*Assumptions!$F$72*Assumptions!$F$73*AZ21</f>
        <v>2007.23966404212</v>
      </c>
      <c r="BA42" s="44" t="n">
        <f aca="false">BA13*Assumptions!$F$72*Assumptions!$F$73*BA21</f>
        <v>2062.66706908148</v>
      </c>
      <c r="BB42" s="44" t="n">
        <f aca="false">BB13*Assumptions!$F$72*Assumptions!$F$73*BB21</f>
        <v>2117.69506304526</v>
      </c>
      <c r="BC42" s="44" t="n">
        <f aca="false">BC13*Assumptions!$F$72*Assumptions!$F$73*BC21</f>
        <v>2171.89763709958</v>
      </c>
      <c r="BD42" s="44" t="n">
        <f aca="false">BD13*Assumptions!$F$72*Assumptions!$F$73*BD21</f>
        <v>2225.28717254309</v>
      </c>
      <c r="BE42" s="44" t="n">
        <f aca="false">BE13*Assumptions!$F$72*Assumptions!$F$73*BE21</f>
        <v>2278.30786495494</v>
      </c>
      <c r="BF42" s="44" t="n">
        <f aca="false">BF13*Assumptions!$F$72*Assumptions!$F$73*BF21</f>
        <v>2330.53324698062</v>
      </c>
      <c r="BG42" s="44" t="n">
        <f aca="false">BG13*Assumptions!$F$72*Assumptions!$F$73*BG21</f>
        <v>2381.97524827591</v>
      </c>
      <c r="BH42" s="44" t="n">
        <f aca="false">BH13*Assumptions!$F$72*Assumptions!$F$73*BH21</f>
        <v>2432.64561955177</v>
      </c>
      <c r="BI42" s="44" t="n">
        <f aca="false">BI13*Assumptions!$F$72*Assumptions!$F$73*BI21</f>
        <v>2482.55593525849</v>
      </c>
      <c r="BJ42" s="44" t="n">
        <f aca="false">BJ13*Assumptions!$F$72*Assumptions!$F$73*BJ21</f>
        <v>2531.71759622962</v>
      </c>
      <c r="BK42" s="44" t="n">
        <f aca="false">BK13*Assumptions!$F$72*Assumptions!$F$73*BK21</f>
        <v>2580.14183228617</v>
      </c>
    </row>
    <row r="43" customFormat="false" ht="15" hidden="false" customHeight="false" outlineLevel="0" collapsed="false">
      <c r="A43" s="28" t="s">
        <v>601</v>
      </c>
      <c r="B43" s="6" t="s">
        <v>602</v>
      </c>
      <c r="C43" s="43"/>
      <c r="D43" s="17" t="n">
        <f aca="false">D13*Assumptions!$F$74*Assumptions!$F$75*Assumptions!$F$76*D21</f>
        <v>0</v>
      </c>
      <c r="E43" s="17" t="n">
        <f aca="false">E13*Assumptions!$F$74*Assumptions!$F$75*Assumptions!$F$76*E21</f>
        <v>0</v>
      </c>
      <c r="F43" s="17" t="n">
        <f aca="false">F13*Assumptions!$F$74*Assumptions!$F$75*Assumptions!$F$76*F21</f>
        <v>0</v>
      </c>
      <c r="G43" s="17" t="n">
        <f aca="false">G13*Assumptions!$F$74*Assumptions!$F$75*Assumptions!$F$76*G21</f>
        <v>0</v>
      </c>
      <c r="H43" s="17" t="n">
        <f aca="false">H13*Assumptions!$F$74*Assumptions!$F$75*Assumptions!$F$76*H21</f>
        <v>0</v>
      </c>
      <c r="I43" s="17" t="n">
        <f aca="false">I13*Assumptions!$F$74*Assumptions!$F$75*Assumptions!$F$76*I21</f>
        <v>0</v>
      </c>
      <c r="J43" s="17" t="n">
        <f aca="false">J13*Assumptions!$F$74*Assumptions!$F$75*Assumptions!$F$76*J21</f>
        <v>0</v>
      </c>
      <c r="K43" s="17" t="n">
        <f aca="false">K13*Assumptions!$F$74*Assumptions!$F$75*Assumptions!$F$76*K21</f>
        <v>0</v>
      </c>
      <c r="L43" s="17" t="n">
        <f aca="false">L13*Assumptions!$F$74*Assumptions!$F$75*Assumptions!$F$76*L21</f>
        <v>0</v>
      </c>
      <c r="M43" s="17" t="n">
        <f aca="false">M13*Assumptions!$F$74*Assumptions!$F$75*Assumptions!$F$76*M21</f>
        <v>0</v>
      </c>
      <c r="N43" s="17" t="n">
        <f aca="false">N13*Assumptions!$F$74*Assumptions!$F$75*Assumptions!$F$76*N21</f>
        <v>0</v>
      </c>
      <c r="O43" s="17" t="n">
        <f aca="false">O13*Assumptions!$F$74*Assumptions!$F$75*Assumptions!$F$76*O21</f>
        <v>0</v>
      </c>
      <c r="P43" s="17" t="n">
        <f aca="false">P13*Assumptions!$F$74*Assumptions!$F$75*Assumptions!$F$76*P21</f>
        <v>0</v>
      </c>
      <c r="Q43" s="17" t="n">
        <f aca="false">Q13*Assumptions!$F$74*Assumptions!$F$75*Assumptions!$F$76*Q21</f>
        <v>0</v>
      </c>
      <c r="R43" s="17" t="n">
        <f aca="false">R13*Assumptions!$F$74*Assumptions!$F$75*Assumptions!$F$76*R21</f>
        <v>0</v>
      </c>
      <c r="S43" s="17" t="n">
        <f aca="false">S13*Assumptions!$F$74*Assumptions!$F$75*Assumptions!$F$76*S21</f>
        <v>0</v>
      </c>
      <c r="T43" s="17" t="n">
        <f aca="false">T13*Assumptions!$F$74*Assumptions!$F$75*Assumptions!$F$76*T21</f>
        <v>0</v>
      </c>
      <c r="U43" s="17" t="n">
        <f aca="false">U13*Assumptions!$F$74*Assumptions!$F$75*Assumptions!$F$76*U21</f>
        <v>0</v>
      </c>
      <c r="V43" s="17" t="n">
        <f aca="false">V13*Assumptions!$F$74*Assumptions!$F$75*Assumptions!$F$76*V21</f>
        <v>0</v>
      </c>
      <c r="W43" s="17" t="n">
        <f aca="false">W13*Assumptions!$F$74*Assumptions!$F$75*Assumptions!$F$76*W21</f>
        <v>0</v>
      </c>
      <c r="X43" s="17" t="n">
        <f aca="false">X13*Assumptions!$F$74*Assumptions!$F$75*Assumptions!$F$76*X21</f>
        <v>0</v>
      </c>
      <c r="Y43" s="17" t="n">
        <f aca="false">Y13*Assumptions!$F$74*Assumptions!$F$75*Assumptions!$F$76*Y21</f>
        <v>0</v>
      </c>
      <c r="Z43" s="17" t="n">
        <f aca="false">Z13*Assumptions!$F$74*Assumptions!$F$75*Assumptions!$F$76*Z21</f>
        <v>0</v>
      </c>
      <c r="AA43" s="17" t="n">
        <f aca="false">AA13*Assumptions!$F$74*Assumptions!$F$75*Assumptions!$F$76*AA21</f>
        <v>0</v>
      </c>
      <c r="AB43" s="17" t="n">
        <f aca="false">AB13*Assumptions!$F$74*Assumptions!$F$75*Assumptions!$F$76*AB21</f>
        <v>0</v>
      </c>
      <c r="AC43" s="17" t="n">
        <f aca="false">AC13*Assumptions!$F$74*Assumptions!$F$75*Assumptions!$F$76*AC21</f>
        <v>0</v>
      </c>
      <c r="AD43" s="17" t="n">
        <f aca="false">AD13*Assumptions!$F$74*Assumptions!$F$75*Assumptions!$F$76*AD21</f>
        <v>106.651307874366</v>
      </c>
      <c r="AE43" s="17" t="n">
        <f aca="false">AE13*Assumptions!$F$74*Assumptions!$F$75*Assumptions!$F$76*AE21</f>
        <v>228.023076512501</v>
      </c>
      <c r="AF43" s="17" t="n">
        <f aca="false">AF13*Assumptions!$F$74*Assumptions!$F$75*Assumptions!$F$76*AF21</f>
        <v>365.70409554722</v>
      </c>
      <c r="AG43" s="17" t="n">
        <f aca="false">AG13*Assumptions!$F$74*Assumptions!$F$75*Assumptions!$F$76*AG21</f>
        <v>522.275378818682</v>
      </c>
      <c r="AH43" s="17" t="n">
        <f aca="false">AH13*Assumptions!$F$74*Assumptions!$F$75*Assumptions!$F$76*AH21</f>
        <v>690.731560170503</v>
      </c>
      <c r="AI43" s="17" t="n">
        <f aca="false">AI13*Assumptions!$F$74*Assumptions!$F$75*Assumptions!$F$76*AI21</f>
        <v>876.732704121534</v>
      </c>
      <c r="AJ43" s="17" t="n">
        <f aca="false">AJ13*Assumptions!$F$74*Assumptions!$F$75*Assumptions!$F$76*AJ21</f>
        <v>927.709713559711</v>
      </c>
      <c r="AK43" s="17" t="n">
        <f aca="false">AK13*Assumptions!$F$74*Assumptions!$F$75*Assumptions!$F$76*AK21</f>
        <v>981.762067856315</v>
      </c>
      <c r="AL43" s="17" t="n">
        <f aca="false">AL13*Assumptions!$F$74*Assumptions!$F$75*Assumptions!$F$76*AL21</f>
        <v>1036.92363683847</v>
      </c>
      <c r="AM43" s="17" t="n">
        <f aca="false">AM13*Assumptions!$F$74*Assumptions!$F$75*Assumptions!$F$76*AM21</f>
        <v>1092.02578228589</v>
      </c>
      <c r="AN43" s="44" t="n">
        <f aca="false">AN13*Assumptions!$F$74*Assumptions!$F$75*Assumptions!$F$76*AN21</f>
        <v>1148.22139555161</v>
      </c>
      <c r="AO43" s="44" t="n">
        <f aca="false">AO13*Assumptions!$F$74*Assumptions!$F$75*Assumptions!$F$76*AO21</f>
        <v>1203.95807461833</v>
      </c>
      <c r="AP43" s="44" t="n">
        <f aca="false">AP13*Assumptions!$F$74*Assumptions!$F$75*Assumptions!$F$76*AP21</f>
        <v>1259.24270349906</v>
      </c>
      <c r="AQ43" s="44" t="n">
        <f aca="false">AQ13*Assumptions!$F$74*Assumptions!$F$75*Assumptions!$F$76*AQ21</f>
        <v>1314.08206294657</v>
      </c>
      <c r="AR43" s="44" t="n">
        <f aca="false">AR13*Assumptions!$F$74*Assumptions!$F$75*Assumptions!$F$76*AR21</f>
        <v>1368.48283200237</v>
      </c>
      <c r="AS43" s="44" t="n">
        <f aca="false">AS13*Assumptions!$F$74*Assumptions!$F$75*Assumptions!$F$76*AS21</f>
        <v>1422.45158952234</v>
      </c>
      <c r="AT43" s="44" t="n">
        <f aca="false">AT13*Assumptions!$F$74*Assumptions!$F$75*Assumptions!$F$76*AT21</f>
        <v>1475.6108156795</v>
      </c>
      <c r="AU43" s="44" t="n">
        <f aca="false">AU13*Assumptions!$F$74*Assumptions!$F$75*Assumptions!$F$76*AU21</f>
        <v>1528.35665344431</v>
      </c>
      <c r="AV43" s="44" t="n">
        <f aca="false">AV13*Assumptions!$F$74*Assumptions!$F$75*Assumptions!$F$76*AV21</f>
        <v>1580.69530364264</v>
      </c>
      <c r="AW43" s="44" t="n">
        <f aca="false">AW13*Assumptions!$F$74*Assumptions!$F$75*Assumptions!$F$76*AW21</f>
        <v>1632.248874088</v>
      </c>
      <c r="AX43" s="44" t="n">
        <f aca="false">AX13*Assumptions!$F$74*Assumptions!$F$75*Assumptions!$F$76*AX21</f>
        <v>1683.41314097668</v>
      </c>
      <c r="AY43" s="44" t="n">
        <f aca="false">AY13*Assumptions!$F$74*Assumptions!$F$75*Assumptions!$F$76*AY21</f>
        <v>1734.19394386203</v>
      </c>
      <c r="AZ43" s="44" t="n">
        <f aca="false">AZ13*Assumptions!$F$74*Assumptions!$F$75*Assumptions!$F$76*AZ21</f>
        <v>1784.2130347041</v>
      </c>
      <c r="BA43" s="44" t="n">
        <f aca="false">BA13*Assumptions!$F$74*Assumptions!$F$75*Assumptions!$F$76*BA21</f>
        <v>1833.48183918354</v>
      </c>
      <c r="BB43" s="44" t="n">
        <f aca="false">BB13*Assumptions!$F$74*Assumptions!$F$75*Assumptions!$F$76*BB21</f>
        <v>1882.39561159579</v>
      </c>
      <c r="BC43" s="44" t="n">
        <f aca="false">BC13*Assumptions!$F$74*Assumptions!$F$75*Assumptions!$F$76*BC21</f>
        <v>1930.57567742185</v>
      </c>
      <c r="BD43" s="44" t="n">
        <f aca="false">BD13*Assumptions!$F$74*Assumptions!$F$75*Assumptions!$F$76*BD21</f>
        <v>1978.03304226052</v>
      </c>
      <c r="BE43" s="44" t="n">
        <f aca="false">BE13*Assumptions!$F$74*Assumptions!$F$75*Assumptions!$F$76*BE21</f>
        <v>2025.16254662662</v>
      </c>
      <c r="BF43" s="44" t="n">
        <f aca="false">BF13*Assumptions!$F$74*Assumptions!$F$75*Assumptions!$F$76*BF21</f>
        <v>2071.58510842722</v>
      </c>
      <c r="BG43" s="44" t="n">
        <f aca="false">BG13*Assumptions!$F$74*Assumptions!$F$75*Assumptions!$F$76*BG21</f>
        <v>2117.31133180081</v>
      </c>
      <c r="BH43" s="44" t="n">
        <f aca="false">BH13*Assumptions!$F$74*Assumptions!$F$75*Assumptions!$F$76*BH21</f>
        <v>2162.3516618238</v>
      </c>
      <c r="BI43" s="44" t="n">
        <f aca="false">BI13*Assumptions!$F$74*Assumptions!$F$75*Assumptions!$F$76*BI21</f>
        <v>2206.71638689644</v>
      </c>
      <c r="BJ43" s="44" t="n">
        <f aca="false">BJ13*Assumptions!$F$74*Assumptions!$F$75*Assumptions!$F$76*BJ21</f>
        <v>2250.41564109299</v>
      </c>
      <c r="BK43" s="44" t="n">
        <f aca="false">BK13*Assumptions!$F$74*Assumptions!$F$75*Assumptions!$F$76*BK21</f>
        <v>2293.4594064766</v>
      </c>
    </row>
    <row r="44" customFormat="false" ht="15" hidden="false" customHeight="false" outlineLevel="0" collapsed="false">
      <c r="A44" s="28" t="s">
        <v>603</v>
      </c>
      <c r="B44" s="6" t="s">
        <v>604</v>
      </c>
      <c r="C44" s="42"/>
      <c r="D44" s="26" t="n">
        <f aca="false">D10*Assumptions!$F$80/12*D18</f>
        <v>0</v>
      </c>
      <c r="E44" s="26" t="n">
        <f aca="false">E10*Assumptions!$F$80/12*E18</f>
        <v>0</v>
      </c>
      <c r="F44" s="26" t="n">
        <f aca="false">F10*Assumptions!$F$80/12*F18</f>
        <v>0</v>
      </c>
      <c r="G44" s="26" t="n">
        <f aca="false">G10*Assumptions!$F$80/12*G18</f>
        <v>0</v>
      </c>
      <c r="H44" s="26" t="n">
        <f aca="false">H10*Assumptions!$F$80/12*H18</f>
        <v>0</v>
      </c>
      <c r="I44" s="26" t="n">
        <f aca="false">I10*Assumptions!$F$80/12*I18</f>
        <v>0</v>
      </c>
      <c r="J44" s="26" t="n">
        <f aca="false">J10*Assumptions!$F$80/12*J18</f>
        <v>0</v>
      </c>
      <c r="K44" s="26" t="n">
        <f aca="false">K10*Assumptions!$F$80/12*K18</f>
        <v>0</v>
      </c>
      <c r="L44" s="26" t="n">
        <f aca="false">L10*Assumptions!$F$80/12*L18</f>
        <v>0</v>
      </c>
      <c r="M44" s="26" t="n">
        <f aca="false">M10*Assumptions!$F$80/12*M18</f>
        <v>0</v>
      </c>
      <c r="N44" s="26" t="n">
        <f aca="false">N10*Assumptions!$F$80/12*N18</f>
        <v>0</v>
      </c>
      <c r="O44" s="26" t="n">
        <f aca="false">O10*Assumptions!$F$80/12*O18</f>
        <v>0</v>
      </c>
      <c r="P44" s="26" t="n">
        <f aca="false">P10*Assumptions!$F$80/12*P18</f>
        <v>0</v>
      </c>
      <c r="Q44" s="26" t="n">
        <f aca="false">Q10*Assumptions!$F$80/12*Q18</f>
        <v>0</v>
      </c>
      <c r="R44" s="26" t="n">
        <f aca="false">R10*Assumptions!$F$80/12*R18</f>
        <v>0</v>
      </c>
      <c r="S44" s="26" t="n">
        <f aca="false">S10*Assumptions!$F$80/12*S18</f>
        <v>0.5</v>
      </c>
      <c r="T44" s="26" t="n">
        <f aca="false">T10*Assumptions!$F$80/12*T18</f>
        <v>0.666666666666667</v>
      </c>
      <c r="U44" s="26" t="n">
        <f aca="false">U10*Assumptions!$F$80/12*U18</f>
        <v>0.833333333333333</v>
      </c>
      <c r="V44" s="26" t="n">
        <f aca="false">V10*Assumptions!$F$80/12*V18</f>
        <v>1</v>
      </c>
      <c r="W44" s="26" t="n">
        <f aca="false">W10*Assumptions!$F$80/12*W18</f>
        <v>1.16666666666667</v>
      </c>
      <c r="X44" s="26" t="n">
        <f aca="false">X10*Assumptions!$F$80/12*X18</f>
        <v>1.33333333333333</v>
      </c>
      <c r="Y44" s="26" t="n">
        <f aca="false">Y10*Assumptions!$F$80/12*Y18</f>
        <v>1.5</v>
      </c>
      <c r="Z44" s="26" t="n">
        <f aca="false">Z10*Assumptions!$F$80/12*Z18</f>
        <v>1.66666666666667</v>
      </c>
      <c r="AA44" s="26" t="n">
        <f aca="false">AA10*Assumptions!$F$80/12*AA18</f>
        <v>1.83333333333333</v>
      </c>
      <c r="AB44" s="26" t="n">
        <f aca="false">AB10*Assumptions!$F$80/12*AB18</f>
        <v>2</v>
      </c>
      <c r="AC44" s="26" t="n">
        <f aca="false">AC10*Assumptions!$F$80/12*AC18</f>
        <v>2.33333333333333</v>
      </c>
      <c r="AD44" s="26" t="n">
        <f aca="false">AD10*Assumptions!$F$80/12*AD18</f>
        <v>2.5</v>
      </c>
      <c r="AE44" s="26" t="n">
        <f aca="false">AE10*Assumptions!$F$80/12*AE18</f>
        <v>2.66666666666667</v>
      </c>
      <c r="AF44" s="26" t="n">
        <f aca="false">AF10*Assumptions!$F$80/12*AF18</f>
        <v>3</v>
      </c>
      <c r="AG44" s="26" t="n">
        <f aca="false">AG10*Assumptions!$F$80/12*AG18</f>
        <v>3.16666666666667</v>
      </c>
      <c r="AH44" s="26" t="n">
        <f aca="false">AH10*Assumptions!$F$80/12*AH18</f>
        <v>3.33333333333333</v>
      </c>
      <c r="AI44" s="26" t="n">
        <f aca="false">AI10*Assumptions!$F$80/12*AI18</f>
        <v>3.66666666666667</v>
      </c>
      <c r="AJ44" s="26" t="n">
        <f aca="false">AJ10*Assumptions!$F$80/12*AJ18</f>
        <v>4</v>
      </c>
      <c r="AK44" s="26" t="n">
        <f aca="false">AK10*Assumptions!$F$80/12*AK18</f>
        <v>4.16666666666667</v>
      </c>
      <c r="AL44" s="26" t="n">
        <f aca="false">AL10*Assumptions!$F$80/12*AL18</f>
        <v>4.5</v>
      </c>
      <c r="AM44" s="26" t="n">
        <f aca="false">AM10*Assumptions!$F$80/12*AM18</f>
        <v>4.83333333333333</v>
      </c>
      <c r="AN44" s="37" t="n">
        <f aca="false">AN10*Assumptions!$F$80/12*AN18</f>
        <v>5</v>
      </c>
      <c r="AO44" s="37" t="n">
        <f aca="false">AO10*Assumptions!$F$80/12*AO18</f>
        <v>5.33333333333333</v>
      </c>
      <c r="AP44" s="37" t="n">
        <f aca="false">AP10*Assumptions!$F$80/12*AP18</f>
        <v>5.66666666666667</v>
      </c>
      <c r="AQ44" s="37" t="n">
        <f aca="false">AQ10*Assumptions!$F$80/12*AQ18</f>
        <v>6</v>
      </c>
      <c r="AR44" s="37" t="n">
        <f aca="false">AR10*Assumptions!$F$80/12*AR18</f>
        <v>6.33333333333333</v>
      </c>
      <c r="AS44" s="37" t="n">
        <f aca="false">AS10*Assumptions!$F$80/12*AS18</f>
        <v>6.66666666666667</v>
      </c>
      <c r="AT44" s="37" t="n">
        <f aca="false">AT10*Assumptions!$F$80/12*AT18</f>
        <v>7</v>
      </c>
      <c r="AU44" s="37" t="n">
        <f aca="false">AU10*Assumptions!$F$80/12*AU18</f>
        <v>7.33333333333333</v>
      </c>
      <c r="AV44" s="37" t="n">
        <f aca="false">AV10*Assumptions!$F$80/12*AV18</f>
        <v>7.66666666666667</v>
      </c>
      <c r="AW44" s="37" t="n">
        <f aca="false">AW10*Assumptions!$F$80/12*AW18</f>
        <v>8</v>
      </c>
      <c r="AX44" s="37" t="n">
        <f aca="false">AX10*Assumptions!$F$80/12*AX18</f>
        <v>8.33333333333333</v>
      </c>
      <c r="AY44" s="37" t="n">
        <f aca="false">AY10*Assumptions!$F$80/12*AY18</f>
        <v>8.66666666666667</v>
      </c>
      <c r="AZ44" s="37" t="n">
        <f aca="false">AZ10*Assumptions!$F$80/12*AZ18</f>
        <v>9</v>
      </c>
      <c r="BA44" s="37" t="n">
        <f aca="false">BA10*Assumptions!$F$80/12*BA18</f>
        <v>9.33333333333333</v>
      </c>
      <c r="BB44" s="37" t="n">
        <f aca="false">BB10*Assumptions!$F$80/12*BB18</f>
        <v>9.66666666666667</v>
      </c>
      <c r="BC44" s="37" t="n">
        <f aca="false">BC10*Assumptions!$F$80/12*BC18</f>
        <v>10</v>
      </c>
      <c r="BD44" s="37" t="n">
        <f aca="false">BD10*Assumptions!$F$80/12*BD18</f>
        <v>10.3333333333333</v>
      </c>
      <c r="BE44" s="37" t="n">
        <f aca="false">BE10*Assumptions!$F$80/12*BE18</f>
        <v>10.6666666666667</v>
      </c>
      <c r="BF44" s="37" t="n">
        <f aca="false">BF10*Assumptions!$F$80/12*BF18</f>
        <v>11</v>
      </c>
      <c r="BG44" s="37" t="n">
        <f aca="false">BG10*Assumptions!$F$80/12*BG18</f>
        <v>11.3333333333333</v>
      </c>
      <c r="BH44" s="37" t="n">
        <f aca="false">BH10*Assumptions!$F$80/12*BH18</f>
        <v>11.6666666666667</v>
      </c>
      <c r="BI44" s="37" t="n">
        <f aca="false">BI10*Assumptions!$F$80/12*BI18</f>
        <v>12</v>
      </c>
      <c r="BJ44" s="37" t="n">
        <f aca="false">BJ10*Assumptions!$F$80/12*BJ18</f>
        <v>12.3333333333333</v>
      </c>
      <c r="BK44" s="37" t="n">
        <f aca="false">BK10*Assumptions!$F$80/12*BK18</f>
        <v>12.6666666666667</v>
      </c>
    </row>
    <row r="45" customFormat="false" ht="15" hidden="false" customHeight="false" outlineLevel="0" collapsed="false">
      <c r="A45" s="28" t="s">
        <v>605</v>
      </c>
      <c r="B45" s="6" t="s">
        <v>606</v>
      </c>
      <c r="C45" s="43"/>
      <c r="D45" s="17" t="n">
        <f aca="false">D44*Assumptions!$F$81</f>
        <v>0</v>
      </c>
      <c r="E45" s="17" t="n">
        <f aca="false">E44*Assumptions!$F$81</f>
        <v>0</v>
      </c>
      <c r="F45" s="17" t="n">
        <f aca="false">F44*Assumptions!$F$81</f>
        <v>0</v>
      </c>
      <c r="G45" s="17" t="n">
        <f aca="false">G44*Assumptions!$F$81</f>
        <v>0</v>
      </c>
      <c r="H45" s="17" t="n">
        <f aca="false">H44*Assumptions!$F$81</f>
        <v>0</v>
      </c>
      <c r="I45" s="17" t="n">
        <f aca="false">I44*Assumptions!$F$81</f>
        <v>0</v>
      </c>
      <c r="J45" s="17" t="n">
        <f aca="false">J44*Assumptions!$F$81</f>
        <v>0</v>
      </c>
      <c r="K45" s="17" t="n">
        <f aca="false">K44*Assumptions!$F$81</f>
        <v>0</v>
      </c>
      <c r="L45" s="17" t="n">
        <f aca="false">L44*Assumptions!$F$81</f>
        <v>0</v>
      </c>
      <c r="M45" s="17" t="n">
        <f aca="false">M44*Assumptions!$F$81</f>
        <v>0</v>
      </c>
      <c r="N45" s="17" t="n">
        <f aca="false">N44*Assumptions!$F$81</f>
        <v>0</v>
      </c>
      <c r="O45" s="17" t="n">
        <f aca="false">O44*Assumptions!$F$81</f>
        <v>0</v>
      </c>
      <c r="P45" s="17" t="n">
        <f aca="false">P44*Assumptions!$F$81</f>
        <v>0</v>
      </c>
      <c r="Q45" s="17" t="n">
        <f aca="false">Q44*Assumptions!$F$81</f>
        <v>0</v>
      </c>
      <c r="R45" s="17" t="n">
        <f aca="false">R44*Assumptions!$F$81</f>
        <v>0</v>
      </c>
      <c r="S45" s="17" t="n">
        <f aca="false">S44*Assumptions!$F$81</f>
        <v>1125</v>
      </c>
      <c r="T45" s="17" t="n">
        <f aca="false">T44*Assumptions!$F$81</f>
        <v>1500</v>
      </c>
      <c r="U45" s="17" t="n">
        <f aca="false">U44*Assumptions!$F$81</f>
        <v>1875</v>
      </c>
      <c r="V45" s="17" t="n">
        <f aca="false">V44*Assumptions!$F$81</f>
        <v>2250</v>
      </c>
      <c r="W45" s="17" t="n">
        <f aca="false">W44*Assumptions!$F$81</f>
        <v>2625</v>
      </c>
      <c r="X45" s="17" t="n">
        <f aca="false">X44*Assumptions!$F$81</f>
        <v>3000</v>
      </c>
      <c r="Y45" s="17" t="n">
        <f aca="false">Y44*Assumptions!$F$81</f>
        <v>3375</v>
      </c>
      <c r="Z45" s="17" t="n">
        <f aca="false">Z44*Assumptions!$F$81</f>
        <v>3750</v>
      </c>
      <c r="AA45" s="17" t="n">
        <f aca="false">AA44*Assumptions!$F$81</f>
        <v>4125</v>
      </c>
      <c r="AB45" s="17" t="n">
        <f aca="false">AB44*Assumptions!$F$81</f>
        <v>4500</v>
      </c>
      <c r="AC45" s="17" t="n">
        <f aca="false">AC44*Assumptions!$F$81</f>
        <v>5250</v>
      </c>
      <c r="AD45" s="17" t="n">
        <f aca="false">AD44*Assumptions!$F$81</f>
        <v>5625</v>
      </c>
      <c r="AE45" s="17" t="n">
        <f aca="false">AE44*Assumptions!$F$81</f>
        <v>6000</v>
      </c>
      <c r="AF45" s="17" t="n">
        <f aca="false">AF44*Assumptions!$F$81</f>
        <v>6750</v>
      </c>
      <c r="AG45" s="17" t="n">
        <f aca="false">AG44*Assumptions!$F$81</f>
        <v>7125</v>
      </c>
      <c r="AH45" s="17" t="n">
        <f aca="false">AH44*Assumptions!$F$81</f>
        <v>7500</v>
      </c>
      <c r="AI45" s="17" t="n">
        <f aca="false">AI44*Assumptions!$F$81</f>
        <v>8250</v>
      </c>
      <c r="AJ45" s="17" t="n">
        <f aca="false">AJ44*Assumptions!$F$81</f>
        <v>9000</v>
      </c>
      <c r="AK45" s="17" t="n">
        <f aca="false">AK44*Assumptions!$F$81</f>
        <v>9375</v>
      </c>
      <c r="AL45" s="17" t="n">
        <f aca="false">AL44*Assumptions!$F$81</f>
        <v>10125</v>
      </c>
      <c r="AM45" s="17" t="n">
        <f aca="false">AM44*Assumptions!$F$81</f>
        <v>10875</v>
      </c>
      <c r="AN45" s="44" t="n">
        <f aca="false">AN44*Assumptions!$F$81</f>
        <v>11250</v>
      </c>
      <c r="AO45" s="44" t="n">
        <f aca="false">AO44*Assumptions!$F$81</f>
        <v>12000</v>
      </c>
      <c r="AP45" s="44" t="n">
        <f aca="false">AP44*Assumptions!$F$81</f>
        <v>12750</v>
      </c>
      <c r="AQ45" s="44" t="n">
        <f aca="false">AQ44*Assumptions!$F$81</f>
        <v>13500</v>
      </c>
      <c r="AR45" s="44" t="n">
        <f aca="false">AR44*Assumptions!$F$81</f>
        <v>14250</v>
      </c>
      <c r="AS45" s="44" t="n">
        <f aca="false">AS44*Assumptions!$F$81</f>
        <v>15000</v>
      </c>
      <c r="AT45" s="44" t="n">
        <f aca="false">AT44*Assumptions!$F$81</f>
        <v>15750</v>
      </c>
      <c r="AU45" s="44" t="n">
        <f aca="false">AU44*Assumptions!$F$81</f>
        <v>16500</v>
      </c>
      <c r="AV45" s="44" t="n">
        <f aca="false">AV44*Assumptions!$F$81</f>
        <v>17250</v>
      </c>
      <c r="AW45" s="44" t="n">
        <f aca="false">AW44*Assumptions!$F$81</f>
        <v>18000</v>
      </c>
      <c r="AX45" s="44" t="n">
        <f aca="false">AX44*Assumptions!$F$81</f>
        <v>18750</v>
      </c>
      <c r="AY45" s="44" t="n">
        <f aca="false">AY44*Assumptions!$F$81</f>
        <v>19500</v>
      </c>
      <c r="AZ45" s="44" t="n">
        <f aca="false">AZ44*Assumptions!$F$81</f>
        <v>20250</v>
      </c>
      <c r="BA45" s="44" t="n">
        <f aca="false">BA44*Assumptions!$F$81</f>
        <v>21000</v>
      </c>
      <c r="BB45" s="44" t="n">
        <f aca="false">BB44*Assumptions!$F$81</f>
        <v>21750</v>
      </c>
      <c r="BC45" s="44" t="n">
        <f aca="false">BC44*Assumptions!$F$81</f>
        <v>22500</v>
      </c>
      <c r="BD45" s="44" t="n">
        <f aca="false">BD44*Assumptions!$F$81</f>
        <v>23250</v>
      </c>
      <c r="BE45" s="44" t="n">
        <f aca="false">BE44*Assumptions!$F$81</f>
        <v>24000</v>
      </c>
      <c r="BF45" s="44" t="n">
        <f aca="false">BF44*Assumptions!$F$81</f>
        <v>24750</v>
      </c>
      <c r="BG45" s="44" t="n">
        <f aca="false">BG44*Assumptions!$F$81</f>
        <v>25500</v>
      </c>
      <c r="BH45" s="44" t="n">
        <f aca="false">BH44*Assumptions!$F$81</f>
        <v>26250</v>
      </c>
      <c r="BI45" s="44" t="n">
        <f aca="false">BI44*Assumptions!$F$81</f>
        <v>27000</v>
      </c>
      <c r="BJ45" s="44" t="n">
        <f aca="false">BJ44*Assumptions!$F$81</f>
        <v>27750</v>
      </c>
      <c r="BK45" s="44" t="n">
        <f aca="false">BK44*Assumptions!$F$81</f>
        <v>28500</v>
      </c>
    </row>
    <row r="46" customFormat="false" ht="15" hidden="false" customHeight="false" outlineLevel="0" collapsed="false">
      <c r="A46" s="28" t="s">
        <v>607</v>
      </c>
      <c r="B46" s="5" t="s">
        <v>608</v>
      </c>
      <c r="C46" s="43"/>
      <c r="D46" s="45" t="n">
        <f aca="false">D37+D38+D40+D41+D42+D43+D45</f>
        <v>0</v>
      </c>
      <c r="E46" s="45" t="n">
        <f aca="false">E37+E38+E40+E41+E42+E43+E45</f>
        <v>0</v>
      </c>
      <c r="F46" s="45" t="n">
        <f aca="false">F37+F38+F40+F41+F42+F43+F45</f>
        <v>0</v>
      </c>
      <c r="G46" s="45" t="n">
        <f aca="false">G37+G38+G40+G41+G42+G43+G45</f>
        <v>0</v>
      </c>
      <c r="H46" s="45" t="n">
        <f aca="false">H37+H38+H40+H41+H42+H43+H45</f>
        <v>0</v>
      </c>
      <c r="I46" s="45" t="n">
        <f aca="false">I37+I38+I40+I41+I42+I43+I45</f>
        <v>0</v>
      </c>
      <c r="J46" s="45" t="n">
        <f aca="false">J37+J38+J40+J41+J42+J43+J45</f>
        <v>0</v>
      </c>
      <c r="K46" s="45" t="n">
        <f aca="false">K37+K38+K40+K41+K42+K43+K45</f>
        <v>0</v>
      </c>
      <c r="L46" s="45" t="n">
        <f aca="false">L37+L38+L40+L41+L42+L43+L45</f>
        <v>0</v>
      </c>
      <c r="M46" s="45" t="n">
        <f aca="false">M37+M38+M40+M41+M42+M43+M45</f>
        <v>0</v>
      </c>
      <c r="N46" s="45" t="n">
        <f aca="false">N37+N38+N40+N41+N42+N43+N45</f>
        <v>36.6556985471118</v>
      </c>
      <c r="O46" s="45" t="n">
        <f aca="false">O37+O38+O40+O41+O42+O43+O45</f>
        <v>80.1344398679152</v>
      </c>
      <c r="P46" s="45" t="n">
        <f aca="false">P37+P38+P40+P41+P42+P43+P45</f>
        <v>131.367953909813</v>
      </c>
      <c r="Q46" s="45" t="n">
        <f aca="false">Q37+Q38+Q40+Q41+Q42+Q43+Q45</f>
        <v>190.418611759177</v>
      </c>
      <c r="R46" s="45" t="n">
        <f aca="false">R37+R38+R40+R41+R42+R43+R45</f>
        <v>256.866282020287</v>
      </c>
      <c r="S46" s="45" t="n">
        <f aca="false">S37+S38+S40+S41+S42+S43+S45</f>
        <v>1524.74110355468</v>
      </c>
      <c r="T46" s="45" t="n">
        <f aca="false">T37+T38+T40+T41+T42+T43+T45</f>
        <v>2055.51859627494</v>
      </c>
      <c r="U46" s="45" t="n">
        <f aca="false">U37+U38+U40+U41+U42+U43+U45</f>
        <v>2598.38586778262</v>
      </c>
      <c r="V46" s="45" t="n">
        <f aca="false">V37+V38+V40+V41+V42+V43+V45</f>
        <v>3152.58138158941</v>
      </c>
      <c r="W46" s="45" t="n">
        <f aca="false">W37+W38+W40+W41+W42+W43+W45</f>
        <v>3724.21517264043</v>
      </c>
      <c r="X46" s="45" t="n">
        <f aca="false">X37+X38+X40+X41+X42+X43+X45</f>
        <v>4311.28520924984</v>
      </c>
      <c r="Y46" s="45" t="n">
        <f aca="false">Y37+Y38+Y40+Y41+Y42+Y43+Y45</f>
        <v>4910.8352517024</v>
      </c>
      <c r="Z46" s="45" t="n">
        <f aca="false">Z37+Z38+Z40+Z41+Z42+Z43+Z45</f>
        <v>5527.48939832728</v>
      </c>
      <c r="AA46" s="45" t="n">
        <f aca="false">AA37+AA38+AA40+AA41+AA42+AA43+AA45</f>
        <v>6158.14364432161</v>
      </c>
      <c r="AB46" s="45" t="n">
        <f aca="false">AB37+AB38+AB40+AB41+AB42+AB43+AB45</f>
        <v>6799.64175697249</v>
      </c>
      <c r="AC46" s="45" t="n">
        <f aca="false">AC37+AC38+AC40+AC41+AC42+AC43+AC45</f>
        <v>7830.60496534299</v>
      </c>
      <c r="AD46" s="45" t="n">
        <f aca="false">AD37+AD38+AD40+AD41+AD42+AD43+AD45</f>
        <v>8756.77346246382</v>
      </c>
      <c r="AE46" s="45" t="n">
        <f aca="false">AE37+AE38+AE40+AE41+AE42+AE43+AE45</f>
        <v>9731.85888025377</v>
      </c>
      <c r="AF46" s="45" t="n">
        <f aca="false">AF37+AF38+AF40+AF41+AF42+AF43+AF45</f>
        <v>11135.8871925476</v>
      </c>
      <c r="AG46" s="45" t="n">
        <f aca="false">AG37+AG38+AG40+AG41+AG42+AG43+AG45</f>
        <v>12227.1675927311</v>
      </c>
      <c r="AH46" s="45" t="n">
        <f aca="false">AH37+AH38+AH40+AH41+AH42+AH43+AH45</f>
        <v>13359.7598310236</v>
      </c>
      <c r="AI46" s="45" t="n">
        <f aca="false">AI37+AI38+AI40+AI41+AI42+AI43+AI45</f>
        <v>14921.9013961013</v>
      </c>
      <c r="AJ46" s="45" t="n">
        <f aca="false">AJ37+AJ38+AJ40+AJ41+AJ42+AJ43+AJ45</f>
        <v>16178.507142847</v>
      </c>
      <c r="AK46" s="45" t="n">
        <f aca="false">AK37+AK38+AK40+AK41+AK42+AK43+AK45</f>
        <v>17082.9499428516</v>
      </c>
      <c r="AL46" s="45" t="n">
        <f aca="false">AL37+AL38+AL40+AL41+AL42+AL43+AL45</f>
        <v>18380.8399368442</v>
      </c>
      <c r="AM46" s="45" t="n">
        <f aca="false">AM37+AM38+AM40+AM41+AM42+AM43+AM45</f>
        <v>19693.5781031006</v>
      </c>
      <c r="AN46" s="46" t="n">
        <f aca="false">AN37+AN38+AN40+AN41+AN42+AN43+AN45</f>
        <v>20648.5426131109</v>
      </c>
      <c r="AO46" s="46" t="n">
        <f aca="false">AO37+AO38+AO40+AO41+AO42+AO43+AO45</f>
        <v>21991.1169189011</v>
      </c>
      <c r="AP46" s="46" t="n">
        <f aca="false">AP37+AP38+AP40+AP41+AP42+AP43+AP45</f>
        <v>23345.1256527484</v>
      </c>
      <c r="AQ46" s="46" t="n">
        <f aca="false">AQ37+AQ38+AQ40+AQ41+AQ42+AQ43+AQ45</f>
        <v>24709.4980183222</v>
      </c>
      <c r="AR46" s="46" t="n">
        <f aca="false">AR37+AR38+AR40+AR41+AR42+AR43+AR45</f>
        <v>26083.2515062394</v>
      </c>
      <c r="AS46" s="46" t="n">
        <f aca="false">AS37+AS38+AS40+AS41+AS42+AS43+AS45</f>
        <v>27465.4800036791</v>
      </c>
      <c r="AT46" s="46" t="n">
        <f aca="false">AT37+AT38+AT40+AT41+AT42+AT43+AT45</f>
        <v>28854.2196154941</v>
      </c>
      <c r="AU46" s="46" t="n">
        <f aca="false">AU37+AU38+AU40+AU41+AU42+AU43+AU45</f>
        <v>30249.554236487</v>
      </c>
      <c r="AV46" s="46" t="n">
        <f aca="false">AV37+AV38+AV40+AV41+AV42+AV43+AV45</f>
        <v>31650.7882450496</v>
      </c>
      <c r="AW46" s="46" t="n">
        <f aca="false">AW37+AW38+AW40+AW41+AW42+AW43+AW45</f>
        <v>33056.1467859923</v>
      </c>
      <c r="AX46" s="46" t="n">
        <f aca="false">AX37+AX38+AX40+AX41+AX42+AX43+AX45</f>
        <v>34465.8854997974</v>
      </c>
      <c r="AY46" s="46" t="n">
        <f aca="false">AY37+AY38+AY40+AY41+AY42+AY43+AY45</f>
        <v>35879.4661366438</v>
      </c>
      <c r="AZ46" s="46" t="n">
        <f aca="false">AZ37+AZ38+AZ40+AZ41+AZ42+AZ43+AZ45</f>
        <v>37295.2589412384</v>
      </c>
      <c r="BA46" s="46" t="n">
        <f aca="false">BA37+BA38+BA40+BA41+BA42+BA43+BA45</f>
        <v>38712.5287082468</v>
      </c>
      <c r="BB46" s="46" t="n">
        <f aca="false">BB37+BB38+BB40+BB41+BB42+BB43+BB45</f>
        <v>40131.7241143544</v>
      </c>
      <c r="BC46" s="46" t="n">
        <f aca="false">BC37+BC38+BC40+BC41+BC42+BC43+BC45</f>
        <v>41551.359322632</v>
      </c>
      <c r="BD46" s="46" t="n">
        <f aca="false">BD37+BD38+BD40+BD41+BD42+BD43+BD45</f>
        <v>42970.8309435362</v>
      </c>
      <c r="BE46" s="46" t="n">
        <f aca="false">BE37+BE38+BE40+BE41+BE42+BE43+BE45</f>
        <v>44390.7091479839</v>
      </c>
      <c r="BF46" s="46" t="n">
        <f aca="false">BF37+BF38+BF40+BF41+BF42+BF43+BF45</f>
        <v>45809.6205876853</v>
      </c>
      <c r="BG46" s="46" t="n">
        <f aca="false">BG37+BG38+BG40+BG41+BG42+BG43+BG45</f>
        <v>47227.0663593563</v>
      </c>
      <c r="BH46" s="46" t="n">
        <f aca="false">BH37+BH38+BH40+BH41+BH42+BH43+BH45</f>
        <v>48642.5886776679</v>
      </c>
      <c r="BI46" s="46" t="n">
        <f aca="false">BI37+BI38+BI40+BI41+BI42+BI43+BI45</f>
        <v>50055.7669669987</v>
      </c>
      <c r="BJ46" s="46" t="n">
        <f aca="false">BJ37+BJ38+BJ40+BJ41+BJ42+BJ43+BJ45</f>
        <v>51466.2146446757</v>
      </c>
      <c r="BK46" s="46" t="n">
        <f aca="false">BK37+BK38+BK40+BK41+BK42+BK43+BK45</f>
        <v>52873.5763970499</v>
      </c>
    </row>
    <row r="47" customFormat="false" ht="15" hidden="false" customHeight="false" outlineLevel="0" collapsed="false">
      <c r="A47" s="28" t="s">
        <v>609</v>
      </c>
      <c r="B47" s="6" t="s">
        <v>610</v>
      </c>
      <c r="C47" s="43"/>
      <c r="D47" s="17" t="n">
        <f aca="false">D37+D38</f>
        <v>0</v>
      </c>
      <c r="E47" s="17" t="n">
        <f aca="false">E37+E38</f>
        <v>0</v>
      </c>
      <c r="F47" s="17" t="n">
        <f aca="false">F37+F38</f>
        <v>0</v>
      </c>
      <c r="G47" s="17" t="n">
        <f aca="false">G37+G38</f>
        <v>0</v>
      </c>
      <c r="H47" s="17" t="n">
        <f aca="false">H37+H38</f>
        <v>0</v>
      </c>
      <c r="I47" s="17" t="n">
        <f aca="false">I37+I38</f>
        <v>0</v>
      </c>
      <c r="J47" s="17" t="n">
        <f aca="false">J37+J38</f>
        <v>0</v>
      </c>
      <c r="K47" s="17" t="n">
        <f aca="false">K37+K38</f>
        <v>0</v>
      </c>
      <c r="L47" s="17" t="n">
        <f aca="false">L37+L38</f>
        <v>0</v>
      </c>
      <c r="M47" s="17" t="n">
        <f aca="false">M37+M38</f>
        <v>0</v>
      </c>
      <c r="N47" s="17" t="n">
        <f aca="false">N37+N38</f>
        <v>27.40612975485</v>
      </c>
      <c r="O47" s="17" t="n">
        <f aca="false">O37+O38</f>
        <v>59.913599901245</v>
      </c>
      <c r="P47" s="17" t="n">
        <f aca="false">P37+P38</f>
        <v>98.219030960608</v>
      </c>
      <c r="Q47" s="17" t="n">
        <f aca="false">Q37+Q38</f>
        <v>142.36905552088</v>
      </c>
      <c r="R47" s="17" t="n">
        <f aca="false">R37+R38</f>
        <v>192.049556650682</v>
      </c>
      <c r="S47" s="17" t="n">
        <f aca="false">S37+S38</f>
        <v>300.485707791003</v>
      </c>
      <c r="T47" s="17" t="n">
        <f aca="false">T37+T38</f>
        <v>418.708758247079</v>
      </c>
      <c r="U47" s="17" t="n">
        <f aca="false">U37+U38</f>
        <v>546.104128468376</v>
      </c>
      <c r="V47" s="17" t="n">
        <f aca="false">V37+V38</f>
        <v>682.095953582732</v>
      </c>
      <c r="W47" s="17" t="n">
        <f aca="false">W37+W38</f>
        <v>831.314572971864</v>
      </c>
      <c r="X47" s="17" t="n">
        <f aca="false">X37+X38</f>
        <v>992.2449197628</v>
      </c>
      <c r="Y47" s="17" t="n">
        <f aca="false">Y37+Y38</f>
        <v>1162.64855111157</v>
      </c>
      <c r="Z47" s="17" t="n">
        <f aca="false">Z37+Z38</f>
        <v>1346.02989517041</v>
      </c>
      <c r="AA47" s="17" t="n">
        <f aca="false">AA37+AA38</f>
        <v>1540.03867251287</v>
      </c>
      <c r="AB47" s="17" t="n">
        <f aca="false">AB37+AB38</f>
        <v>1742.28448168498</v>
      </c>
      <c r="AC47" s="17" t="n">
        <f aca="false">AC37+AC38</f>
        <v>1955.51147146297</v>
      </c>
      <c r="AD47" s="17" t="n">
        <f aca="false">AD37+AD38</f>
        <v>2182.66424593346</v>
      </c>
      <c r="AE47" s="17" t="n">
        <f aca="false">AE37+AE38</f>
        <v>2420.25317479657</v>
      </c>
      <c r="AF47" s="17" t="n">
        <f aca="false">AF37+AF38</f>
        <v>2669.38297397308</v>
      </c>
      <c r="AG47" s="17" t="n">
        <f aca="false">AG37+AG38</f>
        <v>2931.89402218694</v>
      </c>
      <c r="AH47" s="17" t="n">
        <f aca="false">AH37+AH38</f>
        <v>3203.48179662283</v>
      </c>
      <c r="AI47" s="17" t="n">
        <f aca="false">AI37+AI38</f>
        <v>3484.91129596425</v>
      </c>
      <c r="AJ47" s="17" t="n">
        <f aca="false">AJ37+AJ38</f>
        <v>3777.29601839772</v>
      </c>
      <c r="AK47" s="17" t="n">
        <f aca="false">AK37+AK38</f>
        <v>4081.65758286676</v>
      </c>
      <c r="AL47" s="17" t="n">
        <f aca="false">AL37+AL38</f>
        <v>4397.897815014</v>
      </c>
      <c r="AM47" s="17" t="n">
        <f aca="false">AM37+AM38</f>
        <v>4725.29580774008</v>
      </c>
      <c r="AN47" s="44" t="n">
        <f aca="false">AN37+AN38</f>
        <v>5063.79560319184</v>
      </c>
      <c r="AO47" s="44" t="n">
        <f aca="false">AO37+AO38</f>
        <v>5412.50907541008</v>
      </c>
      <c r="AP47" s="44" t="n">
        <f aca="false">AP37+AP38</f>
        <v>5770.60574295077</v>
      </c>
      <c r="AQ47" s="44" t="n">
        <f aca="false">AQ37+AQ38</f>
        <v>6137.30906000693</v>
      </c>
      <c r="AR47" s="44" t="n">
        <f aca="false">AR37+AR38</f>
        <v>6511.89295195314</v>
      </c>
      <c r="AS47" s="44" t="n">
        <f aca="false">AS37+AS38</f>
        <v>6893.67857880206</v>
      </c>
      <c r="AT47" s="44" t="n">
        <f aca="false">AT37+AT38</f>
        <v>7281.82451109864</v>
      </c>
      <c r="AU47" s="44" t="n">
        <f aca="false">AU37+AU38</f>
        <v>7675.75305874469</v>
      </c>
      <c r="AV47" s="44" t="n">
        <f aca="false">AV37+AV38</f>
        <v>8074.92425587604</v>
      </c>
      <c r="AW47" s="44" t="n">
        <f aca="false">AW37+AW38</f>
        <v>8478.62665921302</v>
      </c>
      <c r="AX47" s="44" t="n">
        <f aca="false">AX37+AX38</f>
        <v>8886.40425754302</v>
      </c>
      <c r="AY47" s="44" t="n">
        <f aca="false">AY37+AY38</f>
        <v>9297.83099832278</v>
      </c>
      <c r="AZ47" s="44" t="n">
        <f aca="false">AZ37+AZ38</f>
        <v>9712.30209148669</v>
      </c>
      <c r="BA47" s="44" t="n">
        <f aca="false">BA37+BA38</f>
        <v>10129.2545904999</v>
      </c>
      <c r="BB47" s="44" t="n">
        <f aca="false">BB37+BB38</f>
        <v>10548.3715137609</v>
      </c>
      <c r="BC47" s="44" t="n">
        <f aca="false">BC37+BC38</f>
        <v>10969.1501850424</v>
      </c>
      <c r="BD47" s="44" t="n">
        <f aca="false">BD37+BD38</f>
        <v>11391.1232649484</v>
      </c>
      <c r="BE47" s="44" t="n">
        <f aca="false">BE37+BE38</f>
        <v>11814.0632927678</v>
      </c>
      <c r="BF47" s="44" t="n">
        <f aca="false">BF37+BF38</f>
        <v>12237.5514194522</v>
      </c>
      <c r="BG47" s="44" t="n">
        <f aca="false">BG37+BG38</f>
        <v>12661.1988055936</v>
      </c>
      <c r="BH47" s="44" t="n">
        <f aca="false">BH37+BH38</f>
        <v>13084.6447054456</v>
      </c>
      <c r="BI47" s="44" t="n">
        <f aca="false">BI37+BI38</f>
        <v>13507.5546741717</v>
      </c>
      <c r="BJ47" s="44" t="n">
        <f aca="false">BJ37+BJ38</f>
        <v>13929.6188901786</v>
      </c>
      <c r="BK47" s="44" t="n">
        <f aca="false">BK37+BK38</f>
        <v>14350.5505849455</v>
      </c>
    </row>
    <row r="48" customFormat="false" ht="15" hidden="false" customHeight="false" outlineLevel="0" collapsed="false">
      <c r="B48" s="5" t="s">
        <v>611</v>
      </c>
    </row>
    <row r="49" customFormat="false" ht="15" hidden="false" customHeight="false" outlineLevel="0" collapsed="false">
      <c r="A49" s="28" t="s">
        <v>612</v>
      </c>
      <c r="B49" s="6" t="s">
        <v>613</v>
      </c>
      <c r="C49" s="43"/>
      <c r="D49" s="17" t="n">
        <f aca="false">D12*(Assumptions!$F$60+Assumptions!$F$63/60*Assumptions!$F$62)</f>
        <v>0</v>
      </c>
      <c r="E49" s="17" t="n">
        <f aca="false">E12*(Assumptions!$F$60+Assumptions!$F$63/60*Assumptions!$F$62)</f>
        <v>0</v>
      </c>
      <c r="F49" s="17" t="n">
        <f aca="false">F12*(Assumptions!$F$60+Assumptions!$F$63/60*Assumptions!$F$62)</f>
        <v>0</v>
      </c>
      <c r="G49" s="17" t="n">
        <f aca="false">G12*(Assumptions!$F$60+Assumptions!$F$63/60*Assumptions!$F$62)</f>
        <v>0</v>
      </c>
      <c r="H49" s="17" t="n">
        <f aca="false">H12*(Assumptions!$F$60+Assumptions!$F$63/60*Assumptions!$F$62)</f>
        <v>24.6666666666667</v>
      </c>
      <c r="I49" s="17" t="n">
        <f aca="false">I12*(Assumptions!$F$60+Assumptions!$F$63/60*Assumptions!$F$62)</f>
        <v>46.0033333333333</v>
      </c>
      <c r="J49" s="17" t="n">
        <f aca="false">J12*(Assumptions!$F$60+Assumptions!$F$63/60*Assumptions!$F$62)</f>
        <v>60.1132833333333</v>
      </c>
      <c r="K49" s="17" t="n">
        <f aca="false">K12*(Assumptions!$F$60+Assumptions!$F$63/60*Assumptions!$F$62)</f>
        <v>93.7449174166667</v>
      </c>
      <c r="L49" s="17" t="n">
        <f aca="false">L12*(Assumptions!$F$60+Assumptions!$F$63/60*Assumptions!$F$62)</f>
        <v>144.63207698875</v>
      </c>
      <c r="M49" s="17" t="n">
        <f aca="false">M12*(Assumptions!$F$60+Assumptions!$F$63/60*Assumptions!$F$62)</f>
        <v>183.902595833919</v>
      </c>
      <c r="N49" s="17" t="n">
        <f aca="false">N12*(Assumptions!$F$60+Assumptions!$F$63/60*Assumptions!$F$62)</f>
        <v>231.46405689641</v>
      </c>
      <c r="O49" s="17" t="n">
        <f aca="false">O12*(Assumptions!$F$60+Assumptions!$F$63/60*Assumptions!$F$62)</f>
        <v>291.13876270963</v>
      </c>
      <c r="P49" s="17" t="n">
        <f aca="false">P12*(Assumptions!$F$60+Assumptions!$F$63/60*Assumptions!$F$62)</f>
        <v>359.785014602319</v>
      </c>
      <c r="Q49" s="17" t="n">
        <f aca="false">Q12*(Assumptions!$F$60+Assumptions!$F$63/60*Assumptions!$F$62)</f>
        <v>432.334906049951</v>
      </c>
      <c r="R49" s="17" t="n">
        <f aca="false">R12*(Assumptions!$F$60+Assumptions!$F$63/60*Assumptions!$F$62)</f>
        <v>505.769882459202</v>
      </c>
      <c r="S49" s="17" t="n">
        <f aca="false">S12*(Assumptions!$F$60+Assumptions!$F$63/60*Assumptions!$F$62)</f>
        <v>583.036667555647</v>
      </c>
      <c r="T49" s="17" t="n">
        <f aca="false">T12*(Assumptions!$F$60+Assumptions!$F$63/60*Assumptions!$F$62)</f>
        <v>660.131117542313</v>
      </c>
      <c r="U49" s="17" t="n">
        <f aca="false">U12*(Assumptions!$F$60+Assumptions!$F$63/60*Assumptions!$F$62)</f>
        <v>737.055817445845</v>
      </c>
      <c r="V49" s="17" t="n">
        <f aca="false">V12*(Assumptions!$F$60+Assumptions!$F$63/60*Assumptions!$F$62)</f>
        <v>813.81331351749</v>
      </c>
      <c r="W49" s="17" t="n">
        <f aca="false">W12*(Assumptions!$F$60+Assumptions!$F$63/60*Assumptions!$F$62)</f>
        <v>915.072780481395</v>
      </c>
      <c r="X49" s="17" t="n">
        <f aca="false">X12*(Assumptions!$F$60+Assumptions!$F$63/60*Assumptions!$F$62)</f>
        <v>1012.84002210751</v>
      </c>
      <c r="Y49" s="17" t="n">
        <f aca="false">Y12*(Assumptions!$F$60+Assumptions!$F$63/60*Assumptions!$F$62)</f>
        <v>1103.22075510923</v>
      </c>
      <c r="Z49" s="17" t="n">
        <f aca="false">Z12*(Assumptions!$F$60+Assumptions!$F$63/60*Assumptions!$F$62)</f>
        <v>1212.96577711592</v>
      </c>
      <c r="AA49" s="17" t="n">
        <f aca="false">AA12*(Assumptions!$F$60+Assumptions!$F$63/60*Assumptions!$F$62)</f>
        <v>1315.14462379252</v>
      </c>
      <c r="AB49" s="17" t="n">
        <f aca="false">AB12*(Assumptions!$F$60+Assumptions!$F$63/60*Assumptions!$F$62)</f>
        <v>1408.8841211023</v>
      </c>
      <c r="AC49" s="17" t="n">
        <f aca="false">AC12*(Assumptions!$F$60+Assumptions!$F$63/60*Assumptions!$F$62)</f>
        <v>1517.99085928576</v>
      </c>
      <c r="AD49" s="17" t="n">
        <f aca="false">AD12*(Assumptions!$F$60+Assumptions!$F$63/60*Assumptions!$F$62)</f>
        <v>1644.20766306314</v>
      </c>
      <c r="AE49" s="17" t="n">
        <f aca="false">AE12*(Assumptions!$F$60+Assumptions!$F$63/60*Assumptions!$F$62)</f>
        <v>1757.67788145053</v>
      </c>
      <c r="AF49" s="17" t="n">
        <f aca="false">AF12*(Assumptions!$F$60+Assumptions!$F$63/60*Assumptions!$F$62)</f>
        <v>1879.31271322877</v>
      </c>
      <c r="AG49" s="17" t="n">
        <f aca="false">AG12*(Assumptions!$F$60+Assumptions!$F$63/60*Assumptions!$F$62)</f>
        <v>2012.93635586367</v>
      </c>
      <c r="AH49" s="17" t="n">
        <f aca="false">AH12*(Assumptions!$F$60+Assumptions!$F$63/60*Assumptions!$F$62)</f>
        <v>2129.75564385905</v>
      </c>
      <c r="AI49" s="17" t="n">
        <f aca="false">AI12*(Assumptions!$F$60+Assumptions!$F$63/60*Assumptions!$F$62)</f>
        <v>2252.71597586783</v>
      </c>
      <c r="AJ49" s="17" t="n">
        <f aca="false">AJ12*(Assumptions!$F$60+Assumptions!$F$63/60*Assumptions!$F$62)</f>
        <v>2383.69856956315</v>
      </c>
      <c r="AK49" s="17" t="n">
        <f aca="false">AK12*(Assumptions!$F$60+Assumptions!$F$63/60*Assumptions!$F$62)</f>
        <v>2522.5830910197</v>
      </c>
      <c r="AL49" s="17" t="n">
        <f aca="false">AL12*(Assumptions!$F$60+Assumptions!$F$63/60*Assumptions!$F$62)</f>
        <v>2664.31767798774</v>
      </c>
      <c r="AM49" s="17" t="n">
        <f aca="false">AM12*(Assumptions!$F$60+Assumptions!$F$63/60*Assumptions!$F$62)</f>
        <v>2805.89957948459</v>
      </c>
      <c r="AN49" s="44" t="n">
        <f aca="false">AN12*(Assumptions!$F$60+Assumptions!$F$63/60*Assumptions!$F$62)</f>
        <v>2950.29108579232</v>
      </c>
      <c r="AO49" s="44" t="n">
        <f aca="false">AO12*(Assumptions!$F$60+Assumptions!$F$63/60*Assumptions!$F$62)</f>
        <v>3093.5033861721</v>
      </c>
      <c r="AP49" s="44" t="n">
        <f aca="false">AP12*(Assumptions!$F$60+Assumptions!$F$63/60*Assumptions!$F$62)</f>
        <v>3235.55416871285</v>
      </c>
      <c r="AQ49" s="44" t="n">
        <f aca="false">AQ12*(Assumptions!$F$60+Assumptions!$F$63/60*Assumptions!$F$62)</f>
        <v>3376.46085618216</v>
      </c>
      <c r="AR49" s="44" t="n">
        <f aca="false">AR12*(Assumptions!$F$60+Assumptions!$F$63/60*Assumptions!$F$62)</f>
        <v>3516.24061000609</v>
      </c>
      <c r="AS49" s="44" t="n">
        <f aca="false">AS12*(Assumptions!$F$60+Assumptions!$F$63/60*Assumptions!$F$62)</f>
        <v>3654.91033418934</v>
      </c>
      <c r="AT49" s="44" t="n">
        <f aca="false">AT12*(Assumptions!$F$60+Assumptions!$F$63/60*Assumptions!$F$62)</f>
        <v>3791.50001250983</v>
      </c>
      <c r="AU49" s="44" t="n">
        <f aca="false">AU12*(Assumptions!$F$60+Assumptions!$F$63/60*Assumptions!$F$62)</f>
        <v>3927.02751232218</v>
      </c>
      <c r="AV49" s="44" t="n">
        <f aca="false">AV12*(Assumptions!$F$60+Assumptions!$F$63/60*Assumptions!$F$62)</f>
        <v>4061.50876630402</v>
      </c>
      <c r="AW49" s="44" t="n">
        <f aca="false">AW12*(Assumptions!$F$60+Assumptions!$F$63/60*Assumptions!$F$62)</f>
        <v>4193.97280147612</v>
      </c>
      <c r="AX49" s="44" t="n">
        <f aca="false">AX12*(Assumptions!$F$60+Assumptions!$F$63/60*Assumptions!$F$62)</f>
        <v>4325.43654278731</v>
      </c>
      <c r="AY49" s="44" t="n">
        <f aca="false">AY12*(Assumptions!$F$60+Assumptions!$F$63/60*Assumptions!$F$62)</f>
        <v>4455.9149946455</v>
      </c>
      <c r="AZ49" s="44" t="n">
        <f aca="false">AZ12*(Assumptions!$F$60+Assumptions!$F$63/60*Assumptions!$F$62)</f>
        <v>4584.43626972582</v>
      </c>
      <c r="BA49" s="44" t="n">
        <f aca="false">BA12*(Assumptions!$F$60+Assumptions!$F$63/60*Assumptions!$F$62)</f>
        <v>4711.02972567993</v>
      </c>
      <c r="BB49" s="44" t="n">
        <f aca="false">BB12*(Assumptions!$F$60+Assumptions!$F$63/60*Assumptions!$F$62)</f>
        <v>4836.7109464614</v>
      </c>
      <c r="BC49" s="44" t="n">
        <f aca="false">BC12*(Assumptions!$F$60+Assumptions!$F$63/60*Assumptions!$F$62)</f>
        <v>4960.50694893115</v>
      </c>
      <c r="BD49" s="44" t="n">
        <f aca="false">BD12*(Assumptions!$F$60+Assumptions!$F$63/60*Assumptions!$F$62)</f>
        <v>5082.44601136385</v>
      </c>
      <c r="BE49" s="44" t="n">
        <f aca="false">BE12*(Assumptions!$F$60+Assumptions!$F$63/60*Assumptions!$F$62)</f>
        <v>5203.54265452672</v>
      </c>
      <c r="BF49" s="44" t="n">
        <f aca="false">BF12*(Assumptions!$F$60+Assumptions!$F$63/60*Assumptions!$F$62)</f>
        <v>5322.82284804216</v>
      </c>
      <c r="BG49" s="44" t="n">
        <f aca="false">BG12*(Assumptions!$F$60+Assumptions!$F$63/60*Assumptions!$F$62)</f>
        <v>5440.31383865486</v>
      </c>
      <c r="BH49" s="44" t="n">
        <f aca="false">BH12*(Assumptions!$F$60+Assumptions!$F$63/60*Assumptions!$F$62)</f>
        <v>5556.04246440837</v>
      </c>
      <c r="BI49" s="44" t="n">
        <f aca="false">BI12*(Assumptions!$F$60+Assumptions!$F$63/60*Assumptions!$F$62)</f>
        <v>5670.03516077557</v>
      </c>
      <c r="BJ49" s="44" t="n">
        <f aca="false">BJ12*(Assumptions!$F$60+Assumptions!$F$63/60*Assumptions!$F$62)</f>
        <v>5782.31796669727</v>
      </c>
      <c r="BK49" s="44" t="n">
        <f aca="false">BK12*(Assumptions!$F$60+Assumptions!$F$63/60*Assumptions!$F$62)</f>
        <v>5892.91653053015</v>
      </c>
    </row>
    <row r="50" customFormat="false" ht="15" hidden="false" customHeight="false" outlineLevel="0" collapsed="false">
      <c r="A50" s="28" t="s">
        <v>614</v>
      </c>
      <c r="B50" s="6" t="s">
        <v>615</v>
      </c>
      <c r="C50" s="43"/>
      <c r="D50" s="17" t="n">
        <f aca="false">D32*Assumptions!$F$64/60*Assumptions!$F$62</f>
        <v>0</v>
      </c>
      <c r="E50" s="17" t="n">
        <f aca="false">E32*Assumptions!$F$64/60*Assumptions!$F$62</f>
        <v>0</v>
      </c>
      <c r="F50" s="17" t="n">
        <f aca="false">F32*Assumptions!$F$64/60*Assumptions!$F$62</f>
        <v>0</v>
      </c>
      <c r="G50" s="17" t="n">
        <f aca="false">G32*Assumptions!$F$64/60*Assumptions!$F$62</f>
        <v>0</v>
      </c>
      <c r="H50" s="17" t="n">
        <f aca="false">H32*Assumptions!$F$64/60*Assumptions!$F$62</f>
        <v>0</v>
      </c>
      <c r="I50" s="17" t="n">
        <f aca="false">I32*Assumptions!$F$64/60*Assumptions!$F$62</f>
        <v>0</v>
      </c>
      <c r="J50" s="17" t="n">
        <f aca="false">J32*Assumptions!$F$64/60*Assumptions!$F$62</f>
        <v>0</v>
      </c>
      <c r="K50" s="17" t="n">
        <f aca="false">K32*Assumptions!$F$64/60*Assumptions!$F$62</f>
        <v>0</v>
      </c>
      <c r="L50" s="17" t="n">
        <f aca="false">L32*Assumptions!$F$64/60*Assumptions!$F$62</f>
        <v>0</v>
      </c>
      <c r="M50" s="17" t="n">
        <f aca="false">M32*Assumptions!$F$64/60*Assumptions!$F$62</f>
        <v>0</v>
      </c>
      <c r="N50" s="17" t="n">
        <f aca="false">N32*Assumptions!$F$64/60*Assumptions!$F$62</f>
        <v>2.34641521873715</v>
      </c>
      <c r="O50" s="17" t="n">
        <f aca="false">O32*Assumptions!$F$64/60*Assumptions!$F$62</f>
        <v>5.12958903264084</v>
      </c>
      <c r="P50" s="17" t="n">
        <f aca="false">P32*Assumptions!$F$64/60*Assumptions!$F$62</f>
        <v>8.4091636096411</v>
      </c>
      <c r="Q50" s="17" t="n">
        <f aca="false">Q32*Assumptions!$F$64/60*Assumptions!$F$62</f>
        <v>12.1891314658288</v>
      </c>
      <c r="R50" s="17" t="n">
        <f aca="false">R32*Assumptions!$F$64/60*Assumptions!$F$62</f>
        <v>16.4425990283118</v>
      </c>
      <c r="S50" s="17" t="n">
        <f aca="false">S32*Assumptions!$F$64/60*Assumptions!$F$62</f>
        <v>29.0119508052212</v>
      </c>
      <c r="T50" s="17" t="n">
        <f aca="false">T32*Assumptions!$F$64/60*Assumptions!$F$62</f>
        <v>42.7043158781273</v>
      </c>
      <c r="U50" s="17" t="n">
        <f aca="false">U32*Assumptions!$F$64/60*Assumptions!$F$62</f>
        <v>57.4532135010287</v>
      </c>
      <c r="V50" s="17" t="n">
        <f aca="false">V32*Assumptions!$F$64/60*Assumptions!$F$62</f>
        <v>73.1961243782735</v>
      </c>
      <c r="W50" s="17" t="n">
        <f aca="false">W32*Assumptions!$F$64/60*Assumptions!$F$62</f>
        <v>90.455880424822</v>
      </c>
      <c r="X50" s="17" t="n">
        <f aca="false">X32*Assumptions!$F$64/60*Assumptions!$F$62</f>
        <v>109.065673774069</v>
      </c>
      <c r="Y50" s="17" t="n">
        <f aca="false">Y32*Assumptions!$F$64/60*Assumptions!$F$62</f>
        <v>128.776508994441</v>
      </c>
      <c r="Z50" s="17" t="n">
        <f aca="false">Z32*Assumptions!$F$64/60*Assumptions!$F$62</f>
        <v>149.984426280798</v>
      </c>
      <c r="AA50" s="17" t="n">
        <f aca="false">AA32*Assumptions!$F$64/60*Assumptions!$F$62</f>
        <v>172.428090552832</v>
      </c>
      <c r="AB50" s="17" t="n">
        <f aca="false">AB32*Assumptions!$F$64/60*Assumptions!$F$62</f>
        <v>195.84054699536</v>
      </c>
      <c r="AC50" s="17" t="n">
        <f aca="false">AC32*Assumptions!$F$64/60*Assumptions!$F$62</f>
        <v>220.531427714658</v>
      </c>
      <c r="AD50" s="17" t="n">
        <f aca="false">AD32*Assumptions!$F$64/60*Assumptions!$F$62</f>
        <v>246.833954291181</v>
      </c>
      <c r="AE50" s="17" t="n">
        <f aca="false">AE32*Assumptions!$F$64/60*Assumptions!$F$62</f>
        <v>274.358543984624</v>
      </c>
      <c r="AF50" s="17" t="n">
        <f aca="false">AF32*Assumptions!$F$64/60*Assumptions!$F$62</f>
        <v>303.230932408109</v>
      </c>
      <c r="AG50" s="17" t="n">
        <f aca="false">AG32*Assumptions!$F$64/60*Assumptions!$F$62</f>
        <v>333.659975377928</v>
      </c>
      <c r="AH50" s="17" t="n">
        <f aca="false">AH32*Assumptions!$F$64/60*Assumptions!$F$62</f>
        <v>365.16384455166</v>
      </c>
      <c r="AI50" s="17" t="n">
        <f aca="false">AI32*Assumptions!$F$64/60*Assumptions!$F$62</f>
        <v>397.829196785054</v>
      </c>
      <c r="AJ50" s="17" t="n">
        <f aca="false">AJ32*Assumptions!$F$64/60*Assumptions!$F$62</f>
        <v>431.782166268007</v>
      </c>
      <c r="AK50" s="17" t="n">
        <f aca="false">AK32*Assumptions!$F$64/60*Assumptions!$F$62</f>
        <v>467.138944154853</v>
      </c>
      <c r="AL50" s="17" t="n">
        <f aca="false">AL32*Assumptions!$F$64/60*Assumptions!$F$62</f>
        <v>503.890077693435</v>
      </c>
      <c r="AM50" s="17" t="n">
        <f aca="false">AM32*Assumptions!$F$64/60*Assumptions!$F$62</f>
        <v>541.955927208537</v>
      </c>
      <c r="AN50" s="44" t="n">
        <f aca="false">AN32*Assumptions!$F$64/60*Assumptions!$F$62</f>
        <v>581.331292827113</v>
      </c>
      <c r="AO50" s="44" t="n">
        <f aca="false">AO32*Assumptions!$F$64/60*Assumptions!$F$62</f>
        <v>621.917270652592</v>
      </c>
      <c r="AP50" s="44" t="n">
        <f aca="false">AP32*Assumptions!$F$64/60*Assumptions!$F$62</f>
        <v>663.621032804217</v>
      </c>
      <c r="AQ50" s="44" t="n">
        <f aca="false">AQ32*Assumptions!$F$64/60*Assumptions!$F$62</f>
        <v>706.355456096337</v>
      </c>
      <c r="AR50" s="44" t="n">
        <f aca="false">AR32*Assumptions!$F$64/60*Assumptions!$F$62</f>
        <v>750.038774147581</v>
      </c>
      <c r="AS50" s="44" t="n">
        <f aca="false">AS32*Assumptions!$F$64/60*Assumptions!$F$62</f>
        <v>794.594251389857</v>
      </c>
      <c r="AT50" s="44" t="n">
        <f aca="false">AT32*Assumptions!$F$64/60*Assumptions!$F$62</f>
        <v>839.926612156027</v>
      </c>
      <c r="AU50" s="44" t="n">
        <f aca="false">AU32*Assumptions!$F$64/60*Assumptions!$F$62</f>
        <v>885.96995292194</v>
      </c>
      <c r="AV50" s="44" t="n">
        <f aca="false">AV32*Assumptions!$F$64/60*Assumptions!$F$62</f>
        <v>932.662436678677</v>
      </c>
      <c r="AW50" s="44" t="n">
        <f aca="false">AW32*Assumptions!$F$64/60*Assumptions!$F$62</f>
        <v>979.922782307406</v>
      </c>
      <c r="AX50" s="44" t="n">
        <f aca="false">AX32*Assumptions!$F$64/60*Assumptions!$F$62</f>
        <v>1027.69823320458</v>
      </c>
      <c r="AY50" s="44" t="n">
        <f aca="false">AY32*Assumptions!$F$64/60*Assumptions!$F$62</f>
        <v>1075.9393043938</v>
      </c>
      <c r="AZ50" s="44" t="n">
        <f aca="false">AZ32*Assumptions!$F$64/60*Assumptions!$F$62</f>
        <v>1124.57632123948</v>
      </c>
      <c r="BA50" s="44" t="n">
        <f aca="false">BA32*Assumptions!$F$64/60*Assumptions!$F$62</f>
        <v>1173.5441688423</v>
      </c>
      <c r="BB50" s="44" t="n">
        <f aca="false">BB32*Assumptions!$F$64/60*Assumptions!$F$62</f>
        <v>1222.80528097093</v>
      </c>
      <c r="BC50" s="44" t="n">
        <f aca="false">BC32*Assumptions!$F$64/60*Assumptions!$F$62</f>
        <v>1272.30118205971</v>
      </c>
      <c r="BD50" s="44" t="n">
        <f aca="false">BD32*Assumptions!$F$64/60*Assumptions!$F$62</f>
        <v>1321.9772809612</v>
      </c>
      <c r="BE50" s="44" t="n">
        <f aca="false">BE32*Assumptions!$F$64/60*Assumptions!$F$62</f>
        <v>1371.80590140096</v>
      </c>
      <c r="BF50" s="44" t="n">
        <f aca="false">BF32*Assumptions!$F$64/60*Assumptions!$F$62</f>
        <v>1421.73786285161</v>
      </c>
      <c r="BG50" s="44" t="n">
        <f aca="false">BG32*Assumptions!$F$64/60*Assumptions!$F$62</f>
        <v>1471.7273106892</v>
      </c>
      <c r="BH50" s="44" t="n">
        <f aca="false">BH32*Assumptions!$F$64/60*Assumptions!$F$62</f>
        <v>1521.73151534827</v>
      </c>
      <c r="BI50" s="44" t="n">
        <f aca="false">BI32*Assumptions!$F$64/60*Assumptions!$F$62</f>
        <v>1571.7106837513</v>
      </c>
      <c r="BJ50" s="44" t="n">
        <f aca="false">BJ32*Assumptions!$F$64/60*Assumptions!$F$62</f>
        <v>1621.62778223551</v>
      </c>
      <c r="BK50" s="44" t="n">
        <f aca="false">BK32*Assumptions!$F$64/60*Assumptions!$F$62</f>
        <v>1671.44837025065</v>
      </c>
    </row>
    <row r="51" customFormat="false" ht="15" hidden="false" customHeight="false" outlineLevel="0" collapsed="false">
      <c r="A51" s="28" t="s">
        <v>616</v>
      </c>
      <c r="B51" s="6" t="s">
        <v>617</v>
      </c>
      <c r="C51" s="43"/>
      <c r="D51" s="17" t="n">
        <f aca="false">D24*Assumptions!$F$61</f>
        <v>0</v>
      </c>
      <c r="E51" s="17" t="n">
        <f aca="false">E24*Assumptions!$F$61</f>
        <v>0</v>
      </c>
      <c r="F51" s="17" t="n">
        <f aca="false">F24*Assumptions!$F$61</f>
        <v>0</v>
      </c>
      <c r="G51" s="17" t="n">
        <f aca="false">G24*Assumptions!$F$61</f>
        <v>0</v>
      </c>
      <c r="H51" s="17" t="n">
        <f aca="false">H24*Assumptions!$F$61</f>
        <v>0.9</v>
      </c>
      <c r="I51" s="17" t="n">
        <f aca="false">I24*Assumptions!$F$61</f>
        <v>2.2635</v>
      </c>
      <c r="J51" s="17" t="n">
        <f aca="false">J24*Assumptions!$F$61</f>
        <v>3.6645975</v>
      </c>
      <c r="K51" s="17" t="n">
        <f aca="false">K24*Assumptions!$F$61</f>
        <v>5.8024110375</v>
      </c>
      <c r="L51" s="17" t="n">
        <f aca="false">L24*Assumptions!$F$61</f>
        <v>9.0486834969375</v>
      </c>
      <c r="M51" s="17" t="n">
        <f aca="false">M24*Assumptions!$F$61</f>
        <v>12.5916038507334</v>
      </c>
      <c r="N51" s="17" t="n">
        <f aca="false">N24*Assumptions!$F$61</f>
        <v>16.6298526870349</v>
      </c>
      <c r="O51" s="17" t="n">
        <f aca="false">O24*Assumptions!$F$61</f>
        <v>21.43203477787</v>
      </c>
      <c r="P51" s="17" t="n">
        <f aca="false">P24*Assumptions!$F$61</f>
        <v>27.0581136789434</v>
      </c>
      <c r="Q51" s="17" t="n">
        <f aca="false">Q24*Assumptions!$F$61</f>
        <v>33.3621555985412</v>
      </c>
      <c r="R51" s="17" t="n">
        <f aca="false">R24*Assumptions!$F$61</f>
        <v>40.1391671206713</v>
      </c>
      <c r="S51" s="17" t="n">
        <f aca="false">S24*Assumptions!$F$61</f>
        <v>47.3634181203316</v>
      </c>
      <c r="T51" s="17" t="n">
        <f aca="false">T24*Assumptions!$F$61</f>
        <v>54.8720868777323</v>
      </c>
      <c r="U51" s="17" t="n">
        <f aca="false">U24*Assumptions!$F$61</f>
        <v>62.5594335935501</v>
      </c>
      <c r="V51" s="17" t="n">
        <f aca="false">V24*Assumptions!$F$61</f>
        <v>70.3568203019863</v>
      </c>
      <c r="W51" s="17" t="n">
        <f aca="false">W24*Assumptions!$F$61</f>
        <v>79.1197238354771</v>
      </c>
      <c r="X51" s="17" t="n">
        <f aca="false">X24*Assumptions!$F$61</f>
        <v>88.3827942726583</v>
      </c>
      <c r="Y51" s="17" t="n">
        <f aca="false">Y24*Assumptions!$F$61</f>
        <v>97.7014654501322</v>
      </c>
      <c r="Z51" s="17" t="n">
        <f aca="false">Z24*Assumptions!$F$61</f>
        <v>107.762811977897</v>
      </c>
      <c r="AA51" s="17" t="n">
        <f aca="false">AA24*Assumptions!$F$61</f>
        <v>118.030834329414</v>
      </c>
      <c r="AB51" s="17" t="n">
        <f aca="false">AB24*Assumptions!$F$61</f>
        <v>128.125273759743</v>
      </c>
      <c r="AC51" s="17" t="n">
        <f aca="false">AC24*Assumptions!$F$61</f>
        <v>138.667580917773</v>
      </c>
      <c r="AD51" s="17" t="n">
        <f aca="false">AD24*Assumptions!$F$61</f>
        <v>150.125288275883</v>
      </c>
      <c r="AE51" s="17" t="n">
        <f aca="false">AE24*Assumptions!$F$61</f>
        <v>161.712927648465</v>
      </c>
      <c r="AF51" s="17" t="n">
        <f aca="false">AF24*Assumptions!$F$61</f>
        <v>173.682920886606</v>
      </c>
      <c r="AG51" s="17" t="n">
        <f aca="false">AG24*Assumptions!$F$61</f>
        <v>186.338873722671</v>
      </c>
      <c r="AH51" s="17" t="n">
        <f aca="false">AH24*Assumptions!$F$61</f>
        <v>198.827568438918</v>
      </c>
      <c r="AI51" s="17" t="n">
        <f aca="false">AI24*Assumptions!$F$61</f>
        <v>211.43161049669</v>
      </c>
      <c r="AJ51" s="17" t="n">
        <f aca="false">AJ24*Assumptions!$F$61</f>
        <v>224.403332469072</v>
      </c>
      <c r="AK51" s="17" t="n">
        <f aca="false">AK24*Assumptions!$F$61</f>
        <v>237.902359966426</v>
      </c>
      <c r="AL51" s="17" t="n">
        <f aca="false">AL24*Assumptions!$F$61</f>
        <v>251.848124931784</v>
      </c>
      <c r="AM51" s="17" t="n">
        <f aca="false">AM24*Assumptions!$F$61</f>
        <v>266.078698294962</v>
      </c>
      <c r="AN51" s="44" t="n">
        <f aca="false">AN24*Assumptions!$F$61</f>
        <v>280.596909724688</v>
      </c>
      <c r="AO51" s="44" t="n">
        <f aca="false">AO24*Assumptions!$F$61</f>
        <v>295.259060816516</v>
      </c>
      <c r="AP51" s="44" t="n">
        <f aca="false">AP24*Assumptions!$F$61</f>
        <v>309.972392983772</v>
      </c>
      <c r="AQ51" s="44" t="n">
        <f aca="false">AQ24*Assumptions!$F$61</f>
        <v>324.677248840693</v>
      </c>
      <c r="AR51" s="44" t="n">
        <f aca="false">AR24*Assumptions!$F$61</f>
        <v>339.335477246673</v>
      </c>
      <c r="AS51" s="44" t="n">
        <f aca="false">AS24*Assumptions!$F$61</f>
        <v>353.922896728056</v>
      </c>
      <c r="AT51" s="44" t="n">
        <f aca="false">AT24*Assumptions!$F$61</f>
        <v>368.38839684319</v>
      </c>
      <c r="AU51" s="44" t="n">
        <f aca="false">AU24*Assumptions!$F$61</f>
        <v>382.735894208477</v>
      </c>
      <c r="AV51" s="44" t="n">
        <f aca="false">AV24*Assumptions!$F$61</f>
        <v>396.968515952008</v>
      </c>
      <c r="AW51" s="44" t="n">
        <f aca="false">AW24*Assumptions!$F$61</f>
        <v>411.052867314556</v>
      </c>
      <c r="AX51" s="44" t="n">
        <f aca="false">AX24*Assumptions!$F$61</f>
        <v>425.004345721025</v>
      </c>
      <c r="AY51" s="44" t="n">
        <f aca="false">AY24*Assumptions!$F$61</f>
        <v>438.833506955732</v>
      </c>
      <c r="AZ51" s="44" t="n">
        <f aca="false">AZ24*Assumptions!$F$61</f>
        <v>452.511751524736</v>
      </c>
      <c r="BA51" s="44" t="n">
        <f aca="false">BA24*Assumptions!$F$61</f>
        <v>466.021560914535</v>
      </c>
      <c r="BB51" s="44" t="n">
        <f aca="false">BB24*Assumptions!$F$61</f>
        <v>479.388603181553</v>
      </c>
      <c r="BC51" s="44" t="n">
        <f aca="false">BC24*Assumptions!$F$61</f>
        <v>492.594061826308</v>
      </c>
      <c r="BD51" s="44" t="n">
        <f aca="false">BD24*Assumptions!$F$61</f>
        <v>505.626737899025</v>
      </c>
      <c r="BE51" s="44" t="n">
        <f aca="false">BE24*Assumptions!$F$61</f>
        <v>518.516368380611</v>
      </c>
      <c r="BF51" s="44" t="n">
        <f aca="false">BF24*Assumptions!$F$61</f>
        <v>531.246743362449</v>
      </c>
      <c r="BG51" s="44" t="n">
        <f aca="false">BG24*Assumptions!$F$61</f>
        <v>543.808320541918</v>
      </c>
      <c r="BH51" s="44" t="n">
        <f aca="false">BH24*Assumptions!$F$61</f>
        <v>556.195876648228</v>
      </c>
      <c r="BI51" s="44" t="n">
        <f aca="false">BI24*Assumptions!$F$61</f>
        <v>568.406981092889</v>
      </c>
      <c r="BJ51" s="44" t="n">
        <f aca="false">BJ24*Assumptions!$F$61</f>
        <v>580.441004062846</v>
      </c>
      <c r="BK51" s="44" t="n">
        <f aca="false">BK24*Assumptions!$F$61</f>
        <v>592.298471998031</v>
      </c>
    </row>
    <row r="52" customFormat="false" ht="15" hidden="false" customHeight="false" outlineLevel="0" collapsed="false">
      <c r="A52" s="28" t="s">
        <v>618</v>
      </c>
      <c r="B52" s="6" t="s">
        <v>619</v>
      </c>
      <c r="C52" s="43"/>
      <c r="D52" s="17" t="n">
        <f aca="false">(D33*Assumptions!$F$56+D34*Assumptions!$F$57+D25*Assumptions!$F$58+D24*Assumptions!$F$59)*Assumptions!$F$55</f>
        <v>0</v>
      </c>
      <c r="E52" s="17" t="n">
        <f aca="false">(E33*Assumptions!$F$56+E34*Assumptions!$F$57+E25*Assumptions!$F$58+E24*Assumptions!$F$59)*Assumptions!$F$55</f>
        <v>0</v>
      </c>
      <c r="F52" s="17" t="n">
        <f aca="false">(F33*Assumptions!$F$56+F34*Assumptions!$F$57+F25*Assumptions!$F$58+F24*Assumptions!$F$59)*Assumptions!$F$55</f>
        <v>0</v>
      </c>
      <c r="G52" s="17" t="n">
        <f aca="false">(G33*Assumptions!$F$56+G34*Assumptions!$F$57+G25*Assumptions!$F$58+G24*Assumptions!$F$59)*Assumptions!$F$55</f>
        <v>0</v>
      </c>
      <c r="H52" s="17" t="n">
        <f aca="false">(H33*Assumptions!$F$56+H34*Assumptions!$F$57+H25*Assumptions!$F$58+H24*Assumptions!$F$59)*Assumptions!$F$55</f>
        <v>3.564</v>
      </c>
      <c r="I52" s="17" t="n">
        <f aca="false">(I33*Assumptions!$F$56+I34*Assumptions!$F$57+I25*Assumptions!$F$58+I24*Assumptions!$F$59)*Assumptions!$F$55</f>
        <v>6.11226</v>
      </c>
      <c r="J52" s="17" t="n">
        <f aca="false">(J33*Assumptions!$F$56+J34*Assumptions!$F$57+J25*Assumptions!$F$58+J24*Assumptions!$F$59)*Assumptions!$F$55</f>
        <v>7.3410381</v>
      </c>
      <c r="K52" s="17" t="n">
        <f aca="false">(K33*Assumptions!$F$56+K34*Assumptions!$F$57+K25*Assumptions!$F$58+K24*Assumptions!$F$59)*Assumptions!$F$55</f>
        <v>11.3681028285</v>
      </c>
      <c r="L52" s="17" t="n">
        <f aca="false">(L33*Assumptions!$F$56+L34*Assumptions!$F$57+L25*Assumptions!$F$58+L24*Assumptions!$F$59)*Assumptions!$F$55</f>
        <v>17.4507484810725</v>
      </c>
      <c r="M52" s="17" t="n">
        <f aca="false">(M33*Assumptions!$F$56+M34*Assumptions!$F$57+M25*Assumptions!$F$58+M24*Assumptions!$F$59)*Assumptions!$F$55</f>
        <v>21.1965219306064</v>
      </c>
      <c r="N52" s="17" t="n">
        <f aca="false">(N33*Assumptions!$F$56+N34*Assumptions!$F$57+N25*Assumptions!$F$58+N24*Assumptions!$F$59)*Assumptions!$F$55</f>
        <v>32.6541147131982</v>
      </c>
      <c r="O52" s="17" t="n">
        <f aca="false">(O33*Assumptions!$F$56+O34*Assumptions!$F$57+O25*Assumptions!$F$58+O24*Assumptions!$F$59)*Assumptions!$F$55</f>
        <v>46.8129686577042</v>
      </c>
      <c r="P52" s="17" t="n">
        <f aca="false">(P33*Assumptions!$F$56+P34*Assumptions!$F$57+P25*Assumptions!$F$58+P24*Assumptions!$F$59)*Assumptions!$F$55</f>
        <v>63.2296512761322</v>
      </c>
      <c r="Q52" s="17" t="n">
        <f aca="false">(Q33*Assumptions!$F$56+Q34*Assumptions!$F$57+Q25*Assumptions!$F$58+Q24*Assumptions!$F$59)*Assumptions!$F$55</f>
        <v>81.1476836707013</v>
      </c>
      <c r="R52" s="17" t="n">
        <f aca="false">(R33*Assumptions!$F$56+R34*Assumptions!$F$57+R25*Assumptions!$F$58+R24*Assumptions!$F$59)*Assumptions!$F$55</f>
        <v>100.140931211202</v>
      </c>
      <c r="S52" s="17" t="n">
        <f aca="false">(S33*Assumptions!$F$56+S34*Assumptions!$F$57+S25*Assumptions!$F$58+S24*Assumptions!$F$59)*Assumptions!$F$55</f>
        <v>130.45374884146</v>
      </c>
      <c r="T52" s="17" t="n">
        <f aca="false">(T33*Assumptions!$F$56+T34*Assumptions!$F$57+T25*Assumptions!$F$58+T24*Assumptions!$F$59)*Assumptions!$F$55</f>
        <v>162.579075963208</v>
      </c>
      <c r="U52" s="17" t="n">
        <f aca="false">(U33*Assumptions!$F$56+U34*Assumptions!$F$57+U25*Assumptions!$F$58+U24*Assumptions!$F$59)*Assumptions!$F$55</f>
        <v>196.477884412134</v>
      </c>
      <c r="V52" s="17" t="n">
        <f aca="false">(V33*Assumptions!$F$56+V34*Assumptions!$F$57+V25*Assumptions!$F$58+V24*Assumptions!$F$59)*Assumptions!$F$55</f>
        <v>232.086035477517</v>
      </c>
      <c r="W52" s="17" t="n">
        <f aca="false">(W33*Assumptions!$F$56+W34*Assumptions!$F$57+W25*Assumptions!$F$58+W24*Assumptions!$F$59)*Assumptions!$F$55</f>
        <v>274.012169510331</v>
      </c>
      <c r="X52" s="17" t="n">
        <f aca="false">(X33*Assumptions!$F$56+X34*Assumptions!$F$57+X25*Assumptions!$F$58+X24*Assumptions!$F$59)*Assumptions!$F$55</f>
        <v>317.370719800514</v>
      </c>
      <c r="Y52" s="17" t="n">
        <f aca="false">(Y33*Assumptions!$F$56+Y34*Assumptions!$F$57+Y25*Assumptions!$F$58+Y24*Assumptions!$F$59)*Assumptions!$F$55</f>
        <v>361.386538970337</v>
      </c>
      <c r="Z52" s="17" t="n">
        <f aca="false">(Z33*Assumptions!$F$56+Z34*Assumptions!$F$57+Z25*Assumptions!$F$58+Z24*Assumptions!$F$59)*Assumptions!$F$55</f>
        <v>410.94798184779</v>
      </c>
      <c r="AA52" s="17" t="n">
        <f aca="false">(AA33*Assumptions!$F$56+AA34*Assumptions!$F$57+AA25*Assumptions!$F$58+AA24*Assumptions!$F$59)*Assumptions!$F$55</f>
        <v>461.242417085149</v>
      </c>
      <c r="AB52" s="17" t="n">
        <f aca="false">(AB33*Assumptions!$F$56+AB34*Assumptions!$F$57+AB25*Assumptions!$F$58+AB24*Assumptions!$F$59)*Assumptions!$F$55</f>
        <v>511.941043143299</v>
      </c>
      <c r="AC52" s="17" t="n">
        <f aca="false">(AC33*Assumptions!$F$56+AC34*Assumptions!$F$57+AC25*Assumptions!$F$58+AC24*Assumptions!$F$59)*Assumptions!$F$55</f>
        <v>567.30441046295</v>
      </c>
      <c r="AD52" s="17" t="n">
        <f aca="false">(AD33*Assumptions!$F$56+AD34*Assumptions!$F$57+AD25*Assumptions!$F$58+AD24*Assumptions!$F$59)*Assumptions!$F$55</f>
        <v>627.852623438121</v>
      </c>
      <c r="AE52" s="17" t="n">
        <f aca="false">(AE33*Assumptions!$F$56+AE34*Assumptions!$F$57+AE25*Assumptions!$F$58+AE24*Assumptions!$F$59)*Assumptions!$F$55</f>
        <v>688.233336587416</v>
      </c>
      <c r="AF52" s="17" t="n">
        <f aca="false">(AF33*Assumptions!$F$56+AF34*Assumptions!$F$57+AF25*Assumptions!$F$58+AF24*Assumptions!$F$59)*Assumptions!$F$55</f>
        <v>752.172921939925</v>
      </c>
      <c r="AG52" s="17" t="n">
        <f aca="false">(AG33*Assumptions!$F$56+AG34*Assumptions!$F$57+AG25*Assumptions!$F$58+AG24*Assumptions!$F$59)*Assumptions!$F$55</f>
        <v>820.471786595562</v>
      </c>
      <c r="AH52" s="17" t="n">
        <f aca="false">(AH33*Assumptions!$F$56+AH34*Assumptions!$F$57+AH25*Assumptions!$F$58+AH24*Assumptions!$F$59)*Assumptions!$F$55</f>
        <v>887.852243096003</v>
      </c>
      <c r="AI52" s="17" t="n">
        <f aca="false">(AI33*Assumptions!$F$56+AI34*Assumptions!$F$57+AI25*Assumptions!$F$58+AI24*Assumptions!$F$59)*Assumptions!$F$55</f>
        <v>958.301918205838</v>
      </c>
      <c r="AJ52" s="17" t="n">
        <f aca="false">(AJ33*Assumptions!$F$56+AJ34*Assumptions!$F$57+AJ25*Assumptions!$F$58+AJ24*Assumptions!$F$59)*Assumptions!$F$55</f>
        <v>1032.16567139519</v>
      </c>
      <c r="AK52" s="17" t="n">
        <f aca="false">(AK33*Assumptions!$F$56+AK34*Assumptions!$F$57+AK25*Assumptions!$F$58+AK24*Assumptions!$F$59)*Assumptions!$F$55</f>
        <v>1109.49680177491</v>
      </c>
      <c r="AL52" s="17" t="n">
        <f aca="false">(AL33*Assumptions!$F$56+AL34*Assumptions!$F$57+AL25*Assumptions!$F$58+AL24*Assumptions!$F$59)*Assumptions!$F$55</f>
        <v>1189.44765136879</v>
      </c>
      <c r="AM52" s="17" t="n">
        <f aca="false">(AM33*Assumptions!$F$56+AM34*Assumptions!$F$57+AM25*Assumptions!$F$58+AM24*Assumptions!$F$59)*Assumptions!$F$55</f>
        <v>1271.47421584278</v>
      </c>
      <c r="AN52" s="44" t="n">
        <f aca="false">(AN33*Assumptions!$F$56+AN34*Assumptions!$F$57+AN25*Assumptions!$F$58+AN24*Assumptions!$F$59)*Assumptions!$F$55</f>
        <v>1356.08744240047</v>
      </c>
      <c r="AO52" s="44" t="n">
        <f aca="false">(AO33*Assumptions!$F$56+AO34*Assumptions!$F$57+AO25*Assumptions!$F$58+AO24*Assumptions!$F$59)*Assumptions!$F$55</f>
        <v>1442.51545979224</v>
      </c>
      <c r="AP52" s="44" t="n">
        <f aca="false">(AP33*Assumptions!$F$56+AP34*Assumptions!$F$57+AP25*Assumptions!$F$58+AP24*Assumptions!$F$59)*Assumptions!$F$55</f>
        <v>1530.66524661358</v>
      </c>
      <c r="AQ52" s="44" t="n">
        <f aca="false">(AQ33*Assumptions!$F$56+AQ34*Assumptions!$F$57+AQ25*Assumptions!$F$58+AQ24*Assumptions!$F$59)*Assumptions!$F$55</f>
        <v>1620.42556068299</v>
      </c>
      <c r="AR52" s="44" t="n">
        <f aca="false">(AR33*Assumptions!$F$56+AR34*Assumptions!$F$57+AR25*Assumptions!$F$58+AR24*Assumptions!$F$59)*Assumptions!$F$55</f>
        <v>1711.67674148919</v>
      </c>
      <c r="AS52" s="44" t="n">
        <f aca="false">(AS33*Assumptions!$F$56+AS34*Assumptions!$F$57+AS25*Assumptions!$F$58+AS24*Assumptions!$F$59)*Assumptions!$F$55</f>
        <v>1804.29685713602</v>
      </c>
      <c r="AT52" s="44" t="n">
        <f aca="false">(AT33*Assumptions!$F$56+AT34*Assumptions!$F$57+AT25*Assumptions!$F$58+AT24*Assumptions!$F$59)*Assumptions!$F$55</f>
        <v>1897.97802601218</v>
      </c>
      <c r="AU52" s="44" t="n">
        <f aca="false">(AU33*Assumptions!$F$56+AU34*Assumptions!$F$57+AU25*Assumptions!$F$58+AU24*Assumptions!$F$59)*Assumptions!$F$55</f>
        <v>1992.7731524808</v>
      </c>
      <c r="AV52" s="44" t="n">
        <f aca="false">(AV33*Assumptions!$F$56+AV34*Assumptions!$F$57+AV25*Assumptions!$F$58+AV24*Assumptions!$F$59)*Assumptions!$F$55</f>
        <v>2088.56605828054</v>
      </c>
      <c r="AW52" s="44" t="n">
        <f aca="false">(AW33*Assumptions!$F$56+AW34*Assumptions!$F$57+AW25*Assumptions!$F$58+AW24*Assumptions!$F$59)*Assumptions!$F$55</f>
        <v>2185.06135835918</v>
      </c>
      <c r="AX52" s="44" t="n">
        <f aca="false">(AX33*Assumptions!$F$56+AX34*Assumptions!$F$57+AX25*Assumptions!$F$58+AX24*Assumptions!$F$59)*Assumptions!$F$55</f>
        <v>2282.32826284111</v>
      </c>
      <c r="AY52" s="44" t="n">
        <f aca="false">(AY33*Assumptions!$F$56+AY34*Assumptions!$F$57+AY25*Assumptions!$F$58+AY24*Assumptions!$F$59)*Assumptions!$F$55</f>
        <v>2380.26883957915</v>
      </c>
      <c r="AZ52" s="44" t="n">
        <f aca="false">(AZ33*Assumptions!$F$56+AZ34*Assumptions!$F$57+AZ25*Assumptions!$F$58+AZ24*Assumptions!$F$59)*Assumptions!$F$55</f>
        <v>2478.60671072536</v>
      </c>
      <c r="BA52" s="44" t="n">
        <f aca="false">(BA33*Assumptions!$F$56+BA34*Assumptions!$F$57+BA25*Assumptions!$F$58+BA24*Assumptions!$F$59)*Assumptions!$F$55</f>
        <v>2577.24265707358</v>
      </c>
      <c r="BB52" s="44" t="n">
        <f aca="false">(BB33*Assumptions!$F$56+BB34*Assumptions!$F$57+BB25*Assumptions!$F$58+BB24*Assumptions!$F$59)*Assumptions!$F$55</f>
        <v>2676.26690529276</v>
      </c>
      <c r="BC52" s="44" t="n">
        <f aca="false">(BC33*Assumptions!$F$56+BC34*Assumptions!$F$57+BC25*Assumptions!$F$58+BC24*Assumptions!$F$59)*Assumptions!$F$55</f>
        <v>2775.41640517471</v>
      </c>
      <c r="BD52" s="44" t="n">
        <f aca="false">(BD33*Assumptions!$F$56+BD34*Assumptions!$F$57+BD25*Assumptions!$F$58+BD24*Assumptions!$F$59)*Assumptions!$F$55</f>
        <v>2874.60696338709</v>
      </c>
      <c r="BE52" s="44" t="n">
        <f aca="false">(BE33*Assumptions!$F$56+BE34*Assumptions!$F$57+BE25*Assumptions!$F$58+BE24*Assumptions!$F$59)*Assumptions!$F$55</f>
        <v>2973.94451945103</v>
      </c>
      <c r="BF52" s="44" t="n">
        <f aca="false">(BF33*Assumptions!$F$56+BF34*Assumptions!$F$57+BF25*Assumptions!$F$58+BF24*Assumptions!$F$59)*Assumptions!$F$55</f>
        <v>3073.18179309203</v>
      </c>
      <c r="BG52" s="44" t="n">
        <f aca="false">(BG33*Assumptions!$F$56+BG34*Assumptions!$F$57+BG25*Assumptions!$F$58+BG24*Assumptions!$F$59)*Assumptions!$F$55</f>
        <v>3172.25003413625</v>
      </c>
      <c r="BH52" s="44" t="n">
        <f aca="false">(BH33*Assumptions!$F$56+BH34*Assumptions!$F$57+BH25*Assumptions!$F$58+BH24*Assumptions!$F$59)*Assumptions!$F$55</f>
        <v>3271.08260864984</v>
      </c>
      <c r="BI52" s="44" t="n">
        <f aca="false">(BI33*Assumptions!$F$56+BI34*Assumptions!$F$57+BI25*Assumptions!$F$58+BI24*Assumptions!$F$59)*Assumptions!$F$55</f>
        <v>3369.6159924436</v>
      </c>
      <c r="BJ52" s="44" t="n">
        <f aca="false">(BJ33*Assumptions!$F$56+BJ34*Assumptions!$F$57+BJ25*Assumptions!$F$58+BJ24*Assumptions!$F$59)*Assumptions!$F$55</f>
        <v>3467.79030260688</v>
      </c>
      <c r="BK52" s="44" t="n">
        <f aca="false">(BK33*Assumptions!$F$56+BK34*Assumptions!$F$57+BK25*Assumptions!$F$58+BK24*Assumptions!$F$59)*Assumptions!$F$55</f>
        <v>3565.54953623767</v>
      </c>
    </row>
    <row r="53" customFormat="false" ht="15" hidden="false" customHeight="false" outlineLevel="0" collapsed="false">
      <c r="A53" s="28" t="s">
        <v>620</v>
      </c>
      <c r="B53" s="6" t="s">
        <v>621</v>
      </c>
      <c r="C53" s="43"/>
      <c r="D53" s="17" t="n">
        <f aca="false">D39*Assumptions!$F$51+D32*Assumptions!$F$45*Assumptions!$F$52</f>
        <v>0</v>
      </c>
      <c r="E53" s="17" t="n">
        <f aca="false">E39*Assumptions!$F$51+E32*Assumptions!$F$45*Assumptions!$F$52</f>
        <v>0</v>
      </c>
      <c r="F53" s="17" t="n">
        <f aca="false">F39*Assumptions!$F$51+F32*Assumptions!$F$45*Assumptions!$F$52</f>
        <v>0</v>
      </c>
      <c r="G53" s="17" t="n">
        <f aca="false">G39*Assumptions!$F$51+G32*Assumptions!$F$45*Assumptions!$F$52</f>
        <v>0</v>
      </c>
      <c r="H53" s="17" t="n">
        <f aca="false">H39*Assumptions!$F$51+H32*Assumptions!$F$45*Assumptions!$F$52</f>
        <v>0</v>
      </c>
      <c r="I53" s="17" t="n">
        <f aca="false">I39*Assumptions!$F$51+I32*Assumptions!$F$45*Assumptions!$F$52</f>
        <v>0</v>
      </c>
      <c r="J53" s="17" t="n">
        <f aca="false">J39*Assumptions!$F$51+J32*Assumptions!$F$45*Assumptions!$F$52</f>
        <v>0</v>
      </c>
      <c r="K53" s="17" t="n">
        <f aca="false">K39*Assumptions!$F$51+K32*Assumptions!$F$45*Assumptions!$F$52</f>
        <v>0</v>
      </c>
      <c r="L53" s="17" t="n">
        <f aca="false">L39*Assumptions!$F$51+L32*Assumptions!$F$45*Assumptions!$F$52</f>
        <v>0</v>
      </c>
      <c r="M53" s="17" t="n">
        <f aca="false">M39*Assumptions!$F$51+M32*Assumptions!$F$45*Assumptions!$F$52</f>
        <v>0</v>
      </c>
      <c r="N53" s="17" t="n">
        <f aca="false">N39*Assumptions!$F$51+N32*Assumptions!$F$45*Assumptions!$F$52</f>
        <v>3.53370131941815</v>
      </c>
      <c r="O53" s="17" t="n">
        <f aca="false">O39*Assumptions!$F$51+O32*Assumptions!$F$45*Assumptions!$F$52</f>
        <v>7.7251610831571</v>
      </c>
      <c r="P53" s="17" t="n">
        <f aca="false">P39*Assumptions!$F$51+P32*Assumptions!$F$45*Assumptions!$F$52</f>
        <v>12.6642003961195</v>
      </c>
      <c r="Q53" s="17" t="n">
        <f aca="false">Q39*Assumptions!$F$51+Q32*Assumptions!$F$45*Assumptions!$F$52</f>
        <v>18.3568319875381</v>
      </c>
      <c r="R53" s="17" t="n">
        <f aca="false">R39*Assumptions!$F$51+R32*Assumptions!$F$45*Assumptions!$F$52</f>
        <v>24.7625541366376</v>
      </c>
      <c r="S53" s="17" t="n">
        <f aca="false">S39*Assumptions!$F$51+S32*Assumptions!$F$45*Assumptions!$F$52</f>
        <v>38.6554264758282</v>
      </c>
      <c r="T53" s="17" t="n">
        <f aca="false">T39*Assumptions!$F$51+T32*Assumptions!$F$45*Assumptions!$F$52</f>
        <v>53.8025079912196</v>
      </c>
      <c r="U53" s="17" t="n">
        <f aca="false">U39*Assumptions!$F$51+U32*Assumptions!$F$45*Assumptions!$F$52</f>
        <v>70.1249300969465</v>
      </c>
      <c r="V53" s="17" t="n">
        <f aca="false">V39*Assumptions!$F$51+V32*Assumptions!$F$45*Assumptions!$F$52</f>
        <v>87.5487985495202</v>
      </c>
      <c r="W53" s="17" t="n">
        <f aca="false">W39*Assumptions!$F$51+W32*Assumptions!$F$45*Assumptions!$F$52</f>
        <v>106.667728931087</v>
      </c>
      <c r="X53" s="17" t="n">
        <f aca="false">X39*Assumptions!$F$51+X32*Assumptions!$F$45*Assumptions!$F$52</f>
        <v>127.287372526968</v>
      </c>
      <c r="Y53" s="17" t="n">
        <f aca="false">Y39*Assumptions!$F$51+Y32*Assumptions!$F$45*Assumptions!$F$52</f>
        <v>149.120656590544</v>
      </c>
      <c r="Z53" s="17" t="n">
        <f aca="false">Z39*Assumptions!$F$51+Z32*Assumptions!$F$45*Assumptions!$F$52</f>
        <v>172.616844231535</v>
      </c>
      <c r="AA53" s="17" t="n">
        <f aca="false">AA39*Assumptions!$F$51+AA32*Assumptions!$F$45*Assumptions!$F$52</f>
        <v>197.474517322388</v>
      </c>
      <c r="AB53" s="17" t="n">
        <f aca="false">AB39*Assumptions!$F$51+AB32*Assumptions!$F$45*Assumptions!$F$52</f>
        <v>223.387143452279</v>
      </c>
      <c r="AC53" s="17" t="n">
        <f aca="false">AC39*Assumptions!$F$51+AC32*Assumptions!$F$45*Assumptions!$F$52</f>
        <v>250.706532081219</v>
      </c>
      <c r="AD53" s="17" t="n">
        <f aca="false">AD39*Assumptions!$F$51+AD32*Assumptions!$F$45*Assumptions!$F$52</f>
        <v>279.810165512904</v>
      </c>
      <c r="AE53" s="17" t="n">
        <f aca="false">AE39*Assumptions!$F$51+AE32*Assumptions!$F$45*Assumptions!$F$52</f>
        <v>310.250548504465</v>
      </c>
      <c r="AF53" s="17" t="n">
        <f aca="false">AF39*Assumptions!$F$51+AF32*Assumptions!$F$45*Assumptions!$F$52</f>
        <v>342.169280158948</v>
      </c>
      <c r="AG53" s="17" t="n">
        <f aca="false">AG39*Assumptions!$F$51+AG32*Assumptions!$F$45*Assumptions!$F$52</f>
        <v>375.802271076832</v>
      </c>
      <c r="AH53" s="17" t="n">
        <f aca="false">AH39*Assumptions!$F$51+AH32*Assumptions!$F$45*Assumptions!$F$52</f>
        <v>410.597562003852</v>
      </c>
      <c r="AI53" s="17" t="n">
        <f aca="false">AI39*Assumptions!$F$51+AI32*Assumptions!$F$45*Assumptions!$F$52</f>
        <v>446.653219282111</v>
      </c>
      <c r="AJ53" s="17" t="n">
        <f aca="false">AJ39*Assumptions!$F$51+AJ32*Assumptions!$F$45*Assumptions!$F$52</f>
        <v>484.111983925465</v>
      </c>
      <c r="AK53" s="17" t="n">
        <f aca="false">AK39*Assumptions!$F$51+AK32*Assumptions!$F$45*Assumptions!$F$52</f>
        <v>523.104806259081</v>
      </c>
      <c r="AL53" s="17" t="n">
        <f aca="false">AL39*Assumptions!$F$51+AL32*Assumptions!$F$45*Assumptions!$F$52</f>
        <v>563.619056122865</v>
      </c>
      <c r="AM53" s="17" t="n">
        <f aca="false">AM39*Assumptions!$F$51+AM32*Assumptions!$F$45*Assumptions!$F$52</f>
        <v>605.562264731255</v>
      </c>
      <c r="AN53" s="44" t="n">
        <f aca="false">AN39*Assumptions!$F$51+AN32*Assumptions!$F$45*Assumptions!$F$52</f>
        <v>648.927228012596</v>
      </c>
      <c r="AO53" s="44" t="n">
        <f aca="false">AO39*Assumptions!$F$51+AO32*Assumptions!$F$45*Assumptions!$F$52</f>
        <v>693.600049839953</v>
      </c>
      <c r="AP53" s="44" t="n">
        <f aca="false">AP39*Assumptions!$F$51+AP32*Assumptions!$F$45*Assumptions!$F$52</f>
        <v>739.474235876574</v>
      </c>
      <c r="AQ53" s="44" t="n">
        <f aca="false">AQ39*Assumptions!$F$51+AQ32*Assumptions!$F$45*Assumptions!$F$52</f>
        <v>786.450216811308</v>
      </c>
      <c r="AR53" s="44" t="n">
        <f aca="false">AR39*Assumptions!$F$51+AR32*Assumptions!$F$45*Assumptions!$F$52</f>
        <v>834.434903041865</v>
      </c>
      <c r="AS53" s="44" t="n">
        <f aca="false">AS39*Assumptions!$F$51+AS32*Assumptions!$F$45*Assumptions!$F$52</f>
        <v>883.341268680245</v>
      </c>
      <c r="AT53" s="44" t="n">
        <f aca="false">AT39*Assumptions!$F$51+AT32*Assumptions!$F$45*Assumptions!$F$52</f>
        <v>933.061448553484</v>
      </c>
      <c r="AU53" s="44" t="n">
        <f aca="false">AU39*Assumptions!$F$51+AU32*Assumptions!$F$45*Assumptions!$F$52</f>
        <v>983.521400231348</v>
      </c>
      <c r="AV53" s="44" t="n">
        <f aca="false">AV39*Assumptions!$F$51+AV32*Assumptions!$F$45*Assumptions!$F$52</f>
        <v>1034.65192279341</v>
      </c>
      <c r="AW53" s="44" t="n">
        <f aca="false">AW39*Assumptions!$F$51+AW32*Assumptions!$F$45*Assumptions!$F$52</f>
        <v>1086.36183389941</v>
      </c>
      <c r="AX53" s="44" t="n">
        <f aca="false">AX39*Assumptions!$F$51+AX32*Assumptions!$F$45*Assumptions!$F$52</f>
        <v>1138.592706506</v>
      </c>
      <c r="AY53" s="44" t="n">
        <f aca="false">AY39*Assumptions!$F$51+AY32*Assumptions!$F$45*Assumptions!$F$52</f>
        <v>1191.28995731123</v>
      </c>
      <c r="AZ53" s="44" t="n">
        <f aca="false">AZ39*Assumptions!$F$51+AZ32*Assumptions!$F$45*Assumptions!$F$52</f>
        <v>1244.37608883416</v>
      </c>
      <c r="BA53" s="44" t="n">
        <f aca="false">BA39*Assumptions!$F$51+BA32*Assumptions!$F$45*Assumptions!$F$52</f>
        <v>1297.77897244437</v>
      </c>
      <c r="BB53" s="44" t="n">
        <f aca="false">BB39*Assumptions!$F$51+BB32*Assumptions!$F$45*Assumptions!$F$52</f>
        <v>1351.4580185949</v>
      </c>
      <c r="BC53" s="44" t="n">
        <f aca="false">BC39*Assumptions!$F$51+BC32*Assumptions!$F$45*Assumptions!$F$52</f>
        <v>1405.3488298712</v>
      </c>
      <c r="BD53" s="44" t="n">
        <f aca="false">BD39*Assumptions!$F$51+BD32*Assumptions!$F$45*Assumptions!$F$52</f>
        <v>1459.39154193853</v>
      </c>
      <c r="BE53" s="44" t="n">
        <f aca="false">BE39*Assumptions!$F$51+BE32*Assumptions!$F$45*Assumptions!$F$52</f>
        <v>1513.55704783794</v>
      </c>
      <c r="BF53" s="44" t="n">
        <f aca="false">BF39*Assumptions!$F$51+BF32*Assumptions!$F$45*Assumptions!$F$52</f>
        <v>1567.79170150611</v>
      </c>
      <c r="BG53" s="44" t="n">
        <f aca="false">BG39*Assumptions!$F$51+BG32*Assumptions!$F$45*Assumptions!$F$52</f>
        <v>1622.04570584555</v>
      </c>
      <c r="BH53" s="44" t="n">
        <f aca="false">BH39*Assumptions!$F$51+BH32*Assumptions!$F$45*Assumptions!$F$52</f>
        <v>1676.27286667533</v>
      </c>
      <c r="BI53" s="44" t="n">
        <f aca="false">BI39*Assumptions!$F$51+BI32*Assumptions!$F$45*Assumptions!$F$52</f>
        <v>1730.43036252375</v>
      </c>
      <c r="BJ53" s="44" t="n">
        <f aca="false">BJ39*Assumptions!$F$51+BJ32*Assumptions!$F$45*Assumptions!$F$52</f>
        <v>1784.47852921559</v>
      </c>
      <c r="BK53" s="44" t="n">
        <f aca="false">BK39*Assumptions!$F$51+BK32*Assumptions!$F$45*Assumptions!$F$52</f>
        <v>1838.38065827733</v>
      </c>
    </row>
    <row r="54" customFormat="false" ht="15" hidden="false" customHeight="false" outlineLevel="0" collapsed="false">
      <c r="A54" s="28" t="s">
        <v>622</v>
      </c>
      <c r="B54" s="6" t="s">
        <v>516</v>
      </c>
      <c r="C54" s="43"/>
      <c r="D54" s="17" t="n">
        <f aca="false">(D37+D38)*Assumptions!$F$53+D32*Assumptions!$F$54</f>
        <v>0</v>
      </c>
      <c r="E54" s="17" t="n">
        <f aca="false">(E37+E38)*Assumptions!$F$53+E32*Assumptions!$F$54</f>
        <v>0</v>
      </c>
      <c r="F54" s="17" t="n">
        <f aca="false">(F37+F38)*Assumptions!$F$53+F32*Assumptions!$F$54</f>
        <v>0</v>
      </c>
      <c r="G54" s="17" t="n">
        <f aca="false">(G37+G38)*Assumptions!$F$53+G32*Assumptions!$F$54</f>
        <v>0</v>
      </c>
      <c r="H54" s="17" t="n">
        <f aca="false">(H37+H38)*Assumptions!$F$53+H32*Assumptions!$F$54</f>
        <v>0</v>
      </c>
      <c r="I54" s="17" t="n">
        <f aca="false">(I37+I38)*Assumptions!$F$53+I32*Assumptions!$F$54</f>
        <v>0</v>
      </c>
      <c r="J54" s="17" t="n">
        <f aca="false">(J37+J38)*Assumptions!$F$53+J32*Assumptions!$F$54</f>
        <v>0</v>
      </c>
      <c r="K54" s="17" t="n">
        <f aca="false">(K37+K38)*Assumptions!$F$53+K32*Assumptions!$F$54</f>
        <v>0</v>
      </c>
      <c r="L54" s="17" t="n">
        <f aca="false">(L37+L38)*Assumptions!$F$53+L32*Assumptions!$F$54</f>
        <v>0</v>
      </c>
      <c r="M54" s="17" t="n">
        <f aca="false">(M37+M38)*Assumptions!$F$53+M32*Assumptions!$F$54</f>
        <v>0</v>
      </c>
      <c r="N54" s="17" t="n">
        <f aca="false">(N37+N38)*Assumptions!$F$53+N32*Assumptions!$F$54</f>
        <v>1.04443634216428</v>
      </c>
      <c r="O54" s="17" t="n">
        <f aca="false">(O37+O38)*Assumptions!$F$53+O32*Assumptions!$F$54</f>
        <v>2.28328267020909</v>
      </c>
      <c r="P54" s="17" t="n">
        <f aca="false">(P37+P38)*Assumptions!$F$53+P32*Assumptions!$F$54</f>
        <v>3.74308690592345</v>
      </c>
      <c r="Q54" s="17" t="n">
        <f aca="false">(Q37+Q38)*Assumptions!$F$53+Q32*Assumptions!$F$54</f>
        <v>5.4256261980697</v>
      </c>
      <c r="R54" s="17" t="n">
        <f aca="false">(R37+R38)*Assumptions!$F$53+R32*Assumptions!$F$54</f>
        <v>7.31892967948214</v>
      </c>
      <c r="S54" s="17" t="n">
        <f aca="false">(S37+S38)*Assumptions!$F$53+S32*Assumptions!$F$54</f>
        <v>11.6090877035447</v>
      </c>
      <c r="T54" s="17" t="n">
        <f aca="false">(T37+T38)*Assumptions!$F$53+T32*Assumptions!$F$54</f>
        <v>16.2859049425508</v>
      </c>
      <c r="U54" s="17" t="n">
        <f aca="false">(U37+U38)*Assumptions!$F$53+U32*Assumptions!$F$54</f>
        <v>21.3252946159741</v>
      </c>
      <c r="V54" s="17" t="n">
        <f aca="false">(V37+V38)*Assumptions!$F$53+V32*Assumptions!$F$54</f>
        <v>26.70467639197</v>
      </c>
      <c r="W54" s="17" t="n">
        <f aca="false">(W37+W38)*Assumptions!$F$53+W32*Assumptions!$F$54</f>
        <v>32.6065777414348</v>
      </c>
      <c r="X54" s="17" t="n">
        <f aca="false">(X37+X38)*Assumptions!$F$53+X32*Assumptions!$F$54</f>
        <v>38.9714796130905</v>
      </c>
      <c r="Y54" s="17" t="n">
        <f aca="false">(Y37+Y38)*Assumptions!$F$53+Y32*Assumptions!$F$54</f>
        <v>45.7113231695266</v>
      </c>
      <c r="Z54" s="17" t="n">
        <f aca="false">(Z37+Z38)*Assumptions!$F$53+Z32*Assumptions!$F$54</f>
        <v>52.9642688972723</v>
      </c>
      <c r="AA54" s="17" t="n">
        <f aca="false">(AA37+AA38)*Assumptions!$F$53+AA32*Assumptions!$F$54</f>
        <v>60.6378632119737</v>
      </c>
      <c r="AB54" s="17" t="n">
        <f aca="false">(AB37+AB38)*Assumptions!$F$53+AB32*Assumptions!$F$54</f>
        <v>68.6380186330667</v>
      </c>
      <c r="AC54" s="17" t="n">
        <f aca="false">(AC37+AC38)*Assumptions!$F$53+AC32*Assumptions!$F$54</f>
        <v>77.0728985600446</v>
      </c>
      <c r="AD54" s="17" t="n">
        <f aca="false">(AD37+AD38)*Assumptions!$F$53+AD32*Assumptions!$F$54</f>
        <v>86.0586141677142</v>
      </c>
      <c r="AE54" s="17" t="n">
        <f aca="false">(AE37+AE38)*Assumptions!$F$53+AE32*Assumptions!$F$54</f>
        <v>95.4578180543453</v>
      </c>
      <c r="AF54" s="17" t="n">
        <f aca="false">(AF37+AF38)*Assumptions!$F$53+AF32*Assumptions!$F$54</f>
        <v>105.314105870674</v>
      </c>
      <c r="AG54" s="17" t="n">
        <f aca="false">(AG37+AG38)*Assumptions!$F$53+AG32*Assumptions!$F$54</f>
        <v>115.700075572496</v>
      </c>
      <c r="AH54" s="17" t="n">
        <f aca="false">(AH37+AH38)*Assumptions!$F$53+AH32*Assumptions!$F$54</f>
        <v>126.446245623656</v>
      </c>
      <c r="AI54" s="17" t="n">
        <f aca="false">(AI37+AI38)*Assumptions!$F$53+AI32*Assumptions!$F$54</f>
        <v>137.582785508467</v>
      </c>
      <c r="AJ54" s="17" t="n">
        <f aca="false">(AJ37+AJ38)*Assumptions!$F$53+AJ32*Assumptions!$F$54</f>
        <v>149.153608606387</v>
      </c>
      <c r="AK54" s="17" t="n">
        <f aca="false">(AK37+AK38)*Assumptions!$F$53+AK32*Assumptions!$F$54</f>
        <v>161.199027136903</v>
      </c>
      <c r="AL54" s="17" t="n">
        <f aca="false">(AL37+AL38)*Assumptions!$F$53+AL32*Assumptions!$F$54</f>
        <v>173.715249439761</v>
      </c>
      <c r="AM54" s="17" t="n">
        <f aca="false">(AM37+AM38)*Assumptions!$F$53+AM32*Assumptions!$F$54</f>
        <v>186.673941969173</v>
      </c>
      <c r="AN54" s="44" t="n">
        <f aca="false">(AN37+AN38)*Assumptions!$F$53+AN32*Assumptions!$F$54</f>
        <v>200.072952564224</v>
      </c>
      <c r="AO54" s="44" t="n">
        <f aca="false">(AO37+AO38)*Assumptions!$F$53+AO32*Assumptions!$F$54</f>
        <v>213.877337555267</v>
      </c>
      <c r="AP54" s="44" t="n">
        <f aca="false">(AP37+AP38)*Assumptions!$F$53+AP32*Assumptions!$F$54</f>
        <v>228.054404834928</v>
      </c>
      <c r="AQ54" s="44" t="n">
        <f aca="false">(AQ37+AQ38)*Assumptions!$F$53+AQ32*Assumptions!$F$54</f>
        <v>242.57356993286</v>
      </c>
      <c r="AR54" s="44" t="n">
        <f aca="false">(AR37+AR38)*Assumptions!$F$53+AR32*Assumptions!$F$54</f>
        <v>257.406221525491</v>
      </c>
      <c r="AS54" s="44" t="n">
        <f aca="false">(AS37+AS38)*Assumptions!$F$53+AS32*Assumptions!$F$54</f>
        <v>272.525595745983</v>
      </c>
      <c r="AT54" s="44" t="n">
        <f aca="false">(AT37+AT38)*Assumptions!$F$53+AT32*Assumptions!$F$54</f>
        <v>287.898510760843</v>
      </c>
      <c r="AU54" s="44" t="n">
        <f aca="false">(AU37+AU38)*Assumptions!$F$53+AU32*Assumptions!$F$54</f>
        <v>303.502161737572</v>
      </c>
      <c r="AV54" s="44" t="n">
        <f aca="false">(AV37+AV38)*Assumptions!$F$53+AV32*Assumptions!$F$54</f>
        <v>319.315221660362</v>
      </c>
      <c r="AW54" s="44" t="n">
        <f aca="false">(AW37+AW38)*Assumptions!$F$53+AW32*Assumptions!$F$54</f>
        <v>335.309599963998</v>
      </c>
      <c r="AX54" s="44" t="n">
        <f aca="false">(AX37+AX38)*Assumptions!$F$53+AX32*Assumptions!$F$54</f>
        <v>351.467259950283</v>
      </c>
      <c r="AY54" s="44" t="n">
        <f aca="false">(AY37+AY38)*Assumptions!$F$53+AY32*Assumptions!$F$54</f>
        <v>367.771340553877</v>
      </c>
      <c r="AZ54" s="44" t="n">
        <f aca="false">(AZ37+AZ38)*Assumptions!$F$53+AZ32*Assumptions!$F$54</f>
        <v>384.197934530042</v>
      </c>
      <c r="BA54" s="44" t="n">
        <f aca="false">(BA37+BA38)*Assumptions!$F$53+BA32*Assumptions!$F$54</f>
        <v>400.724776181428</v>
      </c>
      <c r="BB54" s="44" t="n">
        <f aca="false">(BB37+BB38)*Assumptions!$F$53+BB32*Assumptions!$F$54</f>
        <v>417.339284954475</v>
      </c>
      <c r="BC54" s="44" t="n">
        <f aca="false">(BC37+BC38)*Assumptions!$F$53+BC32*Assumptions!$F$54</f>
        <v>434.021563030308</v>
      </c>
      <c r="BD54" s="44" t="n">
        <f aca="false">(BD37+BD38)*Assumptions!$F$53+BD32*Assumptions!$F$54</f>
        <v>450.753100494384</v>
      </c>
      <c r="BE54" s="44" t="n">
        <f aca="false">(BE37+BE38)*Assumptions!$F$53+BE32*Assumptions!$F$54</f>
        <v>467.52483522135</v>
      </c>
      <c r="BF54" s="44" t="n">
        <f aca="false">(BF37+BF38)*Assumptions!$F$53+BF32*Assumptions!$F$54</f>
        <v>484.320165678254</v>
      </c>
      <c r="BG54" s="44" t="n">
        <f aca="false">(BG37+BG38)*Assumptions!$F$53+BG32*Assumptions!$F$54</f>
        <v>501.123670303265</v>
      </c>
      <c r="BH54" s="44" t="n">
        <f aca="false">(BH37+BH38)*Assumptions!$F$53+BH32*Assumptions!$F$54</f>
        <v>517.921032721866</v>
      </c>
      <c r="BI54" s="44" t="n">
        <f aca="false">(BI37+BI38)*Assumptions!$F$53+BI32*Assumptions!$F$54</f>
        <v>534.698971741899</v>
      </c>
      <c r="BJ54" s="44" t="n">
        <f aca="false">(BJ37+BJ38)*Assumptions!$F$53+BJ32*Assumptions!$F$54</f>
        <v>551.445175813379</v>
      </c>
      <c r="BK54" s="44" t="n">
        <f aca="false">(BK37+BK38)*Assumptions!$F$53+BK32*Assumptions!$F$54</f>
        <v>568.148241660178</v>
      </c>
    </row>
    <row r="55" customFormat="false" ht="15" hidden="false" customHeight="false" outlineLevel="0" collapsed="false">
      <c r="A55" s="28" t="s">
        <v>623</v>
      </c>
      <c r="B55" s="6" t="s">
        <v>624</v>
      </c>
      <c r="C55" s="43"/>
      <c r="D55" s="17" t="n">
        <f aca="false">D25*Assumptions!$F$65*Assumptions!$F$66*Assumptions!$F$67</f>
        <v>0</v>
      </c>
      <c r="E55" s="17" t="n">
        <f aca="false">E25*Assumptions!$F$65*Assumptions!$F$66*Assumptions!$F$67</f>
        <v>0</v>
      </c>
      <c r="F55" s="17" t="n">
        <f aca="false">F25*Assumptions!$F$65*Assumptions!$F$66*Assumptions!$F$67</f>
        <v>0</v>
      </c>
      <c r="G55" s="17" t="n">
        <f aca="false">G25*Assumptions!$F$65*Assumptions!$F$66*Assumptions!$F$67</f>
        <v>0</v>
      </c>
      <c r="H55" s="17" t="n">
        <f aca="false">H25*Assumptions!$F$65*Assumptions!$F$66*Assumptions!$F$67</f>
        <v>24.3</v>
      </c>
      <c r="I55" s="17" t="n">
        <f aca="false">I25*Assumptions!$F$65*Assumptions!$F$66*Assumptions!$F$67</f>
        <v>37.7865</v>
      </c>
      <c r="J55" s="17" t="n">
        <f aca="false">J25*Assumptions!$F$65*Assumptions!$F$66*Assumptions!$F$67</f>
        <v>40.2742125</v>
      </c>
      <c r="K55" s="17" t="n">
        <f aca="false">K25*Assumptions!$F$65*Assumptions!$F$66*Assumptions!$F$67</f>
        <v>61.6787308125</v>
      </c>
      <c r="L55" s="17" t="n">
        <f aca="false">L25*Assumptions!$F$65*Assumptions!$F$66*Assumptions!$F$67</f>
        <v>93.9159603253125</v>
      </c>
      <c r="M55" s="17" t="n">
        <f aca="false">M25*Assumptions!$F$65*Assumptions!$F$66*Assumptions!$F$67</f>
        <v>105.431427729183</v>
      </c>
      <c r="N55" s="17" t="n">
        <f aca="false">N25*Assumptions!$F$65*Assumptions!$F$66*Assumptions!$F$67</f>
        <v>122.631650738933</v>
      </c>
      <c r="O55" s="17" t="n">
        <f aca="false">O25*Assumptions!$F$65*Assumptions!$F$66*Assumptions!$F$67</f>
        <v>147.619157354545</v>
      </c>
      <c r="P55" s="17" t="n">
        <f aca="false">P25*Assumptions!$F$65*Assumptions!$F$66*Assumptions!$F$67</f>
        <v>175.05072788908</v>
      </c>
      <c r="Q55" s="17" t="n">
        <f aca="false">Q25*Assumptions!$F$65*Assumptions!$F$66*Assumptions!$F$67</f>
        <v>199.431894602399</v>
      </c>
      <c r="R55" s="17" t="n">
        <f aca="false">R25*Assumptions!$F$65*Assumptions!$F$66*Assumptions!$F$67</f>
        <v>219.010439143938</v>
      </c>
      <c r="S55" s="17" t="n">
        <f aca="false">S25*Assumptions!$F$65*Assumptions!$F$66*Assumptions!$F$67</f>
        <v>238.405077481153</v>
      </c>
      <c r="T55" s="17" t="n">
        <f aca="false">T25*Assumptions!$F$65*Assumptions!$F$66*Assumptions!$F$67</f>
        <v>253.886548019779</v>
      </c>
      <c r="U55" s="17" t="n">
        <f aca="false">U25*Assumptions!$F$65*Assumptions!$F$66*Assumptions!$F$67</f>
        <v>266.82021515503</v>
      </c>
      <c r="V55" s="17" t="n">
        <f aca="false">V25*Assumptions!$F$65*Assumptions!$F$66*Assumptions!$F$67</f>
        <v>278.093629408811</v>
      </c>
      <c r="W55" s="17" t="n">
        <f aca="false">W25*Assumptions!$F$65*Assumptions!$F$66*Assumptions!$F$67</f>
        <v>312.583761330397</v>
      </c>
      <c r="X55" s="17" t="n">
        <f aca="false">X25*Assumptions!$F$65*Assumptions!$F$66*Assumptions!$F$67</f>
        <v>335.552203546209</v>
      </c>
      <c r="Y55" s="17" t="n">
        <f aca="false">Y25*Assumptions!$F$65*Assumptions!$F$66*Assumptions!$F$67</f>
        <v>347.057539606265</v>
      </c>
      <c r="Z55" s="17" t="n">
        <f aca="false">Z25*Assumptions!$F$65*Assumptions!$F$66*Assumptions!$F$67</f>
        <v>377.173938935783</v>
      </c>
      <c r="AA55" s="17" t="n">
        <f aca="false">AA25*Assumptions!$F$65*Assumptions!$F$66*Assumptions!$F$67</f>
        <v>393.620440427094</v>
      </c>
      <c r="AB55" s="17" t="n">
        <f aca="false">AB25*Assumptions!$F$65*Assumptions!$F$66*Assumptions!$F$67</f>
        <v>400.023165694663</v>
      </c>
      <c r="AC55" s="17" t="n">
        <f aca="false">AC25*Assumptions!$F$65*Assumptions!$F$66*Assumptions!$F$67</f>
        <v>423.017588927327</v>
      </c>
      <c r="AD55" s="17" t="n">
        <f aca="false">AD25*Assumptions!$F$65*Assumptions!$F$66*Assumptions!$F$67</f>
        <v>459.119086060172</v>
      </c>
      <c r="AE55" s="17" t="n">
        <f aca="false">AE25*Assumptions!$F$65*Assumptions!$F$66*Assumptions!$F$67</f>
        <v>475.001574397661</v>
      </c>
      <c r="AF55" s="17" t="n">
        <f aca="false">AF25*Assumptions!$F$65*Assumptions!$F$66*Assumptions!$F$67</f>
        <v>497.839779290149</v>
      </c>
      <c r="AG55" s="17" t="n">
        <f aca="false">AG25*Assumptions!$F$65*Assumptions!$F$66*Assumptions!$F$67</f>
        <v>529.288281131292</v>
      </c>
      <c r="AH55" s="17" t="n">
        <f aca="false">AH25*Assumptions!$F$65*Assumptions!$F$66*Assumptions!$F$67</f>
        <v>538.440740959145</v>
      </c>
      <c r="AI55" s="17" t="n">
        <f aca="false">AI25*Assumptions!$F$65*Assumptions!$F$66*Assumptions!$F$67</f>
        <v>555.042909473891</v>
      </c>
      <c r="AJ55" s="17" t="n">
        <f aca="false">AJ25*Assumptions!$F$65*Assumptions!$F$66*Assumptions!$F$67</f>
        <v>578.582632590719</v>
      </c>
      <c r="AK55" s="17" t="n">
        <f aca="false">AK25*Assumptions!$F$65*Assumptions!$F$66*Assumptions!$F$67</f>
        <v>606.829341495168</v>
      </c>
      <c r="AL55" s="17" t="n">
        <f aca="false">AL25*Assumptions!$F$65*Assumptions!$F$66*Assumptions!$F$67</f>
        <v>633.470202828391</v>
      </c>
      <c r="AM55" s="17" t="n">
        <f aca="false">AM25*Assumptions!$F$65*Assumptions!$F$66*Assumptions!$F$67</f>
        <v>656.221455732139</v>
      </c>
      <c r="AN55" s="44" t="n">
        <f aca="false">AN25*Assumptions!$F$65*Assumptions!$F$66*Assumptions!$F$67</f>
        <v>679.356702761169</v>
      </c>
      <c r="AO55" s="44" t="n">
        <f aca="false">AO25*Assumptions!$F$65*Assumptions!$F$66*Assumptions!$F$67</f>
        <v>698.922741982011</v>
      </c>
      <c r="AP55" s="44" t="n">
        <f aca="false">AP25*Assumptions!$F$65*Assumptions!$F$66*Assumptions!$F$67</f>
        <v>716.139754197748</v>
      </c>
      <c r="AQ55" s="44" t="n">
        <f aca="false">AQ25*Assumptions!$F$65*Assumptions!$F$66*Assumptions!$F$67</f>
        <v>731.801292559336</v>
      </c>
      <c r="AR55" s="44" t="n">
        <f aca="false">AR25*Assumptions!$F$65*Assumptions!$F$66*Assumptions!$F$67</f>
        <v>746.423595709406</v>
      </c>
      <c r="AS55" s="44" t="n">
        <f aca="false">AS25*Assumptions!$F$65*Assumptions!$F$66*Assumptions!$F$67</f>
        <v>760.342641423762</v>
      </c>
      <c r="AT55" s="44" t="n">
        <f aca="false">AT25*Assumptions!$F$65*Assumptions!$F$66*Assumptions!$F$67</f>
        <v>772.805231574906</v>
      </c>
      <c r="AU55" s="44" t="n">
        <f aca="false">AU25*Assumptions!$F$65*Assumptions!$F$66*Assumptions!$F$67</f>
        <v>785.241897453409</v>
      </c>
      <c r="AV55" s="44" t="n">
        <f aca="false">AV25*Assumptions!$F$65*Assumptions!$F$66*Assumptions!$F$67</f>
        <v>797.635552820488</v>
      </c>
      <c r="AW55" s="44" t="n">
        <f aca="false">AW25*Assumptions!$F$65*Assumptions!$F$66*Assumptions!$F$67</f>
        <v>809.003484016954</v>
      </c>
      <c r="AX55" s="44" t="n">
        <f aca="false">AX25*Assumptions!$F$65*Assumptions!$F$66*Assumptions!$F$67</f>
        <v>820.627013674402</v>
      </c>
      <c r="AY55" s="44" t="n">
        <f aca="false">AY25*Assumptions!$F$65*Assumptions!$F$66*Assumptions!$F$67</f>
        <v>832.392046715792</v>
      </c>
      <c r="AZ55" s="44" t="n">
        <f aca="false">AZ25*Assumptions!$F$65*Assumptions!$F$66*Assumptions!$F$67</f>
        <v>843.252790875284</v>
      </c>
      <c r="BA55" s="44" t="n">
        <f aca="false">BA25*Assumptions!$F$65*Assumptions!$F$66*Assumptions!$F$67</f>
        <v>853.477545171303</v>
      </c>
      <c r="BB55" s="44" t="n">
        <f aca="false">BB25*Assumptions!$F$65*Assumptions!$F$66*Assumptions!$F$67</f>
        <v>864.213426997181</v>
      </c>
      <c r="BC55" s="44" t="n">
        <f aca="false">BC25*Assumptions!$F$65*Assumptions!$F$66*Assumptions!$F$67</f>
        <v>874.287074844464</v>
      </c>
      <c r="BD55" s="44" t="n">
        <f aca="false">BD25*Assumptions!$F$65*Assumptions!$F$66*Assumptions!$F$67</f>
        <v>883.883840735752</v>
      </c>
      <c r="BE55" s="44" t="n">
        <f aca="false">BE25*Assumptions!$F$65*Assumptions!$F$66*Assumptions!$F$67</f>
        <v>894.096899933788</v>
      </c>
      <c r="BF55" s="44" t="n">
        <f aca="false">BF25*Assumptions!$F$65*Assumptions!$F$66*Assumptions!$F$67</f>
        <v>903.717802360677</v>
      </c>
      <c r="BG55" s="44" t="n">
        <f aca="false">BG25*Assumptions!$F$65*Assumptions!$F$66*Assumptions!$F$67</f>
        <v>912.909066677102</v>
      </c>
      <c r="BH55" s="44" t="n">
        <f aca="false">BH25*Assumptions!$F$65*Assumptions!$F$66*Assumptions!$F$67</f>
        <v>921.777001055635</v>
      </c>
      <c r="BI55" s="44" t="n">
        <f aca="false">BI25*Assumptions!$F$65*Assumptions!$F$66*Assumptions!$F$67</f>
        <v>930.391366785949</v>
      </c>
      <c r="BJ55" s="44" t="n">
        <f aca="false">BJ25*Assumptions!$F$65*Assumptions!$F$66*Assumptions!$F$67</f>
        <v>938.798159769159</v>
      </c>
      <c r="BK55" s="44" t="n">
        <f aca="false">BK25*Assumptions!$F$65*Assumptions!$F$66*Assumptions!$F$67</f>
        <v>947.027918637868</v>
      </c>
    </row>
    <row r="56" customFormat="false" ht="15" hidden="false" customHeight="false" outlineLevel="0" collapsed="false">
      <c r="A56" s="28" t="s">
        <v>625</v>
      </c>
      <c r="B56" s="6" t="s">
        <v>626</v>
      </c>
      <c r="C56" s="43"/>
      <c r="D56" s="17" t="n">
        <f aca="false">(D41+D42+D43)*Assumptions!$F$78</f>
        <v>0</v>
      </c>
      <c r="E56" s="17" t="n">
        <f aca="false">(E41+E42+E43)*Assumptions!$F$78</f>
        <v>0</v>
      </c>
      <c r="F56" s="17" t="n">
        <f aca="false">(F41+F42+F43)*Assumptions!$F$78</f>
        <v>0</v>
      </c>
      <c r="G56" s="17" t="n">
        <f aca="false">(G41+G42+G43)*Assumptions!$F$78</f>
        <v>0</v>
      </c>
      <c r="H56" s="17" t="n">
        <f aca="false">(H41+H42+H43)*Assumptions!$F$78</f>
        <v>0</v>
      </c>
      <c r="I56" s="17" t="n">
        <f aca="false">(I41+I42+I43)*Assumptions!$F$78</f>
        <v>0</v>
      </c>
      <c r="J56" s="17" t="n">
        <f aca="false">(J41+J42+J43)*Assumptions!$F$78</f>
        <v>0</v>
      </c>
      <c r="K56" s="17" t="n">
        <f aca="false">(K41+K42+K43)*Assumptions!$F$78</f>
        <v>0</v>
      </c>
      <c r="L56" s="17" t="n">
        <f aca="false">(L41+L42+L43)*Assumptions!$F$78</f>
        <v>0</v>
      </c>
      <c r="M56" s="17" t="n">
        <f aca="false">(M41+M42+M43)*Assumptions!$F$78</f>
        <v>0</v>
      </c>
      <c r="N56" s="17" t="n">
        <f aca="false">(N41+N42+N43)*Assumptions!$F$78</f>
        <v>0</v>
      </c>
      <c r="O56" s="17" t="n">
        <f aca="false">(O41+O42+O43)*Assumptions!$F$78</f>
        <v>0</v>
      </c>
      <c r="P56" s="17" t="n">
        <f aca="false">(P41+P42+P43)*Assumptions!$F$78</f>
        <v>0</v>
      </c>
      <c r="Q56" s="17" t="n">
        <f aca="false">(Q41+Q42+Q43)*Assumptions!$F$78</f>
        <v>0</v>
      </c>
      <c r="R56" s="17" t="n">
        <f aca="false">(R41+R42+R43)*Assumptions!$F$78</f>
        <v>0</v>
      </c>
      <c r="S56" s="17" t="n">
        <f aca="false">(S41+S42+S43)*Assumptions!$F$78</f>
        <v>0</v>
      </c>
      <c r="T56" s="17" t="n">
        <f aca="false">(T41+T42+T43)*Assumptions!$F$78</f>
        <v>0</v>
      </c>
      <c r="U56" s="17" t="n">
        <f aca="false">(U41+U42+U43)*Assumptions!$F$78</f>
        <v>0</v>
      </c>
      <c r="V56" s="17" t="n">
        <f aca="false">(V41+V42+V43)*Assumptions!$F$78</f>
        <v>0</v>
      </c>
      <c r="W56" s="17" t="n">
        <f aca="false">(W41+W42+W43)*Assumptions!$F$78</f>
        <v>0</v>
      </c>
      <c r="X56" s="17" t="n">
        <f aca="false">(X41+X42+X43)*Assumptions!$F$78</f>
        <v>0</v>
      </c>
      <c r="Y56" s="17" t="n">
        <f aca="false">(Y41+Y42+Y43)*Assumptions!$F$78</f>
        <v>0</v>
      </c>
      <c r="Z56" s="17" t="n">
        <f aca="false">(Z41+Z42+Z43)*Assumptions!$F$78</f>
        <v>0</v>
      </c>
      <c r="AA56" s="17" t="n">
        <f aca="false">(AA41+AA42+AA43)*Assumptions!$F$78</f>
        <v>0</v>
      </c>
      <c r="AB56" s="17" t="n">
        <f aca="false">(AB41+AB42+AB43)*Assumptions!$F$78</f>
        <v>0</v>
      </c>
      <c r="AC56" s="17" t="n">
        <f aca="false">(AC41+AC42+AC43)*Assumptions!$F$78</f>
        <v>0</v>
      </c>
      <c r="AD56" s="17" t="n">
        <f aca="false">(AD41+AD42+AD43)*Assumptions!$F$78</f>
        <v>25.1855077663376</v>
      </c>
      <c r="AE56" s="17" t="n">
        <f aca="false">(AE41+AE42+AE43)*Assumptions!$F$78</f>
        <v>53.8884581278949</v>
      </c>
      <c r="AF56" s="17" t="n">
        <f aca="false">(AF41+AF42+AF43)*Assumptions!$F$78</f>
        <v>86.4657395164692</v>
      </c>
      <c r="AG56" s="17" t="n">
        <f aca="false">(AG41+AG42+AG43)*Assumptions!$F$78</f>
        <v>123.505490313134</v>
      </c>
      <c r="AH56" s="17" t="n">
        <f aca="false">(AH41+AH42+AH43)*Assumptions!$F$78</f>
        <v>163.481972285101</v>
      </c>
      <c r="AI56" s="17" t="n">
        <f aca="false">(AI41+AI42+AI43)*Assumptions!$F$78</f>
        <v>207.618005963892</v>
      </c>
      <c r="AJ56" s="17" t="n">
        <f aca="false">(AJ41+AJ42+AJ43)*Assumptions!$F$78</f>
        <v>219.758170044321</v>
      </c>
      <c r="AK56" s="17" t="n">
        <f aca="false">(AK41+AK42+AK43)*Assumptions!$F$78</f>
        <v>232.604997304083</v>
      </c>
      <c r="AL56" s="17" t="n">
        <f aca="false">(AL41+AL42+AL43)*Assumptions!$F$78</f>
        <v>245.732563821299</v>
      </c>
      <c r="AM56" s="17" t="n">
        <f aca="false">(AM41+AM42+AM43)*Assumptions!$F$78</f>
        <v>258.876211523885</v>
      </c>
      <c r="AN56" s="44" t="n">
        <f aca="false">(AN41+AN42+AN43)*Assumptions!$F$78</f>
        <v>272.281215054965</v>
      </c>
      <c r="AO56" s="44" t="n">
        <f aca="false">(AO41+AO42+AO43)*Assumptions!$F$78</f>
        <v>285.6032041867</v>
      </c>
      <c r="AP56" s="44" t="n">
        <f aca="false">(AP41+AP42+AP43)*Assumptions!$F$78</f>
        <v>298.834291706314</v>
      </c>
      <c r="AQ56" s="44" t="n">
        <f aca="false">(AQ41+AQ42+AQ43)*Assumptions!$F$78</f>
        <v>311.969905059288</v>
      </c>
      <c r="AR56" s="44" t="n">
        <f aca="false">(AR41+AR42+AR43)*Assumptions!$F$78</f>
        <v>325.007617906969</v>
      </c>
      <c r="AS56" s="44" t="n">
        <f aca="false">(AS41+AS42+AS43)*Assumptions!$F$78</f>
        <v>337.946390763685</v>
      </c>
      <c r="AT56" s="44" t="n">
        <f aca="false">(AT41+AT42+AT43)*Assumptions!$F$78</f>
        <v>350.700848733688</v>
      </c>
      <c r="AU56" s="44" t="n">
        <f aca="false">(AU41+AU42+AU43)*Assumptions!$F$78</f>
        <v>363.35556699313</v>
      </c>
      <c r="AV56" s="44" t="n">
        <f aca="false">(AV41+AV42+AV43)*Assumptions!$F$78</f>
        <v>375.912178432024</v>
      </c>
      <c r="AW56" s="44" t="n">
        <f aca="false">(AW41+AW42+AW43)*Assumptions!$F$78</f>
        <v>388.287014769008</v>
      </c>
      <c r="AX56" s="44" t="n">
        <f aca="false">(AX41+AX42+AX43)*Assumptions!$F$78</f>
        <v>400.565730506225</v>
      </c>
      <c r="AY56" s="44" t="n">
        <f aca="false">(AY41+AY42+AY43)*Assumptions!$F$78</f>
        <v>412.75063057182</v>
      </c>
      <c r="AZ56" s="44" t="n">
        <f aca="false">(AZ41+AZ42+AZ43)*Assumptions!$F$78</f>
        <v>424.758454428315</v>
      </c>
      <c r="BA56" s="44" t="n">
        <f aca="false">(BA41+BA42+BA43)*Assumptions!$F$78</f>
        <v>436.589864166688</v>
      </c>
      <c r="BB56" s="44" t="n">
        <f aca="false">(BB41+BB42+BB43)*Assumptions!$F$78</f>
        <v>448.331438664806</v>
      </c>
      <c r="BC56" s="44" t="n">
        <f aca="false">(BC41+BC42+BC43)*Assumptions!$F$78</f>
        <v>459.900812884235</v>
      </c>
      <c r="BD56" s="44" t="n">
        <f aca="false">(BD41+BD42+BD43)*Assumptions!$F$78</f>
        <v>471.299196660583</v>
      </c>
      <c r="BE56" s="44" t="n">
        <f aca="false">(BE41+BE42+BE43)*Assumptions!$F$78</f>
        <v>482.613491090922</v>
      </c>
      <c r="BF56" s="44" t="n">
        <f aca="false">(BF41+BF42+BF43)*Assumptions!$F$78</f>
        <v>493.761507271719</v>
      </c>
      <c r="BG56" s="44" t="n">
        <f aca="false">(BG41+BG42+BG43)*Assumptions!$F$78</f>
        <v>504.744536718297</v>
      </c>
      <c r="BH56" s="44" t="n">
        <f aca="false">(BH41+BH42+BH43)*Assumptions!$F$78</f>
        <v>515.564272503698</v>
      </c>
      <c r="BI56" s="44" t="n">
        <f aca="false">(BI41+BI42+BI43)*Assumptions!$F$78</f>
        <v>526.222655909657</v>
      </c>
      <c r="BJ56" s="44" t="n">
        <f aca="false">(BJ41+BJ42+BJ43)*Assumptions!$F$78</f>
        <v>536.721776941796</v>
      </c>
      <c r="BK56" s="44" t="n">
        <f aca="false">(BK41+BK42+BK43)*Assumptions!$F$78</f>
        <v>547.063809853679</v>
      </c>
    </row>
    <row r="57" customFormat="false" ht="15" hidden="false" customHeight="false" outlineLevel="0" collapsed="false">
      <c r="A57" s="28" t="s">
        <v>627</v>
      </c>
      <c r="B57" s="6" t="s">
        <v>628</v>
      </c>
      <c r="C57" s="43"/>
      <c r="D57" s="17" t="n">
        <f aca="false">D45*Assumptions!$F$82</f>
        <v>0</v>
      </c>
      <c r="E57" s="17" t="n">
        <f aca="false">E45*Assumptions!$F$82</f>
        <v>0</v>
      </c>
      <c r="F57" s="17" t="n">
        <f aca="false">F45*Assumptions!$F$82</f>
        <v>0</v>
      </c>
      <c r="G57" s="17" t="n">
        <f aca="false">G45*Assumptions!$F$82</f>
        <v>0</v>
      </c>
      <c r="H57" s="17" t="n">
        <f aca="false">H45*Assumptions!$F$82</f>
        <v>0</v>
      </c>
      <c r="I57" s="17" t="n">
        <f aca="false">I45*Assumptions!$F$82</f>
        <v>0</v>
      </c>
      <c r="J57" s="17" t="n">
        <f aca="false">J45*Assumptions!$F$82</f>
        <v>0</v>
      </c>
      <c r="K57" s="17" t="n">
        <f aca="false">K45*Assumptions!$F$82</f>
        <v>0</v>
      </c>
      <c r="L57" s="17" t="n">
        <f aca="false">L45*Assumptions!$F$82</f>
        <v>0</v>
      </c>
      <c r="M57" s="17" t="n">
        <f aca="false">M45*Assumptions!$F$82</f>
        <v>0</v>
      </c>
      <c r="N57" s="17" t="n">
        <f aca="false">N45*Assumptions!$F$82</f>
        <v>0</v>
      </c>
      <c r="O57" s="17" t="n">
        <f aca="false">O45*Assumptions!$F$82</f>
        <v>0</v>
      </c>
      <c r="P57" s="17" t="n">
        <f aca="false">P45*Assumptions!$F$82</f>
        <v>0</v>
      </c>
      <c r="Q57" s="17" t="n">
        <f aca="false">Q45*Assumptions!$F$82</f>
        <v>0</v>
      </c>
      <c r="R57" s="17" t="n">
        <f aca="false">R45*Assumptions!$F$82</f>
        <v>0</v>
      </c>
      <c r="S57" s="17" t="n">
        <f aca="false">S45*Assumptions!$F$82</f>
        <v>337.5</v>
      </c>
      <c r="T57" s="17" t="n">
        <f aca="false">T45*Assumptions!$F$82</f>
        <v>450</v>
      </c>
      <c r="U57" s="17" t="n">
        <f aca="false">U45*Assumptions!$F$82</f>
        <v>562.5</v>
      </c>
      <c r="V57" s="17" t="n">
        <f aca="false">V45*Assumptions!$F$82</f>
        <v>675</v>
      </c>
      <c r="W57" s="17" t="n">
        <f aca="false">W45*Assumptions!$F$82</f>
        <v>787.5</v>
      </c>
      <c r="X57" s="17" t="n">
        <f aca="false">X45*Assumptions!$F$82</f>
        <v>900</v>
      </c>
      <c r="Y57" s="17" t="n">
        <f aca="false">Y45*Assumptions!$F$82</f>
        <v>1012.5</v>
      </c>
      <c r="Z57" s="17" t="n">
        <f aca="false">Z45*Assumptions!$F$82</f>
        <v>1125</v>
      </c>
      <c r="AA57" s="17" t="n">
        <f aca="false">AA45*Assumptions!$F$82</f>
        <v>1237.5</v>
      </c>
      <c r="AB57" s="17" t="n">
        <f aca="false">AB45*Assumptions!$F$82</f>
        <v>1350</v>
      </c>
      <c r="AC57" s="17" t="n">
        <f aca="false">AC45*Assumptions!$F$82</f>
        <v>1575</v>
      </c>
      <c r="AD57" s="17" t="n">
        <f aca="false">AD45*Assumptions!$F$82</f>
        <v>1687.5</v>
      </c>
      <c r="AE57" s="17" t="n">
        <f aca="false">AE45*Assumptions!$F$82</f>
        <v>1800</v>
      </c>
      <c r="AF57" s="17" t="n">
        <f aca="false">AF45*Assumptions!$F$82</f>
        <v>2025</v>
      </c>
      <c r="AG57" s="17" t="n">
        <f aca="false">AG45*Assumptions!$F$82</f>
        <v>2137.5</v>
      </c>
      <c r="AH57" s="17" t="n">
        <f aca="false">AH45*Assumptions!$F$82</f>
        <v>2250</v>
      </c>
      <c r="AI57" s="17" t="n">
        <f aca="false">AI45*Assumptions!$F$82</f>
        <v>2475</v>
      </c>
      <c r="AJ57" s="17" t="n">
        <f aca="false">AJ45*Assumptions!$F$82</f>
        <v>2700</v>
      </c>
      <c r="AK57" s="17" t="n">
        <f aca="false">AK45*Assumptions!$F$82</f>
        <v>2812.5</v>
      </c>
      <c r="AL57" s="17" t="n">
        <f aca="false">AL45*Assumptions!$F$82</f>
        <v>3037.5</v>
      </c>
      <c r="AM57" s="17" t="n">
        <f aca="false">AM45*Assumptions!$F$82</f>
        <v>3262.5</v>
      </c>
      <c r="AN57" s="44" t="n">
        <f aca="false">AN45*Assumptions!$F$82</f>
        <v>3375</v>
      </c>
      <c r="AO57" s="44" t="n">
        <f aca="false">AO45*Assumptions!$F$82</f>
        <v>3600</v>
      </c>
      <c r="AP57" s="44" t="n">
        <f aca="false">AP45*Assumptions!$F$82</f>
        <v>3825</v>
      </c>
      <c r="AQ57" s="44" t="n">
        <f aca="false">AQ45*Assumptions!$F$82</f>
        <v>4050</v>
      </c>
      <c r="AR57" s="44" t="n">
        <f aca="false">AR45*Assumptions!$F$82</f>
        <v>4275</v>
      </c>
      <c r="AS57" s="44" t="n">
        <f aca="false">AS45*Assumptions!$F$82</f>
        <v>4500</v>
      </c>
      <c r="AT57" s="44" t="n">
        <f aca="false">AT45*Assumptions!$F$82</f>
        <v>4725</v>
      </c>
      <c r="AU57" s="44" t="n">
        <f aca="false">AU45*Assumptions!$F$82</f>
        <v>4950</v>
      </c>
      <c r="AV57" s="44" t="n">
        <f aca="false">AV45*Assumptions!$F$82</f>
        <v>5175</v>
      </c>
      <c r="AW57" s="44" t="n">
        <f aca="false">AW45*Assumptions!$F$82</f>
        <v>5400</v>
      </c>
      <c r="AX57" s="44" t="n">
        <f aca="false">AX45*Assumptions!$F$82</f>
        <v>5625</v>
      </c>
      <c r="AY57" s="44" t="n">
        <f aca="false">AY45*Assumptions!$F$82</f>
        <v>5850</v>
      </c>
      <c r="AZ57" s="44" t="n">
        <f aca="false">AZ45*Assumptions!$F$82</f>
        <v>6075</v>
      </c>
      <c r="BA57" s="44" t="n">
        <f aca="false">BA45*Assumptions!$F$82</f>
        <v>6300</v>
      </c>
      <c r="BB57" s="44" t="n">
        <f aca="false">BB45*Assumptions!$F$82</f>
        <v>6525</v>
      </c>
      <c r="BC57" s="44" t="n">
        <f aca="false">BC45*Assumptions!$F$82</f>
        <v>6750</v>
      </c>
      <c r="BD57" s="44" t="n">
        <f aca="false">BD45*Assumptions!$F$82</f>
        <v>6975</v>
      </c>
      <c r="BE57" s="44" t="n">
        <f aca="false">BE45*Assumptions!$F$82</f>
        <v>7200</v>
      </c>
      <c r="BF57" s="44" t="n">
        <f aca="false">BF45*Assumptions!$F$82</f>
        <v>7425</v>
      </c>
      <c r="BG57" s="44" t="n">
        <f aca="false">BG45*Assumptions!$F$82</f>
        <v>7650</v>
      </c>
      <c r="BH57" s="44" t="n">
        <f aca="false">BH45*Assumptions!$F$82</f>
        <v>7875</v>
      </c>
      <c r="BI57" s="44" t="n">
        <f aca="false">BI45*Assumptions!$F$82</f>
        <v>8100</v>
      </c>
      <c r="BJ57" s="44" t="n">
        <f aca="false">BJ45*Assumptions!$F$82</f>
        <v>8325</v>
      </c>
      <c r="BK57" s="44" t="n">
        <f aca="false">BK45*Assumptions!$F$82</f>
        <v>8550</v>
      </c>
    </row>
    <row r="58" customFormat="false" ht="15" hidden="false" customHeight="false" outlineLevel="0" collapsed="false">
      <c r="A58" s="28" t="s">
        <v>629</v>
      </c>
      <c r="B58" s="5" t="s">
        <v>630</v>
      </c>
      <c r="C58" s="43"/>
      <c r="D58" s="45" t="n">
        <f aca="false">D49+D50+D51+D52+D53+D54+D55+D56+D57</f>
        <v>0</v>
      </c>
      <c r="E58" s="45" t="n">
        <f aca="false">E49+E50+E51+E52+E53+E54+E55+E56+E57</f>
        <v>0</v>
      </c>
      <c r="F58" s="45" t="n">
        <f aca="false">F49+F50+F51+F52+F53+F54+F55+F56+F57</f>
        <v>0</v>
      </c>
      <c r="G58" s="45" t="n">
        <f aca="false">G49+G50+G51+G52+G53+G54+G55+G56+G57</f>
        <v>0</v>
      </c>
      <c r="H58" s="45" t="n">
        <f aca="false">H49+H50+H51+H52+H53+H54+H55+H56+H57</f>
        <v>53.4306666666667</v>
      </c>
      <c r="I58" s="45" t="n">
        <f aca="false">I49+I50+I51+I52+I53+I54+I55+I56+I57</f>
        <v>92.1655933333333</v>
      </c>
      <c r="J58" s="45" t="n">
        <f aca="false">J49+J50+J51+J52+J53+J54+J55+J56+J57</f>
        <v>111.393131433333</v>
      </c>
      <c r="K58" s="45" t="n">
        <f aca="false">K49+K50+K51+K52+K53+K54+K55+K56+K57</f>
        <v>172.594162095167</v>
      </c>
      <c r="L58" s="45" t="n">
        <f aca="false">L49+L50+L51+L52+L53+L54+L55+L56+L57</f>
        <v>265.047469292073</v>
      </c>
      <c r="M58" s="45" t="n">
        <f aca="false">M49+M50+M51+M52+M53+M54+M55+M56+M57</f>
        <v>323.122149344441</v>
      </c>
      <c r="N58" s="45" t="n">
        <f aca="false">N49+N50+N51+N52+N53+N54+N55+N56+N57</f>
        <v>410.304227915895</v>
      </c>
      <c r="O58" s="45" t="n">
        <f aca="false">O49+O50+O51+O52+O53+O54+O55+O56+O57</f>
        <v>522.140956285757</v>
      </c>
      <c r="P58" s="45" t="n">
        <f aca="false">P49+P50+P51+P52+P53+P54+P55+P56+P57</f>
        <v>649.939958358159</v>
      </c>
      <c r="Q58" s="45" t="n">
        <f aca="false">Q49+Q50+Q51+Q52+Q53+Q54+Q55+Q56+Q57</f>
        <v>782.248229573029</v>
      </c>
      <c r="R58" s="45" t="n">
        <f aca="false">R49+R50+R51+R52+R53+R54+R55+R56+R57</f>
        <v>913.584502779445</v>
      </c>
      <c r="S58" s="45" t="n">
        <f aca="false">S49+S50+S51+S52+S53+S54+S55+S56+S57</f>
        <v>1416.03537698319</v>
      </c>
      <c r="T58" s="45" t="n">
        <f aca="false">T49+T50+T51+T52+T53+T54+T55+T56+T57</f>
        <v>1694.26155721493</v>
      </c>
      <c r="U58" s="45" t="n">
        <f aca="false">U49+U50+U51+U52+U53+U54+U55+U56+U57</f>
        <v>1974.31678882051</v>
      </c>
      <c r="V58" s="45" t="n">
        <f aca="false">V49+V50+V51+V52+V53+V54+V55+V56+V57</f>
        <v>2256.79939802557</v>
      </c>
      <c r="W58" s="45" t="n">
        <f aca="false">W49+W50+W51+W52+W53+W54+W55+W56+W57</f>
        <v>2598.01862225494</v>
      </c>
      <c r="X58" s="45" t="n">
        <f aca="false">X49+X50+X51+X52+X53+X54+X55+X56+X57</f>
        <v>2929.47026564102</v>
      </c>
      <c r="Y58" s="45" t="n">
        <f aca="false">Y49+Y50+Y51+Y52+Y53+Y54+Y55+Y56+Y57</f>
        <v>3245.47478789047</v>
      </c>
      <c r="Z58" s="45" t="n">
        <f aca="false">Z49+Z50+Z51+Z52+Z53+Z54+Z55+Z56+Z57</f>
        <v>3609.416049287</v>
      </c>
      <c r="AA58" s="45" t="n">
        <f aca="false">AA49+AA50+AA51+AA52+AA53+AA54+AA55+AA56+AA57</f>
        <v>3956.07878672137</v>
      </c>
      <c r="AB58" s="45" t="n">
        <f aca="false">AB49+AB50+AB51+AB52+AB53+AB54+AB55+AB56+AB57</f>
        <v>4286.83931278071</v>
      </c>
      <c r="AC58" s="45" t="n">
        <f aca="false">AC49+AC50+AC51+AC52+AC53+AC54+AC55+AC56+AC57</f>
        <v>4770.29129794973</v>
      </c>
      <c r="AD58" s="45" t="n">
        <f aca="false">AD49+AD50+AD51+AD52+AD53+AD54+AD55+AD56+AD57</f>
        <v>5206.69290257545</v>
      </c>
      <c r="AE58" s="45" t="n">
        <f aca="false">AE49+AE50+AE51+AE52+AE53+AE54+AE55+AE56+AE57</f>
        <v>5616.5810887554</v>
      </c>
      <c r="AF58" s="45" t="n">
        <f aca="false">AF49+AF50+AF51+AF52+AF53+AF54+AF55+AF56+AF57</f>
        <v>6165.18839329965</v>
      </c>
      <c r="AG58" s="45" t="n">
        <f aca="false">AG49+AG50+AG51+AG52+AG53+AG54+AG55+AG56+AG57</f>
        <v>6635.20310965359</v>
      </c>
      <c r="AH58" s="45" t="n">
        <f aca="false">AH49+AH50+AH51+AH52+AH53+AH54+AH55+AH56+AH57</f>
        <v>7070.56582081738</v>
      </c>
      <c r="AI58" s="45" t="n">
        <f aca="false">AI49+AI50+AI51+AI52+AI53+AI54+AI55+AI56+AI57</f>
        <v>7642.17562158378</v>
      </c>
      <c r="AJ58" s="45" t="n">
        <f aca="false">AJ49+AJ50+AJ51+AJ52+AJ53+AJ54+AJ55+AJ56+AJ57</f>
        <v>8203.65613486231</v>
      </c>
      <c r="AK58" s="45" t="n">
        <f aca="false">AK49+AK50+AK51+AK52+AK53+AK54+AK55+AK56+AK57</f>
        <v>8673.35936911112</v>
      </c>
      <c r="AL58" s="45" t="n">
        <f aca="false">AL49+AL50+AL51+AL52+AL53+AL54+AL55+AL56+AL57</f>
        <v>9263.54060419406</v>
      </c>
      <c r="AM58" s="45" t="n">
        <f aca="false">AM49+AM50+AM51+AM52+AM53+AM54+AM55+AM56+AM57</f>
        <v>9855.24229478732</v>
      </c>
      <c r="AN58" s="46" t="n">
        <f aca="false">AN49+AN50+AN51+AN52+AN53+AN54+AN55+AN56+AN57</f>
        <v>10343.9448291375</v>
      </c>
      <c r="AO58" s="46" t="n">
        <f aca="false">AO49+AO50+AO51+AO52+AO53+AO54+AO55+AO56+AO57</f>
        <v>10945.1985109974</v>
      </c>
      <c r="AP58" s="46" t="n">
        <f aca="false">AP49+AP50+AP51+AP52+AP53+AP54+AP55+AP56+AP57</f>
        <v>11547.31552773</v>
      </c>
      <c r="AQ58" s="46" t="n">
        <f aca="false">AQ49+AQ50+AQ51+AQ52+AQ53+AQ54+AQ55+AQ56+AQ57</f>
        <v>12150.714106165</v>
      </c>
      <c r="AR58" s="46" t="n">
        <f aca="false">AR49+AR50+AR51+AR52+AR53+AR54+AR55+AR56+AR57</f>
        <v>12755.5639410733</v>
      </c>
      <c r="AS58" s="46" t="n">
        <f aca="false">AS49+AS50+AS51+AS52+AS53+AS54+AS55+AS56+AS57</f>
        <v>13361.8802360569</v>
      </c>
      <c r="AT58" s="46" t="n">
        <f aca="false">AT49+AT50+AT51+AT52+AT53+AT54+AT55+AT56+AT57</f>
        <v>13967.2590871441</v>
      </c>
      <c r="AU58" s="46" t="n">
        <f aca="false">AU49+AU50+AU51+AU52+AU53+AU54+AU55+AU56+AU57</f>
        <v>14574.1275383489</v>
      </c>
      <c r="AV58" s="46" t="n">
        <f aca="false">AV49+AV50+AV51+AV52+AV53+AV54+AV55+AV56+AV57</f>
        <v>15182.2206529215</v>
      </c>
      <c r="AW58" s="46" t="n">
        <f aca="false">AW49+AW50+AW51+AW52+AW53+AW54+AW55+AW56+AW57</f>
        <v>15788.9717421066</v>
      </c>
      <c r="AX58" s="46" t="n">
        <f aca="false">AX49+AX50+AX51+AX52+AX53+AX54+AX55+AX56+AX57</f>
        <v>16396.7200951909</v>
      </c>
      <c r="AY58" s="46" t="n">
        <f aca="false">AY49+AY50+AY51+AY52+AY53+AY54+AY55+AY56+AY57</f>
        <v>17005.1606207269</v>
      </c>
      <c r="AZ58" s="46" t="n">
        <f aca="false">AZ49+AZ50+AZ51+AZ52+AZ53+AZ54+AZ55+AZ56+AZ57</f>
        <v>17611.7163218832</v>
      </c>
      <c r="BA58" s="46" t="n">
        <f aca="false">BA49+BA50+BA51+BA52+BA53+BA54+BA55+BA56+BA57</f>
        <v>18216.4092704741</v>
      </c>
      <c r="BB58" s="46" t="n">
        <f aca="false">BB49+BB50+BB51+BB52+BB53+BB54+BB55+BB56+BB57</f>
        <v>18821.513905118</v>
      </c>
      <c r="BC58" s="46" t="n">
        <f aca="false">BC49+BC50+BC51+BC52+BC53+BC54+BC55+BC56+BC57</f>
        <v>19424.3768786221</v>
      </c>
      <c r="BD58" s="46" t="n">
        <f aca="false">BD49+BD50+BD51+BD52+BD53+BD54+BD55+BD56+BD57</f>
        <v>20024.9846734404</v>
      </c>
      <c r="BE58" s="46" t="n">
        <f aca="false">BE49+BE50+BE51+BE52+BE53+BE54+BE55+BE56+BE57</f>
        <v>20625.6017178433</v>
      </c>
      <c r="BF58" s="46" t="n">
        <f aca="false">BF49+BF50+BF51+BF52+BF53+BF54+BF55+BF56+BF57</f>
        <v>21223.580424165</v>
      </c>
      <c r="BG58" s="46" t="n">
        <f aca="false">BG49+BG50+BG51+BG52+BG53+BG54+BG55+BG56+BG57</f>
        <v>21818.9224835664</v>
      </c>
      <c r="BH58" s="46" t="n">
        <f aca="false">BH49+BH50+BH51+BH52+BH53+BH54+BH55+BH56+BH57</f>
        <v>22411.5876380112</v>
      </c>
      <c r="BI58" s="46" t="n">
        <f aca="false">BI49+BI50+BI51+BI52+BI53+BI54+BI55+BI56+BI57</f>
        <v>23001.5121750246</v>
      </c>
      <c r="BJ58" s="46" t="n">
        <f aca="false">BJ49+BJ50+BJ51+BJ52+BJ53+BJ54+BJ55+BJ56+BJ57</f>
        <v>23588.6206973424</v>
      </c>
      <c r="BK58" s="46" t="n">
        <f aca="false">BK49+BK50+BK51+BK52+BK53+BK54+BK55+BK56+BK57</f>
        <v>24172.8335374456</v>
      </c>
    </row>
    <row r="59" customFormat="false" ht="15" hidden="false" customHeight="false" outlineLevel="0" collapsed="false">
      <c r="A59" s="28" t="s">
        <v>631</v>
      </c>
      <c r="B59" s="5" t="s">
        <v>632</v>
      </c>
      <c r="C59" s="43"/>
      <c r="D59" s="45" t="n">
        <f aca="false">D46-D58</f>
        <v>0</v>
      </c>
      <c r="E59" s="45" t="n">
        <f aca="false">E46-E58</f>
        <v>0</v>
      </c>
      <c r="F59" s="45" t="n">
        <f aca="false">F46-F58</f>
        <v>0</v>
      </c>
      <c r="G59" s="45" t="n">
        <f aca="false">G46-G58</f>
        <v>0</v>
      </c>
      <c r="H59" s="45" t="n">
        <f aca="false">H46-H58</f>
        <v>-53.4306666666667</v>
      </c>
      <c r="I59" s="45" t="n">
        <f aca="false">I46-I58</f>
        <v>-92.1655933333333</v>
      </c>
      <c r="J59" s="45" t="n">
        <f aca="false">J46-J58</f>
        <v>-111.393131433333</v>
      </c>
      <c r="K59" s="45" t="n">
        <f aca="false">K46-K58</f>
        <v>-172.594162095167</v>
      </c>
      <c r="L59" s="45" t="n">
        <f aca="false">L46-L58</f>
        <v>-265.047469292073</v>
      </c>
      <c r="M59" s="45" t="n">
        <f aca="false">M46-M58</f>
        <v>-323.122149344441</v>
      </c>
      <c r="N59" s="45" t="n">
        <f aca="false">N46-N58</f>
        <v>-373.648529368783</v>
      </c>
      <c r="O59" s="45" t="n">
        <f aca="false">O46-O58</f>
        <v>-442.006516417842</v>
      </c>
      <c r="P59" s="45" t="n">
        <f aca="false">P46-P58</f>
        <v>-518.572004448346</v>
      </c>
      <c r="Q59" s="45" t="n">
        <f aca="false">Q46-Q58</f>
        <v>-591.829617813852</v>
      </c>
      <c r="R59" s="45" t="n">
        <f aca="false">R46-R58</f>
        <v>-656.718220759158</v>
      </c>
      <c r="S59" s="45" t="n">
        <f aca="false">S46-S58</f>
        <v>108.705726571495</v>
      </c>
      <c r="T59" s="45" t="n">
        <f aca="false">T46-T58</f>
        <v>361.257039060007</v>
      </c>
      <c r="U59" s="45" t="n">
        <f aca="false">U46-U58</f>
        <v>624.069078962114</v>
      </c>
      <c r="V59" s="45" t="n">
        <f aca="false">V46-V58</f>
        <v>895.78198356384</v>
      </c>
      <c r="W59" s="45" t="n">
        <f aca="false">W46-W58</f>
        <v>1126.19655038548</v>
      </c>
      <c r="X59" s="45" t="n">
        <f aca="false">X46-X58</f>
        <v>1381.81494360882</v>
      </c>
      <c r="Y59" s="45" t="n">
        <f aca="false">Y46-Y58</f>
        <v>1665.36046381193</v>
      </c>
      <c r="Z59" s="45" t="n">
        <f aca="false">Z46-Z58</f>
        <v>1918.07334904028</v>
      </c>
      <c r="AA59" s="45" t="n">
        <f aca="false">AA46-AA58</f>
        <v>2202.06485760024</v>
      </c>
      <c r="AB59" s="45" t="n">
        <f aca="false">AB46-AB58</f>
        <v>2512.80244419178</v>
      </c>
      <c r="AC59" s="45" t="n">
        <f aca="false">AC46-AC58</f>
        <v>3060.31366739325</v>
      </c>
      <c r="AD59" s="45" t="n">
        <f aca="false">AD46-AD58</f>
        <v>3550.08055988837</v>
      </c>
      <c r="AE59" s="45" t="n">
        <f aca="false">AE46-AE58</f>
        <v>4115.27779149837</v>
      </c>
      <c r="AF59" s="45" t="n">
        <f aca="false">AF46-AF58</f>
        <v>4970.6987992479</v>
      </c>
      <c r="AG59" s="45" t="n">
        <f aca="false">AG46-AG58</f>
        <v>5591.9644830775</v>
      </c>
      <c r="AH59" s="45" t="n">
        <f aca="false">AH46-AH58</f>
        <v>6289.19401020626</v>
      </c>
      <c r="AI59" s="45" t="n">
        <f aca="false">AI46-AI58</f>
        <v>7279.72577451754</v>
      </c>
      <c r="AJ59" s="45" t="n">
        <f aca="false">AJ46-AJ58</f>
        <v>7974.85100798465</v>
      </c>
      <c r="AK59" s="45" t="n">
        <f aca="false">AK46-AK58</f>
        <v>8409.59057374051</v>
      </c>
      <c r="AL59" s="45" t="n">
        <f aca="false">AL46-AL58</f>
        <v>9117.2993326501</v>
      </c>
      <c r="AM59" s="45" t="n">
        <f aca="false">AM46-AM58</f>
        <v>9838.33580831326</v>
      </c>
      <c r="AN59" s="46" t="n">
        <f aca="false">AN46-AN58</f>
        <v>10304.5977839733</v>
      </c>
      <c r="AO59" s="46" t="n">
        <f aca="false">AO46-AO58</f>
        <v>11045.9184079037</v>
      </c>
      <c r="AP59" s="46" t="n">
        <f aca="false">AP46-AP58</f>
        <v>11797.8101250184</v>
      </c>
      <c r="AQ59" s="46" t="n">
        <f aca="false">AQ46-AQ58</f>
        <v>12558.7839121573</v>
      </c>
      <c r="AR59" s="46" t="n">
        <f aca="false">AR46-AR58</f>
        <v>13327.6875651661</v>
      </c>
      <c r="AS59" s="46" t="n">
        <f aca="false">AS46-AS58</f>
        <v>14103.5997676221</v>
      </c>
      <c r="AT59" s="46" t="n">
        <f aca="false">AT46-AT58</f>
        <v>14886.96052835</v>
      </c>
      <c r="AU59" s="46" t="n">
        <f aca="false">AU46-AU58</f>
        <v>15675.4266981381</v>
      </c>
      <c r="AV59" s="46" t="n">
        <f aca="false">AV46-AV58</f>
        <v>16468.5675921281</v>
      </c>
      <c r="AW59" s="46" t="n">
        <f aca="false">AW46-AW58</f>
        <v>17267.1750438856</v>
      </c>
      <c r="AX59" s="46" t="n">
        <f aca="false">AX46-AX58</f>
        <v>18069.1654046065</v>
      </c>
      <c r="AY59" s="46" t="n">
        <f aca="false">AY46-AY58</f>
        <v>18874.3055159169</v>
      </c>
      <c r="AZ59" s="46" t="n">
        <f aca="false">AZ46-AZ58</f>
        <v>19683.5426193552</v>
      </c>
      <c r="BA59" s="46" t="n">
        <f aca="false">BA46-BA58</f>
        <v>20496.1194377726</v>
      </c>
      <c r="BB59" s="46" t="n">
        <f aca="false">BB46-BB58</f>
        <v>21310.2102092364</v>
      </c>
      <c r="BC59" s="46" t="n">
        <f aca="false">BC46-BC58</f>
        <v>22126.9824440099</v>
      </c>
      <c r="BD59" s="46" t="n">
        <f aca="false">BD46-BD58</f>
        <v>22945.8462700958</v>
      </c>
      <c r="BE59" s="46" t="n">
        <f aca="false">BE46-BE58</f>
        <v>23765.1074301405</v>
      </c>
      <c r="BF59" s="46" t="n">
        <f aca="false">BF46-BF58</f>
        <v>24586.0401635202</v>
      </c>
      <c r="BG59" s="46" t="n">
        <f aca="false">BG46-BG58</f>
        <v>25408.1438757898</v>
      </c>
      <c r="BH59" s="46" t="n">
        <f aca="false">BH46-BH58</f>
        <v>26231.0010396567</v>
      </c>
      <c r="BI59" s="46" t="n">
        <f aca="false">BI46-BI58</f>
        <v>27054.2547919741</v>
      </c>
      <c r="BJ59" s="46" t="n">
        <f aca="false">BJ46-BJ58</f>
        <v>27877.5939473333</v>
      </c>
      <c r="BK59" s="46" t="n">
        <f aca="false">BK46-BK58</f>
        <v>28700.7428596044</v>
      </c>
    </row>
    <row r="60" customFormat="false" ht="15" hidden="false" customHeight="false" outlineLevel="0" collapsed="false">
      <c r="B60" s="5" t="s">
        <v>633</v>
      </c>
    </row>
    <row r="61" customFormat="false" ht="15" hidden="false" customHeight="false" outlineLevel="0" collapsed="false">
      <c r="A61" s="28" t="s">
        <v>267</v>
      </c>
      <c r="B61" s="6" t="s">
        <v>634</v>
      </c>
      <c r="C61" s="47"/>
      <c r="D61" s="9" t="n">
        <f aca="false">Assumptions!$F$83*(1+Assumptions!$F$84)^INT(D7/12)</f>
        <v>17.95</v>
      </c>
      <c r="E61" s="9" t="n">
        <f aca="false">Assumptions!$F$83*(1+Assumptions!$F$84)^INT(E7/12)</f>
        <v>17.95</v>
      </c>
      <c r="F61" s="9" t="n">
        <f aca="false">Assumptions!$F$83*(1+Assumptions!$F$84)^INT(F7/12)</f>
        <v>17.95</v>
      </c>
      <c r="G61" s="9" t="n">
        <f aca="false">Assumptions!$F$83*(1+Assumptions!$F$84)^INT(G7/12)</f>
        <v>17.95</v>
      </c>
      <c r="H61" s="9" t="n">
        <f aca="false">Assumptions!$F$83*(1+Assumptions!$F$84)^INT(H7/12)</f>
        <v>17.95</v>
      </c>
      <c r="I61" s="9" t="n">
        <f aca="false">Assumptions!$F$83*(1+Assumptions!$F$84)^INT(I7/12)</f>
        <v>17.95</v>
      </c>
      <c r="J61" s="9" t="n">
        <f aca="false">Assumptions!$F$83*(1+Assumptions!$F$84)^INT(J7/12)</f>
        <v>17.95</v>
      </c>
      <c r="K61" s="9" t="n">
        <f aca="false">Assumptions!$F$83*(1+Assumptions!$F$84)^INT(K7/12)</f>
        <v>17.95</v>
      </c>
      <c r="L61" s="9" t="n">
        <f aca="false">Assumptions!$F$83*(1+Assumptions!$F$84)^INT(L7/12)</f>
        <v>17.95</v>
      </c>
      <c r="M61" s="9" t="n">
        <f aca="false">Assumptions!$F$83*(1+Assumptions!$F$84)^INT(M7/12)</f>
        <v>17.95</v>
      </c>
      <c r="N61" s="9" t="n">
        <f aca="false">Assumptions!$F$83*(1+Assumptions!$F$84)^INT(N7/12)</f>
        <v>17.95</v>
      </c>
      <c r="O61" s="9" t="n">
        <f aca="false">Assumptions!$F$83*(1+Assumptions!$F$84)^INT(O7/12)</f>
        <v>18.39875</v>
      </c>
      <c r="P61" s="9" t="n">
        <f aca="false">Assumptions!$F$83*(1+Assumptions!$F$84)^INT(P7/12)</f>
        <v>18.39875</v>
      </c>
      <c r="Q61" s="9" t="n">
        <f aca="false">Assumptions!$F$83*(1+Assumptions!$F$84)^INT(Q7/12)</f>
        <v>18.39875</v>
      </c>
      <c r="R61" s="9" t="n">
        <f aca="false">Assumptions!$F$83*(1+Assumptions!$F$84)^INT(R7/12)</f>
        <v>18.39875</v>
      </c>
      <c r="S61" s="9" t="n">
        <f aca="false">Assumptions!$F$83*(1+Assumptions!$F$84)^INT(S7/12)</f>
        <v>18.39875</v>
      </c>
      <c r="T61" s="9" t="n">
        <f aca="false">Assumptions!$F$83*(1+Assumptions!$F$84)^INT(T7/12)</f>
        <v>18.39875</v>
      </c>
      <c r="U61" s="9" t="n">
        <f aca="false">Assumptions!$F$83*(1+Assumptions!$F$84)^INT(U7/12)</f>
        <v>18.39875</v>
      </c>
      <c r="V61" s="9" t="n">
        <f aca="false">Assumptions!$F$83*(1+Assumptions!$F$84)^INT(V7/12)</f>
        <v>18.39875</v>
      </c>
      <c r="W61" s="9" t="n">
        <f aca="false">Assumptions!$F$83*(1+Assumptions!$F$84)^INT(W7/12)</f>
        <v>18.39875</v>
      </c>
      <c r="X61" s="9" t="n">
        <f aca="false">Assumptions!$F$83*(1+Assumptions!$F$84)^INT(X7/12)</f>
        <v>18.39875</v>
      </c>
      <c r="Y61" s="9" t="n">
        <f aca="false">Assumptions!$F$83*(1+Assumptions!$F$84)^INT(Y7/12)</f>
        <v>18.39875</v>
      </c>
      <c r="Z61" s="9" t="n">
        <f aca="false">Assumptions!$F$83*(1+Assumptions!$F$84)^INT(Z7/12)</f>
        <v>18.39875</v>
      </c>
      <c r="AA61" s="9" t="n">
        <f aca="false">Assumptions!$F$83*(1+Assumptions!$F$84)^INT(AA7/12)</f>
        <v>18.85871875</v>
      </c>
      <c r="AB61" s="9" t="n">
        <f aca="false">Assumptions!$F$83*(1+Assumptions!$F$84)^INT(AB7/12)</f>
        <v>18.85871875</v>
      </c>
      <c r="AC61" s="9" t="n">
        <f aca="false">Assumptions!$F$83*(1+Assumptions!$F$84)^INT(AC7/12)</f>
        <v>18.85871875</v>
      </c>
      <c r="AD61" s="9" t="n">
        <f aca="false">Assumptions!$F$83*(1+Assumptions!$F$84)^INT(AD7/12)</f>
        <v>18.85871875</v>
      </c>
      <c r="AE61" s="9" t="n">
        <f aca="false">Assumptions!$F$83*(1+Assumptions!$F$84)^INT(AE7/12)</f>
        <v>18.85871875</v>
      </c>
      <c r="AF61" s="9" t="n">
        <f aca="false">Assumptions!$F$83*(1+Assumptions!$F$84)^INT(AF7/12)</f>
        <v>18.85871875</v>
      </c>
      <c r="AG61" s="9" t="n">
        <f aca="false">Assumptions!$F$83*(1+Assumptions!$F$84)^INT(AG7/12)</f>
        <v>18.85871875</v>
      </c>
      <c r="AH61" s="9" t="n">
        <f aca="false">Assumptions!$F$83*(1+Assumptions!$F$84)^INT(AH7/12)</f>
        <v>18.85871875</v>
      </c>
      <c r="AI61" s="9" t="n">
        <f aca="false">Assumptions!$F$83*(1+Assumptions!$F$84)^INT(AI7/12)</f>
        <v>18.85871875</v>
      </c>
      <c r="AJ61" s="9" t="n">
        <f aca="false">Assumptions!$F$83*(1+Assumptions!$F$84)^INT(AJ7/12)</f>
        <v>18.85871875</v>
      </c>
      <c r="AK61" s="9" t="n">
        <f aca="false">Assumptions!$F$83*(1+Assumptions!$F$84)^INT(AK7/12)</f>
        <v>18.85871875</v>
      </c>
      <c r="AL61" s="9" t="n">
        <f aca="false">Assumptions!$F$83*(1+Assumptions!$F$84)^INT(AL7/12)</f>
        <v>18.85871875</v>
      </c>
      <c r="AM61" s="9" t="n">
        <f aca="false">Assumptions!$F$83*(1+Assumptions!$F$84)^INT(AM7/12)</f>
        <v>19.33018671875</v>
      </c>
      <c r="AN61" s="48" t="n">
        <f aca="false">Assumptions!$F$83*(1+Assumptions!$F$84)^INT(AN7/12)</f>
        <v>19.33018671875</v>
      </c>
      <c r="AO61" s="48" t="n">
        <f aca="false">Assumptions!$F$83*(1+Assumptions!$F$84)^INT(AO7/12)</f>
        <v>19.33018671875</v>
      </c>
      <c r="AP61" s="48" t="n">
        <f aca="false">Assumptions!$F$83*(1+Assumptions!$F$84)^INT(AP7/12)</f>
        <v>19.33018671875</v>
      </c>
      <c r="AQ61" s="48" t="n">
        <f aca="false">Assumptions!$F$83*(1+Assumptions!$F$84)^INT(AQ7/12)</f>
        <v>19.33018671875</v>
      </c>
      <c r="AR61" s="48" t="n">
        <f aca="false">Assumptions!$F$83*(1+Assumptions!$F$84)^INT(AR7/12)</f>
        <v>19.33018671875</v>
      </c>
      <c r="AS61" s="48" t="n">
        <f aca="false">Assumptions!$F$83*(1+Assumptions!$F$84)^INT(AS7/12)</f>
        <v>19.33018671875</v>
      </c>
      <c r="AT61" s="48" t="n">
        <f aca="false">Assumptions!$F$83*(1+Assumptions!$F$84)^INT(AT7/12)</f>
        <v>19.33018671875</v>
      </c>
      <c r="AU61" s="48" t="n">
        <f aca="false">Assumptions!$F$83*(1+Assumptions!$F$84)^INT(AU7/12)</f>
        <v>19.33018671875</v>
      </c>
      <c r="AV61" s="48" t="n">
        <f aca="false">Assumptions!$F$83*(1+Assumptions!$F$84)^INT(AV7/12)</f>
        <v>19.33018671875</v>
      </c>
      <c r="AW61" s="48" t="n">
        <f aca="false">Assumptions!$F$83*(1+Assumptions!$F$84)^INT(AW7/12)</f>
        <v>19.33018671875</v>
      </c>
      <c r="AX61" s="48" t="n">
        <f aca="false">Assumptions!$F$83*(1+Assumptions!$F$84)^INT(AX7/12)</f>
        <v>19.33018671875</v>
      </c>
      <c r="AY61" s="48" t="n">
        <f aca="false">Assumptions!$F$83*(1+Assumptions!$F$84)^INT(AY7/12)</f>
        <v>19.8134413867187</v>
      </c>
      <c r="AZ61" s="48" t="n">
        <f aca="false">Assumptions!$F$83*(1+Assumptions!$F$84)^INT(AZ7/12)</f>
        <v>19.8134413867187</v>
      </c>
      <c r="BA61" s="48" t="n">
        <f aca="false">Assumptions!$F$83*(1+Assumptions!$F$84)^INT(BA7/12)</f>
        <v>19.8134413867187</v>
      </c>
      <c r="BB61" s="48" t="n">
        <f aca="false">Assumptions!$F$83*(1+Assumptions!$F$84)^INT(BB7/12)</f>
        <v>19.8134413867187</v>
      </c>
      <c r="BC61" s="48" t="n">
        <f aca="false">Assumptions!$F$83*(1+Assumptions!$F$84)^INT(BC7/12)</f>
        <v>19.8134413867187</v>
      </c>
      <c r="BD61" s="48" t="n">
        <f aca="false">Assumptions!$F$83*(1+Assumptions!$F$84)^INT(BD7/12)</f>
        <v>19.8134413867187</v>
      </c>
      <c r="BE61" s="48" t="n">
        <f aca="false">Assumptions!$F$83*(1+Assumptions!$F$84)^INT(BE7/12)</f>
        <v>19.8134413867187</v>
      </c>
      <c r="BF61" s="48" t="n">
        <f aca="false">Assumptions!$F$83*(1+Assumptions!$F$84)^INT(BF7/12)</f>
        <v>19.8134413867187</v>
      </c>
      <c r="BG61" s="48" t="n">
        <f aca="false">Assumptions!$F$83*(1+Assumptions!$F$84)^INT(BG7/12)</f>
        <v>19.8134413867187</v>
      </c>
      <c r="BH61" s="48" t="n">
        <f aca="false">Assumptions!$F$83*(1+Assumptions!$F$84)^INT(BH7/12)</f>
        <v>19.8134413867187</v>
      </c>
      <c r="BI61" s="48" t="n">
        <f aca="false">Assumptions!$F$83*(1+Assumptions!$F$84)^INT(BI7/12)</f>
        <v>19.8134413867187</v>
      </c>
      <c r="BJ61" s="48" t="n">
        <f aca="false">Assumptions!$F$83*(1+Assumptions!$F$84)^INT(BJ7/12)</f>
        <v>19.8134413867187</v>
      </c>
      <c r="BK61" s="48" t="n">
        <f aca="false">Assumptions!$F$83*(1+Assumptions!$F$84)^INT(BK7/12)</f>
        <v>20.3087774213867</v>
      </c>
    </row>
    <row r="62" customFormat="false" ht="15" hidden="false" customHeight="false" outlineLevel="0" collapsed="false">
      <c r="A62" s="28" t="s">
        <v>635</v>
      </c>
      <c r="B62" s="6" t="s">
        <v>636</v>
      </c>
      <c r="C62" s="43"/>
      <c r="D62" s="17" t="n">
        <f aca="false">D11*Assumptions!$F$86*D61*(1+Assumptions!$F$85)*Assumptions!$F$91</f>
        <v>0</v>
      </c>
      <c r="E62" s="17" t="n">
        <f aca="false">E11*Assumptions!$F$86*E61*(1+Assumptions!$F$85)*Assumptions!$F$91</f>
        <v>0</v>
      </c>
      <c r="F62" s="17" t="n">
        <f aca="false">F11*Assumptions!$F$86*F61*(1+Assumptions!$F$85)*Assumptions!$F$91</f>
        <v>0</v>
      </c>
      <c r="G62" s="17" t="n">
        <f aca="false">G11*Assumptions!$F$86*G61*(1+Assumptions!$F$85)*Assumptions!$F$91</f>
        <v>0</v>
      </c>
      <c r="H62" s="17" t="n">
        <f aca="false">H11*Assumptions!$F$86*H61*(1+Assumptions!$F$85)*Assumptions!$F$91</f>
        <v>405.67</v>
      </c>
      <c r="I62" s="17" t="n">
        <f aca="false">I11*Assumptions!$F$86*I61*(1+Assumptions!$F$85)*Assumptions!$F$91</f>
        <v>356.9896</v>
      </c>
      <c r="J62" s="17" t="n">
        <f aca="false">J11*Assumptions!$F$86*J61*(1+Assumptions!$F$85)*Assumptions!$F$91</f>
        <v>243.402</v>
      </c>
      <c r="K62" s="17" t="n">
        <f aca="false">K11*Assumptions!$F$86*K61*(1+Assumptions!$F$85)*Assumptions!$F$91</f>
        <v>567.938</v>
      </c>
      <c r="L62" s="17" t="n">
        <f aca="false">L11*Assumptions!$F$86*L61*(1+Assumptions!$F$85)*Assumptions!$F$91</f>
        <v>860.0204</v>
      </c>
      <c r="M62" s="17" t="n">
        <f aca="false">M11*Assumptions!$F$86*M61*(1+Assumptions!$F$85)*Assumptions!$F$91</f>
        <v>681.5256</v>
      </c>
      <c r="N62" s="17" t="n">
        <f aca="false">N11*Assumptions!$F$86*N61*(1+Assumptions!$F$85)*Assumptions!$F$91</f>
        <v>827.5668</v>
      </c>
      <c r="O62" s="17" t="n">
        <f aca="false">O11*Assumptions!$F$86*O61*(1+Assumptions!$F$85)*Assumptions!$F$91</f>
        <v>1064.47808</v>
      </c>
      <c r="P62" s="17" t="n">
        <f aca="false">P11*Assumptions!$F$86*P61*(1+Assumptions!$F$85)*Assumptions!$F$91</f>
        <v>1230.80278</v>
      </c>
      <c r="Q62" s="17" t="n">
        <f aca="false">Q11*Assumptions!$F$86*Q61*(1+Assumptions!$F$85)*Assumptions!$F$91</f>
        <v>1313.96513</v>
      </c>
      <c r="R62" s="17" t="n">
        <f aca="false">R11*Assumptions!$F$86*R61*(1+Assumptions!$F$85)*Assumptions!$F$91</f>
        <v>1347.23007</v>
      </c>
      <c r="S62" s="17" t="n">
        <f aca="false">S11*Assumptions!$F$86*S61*(1+Assumptions!$F$85)*Assumptions!$F$91</f>
        <v>1430.39242</v>
      </c>
      <c r="T62" s="17" t="n">
        <f aca="false">T11*Assumptions!$F$86*T61*(1+Assumptions!$F$85)*Assumptions!$F$91</f>
        <v>1447.02489</v>
      </c>
      <c r="U62" s="17" t="n">
        <f aca="false">U11*Assumptions!$F$86*U61*(1+Assumptions!$F$85)*Assumptions!$F$91</f>
        <v>1463.65736</v>
      </c>
      <c r="V62" s="17" t="n">
        <f aca="false">V11*Assumptions!$F$86*V61*(1+Assumptions!$F$85)*Assumptions!$F$91</f>
        <v>1480.28983</v>
      </c>
      <c r="W62" s="17" t="n">
        <f aca="false">W11*Assumptions!$F$86*W61*(1+Assumptions!$F$85)*Assumptions!$F$91</f>
        <v>1912.73405</v>
      </c>
      <c r="X62" s="17" t="n">
        <f aca="false">X11*Assumptions!$F$86*X61*(1+Assumptions!$F$85)*Assumptions!$F$91</f>
        <v>1879.46911</v>
      </c>
      <c r="Y62" s="17" t="n">
        <f aca="false">Y11*Assumptions!$F$86*Y61*(1+Assumptions!$F$85)*Assumptions!$F$91</f>
        <v>1779.67429</v>
      </c>
      <c r="Z62" s="17" t="n">
        <f aca="false">Z11*Assumptions!$F$86*Z61*(1+Assumptions!$F$85)*Assumptions!$F$91</f>
        <v>2128.95616</v>
      </c>
      <c r="AA62" s="17" t="n">
        <f aca="false">AA11*Assumptions!$F$86*AA61*(1+Assumptions!$F$85)*Assumptions!$F$91</f>
        <v>2079.8903735</v>
      </c>
      <c r="AB62" s="17" t="n">
        <f aca="false">AB11*Assumptions!$F$86*AB61*(1+Assumptions!$F$85)*Assumptions!$F$91</f>
        <v>1960.55240125</v>
      </c>
      <c r="AC62" s="17" t="n">
        <f aca="false">AC11*Assumptions!$F$86*AC61*(1+Assumptions!$F$85)*Assumptions!$F$91</f>
        <v>2250.373191</v>
      </c>
      <c r="AD62" s="17" t="n">
        <f aca="false">AD11*Assumptions!$F$86*AD61*(1+Assumptions!$F$85)*Assumptions!$F$91</f>
        <v>2574.29054425</v>
      </c>
      <c r="AE62" s="17" t="n">
        <f aca="false">AE11*Assumptions!$F$86*AE61*(1+Assumptions!$F$85)*Assumptions!$F$91</f>
        <v>2386.759445</v>
      </c>
      <c r="AF62" s="17" t="n">
        <f aca="false">AF11*Assumptions!$F$86*AF61*(1+Assumptions!$F$85)*Assumptions!$F$91</f>
        <v>2557.2422625</v>
      </c>
      <c r="AG62" s="17" t="n">
        <f aca="false">AG11*Assumptions!$F$86*AG61*(1+Assumptions!$F$85)*Assumptions!$F$91</f>
        <v>2795.918207</v>
      </c>
      <c r="AH62" s="17" t="n">
        <f aca="false">AH11*Assumptions!$F$86*AH61*(1+Assumptions!$F$85)*Assumptions!$F$91</f>
        <v>2540.19398075</v>
      </c>
      <c r="AI62" s="17" t="n">
        <f aca="false">AI11*Assumptions!$F$86*AI61*(1+Assumptions!$F$85)*Assumptions!$F$91</f>
        <v>2676.58023475</v>
      </c>
      <c r="AJ62" s="17" t="n">
        <f aca="false">AJ11*Assumptions!$F$86*AJ61*(1+Assumptions!$F$85)*Assumptions!$F$91</f>
        <v>2847.06305225</v>
      </c>
      <c r="AK62" s="17" t="n">
        <f aca="false">AK11*Assumptions!$F$86*AK61*(1+Assumptions!$F$85)*Assumptions!$F$91</f>
        <v>3017.54586975</v>
      </c>
      <c r="AL62" s="17" t="n">
        <f aca="false">AL11*Assumptions!$F$86*AL61*(1+Assumptions!$F$85)*Assumptions!$F$91</f>
        <v>3102.7872785</v>
      </c>
      <c r="AM62" s="17" t="n">
        <f aca="false">AM11*Assumptions!$F$86*AM61*(1+Assumptions!$F$85)*Assumptions!$F$91</f>
        <v>3215.30593805</v>
      </c>
      <c r="AN62" s="44" t="n">
        <f aca="false">AN11*Assumptions!$F$86*AN61*(1+Assumptions!$F$85)*Assumptions!$F$91</f>
        <v>3302.67838201875</v>
      </c>
      <c r="AO62" s="44" t="n">
        <f aca="false">AO11*Assumptions!$F$86*AO61*(1+Assumptions!$F$85)*Assumptions!$F$91</f>
        <v>3320.1528708125</v>
      </c>
      <c r="AP62" s="44" t="n">
        <f aca="false">AP11*Assumptions!$F$86*AP61*(1+Assumptions!$F$85)*Assumptions!$F$91</f>
        <v>3337.62735960625</v>
      </c>
      <c r="AQ62" s="44" t="n">
        <f aca="false">AQ11*Assumptions!$F$86*AQ61*(1+Assumptions!$F$85)*Assumptions!$F$91</f>
        <v>3355.1018484</v>
      </c>
      <c r="AR62" s="44" t="n">
        <f aca="false">AR11*Assumptions!$F$86*AR61*(1+Assumptions!$F$85)*Assumptions!$F$91</f>
        <v>3372.57633719375</v>
      </c>
      <c r="AS62" s="44" t="n">
        <f aca="false">AS11*Assumptions!$F$86*AS61*(1+Assumptions!$F$85)*Assumptions!$F$91</f>
        <v>3390.0508259875</v>
      </c>
      <c r="AT62" s="44" t="n">
        <f aca="false">AT11*Assumptions!$F$86*AT61*(1+Assumptions!$F$85)*Assumptions!$F$91</f>
        <v>3390.0508259875</v>
      </c>
      <c r="AU62" s="44" t="n">
        <f aca="false">AU11*Assumptions!$F$86*AU61*(1+Assumptions!$F$85)*Assumptions!$F$91</f>
        <v>3407.52531478125</v>
      </c>
      <c r="AV62" s="44" t="n">
        <f aca="false">AV11*Assumptions!$F$86*AV61*(1+Assumptions!$F$85)*Assumptions!$F$91</f>
        <v>3424.999803575</v>
      </c>
      <c r="AW62" s="44" t="n">
        <f aca="false">AW11*Assumptions!$F$86*AW61*(1+Assumptions!$F$85)*Assumptions!$F$91</f>
        <v>3424.999803575</v>
      </c>
      <c r="AX62" s="44" t="n">
        <f aca="false">AX11*Assumptions!$F$86*AX61*(1+Assumptions!$F$85)*Assumptions!$F$91</f>
        <v>3442.47429236875</v>
      </c>
      <c r="AY62" s="44" t="n">
        <f aca="false">AY11*Assumptions!$F$86*AY61*(1+Assumptions!$F$85)*Assumptions!$F$91</f>
        <v>3546.44750069156</v>
      </c>
      <c r="AZ62" s="44" t="n">
        <f aca="false">AZ11*Assumptions!$F$86*AZ61*(1+Assumptions!$F$85)*Assumptions!$F$91</f>
        <v>3546.44750069156</v>
      </c>
      <c r="BA62" s="44" t="n">
        <f aca="false">BA11*Assumptions!$F$86*BA61*(1+Assumptions!$F$85)*Assumptions!$F$91</f>
        <v>3546.44750069156</v>
      </c>
      <c r="BB62" s="44" t="n">
        <f aca="false">BB11*Assumptions!$F$86*BB61*(1+Assumptions!$F$85)*Assumptions!$F$91</f>
        <v>3564.35885170516</v>
      </c>
      <c r="BC62" s="44" t="n">
        <f aca="false">BC11*Assumptions!$F$86*BC61*(1+Assumptions!$F$85)*Assumptions!$F$91</f>
        <v>3564.35885170516</v>
      </c>
      <c r="BD62" s="44" t="n">
        <f aca="false">BD11*Assumptions!$F$86*BD61*(1+Assumptions!$F$85)*Assumptions!$F$91</f>
        <v>3564.35885170516</v>
      </c>
      <c r="BE62" s="44" t="n">
        <f aca="false">BE11*Assumptions!$F$86*BE61*(1+Assumptions!$F$85)*Assumptions!$F$91</f>
        <v>3582.27020271875</v>
      </c>
      <c r="BF62" s="44" t="n">
        <f aca="false">BF11*Assumptions!$F$86*BF61*(1+Assumptions!$F$85)*Assumptions!$F$91</f>
        <v>3582.27020271875</v>
      </c>
      <c r="BG62" s="44" t="n">
        <f aca="false">BG11*Assumptions!$F$86*BG61*(1+Assumptions!$F$85)*Assumptions!$F$91</f>
        <v>3582.27020271875</v>
      </c>
      <c r="BH62" s="44" t="n">
        <f aca="false">BH11*Assumptions!$F$86*BH61*(1+Assumptions!$F$85)*Assumptions!$F$91</f>
        <v>3582.27020271875</v>
      </c>
      <c r="BI62" s="44" t="n">
        <f aca="false">BI11*Assumptions!$F$86*BI61*(1+Assumptions!$F$85)*Assumptions!$F$91</f>
        <v>3582.27020271875</v>
      </c>
      <c r="BJ62" s="44" t="n">
        <f aca="false">BJ11*Assumptions!$F$86*BJ61*(1+Assumptions!$F$85)*Assumptions!$F$91</f>
        <v>3582.27020271875</v>
      </c>
      <c r="BK62" s="44" t="n">
        <f aca="false">BK11*Assumptions!$F$86*BK61*(1+Assumptions!$F$85)*Assumptions!$F$91</f>
        <v>3671.82695778672</v>
      </c>
    </row>
    <row r="63" customFormat="false" ht="15" hidden="false" customHeight="false" outlineLevel="0" collapsed="false">
      <c r="A63" s="28" t="s">
        <v>637</v>
      </c>
      <c r="B63" s="6" t="s">
        <v>638</v>
      </c>
      <c r="C63" s="43"/>
      <c r="D63" s="17" t="n">
        <f aca="false">D14*Assumptions!$F$87*(1+Assumptions!$F$85)*Assumptions!$F$91</f>
        <v>0</v>
      </c>
      <c r="E63" s="17" t="n">
        <f aca="false">E14*Assumptions!$F$87*(1+Assumptions!$F$85)*Assumptions!$F$91</f>
        <v>0</v>
      </c>
      <c r="F63" s="17" t="n">
        <f aca="false">F14*Assumptions!$F$87*(1+Assumptions!$F$85)*Assumptions!$F$91</f>
        <v>0</v>
      </c>
      <c r="G63" s="17" t="n">
        <f aca="false">G14*Assumptions!$F$87*(1+Assumptions!$F$85)*Assumptions!$F$91</f>
        <v>0</v>
      </c>
      <c r="H63" s="17" t="n">
        <f aca="false">H14*Assumptions!$F$87*(1+Assumptions!$F$85)*Assumptions!$F$91</f>
        <v>135.6</v>
      </c>
      <c r="I63" s="17" t="n">
        <f aca="false">I14*Assumptions!$F$87*(1+Assumptions!$F$85)*Assumptions!$F$91</f>
        <v>119.328</v>
      </c>
      <c r="J63" s="17" t="n">
        <f aca="false">J14*Assumptions!$F$87*(1+Assumptions!$F$85)*Assumptions!$F$91</f>
        <v>81.36</v>
      </c>
      <c r="K63" s="17" t="n">
        <f aca="false">K14*Assumptions!$F$87*(1+Assumptions!$F$85)*Assumptions!$F$91</f>
        <v>189.84</v>
      </c>
      <c r="L63" s="17" t="n">
        <f aca="false">L14*Assumptions!$F$87*(1+Assumptions!$F$85)*Assumptions!$F$91</f>
        <v>287.472</v>
      </c>
      <c r="M63" s="17" t="n">
        <f aca="false">M14*Assumptions!$F$87*(1+Assumptions!$F$85)*Assumptions!$F$91</f>
        <v>227.808</v>
      </c>
      <c r="N63" s="17" t="n">
        <f aca="false">N14*Assumptions!$F$87*(1+Assumptions!$F$85)*Assumptions!$F$91</f>
        <v>276.624</v>
      </c>
      <c r="O63" s="17" t="n">
        <f aca="false">O14*Assumptions!$F$87*(1+Assumptions!$F$85)*Assumptions!$F$91</f>
        <v>347.136</v>
      </c>
      <c r="P63" s="17" t="n">
        <f aca="false">P14*Assumptions!$F$87*(1+Assumptions!$F$85)*Assumptions!$F$91</f>
        <v>401.376</v>
      </c>
      <c r="Q63" s="17" t="n">
        <f aca="false">Q14*Assumptions!$F$87*(1+Assumptions!$F$85)*Assumptions!$F$91</f>
        <v>428.496</v>
      </c>
      <c r="R63" s="17" t="n">
        <f aca="false">R14*Assumptions!$F$87*(1+Assumptions!$F$85)*Assumptions!$F$91</f>
        <v>439.344</v>
      </c>
      <c r="S63" s="17" t="n">
        <f aca="false">S14*Assumptions!$F$87*(1+Assumptions!$F$85)*Assumptions!$F$91</f>
        <v>466.464</v>
      </c>
      <c r="T63" s="17" t="n">
        <f aca="false">T14*Assumptions!$F$87*(1+Assumptions!$F$85)*Assumptions!$F$91</f>
        <v>471.888</v>
      </c>
      <c r="U63" s="17" t="n">
        <f aca="false">U14*Assumptions!$F$87*(1+Assumptions!$F$85)*Assumptions!$F$91</f>
        <v>477.312</v>
      </c>
      <c r="V63" s="17" t="n">
        <f aca="false">V14*Assumptions!$F$87*(1+Assumptions!$F$85)*Assumptions!$F$91</f>
        <v>482.736</v>
      </c>
      <c r="W63" s="17" t="n">
        <f aca="false">W14*Assumptions!$F$87*(1+Assumptions!$F$85)*Assumptions!$F$91</f>
        <v>623.76</v>
      </c>
      <c r="X63" s="17" t="n">
        <f aca="false">X14*Assumptions!$F$87*(1+Assumptions!$F$85)*Assumptions!$F$91</f>
        <v>612.912</v>
      </c>
      <c r="Y63" s="17" t="n">
        <f aca="false">Y14*Assumptions!$F$87*(1+Assumptions!$F$85)*Assumptions!$F$91</f>
        <v>580.368</v>
      </c>
      <c r="Z63" s="17" t="n">
        <f aca="false">Z14*Assumptions!$F$87*(1+Assumptions!$F$85)*Assumptions!$F$91</f>
        <v>694.272</v>
      </c>
      <c r="AA63" s="17" t="n">
        <f aca="false">AA14*Assumptions!$F$87*(1+Assumptions!$F$85)*Assumptions!$F$91</f>
        <v>661.728</v>
      </c>
      <c r="AB63" s="17" t="n">
        <f aca="false">AB14*Assumptions!$F$87*(1+Assumptions!$F$85)*Assumptions!$F$91</f>
        <v>623.76</v>
      </c>
      <c r="AC63" s="17" t="n">
        <f aca="false">AC14*Assumptions!$F$87*(1+Assumptions!$F$85)*Assumptions!$F$91</f>
        <v>715.968</v>
      </c>
      <c r="AD63" s="17" t="n">
        <f aca="false">AD14*Assumptions!$F$87*(1+Assumptions!$F$85)*Assumptions!$F$91</f>
        <v>819.024</v>
      </c>
      <c r="AE63" s="17" t="n">
        <f aca="false">AE14*Assumptions!$F$87*(1+Assumptions!$F$85)*Assumptions!$F$91</f>
        <v>759.36</v>
      </c>
      <c r="AF63" s="17" t="n">
        <f aca="false">AF14*Assumptions!$F$87*(1+Assumptions!$F$85)*Assumptions!$F$91</f>
        <v>813.6</v>
      </c>
      <c r="AG63" s="17" t="n">
        <f aca="false">AG14*Assumptions!$F$87*(1+Assumptions!$F$85)*Assumptions!$F$91</f>
        <v>889.536</v>
      </c>
      <c r="AH63" s="17" t="n">
        <f aca="false">AH14*Assumptions!$F$87*(1+Assumptions!$F$85)*Assumptions!$F$91</f>
        <v>808.176</v>
      </c>
      <c r="AI63" s="17" t="n">
        <f aca="false">AI14*Assumptions!$F$87*(1+Assumptions!$F$85)*Assumptions!$F$91</f>
        <v>851.568</v>
      </c>
      <c r="AJ63" s="17" t="n">
        <f aca="false">AJ14*Assumptions!$F$87*(1+Assumptions!$F$85)*Assumptions!$F$91</f>
        <v>905.808</v>
      </c>
      <c r="AK63" s="17" t="n">
        <f aca="false">AK14*Assumptions!$F$87*(1+Assumptions!$F$85)*Assumptions!$F$91</f>
        <v>960.048</v>
      </c>
      <c r="AL63" s="17" t="n">
        <f aca="false">AL14*Assumptions!$F$87*(1+Assumptions!$F$85)*Assumptions!$F$91</f>
        <v>987.168</v>
      </c>
      <c r="AM63" s="17" t="n">
        <f aca="false">AM14*Assumptions!$F$87*(1+Assumptions!$F$85)*Assumptions!$F$91</f>
        <v>998.016</v>
      </c>
      <c r="AN63" s="44" t="n">
        <f aca="false">AN14*Assumptions!$F$87*(1+Assumptions!$F$85)*Assumptions!$F$91</f>
        <v>1025.136</v>
      </c>
      <c r="AO63" s="44" t="n">
        <f aca="false">AO14*Assumptions!$F$87*(1+Assumptions!$F$85)*Assumptions!$F$91</f>
        <v>1030.56</v>
      </c>
      <c r="AP63" s="44" t="n">
        <f aca="false">AP14*Assumptions!$F$87*(1+Assumptions!$F$85)*Assumptions!$F$91</f>
        <v>1035.984</v>
      </c>
      <c r="AQ63" s="44" t="n">
        <f aca="false">AQ14*Assumptions!$F$87*(1+Assumptions!$F$85)*Assumptions!$F$91</f>
        <v>1041.408</v>
      </c>
      <c r="AR63" s="44" t="n">
        <f aca="false">AR14*Assumptions!$F$87*(1+Assumptions!$F$85)*Assumptions!$F$91</f>
        <v>1046.832</v>
      </c>
      <c r="AS63" s="44" t="n">
        <f aca="false">AS14*Assumptions!$F$87*(1+Assumptions!$F$85)*Assumptions!$F$91</f>
        <v>1052.256</v>
      </c>
      <c r="AT63" s="44" t="n">
        <f aca="false">AT14*Assumptions!$F$87*(1+Assumptions!$F$85)*Assumptions!$F$91</f>
        <v>1052.256</v>
      </c>
      <c r="AU63" s="44" t="n">
        <f aca="false">AU14*Assumptions!$F$87*(1+Assumptions!$F$85)*Assumptions!$F$91</f>
        <v>1057.68</v>
      </c>
      <c r="AV63" s="44" t="n">
        <f aca="false">AV14*Assumptions!$F$87*(1+Assumptions!$F$85)*Assumptions!$F$91</f>
        <v>1063.104</v>
      </c>
      <c r="AW63" s="44" t="n">
        <f aca="false">AW14*Assumptions!$F$87*(1+Assumptions!$F$85)*Assumptions!$F$91</f>
        <v>1063.104</v>
      </c>
      <c r="AX63" s="44" t="n">
        <f aca="false">AX14*Assumptions!$F$87*(1+Assumptions!$F$85)*Assumptions!$F$91</f>
        <v>1068.528</v>
      </c>
      <c r="AY63" s="44" t="n">
        <f aca="false">AY14*Assumptions!$F$87*(1+Assumptions!$F$85)*Assumptions!$F$91</f>
        <v>1073.952</v>
      </c>
      <c r="AZ63" s="44" t="n">
        <f aca="false">AZ14*Assumptions!$F$87*(1+Assumptions!$F$85)*Assumptions!$F$91</f>
        <v>1073.952</v>
      </c>
      <c r="BA63" s="44" t="n">
        <f aca="false">BA14*Assumptions!$F$87*(1+Assumptions!$F$85)*Assumptions!$F$91</f>
        <v>1073.952</v>
      </c>
      <c r="BB63" s="44" t="n">
        <f aca="false">BB14*Assumptions!$F$87*(1+Assumptions!$F$85)*Assumptions!$F$91</f>
        <v>1079.376</v>
      </c>
      <c r="BC63" s="44" t="n">
        <f aca="false">BC14*Assumptions!$F$87*(1+Assumptions!$F$85)*Assumptions!$F$91</f>
        <v>1079.376</v>
      </c>
      <c r="BD63" s="44" t="n">
        <f aca="false">BD14*Assumptions!$F$87*(1+Assumptions!$F$85)*Assumptions!$F$91</f>
        <v>1079.376</v>
      </c>
      <c r="BE63" s="44" t="n">
        <f aca="false">BE14*Assumptions!$F$87*(1+Assumptions!$F$85)*Assumptions!$F$91</f>
        <v>1084.8</v>
      </c>
      <c r="BF63" s="44" t="n">
        <f aca="false">BF14*Assumptions!$F$87*(1+Assumptions!$F$85)*Assumptions!$F$91</f>
        <v>1084.8</v>
      </c>
      <c r="BG63" s="44" t="n">
        <f aca="false">BG14*Assumptions!$F$87*(1+Assumptions!$F$85)*Assumptions!$F$91</f>
        <v>1084.8</v>
      </c>
      <c r="BH63" s="44" t="n">
        <f aca="false">BH14*Assumptions!$F$87*(1+Assumptions!$F$85)*Assumptions!$F$91</f>
        <v>1084.8</v>
      </c>
      <c r="BI63" s="44" t="n">
        <f aca="false">BI14*Assumptions!$F$87*(1+Assumptions!$F$85)*Assumptions!$F$91</f>
        <v>1084.8</v>
      </c>
      <c r="BJ63" s="44" t="n">
        <f aca="false">BJ14*Assumptions!$F$87*(1+Assumptions!$F$85)*Assumptions!$F$91</f>
        <v>1084.8</v>
      </c>
      <c r="BK63" s="44" t="n">
        <f aca="false">BK14*Assumptions!$F$87*(1+Assumptions!$F$85)*Assumptions!$F$91</f>
        <v>1084.8</v>
      </c>
    </row>
    <row r="64" customFormat="false" ht="15" hidden="false" customHeight="false" outlineLevel="0" collapsed="false">
      <c r="A64" s="28" t="s">
        <v>639</v>
      </c>
      <c r="B64" s="6" t="s">
        <v>640</v>
      </c>
      <c r="C64" s="43"/>
      <c r="D64" s="17" t="n">
        <f aca="false">D11*Assumptions!$F$88*Assumptions!$F$91</f>
        <v>0</v>
      </c>
      <c r="E64" s="17" t="n">
        <f aca="false">E11*Assumptions!$F$88*Assumptions!$F$91</f>
        <v>0</v>
      </c>
      <c r="F64" s="17" t="n">
        <f aca="false">F11*Assumptions!$F$88*Assumptions!$F$91</f>
        <v>0</v>
      </c>
      <c r="G64" s="17" t="n">
        <f aca="false">G11*Assumptions!$F$88*Assumptions!$F$91</f>
        <v>0</v>
      </c>
      <c r="H64" s="17" t="n">
        <f aca="false">H11*Assumptions!$F$88*Assumptions!$F$91</f>
        <v>120</v>
      </c>
      <c r="I64" s="17" t="n">
        <f aca="false">I11*Assumptions!$F$88*Assumptions!$F$91</f>
        <v>105.6</v>
      </c>
      <c r="J64" s="17" t="n">
        <f aca="false">J11*Assumptions!$F$88*Assumptions!$F$91</f>
        <v>72</v>
      </c>
      <c r="K64" s="17" t="n">
        <f aca="false">K11*Assumptions!$F$88*Assumptions!$F$91</f>
        <v>168</v>
      </c>
      <c r="L64" s="17" t="n">
        <f aca="false">L11*Assumptions!$F$88*Assumptions!$F$91</f>
        <v>254.4</v>
      </c>
      <c r="M64" s="17" t="n">
        <f aca="false">M11*Assumptions!$F$88*Assumptions!$F$91</f>
        <v>201.6</v>
      </c>
      <c r="N64" s="17" t="n">
        <f aca="false">N11*Assumptions!$F$88*Assumptions!$F$91</f>
        <v>244.8</v>
      </c>
      <c r="O64" s="17" t="n">
        <f aca="false">O11*Assumptions!$F$88*Assumptions!$F$91</f>
        <v>307.2</v>
      </c>
      <c r="P64" s="17" t="n">
        <f aca="false">P11*Assumptions!$F$88*Assumptions!$F$91</f>
        <v>355.2</v>
      </c>
      <c r="Q64" s="17" t="n">
        <f aca="false">Q11*Assumptions!$F$88*Assumptions!$F$91</f>
        <v>379.2</v>
      </c>
      <c r="R64" s="17" t="n">
        <f aca="false">R11*Assumptions!$F$88*Assumptions!$F$91</f>
        <v>388.8</v>
      </c>
      <c r="S64" s="17" t="n">
        <f aca="false">S11*Assumptions!$F$88*Assumptions!$F$91</f>
        <v>412.8</v>
      </c>
      <c r="T64" s="17" t="n">
        <f aca="false">T11*Assumptions!$F$88*Assumptions!$F$91</f>
        <v>417.6</v>
      </c>
      <c r="U64" s="17" t="n">
        <f aca="false">U11*Assumptions!$F$88*Assumptions!$F$91</f>
        <v>422.4</v>
      </c>
      <c r="V64" s="17" t="n">
        <f aca="false">V11*Assumptions!$F$88*Assumptions!$F$91</f>
        <v>427.2</v>
      </c>
      <c r="W64" s="17" t="n">
        <f aca="false">W11*Assumptions!$F$88*Assumptions!$F$91</f>
        <v>552</v>
      </c>
      <c r="X64" s="17" t="n">
        <f aca="false">X11*Assumptions!$F$88*Assumptions!$F$91</f>
        <v>542.4</v>
      </c>
      <c r="Y64" s="17" t="n">
        <f aca="false">Y11*Assumptions!$F$88*Assumptions!$F$91</f>
        <v>513.6</v>
      </c>
      <c r="Z64" s="17" t="n">
        <f aca="false">Z11*Assumptions!$F$88*Assumptions!$F$91</f>
        <v>614.4</v>
      </c>
      <c r="AA64" s="17" t="n">
        <f aca="false">AA11*Assumptions!$F$88*Assumptions!$F$91</f>
        <v>585.6</v>
      </c>
      <c r="AB64" s="17" t="n">
        <f aca="false">AB11*Assumptions!$F$88*Assumptions!$F$91</f>
        <v>552</v>
      </c>
      <c r="AC64" s="17" t="n">
        <f aca="false">AC11*Assumptions!$F$88*Assumptions!$F$91</f>
        <v>633.6</v>
      </c>
      <c r="AD64" s="17" t="n">
        <f aca="false">AD11*Assumptions!$F$88*Assumptions!$F$91</f>
        <v>724.8</v>
      </c>
      <c r="AE64" s="17" t="n">
        <f aca="false">AE11*Assumptions!$F$88*Assumptions!$F$91</f>
        <v>672</v>
      </c>
      <c r="AF64" s="17" t="n">
        <f aca="false">AF11*Assumptions!$F$88*Assumptions!$F$91</f>
        <v>720</v>
      </c>
      <c r="AG64" s="17" t="n">
        <f aca="false">AG11*Assumptions!$F$88*Assumptions!$F$91</f>
        <v>787.2</v>
      </c>
      <c r="AH64" s="17" t="n">
        <f aca="false">AH11*Assumptions!$F$88*Assumptions!$F$91</f>
        <v>715.2</v>
      </c>
      <c r="AI64" s="17" t="n">
        <f aca="false">AI11*Assumptions!$F$88*Assumptions!$F$91</f>
        <v>753.6</v>
      </c>
      <c r="AJ64" s="17" t="n">
        <f aca="false">AJ11*Assumptions!$F$88*Assumptions!$F$91</f>
        <v>801.6</v>
      </c>
      <c r="AK64" s="17" t="n">
        <f aca="false">AK11*Assumptions!$F$88*Assumptions!$F$91</f>
        <v>849.6</v>
      </c>
      <c r="AL64" s="17" t="n">
        <f aca="false">AL11*Assumptions!$F$88*Assumptions!$F$91</f>
        <v>873.6</v>
      </c>
      <c r="AM64" s="17" t="n">
        <f aca="false">AM11*Assumptions!$F$88*Assumptions!$F$91</f>
        <v>883.2</v>
      </c>
      <c r="AN64" s="44" t="n">
        <f aca="false">AN11*Assumptions!$F$88*Assumptions!$F$91</f>
        <v>907.2</v>
      </c>
      <c r="AO64" s="44" t="n">
        <f aca="false">AO11*Assumptions!$F$88*Assumptions!$F$91</f>
        <v>912</v>
      </c>
      <c r="AP64" s="44" t="n">
        <f aca="false">AP11*Assumptions!$F$88*Assumptions!$F$91</f>
        <v>916.8</v>
      </c>
      <c r="AQ64" s="44" t="n">
        <f aca="false">AQ11*Assumptions!$F$88*Assumptions!$F$91</f>
        <v>921.6</v>
      </c>
      <c r="AR64" s="44" t="n">
        <f aca="false">AR11*Assumptions!$F$88*Assumptions!$F$91</f>
        <v>926.4</v>
      </c>
      <c r="AS64" s="44" t="n">
        <f aca="false">AS11*Assumptions!$F$88*Assumptions!$F$91</f>
        <v>931.2</v>
      </c>
      <c r="AT64" s="44" t="n">
        <f aca="false">AT11*Assumptions!$F$88*Assumptions!$F$91</f>
        <v>931.2</v>
      </c>
      <c r="AU64" s="44" t="n">
        <f aca="false">AU11*Assumptions!$F$88*Assumptions!$F$91</f>
        <v>936</v>
      </c>
      <c r="AV64" s="44" t="n">
        <f aca="false">AV11*Assumptions!$F$88*Assumptions!$F$91</f>
        <v>940.8</v>
      </c>
      <c r="AW64" s="44" t="n">
        <f aca="false">AW11*Assumptions!$F$88*Assumptions!$F$91</f>
        <v>940.8</v>
      </c>
      <c r="AX64" s="44" t="n">
        <f aca="false">AX11*Assumptions!$F$88*Assumptions!$F$91</f>
        <v>945.6</v>
      </c>
      <c r="AY64" s="44" t="n">
        <f aca="false">AY11*Assumptions!$F$88*Assumptions!$F$91</f>
        <v>950.4</v>
      </c>
      <c r="AZ64" s="44" t="n">
        <f aca="false">AZ11*Assumptions!$F$88*Assumptions!$F$91</f>
        <v>950.4</v>
      </c>
      <c r="BA64" s="44" t="n">
        <f aca="false">BA11*Assumptions!$F$88*Assumptions!$F$91</f>
        <v>950.4</v>
      </c>
      <c r="BB64" s="44" t="n">
        <f aca="false">BB11*Assumptions!$F$88*Assumptions!$F$91</f>
        <v>955.2</v>
      </c>
      <c r="BC64" s="44" t="n">
        <f aca="false">BC11*Assumptions!$F$88*Assumptions!$F$91</f>
        <v>955.2</v>
      </c>
      <c r="BD64" s="44" t="n">
        <f aca="false">BD11*Assumptions!$F$88*Assumptions!$F$91</f>
        <v>955.2</v>
      </c>
      <c r="BE64" s="44" t="n">
        <f aca="false">BE11*Assumptions!$F$88*Assumptions!$F$91</f>
        <v>960</v>
      </c>
      <c r="BF64" s="44" t="n">
        <f aca="false">BF11*Assumptions!$F$88*Assumptions!$F$91</f>
        <v>960</v>
      </c>
      <c r="BG64" s="44" t="n">
        <f aca="false">BG11*Assumptions!$F$88*Assumptions!$F$91</f>
        <v>960</v>
      </c>
      <c r="BH64" s="44" t="n">
        <f aca="false">BH11*Assumptions!$F$88*Assumptions!$F$91</f>
        <v>960</v>
      </c>
      <c r="BI64" s="44" t="n">
        <f aca="false">BI11*Assumptions!$F$88*Assumptions!$F$91</f>
        <v>960</v>
      </c>
      <c r="BJ64" s="44" t="n">
        <f aca="false">BJ11*Assumptions!$F$88*Assumptions!$F$91</f>
        <v>960</v>
      </c>
      <c r="BK64" s="44" t="n">
        <f aca="false">BK11*Assumptions!$F$88*Assumptions!$F$91</f>
        <v>960</v>
      </c>
    </row>
    <row r="65" customFormat="false" ht="15" hidden="false" customHeight="false" outlineLevel="0" collapsed="false">
      <c r="A65" s="28" t="s">
        <v>641</v>
      </c>
      <c r="B65" s="6" t="s">
        <v>642</v>
      </c>
      <c r="C65" s="43"/>
      <c r="D65" s="17" t="n">
        <f aca="false">D8*Assumptions!$F$89*Assumptions!$F$91</f>
        <v>0</v>
      </c>
      <c r="E65" s="17" t="n">
        <f aca="false">E8*Assumptions!$F$89*Assumptions!$F$91</f>
        <v>0</v>
      </c>
      <c r="F65" s="17" t="n">
        <f aca="false">F8*Assumptions!$F$89*Assumptions!$F$91</f>
        <v>0</v>
      </c>
      <c r="G65" s="17" t="n">
        <f aca="false">G8*Assumptions!$F$89*Assumptions!$F$91</f>
        <v>0</v>
      </c>
      <c r="H65" s="17" t="n">
        <f aca="false">H8*Assumptions!$F$89*Assumptions!$F$91</f>
        <v>750</v>
      </c>
      <c r="I65" s="17" t="n">
        <f aca="false">I8*Assumptions!$F$89*Assumptions!$F$91</f>
        <v>0</v>
      </c>
      <c r="J65" s="17" t="n">
        <f aca="false">J8*Assumptions!$F$89*Assumptions!$F$91</f>
        <v>0</v>
      </c>
      <c r="K65" s="17" t="n">
        <f aca="false">K8*Assumptions!$F$89*Assumptions!$F$91</f>
        <v>750</v>
      </c>
      <c r="L65" s="17" t="n">
        <f aca="false">L8*Assumptions!$F$89*Assumptions!$F$91</f>
        <v>750</v>
      </c>
      <c r="M65" s="17" t="n">
        <f aca="false">M8*Assumptions!$F$89*Assumptions!$F$91</f>
        <v>0</v>
      </c>
      <c r="N65" s="17" t="n">
        <f aca="false">N8*Assumptions!$F$89*Assumptions!$F$91</f>
        <v>750</v>
      </c>
      <c r="O65" s="17" t="n">
        <f aca="false">O8*Assumptions!$F$89*Assumptions!$F$91</f>
        <v>750</v>
      </c>
      <c r="P65" s="17" t="n">
        <f aca="false">P8*Assumptions!$F$89*Assumptions!$F$91</f>
        <v>750</v>
      </c>
      <c r="Q65" s="17" t="n">
        <f aca="false">Q8*Assumptions!$F$89*Assumptions!$F$91</f>
        <v>750</v>
      </c>
      <c r="R65" s="17" t="n">
        <f aca="false">R8*Assumptions!$F$89*Assumptions!$F$91</f>
        <v>750</v>
      </c>
      <c r="S65" s="17" t="n">
        <f aca="false">S8*Assumptions!$F$89*Assumptions!$F$91</f>
        <v>750</v>
      </c>
      <c r="T65" s="17" t="n">
        <f aca="false">T8*Assumptions!$F$89*Assumptions!$F$91</f>
        <v>750</v>
      </c>
      <c r="U65" s="17" t="n">
        <f aca="false">U8*Assumptions!$F$89*Assumptions!$F$91</f>
        <v>750</v>
      </c>
      <c r="V65" s="17" t="n">
        <f aca="false">V8*Assumptions!$F$89*Assumptions!$F$91</f>
        <v>750</v>
      </c>
      <c r="W65" s="17" t="n">
        <f aca="false">W8*Assumptions!$F$89*Assumptions!$F$91</f>
        <v>1500</v>
      </c>
      <c r="X65" s="17" t="n">
        <f aca="false">X8*Assumptions!$F$89*Assumptions!$F$91</f>
        <v>750</v>
      </c>
      <c r="Y65" s="17" t="n">
        <f aca="false">Y8*Assumptions!$F$89*Assumptions!$F$91</f>
        <v>750</v>
      </c>
      <c r="Z65" s="17" t="n">
        <f aca="false">Z8*Assumptions!$F$89*Assumptions!$F$91</f>
        <v>1500</v>
      </c>
      <c r="AA65" s="17" t="n">
        <f aca="false">AA8*Assumptions!$F$89*Assumptions!$F$91</f>
        <v>750</v>
      </c>
      <c r="AB65" s="17" t="n">
        <f aca="false">AB8*Assumptions!$F$89*Assumptions!$F$91</f>
        <v>750</v>
      </c>
      <c r="AC65" s="17" t="n">
        <f aca="false">AC8*Assumptions!$F$89*Assumptions!$F$91</f>
        <v>1500</v>
      </c>
      <c r="AD65" s="17" t="n">
        <f aca="false">AD8*Assumptions!$F$89*Assumptions!$F$91</f>
        <v>1500</v>
      </c>
      <c r="AE65" s="17" t="n">
        <f aca="false">AE8*Assumptions!$F$89*Assumptions!$F$91</f>
        <v>750</v>
      </c>
      <c r="AF65" s="17" t="n">
        <f aca="false">AF8*Assumptions!$F$89*Assumptions!$F$91</f>
        <v>1500</v>
      </c>
      <c r="AG65" s="17" t="n">
        <f aca="false">AG8*Assumptions!$F$89*Assumptions!$F$91</f>
        <v>1500</v>
      </c>
      <c r="AH65" s="17" t="n">
        <f aca="false">AH8*Assumptions!$F$89*Assumptions!$F$91</f>
        <v>750</v>
      </c>
      <c r="AI65" s="17" t="n">
        <f aca="false">AI8*Assumptions!$F$89*Assumptions!$F$91</f>
        <v>1500</v>
      </c>
      <c r="AJ65" s="17" t="n">
        <f aca="false">AJ8*Assumptions!$F$89*Assumptions!$F$91</f>
        <v>1500</v>
      </c>
      <c r="AK65" s="17" t="n">
        <f aca="false">AK8*Assumptions!$F$89*Assumptions!$F$91</f>
        <v>1500</v>
      </c>
      <c r="AL65" s="17" t="n">
        <f aca="false">AL8*Assumptions!$F$89*Assumptions!$F$91</f>
        <v>1500</v>
      </c>
      <c r="AM65" s="17" t="n">
        <f aca="false">AM8*Assumptions!$F$89*Assumptions!$F$91</f>
        <v>1500</v>
      </c>
      <c r="AN65" s="44" t="n">
        <f aca="false">AN8*Assumptions!$F$89*Assumptions!$F$91</f>
        <v>1500</v>
      </c>
      <c r="AO65" s="44" t="n">
        <f aca="false">AO8*Assumptions!$F$89*Assumptions!$F$91</f>
        <v>1500</v>
      </c>
      <c r="AP65" s="44" t="n">
        <f aca="false">AP8*Assumptions!$F$89*Assumptions!$F$91</f>
        <v>1500</v>
      </c>
      <c r="AQ65" s="44" t="n">
        <f aca="false">AQ8*Assumptions!$F$89*Assumptions!$F$91</f>
        <v>1500</v>
      </c>
      <c r="AR65" s="44" t="n">
        <f aca="false">AR8*Assumptions!$F$89*Assumptions!$F$91</f>
        <v>1500</v>
      </c>
      <c r="AS65" s="44" t="n">
        <f aca="false">AS8*Assumptions!$F$89*Assumptions!$F$91</f>
        <v>1500</v>
      </c>
      <c r="AT65" s="44" t="n">
        <f aca="false">AT8*Assumptions!$F$89*Assumptions!$F$91</f>
        <v>1500</v>
      </c>
      <c r="AU65" s="44" t="n">
        <f aca="false">AU8*Assumptions!$F$89*Assumptions!$F$91</f>
        <v>1500</v>
      </c>
      <c r="AV65" s="44" t="n">
        <f aca="false">AV8*Assumptions!$F$89*Assumptions!$F$91</f>
        <v>1500</v>
      </c>
      <c r="AW65" s="44" t="n">
        <f aca="false">AW8*Assumptions!$F$89*Assumptions!$F$91</f>
        <v>1500</v>
      </c>
      <c r="AX65" s="44" t="n">
        <f aca="false">AX8*Assumptions!$F$89*Assumptions!$F$91</f>
        <v>1500</v>
      </c>
      <c r="AY65" s="44" t="n">
        <f aca="false">AY8*Assumptions!$F$89*Assumptions!$F$91</f>
        <v>1500</v>
      </c>
      <c r="AZ65" s="44" t="n">
        <f aca="false">AZ8*Assumptions!$F$89*Assumptions!$F$91</f>
        <v>1500</v>
      </c>
      <c r="BA65" s="44" t="n">
        <f aca="false">BA8*Assumptions!$F$89*Assumptions!$F$91</f>
        <v>1500</v>
      </c>
      <c r="BB65" s="44" t="n">
        <f aca="false">BB8*Assumptions!$F$89*Assumptions!$F$91</f>
        <v>1500</v>
      </c>
      <c r="BC65" s="44" t="n">
        <f aca="false">BC8*Assumptions!$F$89*Assumptions!$F$91</f>
        <v>1500</v>
      </c>
      <c r="BD65" s="44" t="n">
        <f aca="false">BD8*Assumptions!$F$89*Assumptions!$F$91</f>
        <v>1500</v>
      </c>
      <c r="BE65" s="44" t="n">
        <f aca="false">BE8*Assumptions!$F$89*Assumptions!$F$91</f>
        <v>1500</v>
      </c>
      <c r="BF65" s="44" t="n">
        <f aca="false">BF8*Assumptions!$F$89*Assumptions!$F$91</f>
        <v>1500</v>
      </c>
      <c r="BG65" s="44" t="n">
        <f aca="false">BG8*Assumptions!$F$89*Assumptions!$F$91</f>
        <v>1500</v>
      </c>
      <c r="BH65" s="44" t="n">
        <f aca="false">BH8*Assumptions!$F$89*Assumptions!$F$91</f>
        <v>1500</v>
      </c>
      <c r="BI65" s="44" t="n">
        <f aca="false">BI8*Assumptions!$F$89*Assumptions!$F$91</f>
        <v>1500</v>
      </c>
      <c r="BJ65" s="44" t="n">
        <f aca="false">BJ8*Assumptions!$F$89*Assumptions!$F$91</f>
        <v>1500</v>
      </c>
      <c r="BK65" s="44" t="n">
        <f aca="false">BK8*Assumptions!$F$89*Assumptions!$F$91</f>
        <v>1500</v>
      </c>
    </row>
    <row r="66" customFormat="false" ht="15" hidden="false" customHeight="false" outlineLevel="0" collapsed="false">
      <c r="A66" s="28" t="s">
        <v>643</v>
      </c>
      <c r="B66" s="6" t="s">
        <v>644</v>
      </c>
      <c r="C66" s="43"/>
      <c r="D66" s="17" t="n">
        <f aca="false">D35*Assumptions!$F$90*Assumptions!$F$91</f>
        <v>0</v>
      </c>
      <c r="E66" s="17" t="n">
        <f aca="false">E35*Assumptions!$F$90*Assumptions!$F$91</f>
        <v>0</v>
      </c>
      <c r="F66" s="17" t="n">
        <f aca="false">F35*Assumptions!$F$90*Assumptions!$F$91</f>
        <v>0</v>
      </c>
      <c r="G66" s="17" t="n">
        <f aca="false">G35*Assumptions!$F$90*Assumptions!$F$91</f>
        <v>0</v>
      </c>
      <c r="H66" s="17" t="n">
        <f aca="false">H35*Assumptions!$F$90*Assumptions!$F$91</f>
        <v>0</v>
      </c>
      <c r="I66" s="17" t="n">
        <f aca="false">I35*Assumptions!$F$90*Assumptions!$F$91</f>
        <v>0</v>
      </c>
      <c r="J66" s="17" t="n">
        <f aca="false">J35*Assumptions!$F$90*Assumptions!$F$91</f>
        <v>0</v>
      </c>
      <c r="K66" s="17" t="n">
        <f aca="false">K35*Assumptions!$F$90*Assumptions!$F$91</f>
        <v>0</v>
      </c>
      <c r="L66" s="17" t="n">
        <f aca="false">L35*Assumptions!$F$90*Assumptions!$F$91</f>
        <v>0</v>
      </c>
      <c r="M66" s="17" t="n">
        <f aca="false">M35*Assumptions!$F$90*Assumptions!$F$91</f>
        <v>0</v>
      </c>
      <c r="N66" s="17" t="n">
        <f aca="false">N35*Assumptions!$F$90*Assumptions!$F$91</f>
        <v>18.7713217498972</v>
      </c>
      <c r="O66" s="17" t="n">
        <f aca="false">O35*Assumptions!$F$90*Assumptions!$F$91</f>
        <v>22.8285301637264</v>
      </c>
      <c r="P66" s="17" t="n">
        <f aca="false">P35*Assumptions!$F$90*Assumptions!$F$91</f>
        <v>27.4676979838359</v>
      </c>
      <c r="Q66" s="17" t="n">
        <f aca="false">Q35*Assumptions!$F$90*Assumptions!$F$91</f>
        <v>32.2579421158152</v>
      </c>
      <c r="R66" s="17" t="n">
        <f aca="false">R35*Assumptions!$F$90*Assumptions!$F$91</f>
        <v>36.9531320516631</v>
      </c>
      <c r="S66" s="17" t="n">
        <f aca="false">S35*Assumptions!$F$90*Assumptions!$F$91</f>
        <v>104.501037982071</v>
      </c>
      <c r="T66" s="17" t="n">
        <f aca="false">T35*Assumptions!$F$90*Assumptions!$F$91</f>
        <v>116.501788776502</v>
      </c>
      <c r="U66" s="17" t="n">
        <f aca="false">U35*Assumptions!$F$90*Assumptions!$F$91</f>
        <v>128.240216793961</v>
      </c>
      <c r="V66" s="17" t="n">
        <f aca="false">V35*Assumptions!$F$90*Assumptions!$F$91</f>
        <v>139.732058258205</v>
      </c>
      <c r="W66" s="17" t="n">
        <f aca="false">W35*Assumptions!$F$90*Assumptions!$F$91</f>
        <v>155.645118223173</v>
      </c>
      <c r="X66" s="17" t="n">
        <f aca="false">X35*Assumptions!$F$90*Assumptions!$F$91</f>
        <v>170.587758095934</v>
      </c>
      <c r="Y66" s="17" t="n">
        <f aca="false">Y35*Assumptions!$F$90*Assumptions!$F$91</f>
        <v>183.86244346875</v>
      </c>
      <c r="Z66" s="17" t="n">
        <f aca="false">Z35*Assumptions!$F$90*Assumptions!$F$91</f>
        <v>200.569700449526</v>
      </c>
      <c r="AA66" s="17" t="n">
        <f aca="false">AA35*Assumptions!$F$90*Assumptions!$F$91</f>
        <v>215.545576483663</v>
      </c>
      <c r="AB66" s="17" t="n">
        <f aca="false">AB35*Assumptions!$F$90*Assumptions!$F$91</f>
        <v>228.682393272905</v>
      </c>
      <c r="AC66" s="17" t="n">
        <f aca="false">AC35*Assumptions!$F$90*Assumptions!$F$91</f>
        <v>244.528777033266</v>
      </c>
      <c r="AD66" s="17" t="n">
        <f aca="false">AD35*Assumptions!$F$90*Assumptions!$F$91</f>
        <v>263.347755263701</v>
      </c>
      <c r="AE66" s="17" t="n">
        <f aca="false">AE35*Assumptions!$F$90*Assumptions!$F$91</f>
        <v>279.436866577428</v>
      </c>
      <c r="AF66" s="17" t="n">
        <f aca="false">AF35*Assumptions!$F$90*Assumptions!$F$91</f>
        <v>296.825157944195</v>
      </c>
      <c r="AG66" s="17" t="n">
        <f aca="false">AG35*Assumptions!$F$90*Assumptions!$F$91</f>
        <v>316.207767536499</v>
      </c>
      <c r="AH66" s="17" t="n">
        <f aca="false">AH35*Assumptions!$F$90*Assumptions!$F$91</f>
        <v>332.109347480556</v>
      </c>
      <c r="AI66" s="17" t="n">
        <f aca="false">AI35*Assumptions!$F$90*Assumptions!$F$91</f>
        <v>348.962140559551</v>
      </c>
      <c r="AJ66" s="17" t="n">
        <f aca="false">AJ35*Assumptions!$F$90*Assumptions!$F$91</f>
        <v>367.102763092035</v>
      </c>
      <c r="AK66" s="17" t="n">
        <f aca="false">AK35*Assumptions!$F$90*Assumptions!$F$91</f>
        <v>386.481942999088</v>
      </c>
      <c r="AL66" s="17" t="n">
        <f aca="false">AL35*Assumptions!$F$90*Assumptions!$F$91</f>
        <v>406.122414905826</v>
      </c>
      <c r="AM66" s="17" t="n">
        <f aca="false">AM35*Assumptions!$F$90*Assumptions!$F$91</f>
        <v>425.460414767241</v>
      </c>
      <c r="AN66" s="44" t="n">
        <f aca="false">AN35*Assumptions!$F$90*Assumptions!$F$91</f>
        <v>445.072347478654</v>
      </c>
      <c r="AO66" s="44" t="n">
        <f aca="false">AO35*Assumptions!$F$90*Assumptions!$F$91</f>
        <v>464.207332882341</v>
      </c>
      <c r="AP66" s="44" t="n">
        <f aca="false">AP35*Assumptions!$F$90*Assumptions!$F$91</f>
        <v>482.890242169622</v>
      </c>
      <c r="AQ66" s="44" t="n">
        <f aca="false">AQ35*Assumptions!$F$90*Assumptions!$F$91</f>
        <v>501.144434209971</v>
      </c>
      <c r="AR66" s="44" t="n">
        <f aca="false">AR35*Assumptions!$F$90*Assumptions!$F$91</f>
        <v>518.991853873071</v>
      </c>
      <c r="AS66" s="44" t="n">
        <f aca="false">AS35*Assumptions!$F$90*Assumptions!$F$91</f>
        <v>536.453123733627</v>
      </c>
      <c r="AT66" s="44" t="n">
        <f aca="false">AT35*Assumptions!$F$90*Assumptions!$F$91</f>
        <v>553.361506462924</v>
      </c>
      <c r="AU66" s="44" t="n">
        <f aca="false">AU35*Assumptions!$F$90*Assumptions!$F$91</f>
        <v>569.929113044756</v>
      </c>
      <c r="AV66" s="44" t="n">
        <f aca="false">AV35*Assumptions!$F$90*Assumptions!$F$91</f>
        <v>586.172658755162</v>
      </c>
      <c r="AW66" s="44" t="n">
        <f aca="false">AW35*Assumptions!$F$90*Assumptions!$F$91</f>
        <v>601.921749832712</v>
      </c>
      <c r="AX66" s="44" t="n">
        <f aca="false">AX35*Assumptions!$F$90*Assumptions!$F$91</f>
        <v>617.385074931177</v>
      </c>
      <c r="AY66" s="44" t="n">
        <f aca="false">AY35*Assumptions!$F$90*Assumptions!$F$91</f>
        <v>632.576145482868</v>
      </c>
      <c r="AZ66" s="44" t="n">
        <f aca="false">AZ35*Assumptions!$F$90*Assumptions!$F$91</f>
        <v>647.321567819905</v>
      </c>
      <c r="BA66" s="44" t="n">
        <f aca="false">BA35*Assumptions!$F$90*Assumptions!$F$91</f>
        <v>661.64109792005</v>
      </c>
      <c r="BB66" s="44" t="n">
        <f aca="false">BB35*Assumptions!$F$90*Assumptions!$F$91</f>
        <v>675.739497551197</v>
      </c>
      <c r="BC66" s="44" t="n">
        <f aca="false">BC35*Assumptions!$F$90*Assumptions!$F$91</f>
        <v>689.440476143301</v>
      </c>
      <c r="BD66" s="44" t="n">
        <f aca="false">BD35*Assumptions!$F$90*Assumptions!$F$91</f>
        <v>702.761074906232</v>
      </c>
      <c r="BE66" s="44" t="n">
        <f aca="false">BE35*Assumptions!$F$90*Assumptions!$F$91</f>
        <v>715.903510948779</v>
      </c>
      <c r="BF66" s="44" t="n">
        <f aca="false">BF35*Assumptions!$F$90*Assumptions!$F$91</f>
        <v>728.689107941401</v>
      </c>
      <c r="BG66" s="44" t="n">
        <f aca="false">BG35*Assumptions!$F$90*Assumptions!$F$91</f>
        <v>741.132669785107</v>
      </c>
      <c r="BH66" s="44" t="n">
        <f aca="false">BH35*Assumptions!$F$90*Assumptions!$F$91</f>
        <v>753.248191837969</v>
      </c>
      <c r="BI66" s="44" t="n">
        <f aca="false">BI35*Assumptions!$F$90*Assumptions!$F$91</f>
        <v>765.048910907875</v>
      </c>
      <c r="BJ66" s="44" t="n">
        <f aca="false">BJ35*Assumptions!$F$90*Assumptions!$F$91</f>
        <v>776.54735197397</v>
      </c>
      <c r="BK66" s="44" t="n">
        <f aca="false">BK35*Assumptions!$F$90*Assumptions!$F$91</f>
        <v>787.75537185762</v>
      </c>
    </row>
    <row r="67" customFormat="false" ht="15" hidden="false" customHeight="false" outlineLevel="0" collapsed="false">
      <c r="A67" s="28" t="s">
        <v>645</v>
      </c>
      <c r="B67" s="5" t="s">
        <v>646</v>
      </c>
      <c r="C67" s="43"/>
      <c r="D67" s="45" t="n">
        <f aca="false">D62+D63+D64+D65+D66</f>
        <v>0</v>
      </c>
      <c r="E67" s="45" t="n">
        <f aca="false">E62+E63+E64+E65+E66</f>
        <v>0</v>
      </c>
      <c r="F67" s="45" t="n">
        <f aca="false">F62+F63+F64+F65+F66</f>
        <v>0</v>
      </c>
      <c r="G67" s="45" t="n">
        <f aca="false">G62+G63+G64+G65+G66</f>
        <v>0</v>
      </c>
      <c r="H67" s="45" t="n">
        <f aca="false">H62+H63+H64+H65+H66</f>
        <v>1411.27</v>
      </c>
      <c r="I67" s="45" t="n">
        <f aca="false">I62+I63+I64+I65+I66</f>
        <v>581.9176</v>
      </c>
      <c r="J67" s="45" t="n">
        <f aca="false">J62+J63+J64+J65+J66</f>
        <v>396.762</v>
      </c>
      <c r="K67" s="45" t="n">
        <f aca="false">K62+K63+K64+K65+K66</f>
        <v>1675.778</v>
      </c>
      <c r="L67" s="45" t="n">
        <f aca="false">L62+L63+L64+L65+L66</f>
        <v>2151.8924</v>
      </c>
      <c r="M67" s="45" t="n">
        <f aca="false">M62+M63+M64+M65+M66</f>
        <v>1110.9336</v>
      </c>
      <c r="N67" s="45" t="n">
        <f aca="false">N62+N63+N64+N65+N66</f>
        <v>2117.7621217499</v>
      </c>
      <c r="O67" s="45" t="n">
        <f aca="false">O62+O63+O64+O65+O66</f>
        <v>2491.64261016373</v>
      </c>
      <c r="P67" s="45" t="n">
        <f aca="false">P62+P63+P64+P65+P66</f>
        <v>2764.84647798384</v>
      </c>
      <c r="Q67" s="45" t="n">
        <f aca="false">Q62+Q63+Q64+Q65+Q66</f>
        <v>2903.91907211581</v>
      </c>
      <c r="R67" s="45" t="n">
        <f aca="false">R62+R63+R64+R65+R66</f>
        <v>2962.32720205166</v>
      </c>
      <c r="S67" s="45" t="n">
        <f aca="false">S62+S63+S64+S65+S66</f>
        <v>3164.15745798207</v>
      </c>
      <c r="T67" s="45" t="n">
        <f aca="false">T62+T63+T64+T65+T66</f>
        <v>3203.0146787765</v>
      </c>
      <c r="U67" s="45" t="n">
        <f aca="false">U62+U63+U64+U65+U66</f>
        <v>3241.60957679396</v>
      </c>
      <c r="V67" s="45" t="n">
        <f aca="false">V62+V63+V64+V65+V66</f>
        <v>3279.95788825821</v>
      </c>
      <c r="W67" s="45" t="n">
        <f aca="false">W62+W63+W64+W65+W66</f>
        <v>4744.13916822317</v>
      </c>
      <c r="X67" s="45" t="n">
        <f aca="false">X62+X63+X64+X65+X66</f>
        <v>3955.36886809593</v>
      </c>
      <c r="Y67" s="45" t="n">
        <f aca="false">Y62+Y63+Y64+Y65+Y66</f>
        <v>3807.50473346875</v>
      </c>
      <c r="Z67" s="45" t="n">
        <f aca="false">Z62+Z63+Z64+Z65+Z66</f>
        <v>5138.19786044953</v>
      </c>
      <c r="AA67" s="45" t="n">
        <f aca="false">AA62+AA63+AA64+AA65+AA66</f>
        <v>4292.76394998366</v>
      </c>
      <c r="AB67" s="45" t="n">
        <f aca="false">AB62+AB63+AB64+AB65+AB66</f>
        <v>4114.9947945229</v>
      </c>
      <c r="AC67" s="45" t="n">
        <f aca="false">AC62+AC63+AC64+AC65+AC66</f>
        <v>5344.46996803327</v>
      </c>
      <c r="AD67" s="45" t="n">
        <f aca="false">AD62+AD63+AD64+AD65+AD66</f>
        <v>5881.4622995137</v>
      </c>
      <c r="AE67" s="45" t="n">
        <f aca="false">AE62+AE63+AE64+AE65+AE66</f>
        <v>4847.55631157743</v>
      </c>
      <c r="AF67" s="45" t="n">
        <f aca="false">AF62+AF63+AF64+AF65+AF66</f>
        <v>5887.66742044419</v>
      </c>
      <c r="AG67" s="45" t="n">
        <f aca="false">AG62+AG63+AG64+AG65+AG66</f>
        <v>6288.8619745365</v>
      </c>
      <c r="AH67" s="45" t="n">
        <f aca="false">AH62+AH63+AH64+AH65+AH66</f>
        <v>5145.67932823056</v>
      </c>
      <c r="AI67" s="45" t="n">
        <f aca="false">AI62+AI63+AI64+AI65+AI66</f>
        <v>6130.71037530955</v>
      </c>
      <c r="AJ67" s="45" t="n">
        <f aca="false">AJ62+AJ63+AJ64+AJ65+AJ66</f>
        <v>6421.57381534203</v>
      </c>
      <c r="AK67" s="45" t="n">
        <f aca="false">AK62+AK63+AK64+AK65+AK66</f>
        <v>6713.67581274909</v>
      </c>
      <c r="AL67" s="45" t="n">
        <f aca="false">AL62+AL63+AL64+AL65+AL66</f>
        <v>6869.67769340583</v>
      </c>
      <c r="AM67" s="45" t="n">
        <f aca="false">AM62+AM63+AM64+AM65+AM66</f>
        <v>7021.98235281724</v>
      </c>
      <c r="AN67" s="46" t="n">
        <f aca="false">AN62+AN63+AN64+AN65+AN66</f>
        <v>7180.0867294974</v>
      </c>
      <c r="AO67" s="46" t="n">
        <f aca="false">AO62+AO63+AO64+AO65+AO66</f>
        <v>7226.92020369484</v>
      </c>
      <c r="AP67" s="46" t="n">
        <f aca="false">AP62+AP63+AP64+AP65+AP66</f>
        <v>7273.30160177587</v>
      </c>
      <c r="AQ67" s="46" t="n">
        <f aca="false">AQ62+AQ63+AQ64+AQ65+AQ66</f>
        <v>7319.25428260997</v>
      </c>
      <c r="AR67" s="46" t="n">
        <f aca="false">AR62+AR63+AR64+AR65+AR66</f>
        <v>7364.80019106682</v>
      </c>
      <c r="AS67" s="46" t="n">
        <f aca="false">AS62+AS63+AS64+AS65+AS66</f>
        <v>7409.95994972113</v>
      </c>
      <c r="AT67" s="46" t="n">
        <f aca="false">AT62+AT63+AT64+AT65+AT66</f>
        <v>7426.86833245042</v>
      </c>
      <c r="AU67" s="46" t="n">
        <f aca="false">AU62+AU63+AU64+AU65+AU66</f>
        <v>7471.13442782601</v>
      </c>
      <c r="AV67" s="46" t="n">
        <f aca="false">AV62+AV63+AV64+AV65+AV66</f>
        <v>7515.07646233016</v>
      </c>
      <c r="AW67" s="46" t="n">
        <f aca="false">AW62+AW63+AW64+AW65+AW66</f>
        <v>7530.82555340771</v>
      </c>
      <c r="AX67" s="46" t="n">
        <f aca="false">AX62+AX63+AX64+AX65+AX66</f>
        <v>7573.98736729993</v>
      </c>
      <c r="AY67" s="46" t="n">
        <f aca="false">AY62+AY63+AY64+AY65+AY66</f>
        <v>7703.37564617443</v>
      </c>
      <c r="AZ67" s="46" t="n">
        <f aca="false">AZ62+AZ63+AZ64+AZ65+AZ66</f>
        <v>7718.12106851147</v>
      </c>
      <c r="BA67" s="46" t="n">
        <f aca="false">BA62+BA63+BA64+BA65+BA66</f>
        <v>7732.44059861161</v>
      </c>
      <c r="BB67" s="46" t="n">
        <f aca="false">BB62+BB63+BB64+BB65+BB66</f>
        <v>7774.67434925635</v>
      </c>
      <c r="BC67" s="46" t="n">
        <f aca="false">BC62+BC63+BC64+BC65+BC66</f>
        <v>7788.37532784846</v>
      </c>
      <c r="BD67" s="46" t="n">
        <f aca="false">BD62+BD63+BD64+BD65+BD66</f>
        <v>7801.69592661139</v>
      </c>
      <c r="BE67" s="46" t="n">
        <f aca="false">BE62+BE63+BE64+BE65+BE66</f>
        <v>7842.97371366753</v>
      </c>
      <c r="BF67" s="46" t="n">
        <f aca="false">BF62+BF63+BF64+BF65+BF66</f>
        <v>7855.75931066015</v>
      </c>
      <c r="BG67" s="46" t="n">
        <f aca="false">BG62+BG63+BG64+BG65+BG66</f>
        <v>7868.20287250385</v>
      </c>
      <c r="BH67" s="46" t="n">
        <f aca="false">BH62+BH63+BH64+BH65+BH66</f>
        <v>7880.31839455672</v>
      </c>
      <c r="BI67" s="46" t="n">
        <f aca="false">BI62+BI63+BI64+BI65+BI66</f>
        <v>7892.11911362662</v>
      </c>
      <c r="BJ67" s="46" t="n">
        <f aca="false">BJ62+BJ63+BJ64+BJ65+BJ66</f>
        <v>7903.61755469272</v>
      </c>
      <c r="BK67" s="46" t="n">
        <f aca="false">BK62+BK63+BK64+BK65+BK66</f>
        <v>8004.38232964434</v>
      </c>
    </row>
    <row r="68" customFormat="false" ht="15" hidden="false" customHeight="false" outlineLevel="0" collapsed="false">
      <c r="B68" s="5" t="s">
        <v>647</v>
      </c>
    </row>
    <row r="69" customFormat="false" ht="15" hidden="false" customHeight="false" outlineLevel="0" collapsed="false">
      <c r="A69" s="28" t="s">
        <v>648</v>
      </c>
      <c r="B69" s="6" t="s">
        <v>649</v>
      </c>
      <c r="C69" s="43"/>
      <c r="D69" s="17" t="n">
        <f aca="false">Assumptions!$F$108</f>
        <v>1465</v>
      </c>
      <c r="E69" s="17" t="n">
        <f aca="false">Assumptions!$F$108</f>
        <v>1465</v>
      </c>
      <c r="F69" s="17" t="n">
        <f aca="false">Assumptions!$F$108</f>
        <v>1465</v>
      </c>
      <c r="G69" s="17" t="n">
        <f aca="false">Assumptions!$F$108</f>
        <v>1465</v>
      </c>
      <c r="H69" s="17" t="n">
        <f aca="false">Assumptions!$F$108</f>
        <v>1465</v>
      </c>
      <c r="I69" s="17" t="n">
        <f aca="false">Assumptions!$F$108</f>
        <v>1465</v>
      </c>
      <c r="J69" s="17" t="n">
        <f aca="false">Assumptions!$F$108</f>
        <v>1465</v>
      </c>
      <c r="K69" s="17" t="n">
        <f aca="false">Assumptions!$F$108</f>
        <v>1465</v>
      </c>
      <c r="L69" s="17" t="n">
        <f aca="false">Assumptions!$F$108</f>
        <v>1465</v>
      </c>
      <c r="M69" s="17" t="n">
        <f aca="false">Assumptions!$F$108</f>
        <v>1465</v>
      </c>
      <c r="N69" s="17" t="n">
        <f aca="false">Assumptions!$F$108</f>
        <v>1465</v>
      </c>
      <c r="O69" s="17" t="n">
        <f aca="false">Assumptions!$F$108</f>
        <v>1465</v>
      </c>
      <c r="P69" s="17" t="n">
        <f aca="false">Assumptions!$F$108</f>
        <v>1465</v>
      </c>
      <c r="Q69" s="17" t="n">
        <f aca="false">Assumptions!$F$108</f>
        <v>1465</v>
      </c>
      <c r="R69" s="17" t="n">
        <f aca="false">Assumptions!$F$108</f>
        <v>1465</v>
      </c>
      <c r="S69" s="17" t="n">
        <f aca="false">Assumptions!$F$108</f>
        <v>1465</v>
      </c>
      <c r="T69" s="17" t="n">
        <f aca="false">Assumptions!$F$108</f>
        <v>1465</v>
      </c>
      <c r="U69" s="17" t="n">
        <f aca="false">Assumptions!$F$108</f>
        <v>1465</v>
      </c>
      <c r="V69" s="17" t="n">
        <f aca="false">Assumptions!$F$108</f>
        <v>1465</v>
      </c>
      <c r="W69" s="17" t="n">
        <f aca="false">Assumptions!$F$108</f>
        <v>1465</v>
      </c>
      <c r="X69" s="17" t="n">
        <f aca="false">Assumptions!$F$108</f>
        <v>1465</v>
      </c>
      <c r="Y69" s="17" t="n">
        <f aca="false">Assumptions!$F$108</f>
        <v>1465</v>
      </c>
      <c r="Z69" s="17" t="n">
        <f aca="false">Assumptions!$F$108</f>
        <v>1465</v>
      </c>
      <c r="AA69" s="17" t="n">
        <f aca="false">Assumptions!$F$108</f>
        <v>1465</v>
      </c>
      <c r="AB69" s="17" t="n">
        <f aca="false">Assumptions!$F$108</f>
        <v>1465</v>
      </c>
      <c r="AC69" s="17" t="n">
        <f aca="false">Assumptions!$F$108</f>
        <v>1465</v>
      </c>
      <c r="AD69" s="17" t="n">
        <f aca="false">Assumptions!$F$108</f>
        <v>1465</v>
      </c>
      <c r="AE69" s="17" t="n">
        <f aca="false">Assumptions!$F$108</f>
        <v>1465</v>
      </c>
      <c r="AF69" s="17" t="n">
        <f aca="false">Assumptions!$F$108</f>
        <v>1465</v>
      </c>
      <c r="AG69" s="17" t="n">
        <f aca="false">Assumptions!$F$108</f>
        <v>1465</v>
      </c>
      <c r="AH69" s="17" t="n">
        <f aca="false">Assumptions!$F$108</f>
        <v>1465</v>
      </c>
      <c r="AI69" s="17" t="n">
        <f aca="false">Assumptions!$F$108</f>
        <v>1465</v>
      </c>
      <c r="AJ69" s="17" t="n">
        <f aca="false">Assumptions!$F$108</f>
        <v>1465</v>
      </c>
      <c r="AK69" s="17" t="n">
        <f aca="false">Assumptions!$F$108</f>
        <v>1465</v>
      </c>
      <c r="AL69" s="17" t="n">
        <f aca="false">Assumptions!$F$108</f>
        <v>1465</v>
      </c>
      <c r="AM69" s="17" t="n">
        <f aca="false">Assumptions!$F$108</f>
        <v>1465</v>
      </c>
      <c r="AN69" s="44" t="n">
        <f aca="false">Assumptions!$F$108</f>
        <v>1465</v>
      </c>
      <c r="AO69" s="44" t="n">
        <f aca="false">Assumptions!$F$108</f>
        <v>1465</v>
      </c>
      <c r="AP69" s="44" t="n">
        <f aca="false">Assumptions!$F$108</f>
        <v>1465</v>
      </c>
      <c r="AQ69" s="44" t="n">
        <f aca="false">Assumptions!$F$108</f>
        <v>1465</v>
      </c>
      <c r="AR69" s="44" t="n">
        <f aca="false">Assumptions!$F$108</f>
        <v>1465</v>
      </c>
      <c r="AS69" s="44" t="n">
        <f aca="false">Assumptions!$F$108</f>
        <v>1465</v>
      </c>
      <c r="AT69" s="44" t="n">
        <f aca="false">Assumptions!$F$108</f>
        <v>1465</v>
      </c>
      <c r="AU69" s="44" t="n">
        <f aca="false">Assumptions!$F$108</f>
        <v>1465</v>
      </c>
      <c r="AV69" s="44" t="n">
        <f aca="false">Assumptions!$F$108</f>
        <v>1465</v>
      </c>
      <c r="AW69" s="44" t="n">
        <f aca="false">Assumptions!$F$108</f>
        <v>1465</v>
      </c>
      <c r="AX69" s="44" t="n">
        <f aca="false">Assumptions!$F$108</f>
        <v>1465</v>
      </c>
      <c r="AY69" s="44" t="n">
        <f aca="false">Assumptions!$F$108</f>
        <v>1465</v>
      </c>
      <c r="AZ69" s="44" t="n">
        <f aca="false">Assumptions!$F$108</f>
        <v>1465</v>
      </c>
      <c r="BA69" s="44" t="n">
        <f aca="false">Assumptions!$F$108</f>
        <v>1465</v>
      </c>
      <c r="BB69" s="44" t="n">
        <f aca="false">Assumptions!$F$108</f>
        <v>1465</v>
      </c>
      <c r="BC69" s="44" t="n">
        <f aca="false">Assumptions!$F$108</f>
        <v>1465</v>
      </c>
      <c r="BD69" s="44" t="n">
        <f aca="false">Assumptions!$F$108</f>
        <v>1465</v>
      </c>
      <c r="BE69" s="44" t="n">
        <f aca="false">Assumptions!$F$108</f>
        <v>1465</v>
      </c>
      <c r="BF69" s="44" t="n">
        <f aca="false">Assumptions!$F$108</f>
        <v>1465</v>
      </c>
      <c r="BG69" s="44" t="n">
        <f aca="false">Assumptions!$F$108</f>
        <v>1465</v>
      </c>
      <c r="BH69" s="44" t="n">
        <f aca="false">Assumptions!$F$108</f>
        <v>1465</v>
      </c>
      <c r="BI69" s="44" t="n">
        <f aca="false">Assumptions!$F$108</f>
        <v>1465</v>
      </c>
      <c r="BJ69" s="44" t="n">
        <f aca="false">Assumptions!$F$108</f>
        <v>1465</v>
      </c>
      <c r="BK69" s="44" t="n">
        <f aca="false">Assumptions!$F$108</f>
        <v>1465</v>
      </c>
    </row>
    <row r="70" customFormat="false" ht="15" hidden="false" customHeight="false" outlineLevel="0" collapsed="false">
      <c r="A70" s="28" t="s">
        <v>650</v>
      </c>
      <c r="B70" s="6" t="s">
        <v>651</v>
      </c>
      <c r="C70" s="43"/>
      <c r="D70" s="17" t="n">
        <f aca="false">IF(D7&lt;=12,Assumptions!$F$100,IF(D7&lt;=24,Assumptions!$F$101,Assumptions!$F$102))</f>
        <v>2000</v>
      </c>
      <c r="E70" s="17" t="n">
        <f aca="false">IF(E7&lt;=12,Assumptions!$F$100,IF(E7&lt;=24,Assumptions!$F$101,Assumptions!$F$102))</f>
        <v>2000</v>
      </c>
      <c r="F70" s="17" t="n">
        <f aca="false">IF(F7&lt;=12,Assumptions!$F$100,IF(F7&lt;=24,Assumptions!$F$101,Assumptions!$F$102))</f>
        <v>2000</v>
      </c>
      <c r="G70" s="17" t="n">
        <f aca="false">IF(G7&lt;=12,Assumptions!$F$100,IF(G7&lt;=24,Assumptions!$F$101,Assumptions!$F$102))</f>
        <v>2000</v>
      </c>
      <c r="H70" s="17" t="n">
        <f aca="false">IF(H7&lt;=12,Assumptions!$F$100,IF(H7&lt;=24,Assumptions!$F$101,Assumptions!$F$102))</f>
        <v>2000</v>
      </c>
      <c r="I70" s="17" t="n">
        <f aca="false">IF(I7&lt;=12,Assumptions!$F$100,IF(I7&lt;=24,Assumptions!$F$101,Assumptions!$F$102))</f>
        <v>2000</v>
      </c>
      <c r="J70" s="17" t="n">
        <f aca="false">IF(J7&lt;=12,Assumptions!$F$100,IF(J7&lt;=24,Assumptions!$F$101,Assumptions!$F$102))</f>
        <v>2000</v>
      </c>
      <c r="K70" s="17" t="n">
        <f aca="false">IF(K7&lt;=12,Assumptions!$F$100,IF(K7&lt;=24,Assumptions!$F$101,Assumptions!$F$102))</f>
        <v>2000</v>
      </c>
      <c r="L70" s="17" t="n">
        <f aca="false">IF(L7&lt;=12,Assumptions!$F$100,IF(L7&lt;=24,Assumptions!$F$101,Assumptions!$F$102))</f>
        <v>2000</v>
      </c>
      <c r="M70" s="17" t="n">
        <f aca="false">IF(M7&lt;=12,Assumptions!$F$100,IF(M7&lt;=24,Assumptions!$F$101,Assumptions!$F$102))</f>
        <v>2000</v>
      </c>
      <c r="N70" s="17" t="n">
        <f aca="false">IF(N7&lt;=12,Assumptions!$F$100,IF(N7&lt;=24,Assumptions!$F$101,Assumptions!$F$102))</f>
        <v>2000</v>
      </c>
      <c r="O70" s="17" t="n">
        <f aca="false">IF(O7&lt;=12,Assumptions!$F$100,IF(O7&lt;=24,Assumptions!$F$101,Assumptions!$F$102))</f>
        <v>2000</v>
      </c>
      <c r="P70" s="17" t="n">
        <f aca="false">IF(P7&lt;=12,Assumptions!$F$100,IF(P7&lt;=24,Assumptions!$F$101,Assumptions!$F$102))</f>
        <v>2500</v>
      </c>
      <c r="Q70" s="17" t="n">
        <f aca="false">IF(Q7&lt;=12,Assumptions!$F$100,IF(Q7&lt;=24,Assumptions!$F$101,Assumptions!$F$102))</f>
        <v>2500</v>
      </c>
      <c r="R70" s="17" t="n">
        <f aca="false">IF(R7&lt;=12,Assumptions!$F$100,IF(R7&lt;=24,Assumptions!$F$101,Assumptions!$F$102))</f>
        <v>2500</v>
      </c>
      <c r="S70" s="17" t="n">
        <f aca="false">IF(S7&lt;=12,Assumptions!$F$100,IF(S7&lt;=24,Assumptions!$F$101,Assumptions!$F$102))</f>
        <v>2500</v>
      </c>
      <c r="T70" s="17" t="n">
        <f aca="false">IF(T7&lt;=12,Assumptions!$F$100,IF(T7&lt;=24,Assumptions!$F$101,Assumptions!$F$102))</f>
        <v>2500</v>
      </c>
      <c r="U70" s="17" t="n">
        <f aca="false">IF(U7&lt;=12,Assumptions!$F$100,IF(U7&lt;=24,Assumptions!$F$101,Assumptions!$F$102))</f>
        <v>2500</v>
      </c>
      <c r="V70" s="17" t="n">
        <f aca="false">IF(V7&lt;=12,Assumptions!$F$100,IF(V7&lt;=24,Assumptions!$F$101,Assumptions!$F$102))</f>
        <v>2500</v>
      </c>
      <c r="W70" s="17" t="n">
        <f aca="false">IF(W7&lt;=12,Assumptions!$F$100,IF(W7&lt;=24,Assumptions!$F$101,Assumptions!$F$102))</f>
        <v>2500</v>
      </c>
      <c r="X70" s="17" t="n">
        <f aca="false">IF(X7&lt;=12,Assumptions!$F$100,IF(X7&lt;=24,Assumptions!$F$101,Assumptions!$F$102))</f>
        <v>2500</v>
      </c>
      <c r="Y70" s="17" t="n">
        <f aca="false">IF(Y7&lt;=12,Assumptions!$F$100,IF(Y7&lt;=24,Assumptions!$F$101,Assumptions!$F$102))</f>
        <v>2500</v>
      </c>
      <c r="Z70" s="17" t="n">
        <f aca="false">IF(Z7&lt;=12,Assumptions!$F$100,IF(Z7&lt;=24,Assumptions!$F$101,Assumptions!$F$102))</f>
        <v>2500</v>
      </c>
      <c r="AA70" s="17" t="n">
        <f aca="false">IF(AA7&lt;=12,Assumptions!$F$100,IF(AA7&lt;=24,Assumptions!$F$101,Assumptions!$F$102))</f>
        <v>2500</v>
      </c>
      <c r="AB70" s="17" t="n">
        <f aca="false">IF(AB7&lt;=12,Assumptions!$F$100,IF(AB7&lt;=24,Assumptions!$F$101,Assumptions!$F$102))</f>
        <v>3000</v>
      </c>
      <c r="AC70" s="17" t="n">
        <f aca="false">IF(AC7&lt;=12,Assumptions!$F$100,IF(AC7&lt;=24,Assumptions!$F$101,Assumptions!$F$102))</f>
        <v>3000</v>
      </c>
      <c r="AD70" s="17" t="n">
        <f aca="false">IF(AD7&lt;=12,Assumptions!$F$100,IF(AD7&lt;=24,Assumptions!$F$101,Assumptions!$F$102))</f>
        <v>3000</v>
      </c>
      <c r="AE70" s="17" t="n">
        <f aca="false">IF(AE7&lt;=12,Assumptions!$F$100,IF(AE7&lt;=24,Assumptions!$F$101,Assumptions!$F$102))</f>
        <v>3000</v>
      </c>
      <c r="AF70" s="17" t="n">
        <f aca="false">IF(AF7&lt;=12,Assumptions!$F$100,IF(AF7&lt;=24,Assumptions!$F$101,Assumptions!$F$102))</f>
        <v>3000</v>
      </c>
      <c r="AG70" s="17" t="n">
        <f aca="false">IF(AG7&lt;=12,Assumptions!$F$100,IF(AG7&lt;=24,Assumptions!$F$101,Assumptions!$F$102))</f>
        <v>3000</v>
      </c>
      <c r="AH70" s="17" t="n">
        <f aca="false">IF(AH7&lt;=12,Assumptions!$F$100,IF(AH7&lt;=24,Assumptions!$F$101,Assumptions!$F$102))</f>
        <v>3000</v>
      </c>
      <c r="AI70" s="17" t="n">
        <f aca="false">IF(AI7&lt;=12,Assumptions!$F$100,IF(AI7&lt;=24,Assumptions!$F$101,Assumptions!$F$102))</f>
        <v>3000</v>
      </c>
      <c r="AJ70" s="17" t="n">
        <f aca="false">IF(AJ7&lt;=12,Assumptions!$F$100,IF(AJ7&lt;=24,Assumptions!$F$101,Assumptions!$F$102))</f>
        <v>3000</v>
      </c>
      <c r="AK70" s="17" t="n">
        <f aca="false">IF(AK7&lt;=12,Assumptions!$F$100,IF(AK7&lt;=24,Assumptions!$F$101,Assumptions!$F$102))</f>
        <v>3000</v>
      </c>
      <c r="AL70" s="17" t="n">
        <f aca="false">IF(AL7&lt;=12,Assumptions!$F$100,IF(AL7&lt;=24,Assumptions!$F$101,Assumptions!$F$102))</f>
        <v>3000</v>
      </c>
      <c r="AM70" s="17" t="n">
        <f aca="false">IF(AM7&lt;=12,Assumptions!$F$100,IF(AM7&lt;=24,Assumptions!$F$101,Assumptions!$F$102))</f>
        <v>3000</v>
      </c>
      <c r="AN70" s="44" t="n">
        <f aca="false">IF(AN7&lt;=12,Assumptions!$F$100,IF(AN7&lt;=24,Assumptions!$F$101,Assumptions!$F$102))</f>
        <v>3000</v>
      </c>
      <c r="AO70" s="44" t="n">
        <f aca="false">IF(AO7&lt;=12,Assumptions!$F$100,IF(AO7&lt;=24,Assumptions!$F$101,Assumptions!$F$102))</f>
        <v>3000</v>
      </c>
      <c r="AP70" s="44" t="n">
        <f aca="false">IF(AP7&lt;=12,Assumptions!$F$100,IF(AP7&lt;=24,Assumptions!$F$101,Assumptions!$F$102))</f>
        <v>3000</v>
      </c>
      <c r="AQ70" s="44" t="n">
        <f aca="false">IF(AQ7&lt;=12,Assumptions!$F$100,IF(AQ7&lt;=24,Assumptions!$F$101,Assumptions!$F$102))</f>
        <v>3000</v>
      </c>
      <c r="AR70" s="44" t="n">
        <f aca="false">IF(AR7&lt;=12,Assumptions!$F$100,IF(AR7&lt;=24,Assumptions!$F$101,Assumptions!$F$102))</f>
        <v>3000</v>
      </c>
      <c r="AS70" s="44" t="n">
        <f aca="false">IF(AS7&lt;=12,Assumptions!$F$100,IF(AS7&lt;=24,Assumptions!$F$101,Assumptions!$F$102))</f>
        <v>3000</v>
      </c>
      <c r="AT70" s="44" t="n">
        <f aca="false">IF(AT7&lt;=12,Assumptions!$F$100,IF(AT7&lt;=24,Assumptions!$F$101,Assumptions!$F$102))</f>
        <v>3000</v>
      </c>
      <c r="AU70" s="44" t="n">
        <f aca="false">IF(AU7&lt;=12,Assumptions!$F$100,IF(AU7&lt;=24,Assumptions!$F$101,Assumptions!$F$102))</f>
        <v>3000</v>
      </c>
      <c r="AV70" s="44" t="n">
        <f aca="false">IF(AV7&lt;=12,Assumptions!$F$100,IF(AV7&lt;=24,Assumptions!$F$101,Assumptions!$F$102))</f>
        <v>3000</v>
      </c>
      <c r="AW70" s="44" t="n">
        <f aca="false">IF(AW7&lt;=12,Assumptions!$F$100,IF(AW7&lt;=24,Assumptions!$F$101,Assumptions!$F$102))</f>
        <v>3000</v>
      </c>
      <c r="AX70" s="44" t="n">
        <f aca="false">IF(AX7&lt;=12,Assumptions!$F$100,IF(AX7&lt;=24,Assumptions!$F$101,Assumptions!$F$102))</f>
        <v>3000</v>
      </c>
      <c r="AY70" s="44" t="n">
        <f aca="false">IF(AY7&lt;=12,Assumptions!$F$100,IF(AY7&lt;=24,Assumptions!$F$101,Assumptions!$F$102))</f>
        <v>3000</v>
      </c>
      <c r="AZ70" s="44" t="n">
        <f aca="false">IF(AZ7&lt;=12,Assumptions!$F$100,IF(AZ7&lt;=24,Assumptions!$F$101,Assumptions!$F$102))</f>
        <v>3000</v>
      </c>
      <c r="BA70" s="44" t="n">
        <f aca="false">IF(BA7&lt;=12,Assumptions!$F$100,IF(BA7&lt;=24,Assumptions!$F$101,Assumptions!$F$102))</f>
        <v>3000</v>
      </c>
      <c r="BB70" s="44" t="n">
        <f aca="false">IF(BB7&lt;=12,Assumptions!$F$100,IF(BB7&lt;=24,Assumptions!$F$101,Assumptions!$F$102))</f>
        <v>3000</v>
      </c>
      <c r="BC70" s="44" t="n">
        <f aca="false">IF(BC7&lt;=12,Assumptions!$F$100,IF(BC7&lt;=24,Assumptions!$F$101,Assumptions!$F$102))</f>
        <v>3000</v>
      </c>
      <c r="BD70" s="44" t="n">
        <f aca="false">IF(BD7&lt;=12,Assumptions!$F$100,IF(BD7&lt;=24,Assumptions!$F$101,Assumptions!$F$102))</f>
        <v>3000</v>
      </c>
      <c r="BE70" s="44" t="n">
        <f aca="false">IF(BE7&lt;=12,Assumptions!$F$100,IF(BE7&lt;=24,Assumptions!$F$101,Assumptions!$F$102))</f>
        <v>3000</v>
      </c>
      <c r="BF70" s="44" t="n">
        <f aca="false">IF(BF7&lt;=12,Assumptions!$F$100,IF(BF7&lt;=24,Assumptions!$F$101,Assumptions!$F$102))</f>
        <v>3000</v>
      </c>
      <c r="BG70" s="44" t="n">
        <f aca="false">IF(BG7&lt;=12,Assumptions!$F$100,IF(BG7&lt;=24,Assumptions!$F$101,Assumptions!$F$102))</f>
        <v>3000</v>
      </c>
      <c r="BH70" s="44" t="n">
        <f aca="false">IF(BH7&lt;=12,Assumptions!$F$100,IF(BH7&lt;=24,Assumptions!$F$101,Assumptions!$F$102))</f>
        <v>3000</v>
      </c>
      <c r="BI70" s="44" t="n">
        <f aca="false">IF(BI7&lt;=12,Assumptions!$F$100,IF(BI7&lt;=24,Assumptions!$F$101,Assumptions!$F$102))</f>
        <v>3000</v>
      </c>
      <c r="BJ70" s="44" t="n">
        <f aca="false">IF(BJ7&lt;=12,Assumptions!$F$100,IF(BJ7&lt;=24,Assumptions!$F$101,Assumptions!$F$102))</f>
        <v>3000</v>
      </c>
      <c r="BK70" s="44" t="n">
        <f aca="false">IF(BK7&lt;=12,Assumptions!$F$100,IF(BK7&lt;=24,Assumptions!$F$101,Assumptions!$F$102))</f>
        <v>3000</v>
      </c>
    </row>
    <row r="71" customFormat="false" ht="15" hidden="false" customHeight="false" outlineLevel="0" collapsed="false">
      <c r="A71" s="28" t="s">
        <v>652</v>
      </c>
      <c r="B71" s="6" t="s">
        <v>653</v>
      </c>
      <c r="C71" s="43"/>
      <c r="D71" s="17" t="n">
        <f aca="false">INT(D13/Assumptions!$F$103)*Assumptions!$F$104</f>
        <v>0</v>
      </c>
      <c r="E71" s="17" t="n">
        <f aca="false">INT(E13/Assumptions!$F$103)*Assumptions!$F$104</f>
        <v>0</v>
      </c>
      <c r="F71" s="17" t="n">
        <f aca="false">INT(F13/Assumptions!$F$103)*Assumptions!$F$104</f>
        <v>0</v>
      </c>
      <c r="G71" s="17" t="n">
        <f aca="false">INT(G13/Assumptions!$F$103)*Assumptions!$F$104</f>
        <v>0</v>
      </c>
      <c r="H71" s="17" t="n">
        <f aca="false">INT(H13/Assumptions!$F$103)*Assumptions!$F$104</f>
        <v>0</v>
      </c>
      <c r="I71" s="17" t="n">
        <f aca="false">INT(I13/Assumptions!$F$103)*Assumptions!$F$104</f>
        <v>0</v>
      </c>
      <c r="J71" s="17" t="n">
        <f aca="false">INT(J13/Assumptions!$F$103)*Assumptions!$F$104</f>
        <v>0</v>
      </c>
      <c r="K71" s="17" t="n">
        <f aca="false">INT(K13/Assumptions!$F$103)*Assumptions!$F$104</f>
        <v>0</v>
      </c>
      <c r="L71" s="17" t="n">
        <f aca="false">INT(L13/Assumptions!$F$103)*Assumptions!$F$104</f>
        <v>0</v>
      </c>
      <c r="M71" s="17" t="n">
        <f aca="false">INT(M13/Assumptions!$F$103)*Assumptions!$F$104</f>
        <v>0</v>
      </c>
      <c r="N71" s="17" t="n">
        <f aca="false">INT(N13/Assumptions!$F$103)*Assumptions!$F$104</f>
        <v>0</v>
      </c>
      <c r="O71" s="17" t="n">
        <f aca="false">INT(O13/Assumptions!$F$103)*Assumptions!$F$104</f>
        <v>0</v>
      </c>
      <c r="P71" s="17" t="n">
        <f aca="false">INT(P13/Assumptions!$F$103)*Assumptions!$F$104</f>
        <v>0</v>
      </c>
      <c r="Q71" s="17" t="n">
        <f aca="false">INT(Q13/Assumptions!$F$103)*Assumptions!$F$104</f>
        <v>0</v>
      </c>
      <c r="R71" s="17" t="n">
        <f aca="false">INT(R13/Assumptions!$F$103)*Assumptions!$F$104</f>
        <v>0</v>
      </c>
      <c r="S71" s="17" t="n">
        <f aca="false">INT(S13/Assumptions!$F$103)*Assumptions!$F$104</f>
        <v>0</v>
      </c>
      <c r="T71" s="17" t="n">
        <f aca="false">INT(T13/Assumptions!$F$103)*Assumptions!$F$104</f>
        <v>0</v>
      </c>
      <c r="U71" s="17" t="n">
        <f aca="false">INT(U13/Assumptions!$F$103)*Assumptions!$F$104</f>
        <v>0</v>
      </c>
      <c r="V71" s="17" t="n">
        <f aca="false">INT(V13/Assumptions!$F$103)*Assumptions!$F$104</f>
        <v>0</v>
      </c>
      <c r="W71" s="17" t="n">
        <f aca="false">INT(W13/Assumptions!$F$103)*Assumptions!$F$104</f>
        <v>0</v>
      </c>
      <c r="X71" s="17" t="n">
        <f aca="false">INT(X13/Assumptions!$F$103)*Assumptions!$F$104</f>
        <v>0</v>
      </c>
      <c r="Y71" s="17" t="n">
        <f aca="false">INT(Y13/Assumptions!$F$103)*Assumptions!$F$104</f>
        <v>0</v>
      </c>
      <c r="Z71" s="17" t="n">
        <f aca="false">INT(Z13/Assumptions!$F$103)*Assumptions!$F$104</f>
        <v>0</v>
      </c>
      <c r="AA71" s="17" t="n">
        <f aca="false">INT(AA13/Assumptions!$F$103)*Assumptions!$F$104</f>
        <v>0</v>
      </c>
      <c r="AB71" s="17" t="n">
        <f aca="false">INT(AB13/Assumptions!$F$103)*Assumptions!$F$104</f>
        <v>0</v>
      </c>
      <c r="AC71" s="17" t="n">
        <f aca="false">INT(AC13/Assumptions!$F$103)*Assumptions!$F$104</f>
        <v>0</v>
      </c>
      <c r="AD71" s="17" t="n">
        <f aca="false">INT(AD13/Assumptions!$F$103)*Assumptions!$F$104</f>
        <v>0</v>
      </c>
      <c r="AE71" s="17" t="n">
        <f aca="false">INT(AE13/Assumptions!$F$103)*Assumptions!$F$104</f>
        <v>0</v>
      </c>
      <c r="AF71" s="17" t="n">
        <f aca="false">INT(AF13/Assumptions!$F$103)*Assumptions!$F$104</f>
        <v>0</v>
      </c>
      <c r="AG71" s="17" t="n">
        <f aca="false">INT(AG13/Assumptions!$F$103)*Assumptions!$F$104</f>
        <v>0</v>
      </c>
      <c r="AH71" s="17" t="n">
        <f aca="false">INT(AH13/Assumptions!$F$103)*Assumptions!$F$104</f>
        <v>0</v>
      </c>
      <c r="AI71" s="17" t="n">
        <f aca="false">INT(AI13/Assumptions!$F$103)*Assumptions!$F$104</f>
        <v>0</v>
      </c>
      <c r="AJ71" s="17" t="n">
        <f aca="false">INT(AJ13/Assumptions!$F$103)*Assumptions!$F$104</f>
        <v>0</v>
      </c>
      <c r="AK71" s="17" t="n">
        <f aca="false">INT(AK13/Assumptions!$F$103)*Assumptions!$F$104</f>
        <v>0</v>
      </c>
      <c r="AL71" s="17" t="n">
        <f aca="false">INT(AL13/Assumptions!$F$103)*Assumptions!$F$104</f>
        <v>0</v>
      </c>
      <c r="AM71" s="17" t="n">
        <f aca="false">INT(AM13/Assumptions!$F$103)*Assumptions!$F$104</f>
        <v>0</v>
      </c>
      <c r="AN71" s="44" t="n">
        <f aca="false">INT(AN13/Assumptions!$F$103)*Assumptions!$F$104</f>
        <v>0</v>
      </c>
      <c r="AO71" s="44" t="n">
        <f aca="false">INT(AO13/Assumptions!$F$103)*Assumptions!$F$104</f>
        <v>0</v>
      </c>
      <c r="AP71" s="44" t="n">
        <f aca="false">INT(AP13/Assumptions!$F$103)*Assumptions!$F$104</f>
        <v>0</v>
      </c>
      <c r="AQ71" s="44" t="n">
        <f aca="false">INT(AQ13/Assumptions!$F$103)*Assumptions!$F$104</f>
        <v>0</v>
      </c>
      <c r="AR71" s="44" t="n">
        <f aca="false">INT(AR13/Assumptions!$F$103)*Assumptions!$F$104</f>
        <v>0</v>
      </c>
      <c r="AS71" s="44" t="n">
        <f aca="false">INT(AS13/Assumptions!$F$103)*Assumptions!$F$104</f>
        <v>0</v>
      </c>
      <c r="AT71" s="44" t="n">
        <f aca="false">INT(AT13/Assumptions!$F$103)*Assumptions!$F$104</f>
        <v>0</v>
      </c>
      <c r="AU71" s="44" t="n">
        <f aca="false">INT(AU13/Assumptions!$F$103)*Assumptions!$F$104</f>
        <v>0</v>
      </c>
      <c r="AV71" s="44" t="n">
        <f aca="false">INT(AV13/Assumptions!$F$103)*Assumptions!$F$104</f>
        <v>0</v>
      </c>
      <c r="AW71" s="44" t="n">
        <f aca="false">INT(AW13/Assumptions!$F$103)*Assumptions!$F$104</f>
        <v>0</v>
      </c>
      <c r="AX71" s="44" t="n">
        <f aca="false">INT(AX13/Assumptions!$F$103)*Assumptions!$F$104</f>
        <v>0</v>
      </c>
      <c r="AY71" s="44" t="n">
        <f aca="false">INT(AY13/Assumptions!$F$103)*Assumptions!$F$104</f>
        <v>0</v>
      </c>
      <c r="AZ71" s="44" t="n">
        <f aca="false">INT(AZ13/Assumptions!$F$103)*Assumptions!$F$104</f>
        <v>0</v>
      </c>
      <c r="BA71" s="44" t="n">
        <f aca="false">INT(BA13/Assumptions!$F$103)*Assumptions!$F$104</f>
        <v>0</v>
      </c>
      <c r="BB71" s="44" t="n">
        <f aca="false">INT(BB13/Assumptions!$F$103)*Assumptions!$F$104</f>
        <v>0</v>
      </c>
      <c r="BC71" s="44" t="n">
        <f aca="false">INT(BC13/Assumptions!$F$103)*Assumptions!$F$104</f>
        <v>0</v>
      </c>
      <c r="BD71" s="44" t="n">
        <f aca="false">INT(BD13/Assumptions!$F$103)*Assumptions!$F$104</f>
        <v>0</v>
      </c>
      <c r="BE71" s="44" t="n">
        <f aca="false">INT(BE13/Assumptions!$F$103)*Assumptions!$F$104</f>
        <v>4200</v>
      </c>
      <c r="BF71" s="44" t="n">
        <f aca="false">INT(BF13/Assumptions!$F$103)*Assumptions!$F$104</f>
        <v>4200</v>
      </c>
      <c r="BG71" s="44" t="n">
        <f aca="false">INT(BG13/Assumptions!$F$103)*Assumptions!$F$104</f>
        <v>4200</v>
      </c>
      <c r="BH71" s="44" t="n">
        <f aca="false">INT(BH13/Assumptions!$F$103)*Assumptions!$F$104</f>
        <v>4200</v>
      </c>
      <c r="BI71" s="44" t="n">
        <f aca="false">INT(BI13/Assumptions!$F$103)*Assumptions!$F$104</f>
        <v>4200</v>
      </c>
      <c r="BJ71" s="44" t="n">
        <f aca="false">INT(BJ13/Assumptions!$F$103)*Assumptions!$F$104</f>
        <v>4200</v>
      </c>
      <c r="BK71" s="44" t="n">
        <f aca="false">INT(BK13/Assumptions!$F$103)*Assumptions!$F$104</f>
        <v>4200</v>
      </c>
    </row>
    <row r="72" customFormat="false" ht="15" hidden="false" customHeight="false" outlineLevel="0" collapsed="false">
      <c r="A72" s="28" t="s">
        <v>654</v>
      </c>
      <c r="B72" s="6" t="s">
        <v>341</v>
      </c>
      <c r="C72" s="43"/>
      <c r="D72" s="17" t="n">
        <f aca="false">IF(D7&gt;=Assumptions!$F$106,Assumptions!$F$105,0)</f>
        <v>0</v>
      </c>
      <c r="E72" s="17" t="n">
        <f aca="false">IF(E7&gt;=Assumptions!$F$106,Assumptions!$F$105,0)</f>
        <v>0</v>
      </c>
      <c r="F72" s="17" t="n">
        <f aca="false">IF(F7&gt;=Assumptions!$F$106,Assumptions!$F$105,0)</f>
        <v>0</v>
      </c>
      <c r="G72" s="17" t="n">
        <f aca="false">IF(G7&gt;=Assumptions!$F$106,Assumptions!$F$105,0)</f>
        <v>0</v>
      </c>
      <c r="H72" s="17" t="n">
        <f aca="false">IF(H7&gt;=Assumptions!$F$106,Assumptions!$F$105,0)</f>
        <v>0</v>
      </c>
      <c r="I72" s="17" t="n">
        <f aca="false">IF(I7&gt;=Assumptions!$F$106,Assumptions!$F$105,0)</f>
        <v>0</v>
      </c>
      <c r="J72" s="17" t="n">
        <f aca="false">IF(J7&gt;=Assumptions!$F$106,Assumptions!$F$105,0)</f>
        <v>0</v>
      </c>
      <c r="K72" s="17" t="n">
        <f aca="false">IF(K7&gt;=Assumptions!$F$106,Assumptions!$F$105,0)</f>
        <v>0</v>
      </c>
      <c r="L72" s="17" t="n">
        <f aca="false">IF(L7&gt;=Assumptions!$F$106,Assumptions!$F$105,0)</f>
        <v>0</v>
      </c>
      <c r="M72" s="17" t="n">
        <f aca="false">IF(M7&gt;=Assumptions!$F$106,Assumptions!$F$105,0)</f>
        <v>0</v>
      </c>
      <c r="N72" s="17" t="n">
        <f aca="false">IF(N7&gt;=Assumptions!$F$106,Assumptions!$F$105,0)</f>
        <v>0</v>
      </c>
      <c r="O72" s="17" t="n">
        <f aca="false">IF(O7&gt;=Assumptions!$F$106,Assumptions!$F$105,0)</f>
        <v>0</v>
      </c>
      <c r="P72" s="17" t="n">
        <f aca="false">IF(P7&gt;=Assumptions!$F$106,Assumptions!$F$105,0)</f>
        <v>0</v>
      </c>
      <c r="Q72" s="17" t="n">
        <f aca="false">IF(Q7&gt;=Assumptions!$F$106,Assumptions!$F$105,0)</f>
        <v>0</v>
      </c>
      <c r="R72" s="17" t="n">
        <f aca="false">IF(R7&gt;=Assumptions!$F$106,Assumptions!$F$105,0)</f>
        <v>0</v>
      </c>
      <c r="S72" s="17" t="n">
        <f aca="false">IF(S7&gt;=Assumptions!$F$106,Assumptions!$F$105,0)</f>
        <v>0</v>
      </c>
      <c r="T72" s="17" t="n">
        <f aca="false">IF(T7&gt;=Assumptions!$F$106,Assumptions!$F$105,0)</f>
        <v>0</v>
      </c>
      <c r="U72" s="17" t="n">
        <f aca="false">IF(U7&gt;=Assumptions!$F$106,Assumptions!$F$105,0)</f>
        <v>0</v>
      </c>
      <c r="V72" s="17" t="n">
        <f aca="false">IF(V7&gt;=Assumptions!$F$106,Assumptions!$F$105,0)</f>
        <v>0</v>
      </c>
      <c r="W72" s="17" t="n">
        <f aca="false">IF(W7&gt;=Assumptions!$F$106,Assumptions!$F$105,0)</f>
        <v>0</v>
      </c>
      <c r="X72" s="17" t="n">
        <f aca="false">IF(X7&gt;=Assumptions!$F$106,Assumptions!$F$105,0)</f>
        <v>0</v>
      </c>
      <c r="Y72" s="17" t="n">
        <f aca="false">IF(Y7&gt;=Assumptions!$F$106,Assumptions!$F$105,0)</f>
        <v>0</v>
      </c>
      <c r="Z72" s="17" t="n">
        <f aca="false">IF(Z7&gt;=Assumptions!$F$106,Assumptions!$F$105,0)</f>
        <v>0</v>
      </c>
      <c r="AA72" s="17" t="n">
        <f aca="false">IF(AA7&gt;=Assumptions!$F$106,Assumptions!$F$105,0)</f>
        <v>0</v>
      </c>
      <c r="AB72" s="17" t="n">
        <f aca="false">IF(AB7&gt;=Assumptions!$F$106,Assumptions!$F$105,0)</f>
        <v>0</v>
      </c>
      <c r="AC72" s="17" t="n">
        <f aca="false">IF(AC7&gt;=Assumptions!$F$106,Assumptions!$F$105,0)</f>
        <v>0</v>
      </c>
      <c r="AD72" s="17" t="n">
        <f aca="false">IF(AD7&gt;=Assumptions!$F$106,Assumptions!$F$105,0)</f>
        <v>0</v>
      </c>
      <c r="AE72" s="17" t="n">
        <f aca="false">IF(AE7&gt;=Assumptions!$F$106,Assumptions!$F$105,0)</f>
        <v>0</v>
      </c>
      <c r="AF72" s="17" t="n">
        <f aca="false">IF(AF7&gt;=Assumptions!$F$106,Assumptions!$F$105,0)</f>
        <v>0</v>
      </c>
      <c r="AG72" s="17" t="n">
        <f aca="false">IF(AG7&gt;=Assumptions!$F$106,Assumptions!$F$105,0)</f>
        <v>0</v>
      </c>
      <c r="AH72" s="17" t="n">
        <f aca="false">IF(AH7&gt;=Assumptions!$F$106,Assumptions!$F$105,0)</f>
        <v>0</v>
      </c>
      <c r="AI72" s="17" t="n">
        <f aca="false">IF(AI7&gt;=Assumptions!$F$106,Assumptions!$F$105,0)</f>
        <v>0</v>
      </c>
      <c r="AJ72" s="17" t="n">
        <f aca="false">IF(AJ7&gt;=Assumptions!$F$106,Assumptions!$F$105,0)</f>
        <v>0</v>
      </c>
      <c r="AK72" s="17" t="n">
        <f aca="false">IF(AK7&gt;=Assumptions!$F$106,Assumptions!$F$105,0)</f>
        <v>0</v>
      </c>
      <c r="AL72" s="17" t="n">
        <f aca="false">IF(AL7&gt;=Assumptions!$F$106,Assumptions!$F$105,0)</f>
        <v>0</v>
      </c>
      <c r="AM72" s="17" t="n">
        <f aca="false">IF(AM7&gt;=Assumptions!$F$106,Assumptions!$F$105,0)</f>
        <v>0</v>
      </c>
      <c r="AN72" s="44" t="n">
        <f aca="false">IF(AN7&gt;=Assumptions!$F$106,Assumptions!$F$105,0)</f>
        <v>0</v>
      </c>
      <c r="AO72" s="44" t="n">
        <f aca="false">IF(AO7&gt;=Assumptions!$F$106,Assumptions!$F$105,0)</f>
        <v>0</v>
      </c>
      <c r="AP72" s="44" t="n">
        <f aca="false">IF(AP7&gt;=Assumptions!$F$106,Assumptions!$F$105,0)</f>
        <v>0</v>
      </c>
      <c r="AQ72" s="44" t="n">
        <f aca="false">IF(AQ7&gt;=Assumptions!$F$106,Assumptions!$F$105,0)</f>
        <v>0</v>
      </c>
      <c r="AR72" s="44" t="n">
        <f aca="false">IF(AR7&gt;=Assumptions!$F$106,Assumptions!$F$105,0)</f>
        <v>0</v>
      </c>
      <c r="AS72" s="44" t="n">
        <f aca="false">IF(AS7&gt;=Assumptions!$F$106,Assumptions!$F$105,0)</f>
        <v>0</v>
      </c>
      <c r="AT72" s="44" t="n">
        <f aca="false">IF(AT7&gt;=Assumptions!$F$106,Assumptions!$F$105,0)</f>
        <v>0</v>
      </c>
      <c r="AU72" s="44" t="n">
        <f aca="false">IF(AU7&gt;=Assumptions!$F$106,Assumptions!$F$105,0)</f>
        <v>0</v>
      </c>
      <c r="AV72" s="44" t="n">
        <f aca="false">IF(AV7&gt;=Assumptions!$F$106,Assumptions!$F$105,0)</f>
        <v>0</v>
      </c>
      <c r="AW72" s="44" t="n">
        <f aca="false">IF(AW7&gt;=Assumptions!$F$106,Assumptions!$F$105,0)</f>
        <v>0</v>
      </c>
      <c r="AX72" s="44" t="n">
        <f aca="false">IF(AX7&gt;=Assumptions!$F$106,Assumptions!$F$105,0)</f>
        <v>0</v>
      </c>
      <c r="AY72" s="44" t="n">
        <f aca="false">IF(AY7&gt;=Assumptions!$F$106,Assumptions!$F$105,0)</f>
        <v>0</v>
      </c>
      <c r="AZ72" s="44" t="n">
        <f aca="false">IF(AZ7&gt;=Assumptions!$F$106,Assumptions!$F$105,0)</f>
        <v>0</v>
      </c>
      <c r="BA72" s="44" t="n">
        <f aca="false">IF(BA7&gt;=Assumptions!$F$106,Assumptions!$F$105,0)</f>
        <v>0</v>
      </c>
      <c r="BB72" s="44" t="n">
        <f aca="false">IF(BB7&gt;=Assumptions!$F$106,Assumptions!$F$105,0)</f>
        <v>0</v>
      </c>
      <c r="BC72" s="44" t="n">
        <f aca="false">IF(BC7&gt;=Assumptions!$F$106,Assumptions!$F$105,0)</f>
        <v>0</v>
      </c>
      <c r="BD72" s="44" t="n">
        <f aca="false">IF(BD7&gt;=Assumptions!$F$106,Assumptions!$F$105,0)</f>
        <v>0</v>
      </c>
      <c r="BE72" s="44" t="n">
        <f aca="false">IF(BE7&gt;=Assumptions!$F$106,Assumptions!$F$105,0)</f>
        <v>0</v>
      </c>
      <c r="BF72" s="44" t="n">
        <f aca="false">IF(BF7&gt;=Assumptions!$F$106,Assumptions!$F$105,0)</f>
        <v>0</v>
      </c>
      <c r="BG72" s="44" t="n">
        <f aca="false">IF(BG7&gt;=Assumptions!$F$106,Assumptions!$F$105,0)</f>
        <v>0</v>
      </c>
      <c r="BH72" s="44" t="n">
        <f aca="false">IF(BH7&gt;=Assumptions!$F$106,Assumptions!$F$105,0)</f>
        <v>0</v>
      </c>
      <c r="BI72" s="44" t="n">
        <f aca="false">IF(BI7&gt;=Assumptions!$F$106,Assumptions!$F$105,0)</f>
        <v>0</v>
      </c>
      <c r="BJ72" s="44" t="n">
        <f aca="false">IF(BJ7&gt;=Assumptions!$F$106,Assumptions!$F$105,0)</f>
        <v>0</v>
      </c>
      <c r="BK72" s="44" t="n">
        <f aca="false">IF(BK7&gt;=Assumptions!$F$106,Assumptions!$F$105,0)</f>
        <v>0</v>
      </c>
    </row>
    <row r="73" customFormat="false" ht="15" hidden="false" customHeight="false" outlineLevel="0" collapsed="false">
      <c r="A73" s="28" t="s">
        <v>655</v>
      </c>
      <c r="B73" s="6" t="s">
        <v>656</v>
      </c>
      <c r="C73" s="43"/>
      <c r="D73" s="22" t="n">
        <f aca="false">Assumptions!C$144</f>
        <v>3500</v>
      </c>
      <c r="E73" s="22" t="n">
        <f aca="false">Assumptions!D$144</f>
        <v>1500</v>
      </c>
      <c r="F73" s="22" t="n">
        <f aca="false">Assumptions!E$144</f>
        <v>3000</v>
      </c>
      <c r="G73" s="22" t="n">
        <f aca="false">Assumptions!F$144</f>
        <v>0</v>
      </c>
      <c r="H73" s="22" t="n">
        <f aca="false">Assumptions!G$144</f>
        <v>0</v>
      </c>
      <c r="I73" s="22" t="n">
        <f aca="false">Assumptions!H$144</f>
        <v>0</v>
      </c>
      <c r="J73" s="22" t="n">
        <f aca="false">Assumptions!I$144</f>
        <v>0</v>
      </c>
      <c r="K73" s="22" t="n">
        <f aca="false">Assumptions!J$144</f>
        <v>0</v>
      </c>
      <c r="L73" s="22" t="n">
        <f aca="false">Assumptions!K$144</f>
        <v>0</v>
      </c>
      <c r="M73" s="22" t="n">
        <f aca="false">Assumptions!L$144</f>
        <v>0</v>
      </c>
      <c r="N73" s="22" t="n">
        <f aca="false">Assumptions!M$144</f>
        <v>0</v>
      </c>
      <c r="O73" s="22" t="n">
        <f aca="false">Assumptions!N$144</f>
        <v>0</v>
      </c>
      <c r="P73" s="22" t="n">
        <f aca="false">Assumptions!O$144</f>
        <v>0</v>
      </c>
      <c r="Q73" s="22" t="n">
        <f aca="false">Assumptions!P$144</f>
        <v>0</v>
      </c>
      <c r="R73" s="22" t="n">
        <f aca="false">Assumptions!Q$144</f>
        <v>0</v>
      </c>
      <c r="S73" s="22" t="n">
        <f aca="false">Assumptions!R$144</f>
        <v>0</v>
      </c>
      <c r="T73" s="22" t="n">
        <f aca="false">Assumptions!S$144</f>
        <v>0</v>
      </c>
      <c r="U73" s="22" t="n">
        <f aca="false">Assumptions!T$144</f>
        <v>0</v>
      </c>
      <c r="V73" s="22" t="n">
        <f aca="false">Assumptions!U$144</f>
        <v>0</v>
      </c>
      <c r="W73" s="22" t="n">
        <f aca="false">Assumptions!V$144</f>
        <v>0</v>
      </c>
      <c r="X73" s="22" t="n">
        <f aca="false">Assumptions!W$144</f>
        <v>0</v>
      </c>
      <c r="Y73" s="22" t="n">
        <f aca="false">Assumptions!X$144</f>
        <v>0</v>
      </c>
      <c r="Z73" s="22" t="n">
        <f aca="false">Assumptions!Y$144</f>
        <v>0</v>
      </c>
      <c r="AA73" s="22" t="n">
        <f aca="false">Assumptions!Z$144</f>
        <v>0</v>
      </c>
      <c r="AB73" s="22" t="n">
        <f aca="false">Assumptions!AA$144</f>
        <v>0</v>
      </c>
      <c r="AC73" s="22" t="n">
        <f aca="false">Assumptions!AB$144</f>
        <v>0</v>
      </c>
      <c r="AD73" s="22" t="n">
        <f aca="false">Assumptions!AC$144</f>
        <v>0</v>
      </c>
      <c r="AE73" s="22" t="n">
        <f aca="false">Assumptions!AD$144</f>
        <v>0</v>
      </c>
      <c r="AF73" s="22" t="n">
        <f aca="false">Assumptions!AE$144</f>
        <v>0</v>
      </c>
      <c r="AG73" s="22" t="n">
        <f aca="false">Assumptions!AF$144</f>
        <v>0</v>
      </c>
      <c r="AH73" s="22" t="n">
        <f aca="false">Assumptions!AG$144</f>
        <v>0</v>
      </c>
      <c r="AI73" s="22" t="n">
        <f aca="false">Assumptions!AH$144</f>
        <v>0</v>
      </c>
      <c r="AJ73" s="22" t="n">
        <f aca="false">Assumptions!AI$144</f>
        <v>0</v>
      </c>
      <c r="AK73" s="22" t="n">
        <f aca="false">Assumptions!AJ$144</f>
        <v>0</v>
      </c>
      <c r="AL73" s="22" t="n">
        <f aca="false">Assumptions!AK$144</f>
        <v>0</v>
      </c>
      <c r="AM73" s="22" t="n">
        <f aca="false">Assumptions!AL$144</f>
        <v>0</v>
      </c>
      <c r="AN73" s="49" t="n">
        <f aca="false">Assumptions!AM$144</f>
        <v>0</v>
      </c>
      <c r="AO73" s="49" t="n">
        <f aca="false">Assumptions!AN$144</f>
        <v>0</v>
      </c>
      <c r="AP73" s="49" t="n">
        <f aca="false">Assumptions!AO$144</f>
        <v>0</v>
      </c>
      <c r="AQ73" s="49" t="n">
        <f aca="false">Assumptions!AP$144</f>
        <v>0</v>
      </c>
      <c r="AR73" s="49" t="n">
        <f aca="false">Assumptions!AQ$144</f>
        <v>0</v>
      </c>
      <c r="AS73" s="49" t="n">
        <f aca="false">Assumptions!AR$144</f>
        <v>0</v>
      </c>
      <c r="AT73" s="49" t="n">
        <f aca="false">Assumptions!AS$144</f>
        <v>0</v>
      </c>
      <c r="AU73" s="49" t="n">
        <f aca="false">Assumptions!AT$144</f>
        <v>0</v>
      </c>
      <c r="AV73" s="49" t="n">
        <f aca="false">Assumptions!AU$144</f>
        <v>0</v>
      </c>
      <c r="AW73" s="49" t="n">
        <f aca="false">Assumptions!AV$144</f>
        <v>0</v>
      </c>
      <c r="AX73" s="49" t="n">
        <f aca="false">Assumptions!AW$144</f>
        <v>0</v>
      </c>
      <c r="AY73" s="49" t="n">
        <f aca="false">Assumptions!AX$144</f>
        <v>0</v>
      </c>
      <c r="AZ73" s="49" t="n">
        <f aca="false">Assumptions!AY$144</f>
        <v>0</v>
      </c>
      <c r="BA73" s="49" t="n">
        <f aca="false">Assumptions!AZ$144</f>
        <v>0</v>
      </c>
      <c r="BB73" s="49" t="n">
        <f aca="false">Assumptions!BA$144</f>
        <v>0</v>
      </c>
      <c r="BC73" s="49" t="n">
        <f aca="false">Assumptions!BB$144</f>
        <v>0</v>
      </c>
      <c r="BD73" s="49" t="n">
        <f aca="false">Assumptions!BC$144</f>
        <v>0</v>
      </c>
      <c r="BE73" s="49" t="n">
        <f aca="false">Assumptions!BD$144</f>
        <v>0</v>
      </c>
      <c r="BF73" s="49" t="n">
        <f aca="false">Assumptions!BE$144</f>
        <v>0</v>
      </c>
      <c r="BG73" s="49" t="n">
        <f aca="false">Assumptions!BF$144</f>
        <v>0</v>
      </c>
      <c r="BH73" s="49" t="n">
        <f aca="false">Assumptions!BG$144</f>
        <v>0</v>
      </c>
      <c r="BI73" s="49" t="n">
        <f aca="false">Assumptions!BH$144</f>
        <v>0</v>
      </c>
      <c r="BJ73" s="49" t="n">
        <f aca="false">Assumptions!BI$144</f>
        <v>0</v>
      </c>
      <c r="BK73" s="49" t="n">
        <f aca="false">Assumptions!BJ$144</f>
        <v>0</v>
      </c>
    </row>
    <row r="74" customFormat="false" ht="15" hidden="false" customHeight="false" outlineLevel="0" collapsed="false">
      <c r="A74" s="28" t="s">
        <v>657</v>
      </c>
      <c r="B74" s="5" t="s">
        <v>658</v>
      </c>
      <c r="C74" s="43"/>
      <c r="D74" s="45" t="n">
        <f aca="false">D69+D70+D71+D72+D73</f>
        <v>6965</v>
      </c>
      <c r="E74" s="45" t="n">
        <f aca="false">E69+E70+E71+E72+E73</f>
        <v>4965</v>
      </c>
      <c r="F74" s="45" t="n">
        <f aca="false">F69+F70+F71+F72+F73</f>
        <v>6465</v>
      </c>
      <c r="G74" s="45" t="n">
        <f aca="false">G69+G70+G71+G72+G73</f>
        <v>3465</v>
      </c>
      <c r="H74" s="45" t="n">
        <f aca="false">H69+H70+H71+H72+H73</f>
        <v>3465</v>
      </c>
      <c r="I74" s="45" t="n">
        <f aca="false">I69+I70+I71+I72+I73</f>
        <v>3465</v>
      </c>
      <c r="J74" s="45" t="n">
        <f aca="false">J69+J70+J71+J72+J73</f>
        <v>3465</v>
      </c>
      <c r="K74" s="45" t="n">
        <f aca="false">K69+K70+K71+K72+K73</f>
        <v>3465</v>
      </c>
      <c r="L74" s="45" t="n">
        <f aca="false">L69+L70+L71+L72+L73</f>
        <v>3465</v>
      </c>
      <c r="M74" s="45" t="n">
        <f aca="false">M69+M70+M71+M72+M73</f>
        <v>3465</v>
      </c>
      <c r="N74" s="45" t="n">
        <f aca="false">N69+N70+N71+N72+N73</f>
        <v>3465</v>
      </c>
      <c r="O74" s="45" t="n">
        <f aca="false">O69+O70+O71+O72+O73</f>
        <v>3465</v>
      </c>
      <c r="P74" s="45" t="n">
        <f aca="false">P69+P70+P71+P72+P73</f>
        <v>3965</v>
      </c>
      <c r="Q74" s="45" t="n">
        <f aca="false">Q69+Q70+Q71+Q72+Q73</f>
        <v>3965</v>
      </c>
      <c r="R74" s="45" t="n">
        <f aca="false">R69+R70+R71+R72+R73</f>
        <v>3965</v>
      </c>
      <c r="S74" s="45" t="n">
        <f aca="false">S69+S70+S71+S72+S73</f>
        <v>3965</v>
      </c>
      <c r="T74" s="45" t="n">
        <f aca="false">T69+T70+T71+T72+T73</f>
        <v>3965</v>
      </c>
      <c r="U74" s="45" t="n">
        <f aca="false">U69+U70+U71+U72+U73</f>
        <v>3965</v>
      </c>
      <c r="V74" s="45" t="n">
        <f aca="false">V69+V70+V71+V72+V73</f>
        <v>3965</v>
      </c>
      <c r="W74" s="45" t="n">
        <f aca="false">W69+W70+W71+W72+W73</f>
        <v>3965</v>
      </c>
      <c r="X74" s="45" t="n">
        <f aca="false">X69+X70+X71+X72+X73</f>
        <v>3965</v>
      </c>
      <c r="Y74" s="45" t="n">
        <f aca="false">Y69+Y70+Y71+Y72+Y73</f>
        <v>3965</v>
      </c>
      <c r="Z74" s="45" t="n">
        <f aca="false">Z69+Z70+Z71+Z72+Z73</f>
        <v>3965</v>
      </c>
      <c r="AA74" s="45" t="n">
        <f aca="false">AA69+AA70+AA71+AA72+AA73</f>
        <v>3965</v>
      </c>
      <c r="AB74" s="45" t="n">
        <f aca="false">AB69+AB70+AB71+AB72+AB73</f>
        <v>4465</v>
      </c>
      <c r="AC74" s="45" t="n">
        <f aca="false">AC69+AC70+AC71+AC72+AC73</f>
        <v>4465</v>
      </c>
      <c r="AD74" s="45" t="n">
        <f aca="false">AD69+AD70+AD71+AD72+AD73</f>
        <v>4465</v>
      </c>
      <c r="AE74" s="45" t="n">
        <f aca="false">AE69+AE70+AE71+AE72+AE73</f>
        <v>4465</v>
      </c>
      <c r="AF74" s="45" t="n">
        <f aca="false">AF69+AF70+AF71+AF72+AF73</f>
        <v>4465</v>
      </c>
      <c r="AG74" s="45" t="n">
        <f aca="false">AG69+AG70+AG71+AG72+AG73</f>
        <v>4465</v>
      </c>
      <c r="AH74" s="45" t="n">
        <f aca="false">AH69+AH70+AH71+AH72+AH73</f>
        <v>4465</v>
      </c>
      <c r="AI74" s="45" t="n">
        <f aca="false">AI69+AI70+AI71+AI72+AI73</f>
        <v>4465</v>
      </c>
      <c r="AJ74" s="45" t="n">
        <f aca="false">AJ69+AJ70+AJ71+AJ72+AJ73</f>
        <v>4465</v>
      </c>
      <c r="AK74" s="45" t="n">
        <f aca="false">AK69+AK70+AK71+AK72+AK73</f>
        <v>4465</v>
      </c>
      <c r="AL74" s="45" t="n">
        <f aca="false">AL69+AL70+AL71+AL72+AL73</f>
        <v>4465</v>
      </c>
      <c r="AM74" s="45" t="n">
        <f aca="false">AM69+AM70+AM71+AM72+AM73</f>
        <v>4465</v>
      </c>
      <c r="AN74" s="46" t="n">
        <f aca="false">AN69+AN70+AN71+AN72+AN73</f>
        <v>4465</v>
      </c>
      <c r="AO74" s="46" t="n">
        <f aca="false">AO69+AO70+AO71+AO72+AO73</f>
        <v>4465</v>
      </c>
      <c r="AP74" s="46" t="n">
        <f aca="false">AP69+AP70+AP71+AP72+AP73</f>
        <v>4465</v>
      </c>
      <c r="AQ74" s="46" t="n">
        <f aca="false">AQ69+AQ70+AQ71+AQ72+AQ73</f>
        <v>4465</v>
      </c>
      <c r="AR74" s="46" t="n">
        <f aca="false">AR69+AR70+AR71+AR72+AR73</f>
        <v>4465</v>
      </c>
      <c r="AS74" s="46" t="n">
        <f aca="false">AS69+AS70+AS71+AS72+AS73</f>
        <v>4465</v>
      </c>
      <c r="AT74" s="46" t="n">
        <f aca="false">AT69+AT70+AT71+AT72+AT73</f>
        <v>4465</v>
      </c>
      <c r="AU74" s="46" t="n">
        <f aca="false">AU69+AU70+AU71+AU72+AU73</f>
        <v>4465</v>
      </c>
      <c r="AV74" s="46" t="n">
        <f aca="false">AV69+AV70+AV71+AV72+AV73</f>
        <v>4465</v>
      </c>
      <c r="AW74" s="46" t="n">
        <f aca="false">AW69+AW70+AW71+AW72+AW73</f>
        <v>4465</v>
      </c>
      <c r="AX74" s="46" t="n">
        <f aca="false">AX69+AX70+AX71+AX72+AX73</f>
        <v>4465</v>
      </c>
      <c r="AY74" s="46" t="n">
        <f aca="false">AY69+AY70+AY71+AY72+AY73</f>
        <v>4465</v>
      </c>
      <c r="AZ74" s="46" t="n">
        <f aca="false">AZ69+AZ70+AZ71+AZ72+AZ73</f>
        <v>4465</v>
      </c>
      <c r="BA74" s="46" t="n">
        <f aca="false">BA69+BA70+BA71+BA72+BA73</f>
        <v>4465</v>
      </c>
      <c r="BB74" s="46" t="n">
        <f aca="false">BB69+BB70+BB71+BB72+BB73</f>
        <v>4465</v>
      </c>
      <c r="BC74" s="46" t="n">
        <f aca="false">BC69+BC70+BC71+BC72+BC73</f>
        <v>4465</v>
      </c>
      <c r="BD74" s="46" t="n">
        <f aca="false">BD69+BD70+BD71+BD72+BD73</f>
        <v>4465</v>
      </c>
      <c r="BE74" s="46" t="n">
        <f aca="false">BE69+BE70+BE71+BE72+BE73</f>
        <v>8665</v>
      </c>
      <c r="BF74" s="46" t="n">
        <f aca="false">BF69+BF70+BF71+BF72+BF73</f>
        <v>8665</v>
      </c>
      <c r="BG74" s="46" t="n">
        <f aca="false">BG69+BG70+BG71+BG72+BG73</f>
        <v>8665</v>
      </c>
      <c r="BH74" s="46" t="n">
        <f aca="false">BH69+BH70+BH71+BH72+BH73</f>
        <v>8665</v>
      </c>
      <c r="BI74" s="46" t="n">
        <f aca="false">BI69+BI70+BI71+BI72+BI73</f>
        <v>8665</v>
      </c>
      <c r="BJ74" s="46" t="n">
        <f aca="false">BJ69+BJ70+BJ71+BJ72+BJ73</f>
        <v>8665</v>
      </c>
      <c r="BK74" s="46" t="n">
        <f aca="false">BK69+BK70+BK71+BK72+BK73</f>
        <v>8665</v>
      </c>
    </row>
    <row r="75" customFormat="false" ht="15" hidden="false" customHeight="false" outlineLevel="0" collapsed="false">
      <c r="B75" s="5" t="s">
        <v>659</v>
      </c>
    </row>
    <row r="76" customFormat="false" ht="15" hidden="false" customHeight="false" outlineLevel="0" collapsed="false">
      <c r="A76" s="28" t="s">
        <v>660</v>
      </c>
      <c r="B76" s="5" t="s">
        <v>661</v>
      </c>
      <c r="C76" s="43"/>
      <c r="D76" s="45" t="n">
        <f aca="false">D59-D67-D74</f>
        <v>-6965</v>
      </c>
      <c r="E76" s="45" t="n">
        <f aca="false">E59-E67-E74</f>
        <v>-4965</v>
      </c>
      <c r="F76" s="45" t="n">
        <f aca="false">F59-F67-F74</f>
        <v>-6465</v>
      </c>
      <c r="G76" s="45" t="n">
        <f aca="false">G59-G67-G74</f>
        <v>-3465</v>
      </c>
      <c r="H76" s="45" t="n">
        <f aca="false">H59-H67-H74</f>
        <v>-4929.70066666667</v>
      </c>
      <c r="I76" s="45" t="n">
        <f aca="false">I59-I67-I74</f>
        <v>-4139.08319333333</v>
      </c>
      <c r="J76" s="45" t="n">
        <f aca="false">J59-J67-J74</f>
        <v>-3973.15513143333</v>
      </c>
      <c r="K76" s="45" t="n">
        <f aca="false">K59-K67-K74</f>
        <v>-5313.37216209517</v>
      </c>
      <c r="L76" s="45" t="n">
        <f aca="false">L59-L67-L74</f>
        <v>-5881.93986929207</v>
      </c>
      <c r="M76" s="45" t="n">
        <f aca="false">M59-M67-M74</f>
        <v>-4899.05574934444</v>
      </c>
      <c r="N76" s="45" t="n">
        <f aca="false">N59-N67-N74</f>
        <v>-5956.41065111868</v>
      </c>
      <c r="O76" s="45" t="n">
        <f aca="false">O59-O67-O74</f>
        <v>-6398.64912658157</v>
      </c>
      <c r="P76" s="45" t="n">
        <f aca="false">P59-P67-P74</f>
        <v>-7248.41848243218</v>
      </c>
      <c r="Q76" s="45" t="n">
        <f aca="false">Q59-Q67-Q74</f>
        <v>-7460.74868992967</v>
      </c>
      <c r="R76" s="45" t="n">
        <f aca="false">R59-R67-R74</f>
        <v>-7584.04542281082</v>
      </c>
      <c r="S76" s="45" t="n">
        <f aca="false">S59-S67-S74</f>
        <v>-7020.45173141058</v>
      </c>
      <c r="T76" s="45" t="n">
        <f aca="false">T59-T67-T74</f>
        <v>-6806.7576397165</v>
      </c>
      <c r="U76" s="45" t="n">
        <f aca="false">U59-U67-U74</f>
        <v>-6582.54049783185</v>
      </c>
      <c r="V76" s="45" t="n">
        <f aca="false">V59-V67-V74</f>
        <v>-6349.17590469437</v>
      </c>
      <c r="W76" s="45" t="n">
        <f aca="false">W59-W67-W74</f>
        <v>-7582.94261783769</v>
      </c>
      <c r="X76" s="45" t="n">
        <f aca="false">X59-X67-X74</f>
        <v>-6538.55392448711</v>
      </c>
      <c r="Y76" s="45" t="n">
        <f aca="false">Y59-Y67-Y74</f>
        <v>-6107.14426965682</v>
      </c>
      <c r="Z76" s="45" t="n">
        <f aca="false">Z59-Z67-Z74</f>
        <v>-7185.12451140925</v>
      </c>
      <c r="AA76" s="45" t="n">
        <f aca="false">AA59-AA67-AA74</f>
        <v>-6055.69909238343</v>
      </c>
      <c r="AB76" s="45" t="n">
        <f aca="false">AB59-AB67-AB74</f>
        <v>-6067.19235033112</v>
      </c>
      <c r="AC76" s="45" t="n">
        <f aca="false">AC59-AC67-AC74</f>
        <v>-6749.15630064002</v>
      </c>
      <c r="AD76" s="45" t="n">
        <f aca="false">AD59-AD67-AD74</f>
        <v>-6796.38173962533</v>
      </c>
      <c r="AE76" s="45" t="n">
        <f aca="false">AE59-AE67-AE74</f>
        <v>-5197.27852007906</v>
      </c>
      <c r="AF76" s="45" t="n">
        <f aca="false">AF59-AF67-AF74</f>
        <v>-5381.9686211963</v>
      </c>
      <c r="AG76" s="45" t="n">
        <f aca="false">AG59-AG67-AG74</f>
        <v>-5161.897491459</v>
      </c>
      <c r="AH76" s="45" t="n">
        <f aca="false">AH59-AH67-AH74</f>
        <v>-3321.48531802429</v>
      </c>
      <c r="AI76" s="45" t="n">
        <f aca="false">AI59-AI67-AI74</f>
        <v>-3315.98460079201</v>
      </c>
      <c r="AJ76" s="45" t="n">
        <f aca="false">AJ59-AJ67-AJ74</f>
        <v>-2911.72280735739</v>
      </c>
      <c r="AK76" s="45" t="n">
        <f aca="false">AK59-AK67-AK74</f>
        <v>-2769.08523900858</v>
      </c>
      <c r="AL76" s="45" t="n">
        <f aca="false">AL59-AL67-AL74</f>
        <v>-2217.37836075572</v>
      </c>
      <c r="AM76" s="45" t="n">
        <f aca="false">AM59-AM67-AM74</f>
        <v>-1648.64654450398</v>
      </c>
      <c r="AN76" s="46" t="n">
        <f aca="false">AN59-AN67-AN74</f>
        <v>-1340.48894552409</v>
      </c>
      <c r="AO76" s="46" t="n">
        <f aca="false">AO59-AO67-AO74</f>
        <v>-646.00179579117</v>
      </c>
      <c r="AP76" s="46" t="n">
        <f aca="false">AP59-AP67-AP74</f>
        <v>59.5085232425399</v>
      </c>
      <c r="AQ76" s="46" t="n">
        <f aca="false">AQ59-AQ67-AQ74</f>
        <v>774.529629547295</v>
      </c>
      <c r="AR76" s="46" t="n">
        <f aca="false">AR59-AR67-AR74</f>
        <v>1497.88737409932</v>
      </c>
      <c r="AS76" s="46" t="n">
        <f aca="false">AS59-AS67-AS74</f>
        <v>2228.63981790102</v>
      </c>
      <c r="AT76" s="46" t="n">
        <f aca="false">AT59-AT67-AT74</f>
        <v>2995.09219589953</v>
      </c>
      <c r="AU76" s="46" t="n">
        <f aca="false">AU59-AU67-AU74</f>
        <v>3739.29227031213</v>
      </c>
      <c r="AV76" s="46" t="n">
        <f aca="false">AV59-AV67-AV74</f>
        <v>4488.4911297979</v>
      </c>
      <c r="AW76" s="46" t="n">
        <f aca="false">AW59-AW67-AW74</f>
        <v>5271.34949047791</v>
      </c>
      <c r="AX76" s="46" t="n">
        <f aca="false">AX59-AX67-AX74</f>
        <v>6030.17803730656</v>
      </c>
      <c r="AY76" s="46" t="n">
        <f aca="false">AY59-AY67-AY74</f>
        <v>6705.92986974251</v>
      </c>
      <c r="AZ76" s="46" t="n">
        <f aca="false">AZ59-AZ67-AZ74</f>
        <v>7500.42155084373</v>
      </c>
      <c r="BA76" s="46" t="n">
        <f aca="false">BA59-BA67-BA74</f>
        <v>8298.67883916102</v>
      </c>
      <c r="BB76" s="46" t="n">
        <f aca="false">BB59-BB67-BB74</f>
        <v>9070.53585998005</v>
      </c>
      <c r="BC76" s="46" t="n">
        <f aca="false">BC59-BC67-BC74</f>
        <v>9873.60711616142</v>
      </c>
      <c r="BD76" s="46" t="n">
        <f aca="false">BD59-BD67-BD74</f>
        <v>10679.1503434844</v>
      </c>
      <c r="BE76" s="46" t="n">
        <f aca="false">BE59-BE67-BE74</f>
        <v>7257.13371647301</v>
      </c>
      <c r="BF76" s="46" t="n">
        <f aca="false">BF59-BF67-BF74</f>
        <v>8065.28085286009</v>
      </c>
      <c r="BG76" s="46" t="n">
        <f aca="false">BG59-BG67-BG74</f>
        <v>8874.94100328598</v>
      </c>
      <c r="BH76" s="46" t="n">
        <f aca="false">BH59-BH67-BH74</f>
        <v>9685.68264509998</v>
      </c>
      <c r="BI76" s="46" t="n">
        <f aca="false">BI59-BI67-BI74</f>
        <v>10497.1356783475</v>
      </c>
      <c r="BJ76" s="46" t="n">
        <f aca="false">BJ59-BJ67-BJ74</f>
        <v>11308.9763926406</v>
      </c>
      <c r="BK76" s="46" t="n">
        <f aca="false">BK59-BK67-BK74</f>
        <v>12031.36052996</v>
      </c>
    </row>
    <row r="77" customFormat="false" ht="15" hidden="false" customHeight="false" outlineLevel="0" collapsed="false">
      <c r="A77" s="28" t="s">
        <v>662</v>
      </c>
      <c r="B77" s="5" t="s">
        <v>663</v>
      </c>
      <c r="C77" s="50" t="n">
        <f aca="false">Assumptions!$F$9</f>
        <v>0</v>
      </c>
      <c r="D77" s="45" t="n">
        <f aca="false">C77+D76</f>
        <v>-6965</v>
      </c>
      <c r="E77" s="45" t="n">
        <f aca="false">D77+E76</f>
        <v>-11930</v>
      </c>
      <c r="F77" s="45" t="n">
        <f aca="false">E77+F76</f>
        <v>-18395</v>
      </c>
      <c r="G77" s="45" t="n">
        <f aca="false">F77+G76</f>
        <v>-21860</v>
      </c>
      <c r="H77" s="45" t="n">
        <f aca="false">G77+H76</f>
        <v>-26789.7006666667</v>
      </c>
      <c r="I77" s="45" t="n">
        <f aca="false">H77+I76</f>
        <v>-30928.78386</v>
      </c>
      <c r="J77" s="45" t="n">
        <f aca="false">I77+J76</f>
        <v>-34901.9389914333</v>
      </c>
      <c r="K77" s="45" t="n">
        <f aca="false">J77+K76</f>
        <v>-40215.3111535285</v>
      </c>
      <c r="L77" s="45" t="n">
        <f aca="false">K77+L76</f>
        <v>-46097.2510228206</v>
      </c>
      <c r="M77" s="45" t="n">
        <f aca="false">L77+M76</f>
        <v>-50996.306772165</v>
      </c>
      <c r="N77" s="45" t="n">
        <f aca="false">M77+N76</f>
        <v>-56952.7174232837</v>
      </c>
      <c r="O77" s="45" t="n">
        <f aca="false">N77+O76</f>
        <v>-63351.3665498653</v>
      </c>
      <c r="P77" s="45" t="n">
        <f aca="false">O77+P76</f>
        <v>-70599.7850322975</v>
      </c>
      <c r="Q77" s="45" t="n">
        <f aca="false">P77+Q76</f>
        <v>-78060.5337222271</v>
      </c>
      <c r="R77" s="45" t="n">
        <f aca="false">Q77+R76</f>
        <v>-85644.579145038</v>
      </c>
      <c r="S77" s="45" t="n">
        <f aca="false">R77+S76</f>
        <v>-92665.0308764485</v>
      </c>
      <c r="T77" s="45" t="n">
        <f aca="false">S77+T76</f>
        <v>-99471.788516165</v>
      </c>
      <c r="U77" s="45" t="n">
        <f aca="false">T77+U76</f>
        <v>-106054.329013997</v>
      </c>
      <c r="V77" s="45" t="n">
        <f aca="false">U77+V76</f>
        <v>-112403.504918691</v>
      </c>
      <c r="W77" s="45" t="n">
        <f aca="false">V77+W76</f>
        <v>-119986.447536529</v>
      </c>
      <c r="X77" s="45" t="n">
        <f aca="false">W77+X76</f>
        <v>-126525.001461016</v>
      </c>
      <c r="Y77" s="45" t="n">
        <f aca="false">X77+Y76</f>
        <v>-132632.145730673</v>
      </c>
      <c r="Z77" s="45" t="n">
        <f aca="false">Y77+Z76</f>
        <v>-139817.270242082</v>
      </c>
      <c r="AA77" s="45" t="n">
        <f aca="false">Z77+AA76</f>
        <v>-145872.969334466</v>
      </c>
      <c r="AB77" s="45" t="n">
        <f aca="false">AA77+AB76</f>
        <v>-151940.161684797</v>
      </c>
      <c r="AC77" s="45" t="n">
        <f aca="false">AB77+AC76</f>
        <v>-158689.317985437</v>
      </c>
      <c r="AD77" s="45" t="n">
        <f aca="false">AC77+AD76</f>
        <v>-165485.699725062</v>
      </c>
      <c r="AE77" s="45" t="n">
        <f aca="false">AD77+AE76</f>
        <v>-170682.978245141</v>
      </c>
      <c r="AF77" s="45" t="n">
        <f aca="false">AE77+AF76</f>
        <v>-176064.946866337</v>
      </c>
      <c r="AG77" s="45" t="n">
        <f aca="false">AF77+AG76</f>
        <v>-181226.844357796</v>
      </c>
      <c r="AH77" s="45" t="n">
        <f aca="false">AG77+AH76</f>
        <v>-184548.329675821</v>
      </c>
      <c r="AI77" s="45" t="n">
        <f aca="false">AH77+AI76</f>
        <v>-187864.314276613</v>
      </c>
      <c r="AJ77" s="45" t="n">
        <f aca="false">AI77+AJ76</f>
        <v>-190776.03708397</v>
      </c>
      <c r="AK77" s="45" t="n">
        <f aca="false">AJ77+AK76</f>
        <v>-193545.122322979</v>
      </c>
      <c r="AL77" s="45" t="n">
        <f aca="false">AK77+AL76</f>
        <v>-195762.500683734</v>
      </c>
      <c r="AM77" s="45" t="n">
        <f aca="false">AL77+AM76</f>
        <v>-197411.147228238</v>
      </c>
      <c r="AN77" s="46" t="n">
        <f aca="false">AM77+AN76</f>
        <v>-198751.636173762</v>
      </c>
      <c r="AO77" s="46" t="n">
        <f aca="false">AN77+AO76</f>
        <v>-199397.637969554</v>
      </c>
      <c r="AP77" s="46" t="n">
        <f aca="false">AO77+AP76</f>
        <v>-199338.129446311</v>
      </c>
      <c r="AQ77" s="46" t="n">
        <f aca="false">AP77+AQ76</f>
        <v>-198563.599816764</v>
      </c>
      <c r="AR77" s="46" t="n">
        <f aca="false">AQ77+AR76</f>
        <v>-197065.712442664</v>
      </c>
      <c r="AS77" s="46" t="n">
        <f aca="false">AR77+AS76</f>
        <v>-194837.072624763</v>
      </c>
      <c r="AT77" s="46" t="n">
        <f aca="false">AS77+AT76</f>
        <v>-191841.980428864</v>
      </c>
      <c r="AU77" s="46" t="n">
        <f aca="false">AT77+AU76</f>
        <v>-188102.688158552</v>
      </c>
      <c r="AV77" s="46" t="n">
        <f aca="false">AU77+AV76</f>
        <v>-183614.197028754</v>
      </c>
      <c r="AW77" s="46" t="n">
        <f aca="false">AV77+AW76</f>
        <v>-178342.847538276</v>
      </c>
      <c r="AX77" s="46" t="n">
        <f aca="false">AW77+AX76</f>
        <v>-172312.669500969</v>
      </c>
      <c r="AY77" s="46" t="n">
        <f aca="false">AX77+AY76</f>
        <v>-165606.739631227</v>
      </c>
      <c r="AZ77" s="46" t="n">
        <f aca="false">AY77+AZ76</f>
        <v>-158106.318080383</v>
      </c>
      <c r="BA77" s="46" t="n">
        <f aca="false">AZ77+BA76</f>
        <v>-149807.639241222</v>
      </c>
      <c r="BB77" s="46" t="n">
        <f aca="false">BA77+BB76</f>
        <v>-140737.103381242</v>
      </c>
      <c r="BC77" s="46" t="n">
        <f aca="false">BB77+BC76</f>
        <v>-130863.496265081</v>
      </c>
      <c r="BD77" s="46" t="n">
        <f aca="false">BC77+BD76</f>
        <v>-120184.345921596</v>
      </c>
      <c r="BE77" s="46" t="n">
        <f aca="false">BD77+BE76</f>
        <v>-112927.212205123</v>
      </c>
      <c r="BF77" s="46" t="n">
        <f aca="false">BE77+BF76</f>
        <v>-104861.931352263</v>
      </c>
      <c r="BG77" s="46" t="n">
        <f aca="false">BF77+BG76</f>
        <v>-95986.9903489772</v>
      </c>
      <c r="BH77" s="46" t="n">
        <f aca="false">BG77+BH76</f>
        <v>-86301.3077038772</v>
      </c>
      <c r="BI77" s="46" t="n">
        <f aca="false">BH77+BI76</f>
        <v>-75804.1720255297</v>
      </c>
      <c r="BJ77" s="46" t="n">
        <f aca="false">BI77+BJ76</f>
        <v>-64495.1956328892</v>
      </c>
      <c r="BK77" s="46" t="n">
        <f aca="false">BJ77+BK76</f>
        <v>-52463.8351029292</v>
      </c>
    </row>
    <row r="78" customFormat="false" ht="15" hidden="false" customHeight="false" outlineLevel="0" collapsed="false">
      <c r="A78" s="28" t="s">
        <v>664</v>
      </c>
      <c r="B78" s="6" t="s">
        <v>665</v>
      </c>
      <c r="C78" s="43"/>
      <c r="D78" s="17" t="n">
        <f aca="false">D39*Assumptions!$F$49+D39/Assumptions!$F$48*Assumptions!$F$50</f>
        <v>0</v>
      </c>
      <c r="E78" s="17" t="n">
        <f aca="false">E39*Assumptions!$F$49+E39/Assumptions!$F$48*Assumptions!$F$50</f>
        <v>0</v>
      </c>
      <c r="F78" s="17" t="n">
        <f aca="false">F39*Assumptions!$F$49+F39/Assumptions!$F$48*Assumptions!$F$50</f>
        <v>0</v>
      </c>
      <c r="G78" s="17" t="n">
        <f aca="false">G39*Assumptions!$F$49+G39/Assumptions!$F$48*Assumptions!$F$50</f>
        <v>0</v>
      </c>
      <c r="H78" s="17" t="n">
        <f aca="false">H39*Assumptions!$F$49+H39/Assumptions!$F$48*Assumptions!$F$50</f>
        <v>0</v>
      </c>
      <c r="I78" s="17" t="n">
        <f aca="false">I39*Assumptions!$F$49+I39/Assumptions!$F$48*Assumptions!$F$50</f>
        <v>0</v>
      </c>
      <c r="J78" s="17" t="n">
        <f aca="false">J39*Assumptions!$F$49+J39/Assumptions!$F$48*Assumptions!$F$50</f>
        <v>0</v>
      </c>
      <c r="K78" s="17" t="n">
        <f aca="false">K39*Assumptions!$F$49+K39/Assumptions!$F$48*Assumptions!$F$50</f>
        <v>0</v>
      </c>
      <c r="L78" s="17" t="n">
        <f aca="false">L39*Assumptions!$F$49+L39/Assumptions!$F$48*Assumptions!$F$50</f>
        <v>0</v>
      </c>
      <c r="M78" s="17" t="n">
        <f aca="false">M39*Assumptions!$F$49+M39/Assumptions!$F$48*Assumptions!$F$50</f>
        <v>0</v>
      </c>
      <c r="N78" s="17" t="n">
        <f aca="false">N39*Assumptions!$F$49+N39/Assumptions!$F$48*Assumptions!$F$50</f>
        <v>46.3359350926642</v>
      </c>
      <c r="O78" s="17" t="n">
        <f aca="false">O39*Assumptions!$F$49+O39/Assumptions!$F$48*Assumptions!$F$50</f>
        <v>101.296779261605</v>
      </c>
      <c r="P78" s="17" t="n">
        <f aca="false">P39*Assumptions!$F$49+P39/Assumptions!$F$48*Assumptions!$F$50</f>
        <v>166.060318774114</v>
      </c>
      <c r="Q78" s="17" t="n">
        <f aca="false">Q39*Assumptions!$F$49+Q39/Assumptions!$F$48*Assumptions!$F$50</f>
        <v>240.705396012802</v>
      </c>
      <c r="R78" s="17" t="n">
        <f aca="false">R39*Assumptions!$F$49+R39/Assumptions!$F$48*Assumptions!$F$50</f>
        <v>324.700928994403</v>
      </c>
      <c r="S78" s="17" t="n">
        <f aca="false">S39*Assumptions!$F$49+S39/Assumptions!$F$48*Assumptions!$F$50</f>
        <v>497.22226830185</v>
      </c>
      <c r="T78" s="17" t="n">
        <f aca="false">T39*Assumptions!$F$49+T39/Assumptions!$F$48*Assumptions!$F$50</f>
        <v>685.352140977649</v>
      </c>
      <c r="U78" s="17" t="n">
        <f aca="false">U39*Assumptions!$F$49+U39/Assumptions!$F$48*Assumptions!$F$50</f>
        <v>888.097094088514</v>
      </c>
      <c r="V78" s="17" t="n">
        <f aca="false">V39*Assumptions!$F$49+V39/Assumptions!$F$48*Assumptions!$F$50</f>
        <v>1104.52700125249</v>
      </c>
      <c r="W78" s="17" t="n">
        <f aca="false">W39*Assumptions!$F$49+W39/Assumptions!$F$48*Assumptions!$F$50</f>
        <v>1342.05443262538</v>
      </c>
      <c r="X78" s="17" t="n">
        <f aca="false">X39*Assumptions!$F$49+X39/Assumptions!$F$48*Assumptions!$F$50</f>
        <v>1598.23992638269</v>
      </c>
      <c r="Y78" s="17" t="n">
        <f aca="false">Y39*Assumptions!$F$49+Y39/Assumptions!$F$48*Assumptions!$F$50</f>
        <v>1869.48766200741</v>
      </c>
      <c r="Z78" s="17" t="n">
        <f aca="false">Z39*Assumptions!$F$49+Z39/Assumptions!$F$48*Assumptions!$F$50</f>
        <v>2161.40665390963</v>
      </c>
      <c r="AA78" s="17" t="n">
        <f aca="false">AA39*Assumptions!$F$49+AA39/Assumptions!$F$48*Assumptions!$F$50</f>
        <v>2470.22109687042</v>
      </c>
      <c r="AB78" s="17" t="n">
        <f aca="false">AB39*Assumptions!$F$49+AB39/Assumptions!$F$48*Assumptions!$F$50</f>
        <v>2792.0945409641</v>
      </c>
      <c r="AC78" s="17" t="n">
        <f aca="false">AC39*Assumptions!$F$49+AC39/Assumptions!$F$48*Assumptions!$F$50</f>
        <v>3131.42074077036</v>
      </c>
      <c r="AD78" s="17" t="n">
        <f aca="false">AD39*Assumptions!$F$49+AD39/Assumptions!$F$48*Assumptions!$F$50</f>
        <v>3492.91120994322</v>
      </c>
      <c r="AE78" s="17" t="n">
        <f aca="false">AE39*Assumptions!$F$49+AE39/Assumptions!$F$48*Assumptions!$F$50</f>
        <v>3870.96486969295</v>
      </c>
      <c r="AF78" s="17" t="n">
        <f aca="false">AF39*Assumptions!$F$49+AF39/Assumptions!$F$48*Assumptions!$F$50</f>
        <v>4267.34694393848</v>
      </c>
      <c r="AG78" s="17" t="n">
        <f aca="false">AG39*Assumptions!$F$49+AG39/Assumptions!$F$48*Assumptions!$F$50</f>
        <v>4685.00018151559</v>
      </c>
      <c r="AH78" s="17" t="n">
        <f aca="false">AH39*Assumptions!$F$49+AH39/Assumptions!$F$48*Assumptions!$F$50</f>
        <v>5117.01973214472</v>
      </c>
      <c r="AI78" s="17" t="n">
        <f aca="false">AI39*Assumptions!$F$49+AI39/Assumptions!$F$48*Assumptions!$F$50</f>
        <v>5564.62934573355</v>
      </c>
      <c r="AJ78" s="17" t="n">
        <f aca="false">AJ39*Assumptions!$F$49+AJ39/Assumptions!$F$48*Assumptions!$F$50</f>
        <v>6029.6102574016</v>
      </c>
      <c r="AK78" s="17" t="n">
        <f aca="false">AK39*Assumptions!$F$49+AK39/Assumptions!$F$48*Assumptions!$F$50</f>
        <v>6513.59519554828</v>
      </c>
      <c r="AL78" s="17" t="n">
        <f aca="false">AL39*Assumptions!$F$49+AL39/Assumptions!$F$48*Assumptions!$F$50</f>
        <v>7016.42162269176</v>
      </c>
      <c r="AM78" s="17" t="n">
        <f aca="false">AM39*Assumptions!$F$49+AM39/Assumptions!$F$48*Assumptions!$F$50</f>
        <v>7536.92966422845</v>
      </c>
      <c r="AN78" s="44" t="n">
        <f aca="false">AN39*Assumptions!$F$49+AN39/Assumptions!$F$48*Assumptions!$F$50</f>
        <v>8075.02605741228</v>
      </c>
      <c r="AO78" s="44" t="n">
        <f aca="false">AO39*Assumptions!$F$49+AO39/Assumptions!$F$48*Assumptions!$F$50</f>
        <v>8629.28449194483</v>
      </c>
      <c r="AP78" s="44" t="n">
        <f aca="false">AP39*Assumptions!$F$49+AP39/Assumptions!$F$48*Assumptions!$F$50</f>
        <v>9198.37236360327</v>
      </c>
      <c r="AQ78" s="44" t="n">
        <f aca="false">AQ39*Assumptions!$F$49+AQ39/Assumptions!$F$48*Assumptions!$F$50</f>
        <v>9781.04468059048</v>
      </c>
      <c r="AR78" s="44" t="n">
        <f aca="false">AR39*Assumptions!$F$49+AR39/Assumptions!$F$48*Assumptions!$F$50</f>
        <v>10376.1383748945</v>
      </c>
      <c r="AS78" s="44" t="n">
        <f aca="false">AS39*Assumptions!$F$49+AS39/Assumptions!$F$48*Assumptions!$F$50</f>
        <v>10982.566991127</v>
      </c>
      <c r="AT78" s="44" t="n">
        <f aca="false">AT39*Assumptions!$F$49+AT39/Assumptions!$F$48*Assumptions!$F$50</f>
        <v>11598.9843864078</v>
      </c>
      <c r="AU78" s="44" t="n">
        <f aca="false">AU39*Assumptions!$F$49+AU39/Assumptions!$F$48*Assumptions!$F$50</f>
        <v>12224.4679724628</v>
      </c>
      <c r="AV78" s="44" t="n">
        <f aca="false">AV39*Assumptions!$F$49+AV39/Assumptions!$F$48*Assumptions!$F$50</f>
        <v>12858.1561881222</v>
      </c>
      <c r="AW78" s="44" t="n">
        <f aca="false">AW39*Assumptions!$F$49+AW39/Assumptions!$F$48*Assumptions!$F$50</f>
        <v>13498.91322858</v>
      </c>
      <c r="AX78" s="44" t="n">
        <f aca="false">AX39*Assumptions!$F$49+AX39/Assumptions!$F$48*Assumptions!$F$50</f>
        <v>14146.0132472674</v>
      </c>
      <c r="AY78" s="44" t="n">
        <f aca="false">AY39*Assumptions!$F$49+AY39/Assumptions!$F$48*Assumptions!$F$50</f>
        <v>14798.7787233248</v>
      </c>
      <c r="AZ78" s="44" t="n">
        <f aca="false">AZ39*Assumptions!$F$49+AZ39/Assumptions!$F$48*Assumptions!$F$50</f>
        <v>15456.2460254901</v>
      </c>
      <c r="BA78" s="44" t="n">
        <f aca="false">BA39*Assumptions!$F$49+BA39/Assumptions!$F$48*Assumptions!$F$50</f>
        <v>16117.5190516006</v>
      </c>
      <c r="BB78" s="44" t="n">
        <f aca="false">BB39*Assumptions!$F$49+BB39/Assumptions!$F$48*Assumptions!$F$50</f>
        <v>16782.0961955744</v>
      </c>
      <c r="BC78" s="44" t="n">
        <f aca="false">BC39*Assumptions!$F$49+BC39/Assumptions!$F$48*Assumptions!$F$50</f>
        <v>17449.1783866765</v>
      </c>
      <c r="BD78" s="44" t="n">
        <f aca="false">BD39*Assumptions!$F$49+BD39/Assumptions!$F$48*Assumptions!$F$50</f>
        <v>18118.0234714523</v>
      </c>
      <c r="BE78" s="44" t="n">
        <f aca="false">BE39*Assumptions!$F$49+BE39/Assumptions!$F$48*Assumptions!$F$50</f>
        <v>18788.2738733849</v>
      </c>
      <c r="BF78" s="44" t="n">
        <f aca="false">BF39*Assumptions!$F$49+BF39/Assumptions!$F$48*Assumptions!$F$50</f>
        <v>19459.2652784888</v>
      </c>
      <c r="BG78" s="44" t="n">
        <f aca="false">BG39*Assumptions!$F$49+BG39/Assumptions!$F$48*Assumptions!$F$50</f>
        <v>20130.3816203897</v>
      </c>
      <c r="BH78" s="44" t="n">
        <f aca="false">BH39*Assumptions!$F$49+BH39/Assumptions!$F$48*Assumptions!$F$50</f>
        <v>20801.0519620906</v>
      </c>
      <c r="BI78" s="44" t="n">
        <f aca="false">BI39*Assumptions!$F$49+BI39/Assumptions!$F$48*Assumptions!$F$50</f>
        <v>21470.7475804023</v>
      </c>
      <c r="BJ78" s="44" t="n">
        <f aca="false">BJ39*Assumptions!$F$49+BJ39/Assumptions!$F$48*Assumptions!$F$50</f>
        <v>22138.9792395392</v>
      </c>
      <c r="BK78" s="44" t="n">
        <f aca="false">BK39*Assumptions!$F$49+BK39/Assumptions!$F$48*Assumptions!$F$50</f>
        <v>22805.2946413006</v>
      </c>
    </row>
    <row r="79" customFormat="false" ht="15" hidden="false" customHeight="false" outlineLevel="0" collapsed="false">
      <c r="B79" s="5" t="s">
        <v>666</v>
      </c>
    </row>
    <row r="80" customFormat="false" ht="15" hidden="false" customHeight="false" outlineLevel="0" collapsed="false">
      <c r="A80" s="28" t="s">
        <v>667</v>
      </c>
      <c r="B80" s="6" t="s">
        <v>668</v>
      </c>
      <c r="C80" s="51"/>
      <c r="D80" s="39" t="n">
        <f aca="false">IF(D76&gt;=0,1,0)</f>
        <v>0</v>
      </c>
      <c r="E80" s="39" t="n">
        <f aca="false">IF(E76&gt;=0,1,0)</f>
        <v>0</v>
      </c>
      <c r="F80" s="39" t="n">
        <f aca="false">IF(F76&gt;=0,1,0)</f>
        <v>0</v>
      </c>
      <c r="G80" s="39" t="n">
        <f aca="false">IF(G76&gt;=0,1,0)</f>
        <v>0</v>
      </c>
      <c r="H80" s="39" t="n">
        <f aca="false">IF(H76&gt;=0,1,0)</f>
        <v>0</v>
      </c>
      <c r="I80" s="39" t="n">
        <f aca="false">IF(I76&gt;=0,1,0)</f>
        <v>0</v>
      </c>
      <c r="J80" s="39" t="n">
        <f aca="false">IF(J76&gt;=0,1,0)</f>
        <v>0</v>
      </c>
      <c r="K80" s="39" t="n">
        <f aca="false">IF(K76&gt;=0,1,0)</f>
        <v>0</v>
      </c>
      <c r="L80" s="39" t="n">
        <f aca="false">IF(L76&gt;=0,1,0)</f>
        <v>0</v>
      </c>
      <c r="M80" s="39" t="n">
        <f aca="false">IF(M76&gt;=0,1,0)</f>
        <v>0</v>
      </c>
      <c r="N80" s="39" t="n">
        <f aca="false">IF(N76&gt;=0,1,0)</f>
        <v>0</v>
      </c>
      <c r="O80" s="39" t="n">
        <f aca="false">IF(O76&gt;=0,1,0)</f>
        <v>0</v>
      </c>
      <c r="P80" s="39" t="n">
        <f aca="false">IF(P76&gt;=0,1,0)</f>
        <v>0</v>
      </c>
      <c r="Q80" s="39" t="n">
        <f aca="false">IF(Q76&gt;=0,1,0)</f>
        <v>0</v>
      </c>
      <c r="R80" s="39" t="n">
        <f aca="false">IF(R76&gt;=0,1,0)</f>
        <v>0</v>
      </c>
      <c r="S80" s="39" t="n">
        <f aca="false">IF(S76&gt;=0,1,0)</f>
        <v>0</v>
      </c>
      <c r="T80" s="39" t="n">
        <f aca="false">IF(T76&gt;=0,1,0)</f>
        <v>0</v>
      </c>
      <c r="U80" s="39" t="n">
        <f aca="false">IF(U76&gt;=0,1,0)</f>
        <v>0</v>
      </c>
      <c r="V80" s="39" t="n">
        <f aca="false">IF(V76&gt;=0,1,0)</f>
        <v>0</v>
      </c>
      <c r="W80" s="39" t="n">
        <f aca="false">IF(W76&gt;=0,1,0)</f>
        <v>0</v>
      </c>
      <c r="X80" s="39" t="n">
        <f aca="false">IF(X76&gt;=0,1,0)</f>
        <v>0</v>
      </c>
      <c r="Y80" s="39" t="n">
        <f aca="false">IF(Y76&gt;=0,1,0)</f>
        <v>0</v>
      </c>
      <c r="Z80" s="39" t="n">
        <f aca="false">IF(Z76&gt;=0,1,0)</f>
        <v>0</v>
      </c>
      <c r="AA80" s="39" t="n">
        <f aca="false">IF(AA76&gt;=0,1,0)</f>
        <v>0</v>
      </c>
      <c r="AB80" s="39" t="n">
        <f aca="false">IF(AB76&gt;=0,1,0)</f>
        <v>0</v>
      </c>
      <c r="AC80" s="39" t="n">
        <f aca="false">IF(AC76&gt;=0,1,0)</f>
        <v>0</v>
      </c>
      <c r="AD80" s="39" t="n">
        <f aca="false">IF(AD76&gt;=0,1,0)</f>
        <v>0</v>
      </c>
      <c r="AE80" s="39" t="n">
        <f aca="false">IF(AE76&gt;=0,1,0)</f>
        <v>0</v>
      </c>
      <c r="AF80" s="39" t="n">
        <f aca="false">IF(AF76&gt;=0,1,0)</f>
        <v>0</v>
      </c>
      <c r="AG80" s="39" t="n">
        <f aca="false">IF(AG76&gt;=0,1,0)</f>
        <v>0</v>
      </c>
      <c r="AH80" s="39" t="n">
        <f aca="false">IF(AH76&gt;=0,1,0)</f>
        <v>0</v>
      </c>
      <c r="AI80" s="39" t="n">
        <f aca="false">IF(AI76&gt;=0,1,0)</f>
        <v>0</v>
      </c>
      <c r="AJ80" s="39" t="n">
        <f aca="false">IF(AJ76&gt;=0,1,0)</f>
        <v>0</v>
      </c>
      <c r="AK80" s="39" t="n">
        <f aca="false">IF(AK76&gt;=0,1,0)</f>
        <v>0</v>
      </c>
      <c r="AL80" s="39" t="n">
        <f aca="false">IF(AL76&gt;=0,1,0)</f>
        <v>0</v>
      </c>
      <c r="AM80" s="39" t="n">
        <f aca="false">IF(AM76&gt;=0,1,0)</f>
        <v>0</v>
      </c>
      <c r="AN80" s="40" t="n">
        <f aca="false">IF(AN76&gt;=0,1,0)</f>
        <v>0</v>
      </c>
      <c r="AO80" s="40" t="n">
        <f aca="false">IF(AO76&gt;=0,1,0)</f>
        <v>0</v>
      </c>
      <c r="AP80" s="40" t="n">
        <f aca="false">IF(AP76&gt;=0,1,0)</f>
        <v>1</v>
      </c>
      <c r="AQ80" s="40" t="n">
        <f aca="false">IF(AQ76&gt;=0,1,0)</f>
        <v>1</v>
      </c>
      <c r="AR80" s="40" t="n">
        <f aca="false">IF(AR76&gt;=0,1,0)</f>
        <v>1</v>
      </c>
      <c r="AS80" s="40" t="n">
        <f aca="false">IF(AS76&gt;=0,1,0)</f>
        <v>1</v>
      </c>
      <c r="AT80" s="40" t="n">
        <f aca="false">IF(AT76&gt;=0,1,0)</f>
        <v>1</v>
      </c>
      <c r="AU80" s="40" t="n">
        <f aca="false">IF(AU76&gt;=0,1,0)</f>
        <v>1</v>
      </c>
      <c r="AV80" s="40" t="n">
        <f aca="false">IF(AV76&gt;=0,1,0)</f>
        <v>1</v>
      </c>
      <c r="AW80" s="40" t="n">
        <f aca="false">IF(AW76&gt;=0,1,0)</f>
        <v>1</v>
      </c>
      <c r="AX80" s="40" t="n">
        <f aca="false">IF(AX76&gt;=0,1,0)</f>
        <v>1</v>
      </c>
      <c r="AY80" s="40" t="n">
        <f aca="false">IF(AY76&gt;=0,1,0)</f>
        <v>1</v>
      </c>
      <c r="AZ80" s="40" t="n">
        <f aca="false">IF(AZ76&gt;=0,1,0)</f>
        <v>1</v>
      </c>
      <c r="BA80" s="40" t="n">
        <f aca="false">IF(BA76&gt;=0,1,0)</f>
        <v>1</v>
      </c>
      <c r="BB80" s="40" t="n">
        <f aca="false">IF(BB76&gt;=0,1,0)</f>
        <v>1</v>
      </c>
      <c r="BC80" s="40" t="n">
        <f aca="false">IF(BC76&gt;=0,1,0)</f>
        <v>1</v>
      </c>
      <c r="BD80" s="40" t="n">
        <f aca="false">IF(BD76&gt;=0,1,0)</f>
        <v>1</v>
      </c>
      <c r="BE80" s="40" t="n">
        <f aca="false">IF(BE76&gt;=0,1,0)</f>
        <v>1</v>
      </c>
      <c r="BF80" s="40" t="n">
        <f aca="false">IF(BF76&gt;=0,1,0)</f>
        <v>1</v>
      </c>
      <c r="BG80" s="40" t="n">
        <f aca="false">IF(BG76&gt;=0,1,0)</f>
        <v>1</v>
      </c>
      <c r="BH80" s="40" t="n">
        <f aca="false">IF(BH76&gt;=0,1,0)</f>
        <v>1</v>
      </c>
      <c r="BI80" s="40" t="n">
        <f aca="false">IF(BI76&gt;=0,1,0)</f>
        <v>1</v>
      </c>
      <c r="BJ80" s="40" t="n">
        <f aca="false">IF(BJ76&gt;=0,1,0)</f>
        <v>1</v>
      </c>
      <c r="BK80" s="40" t="n">
        <f aca="false">IF(BK76&gt;=0,1,0)</f>
        <v>1</v>
      </c>
    </row>
    <row r="81" customFormat="false" ht="15" hidden="false" customHeight="false" outlineLevel="0" collapsed="false">
      <c r="A81" s="28" t="s">
        <v>669</v>
      </c>
      <c r="B81" s="6" t="s">
        <v>670</v>
      </c>
      <c r="C81" s="51"/>
      <c r="D81" s="39" t="n">
        <f aca="false">IF(AND(D80=1,E81=1),1,0)</f>
        <v>0</v>
      </c>
      <c r="E81" s="39" t="n">
        <f aca="false">IF(AND(E80=1,F81=1),1,0)</f>
        <v>0</v>
      </c>
      <c r="F81" s="39" t="n">
        <f aca="false">IF(AND(F80=1,G81=1),1,0)</f>
        <v>0</v>
      </c>
      <c r="G81" s="39" t="n">
        <f aca="false">IF(AND(G80=1,H81=1),1,0)</f>
        <v>0</v>
      </c>
      <c r="H81" s="39" t="n">
        <f aca="false">IF(AND(H80=1,I81=1),1,0)</f>
        <v>0</v>
      </c>
      <c r="I81" s="39" t="n">
        <f aca="false">IF(AND(I80=1,J81=1),1,0)</f>
        <v>0</v>
      </c>
      <c r="J81" s="39" t="n">
        <f aca="false">IF(AND(J80=1,K81=1),1,0)</f>
        <v>0</v>
      </c>
      <c r="K81" s="39" t="n">
        <f aca="false">IF(AND(K80=1,L81=1),1,0)</f>
        <v>0</v>
      </c>
      <c r="L81" s="39" t="n">
        <f aca="false">IF(AND(L80=1,M81=1),1,0)</f>
        <v>0</v>
      </c>
      <c r="M81" s="39" t="n">
        <f aca="false">IF(AND(M80=1,N81=1),1,0)</f>
        <v>0</v>
      </c>
      <c r="N81" s="39" t="n">
        <f aca="false">IF(AND(N80=1,O81=1),1,0)</f>
        <v>0</v>
      </c>
      <c r="O81" s="39" t="n">
        <f aca="false">IF(AND(O80=1,P81=1),1,0)</f>
        <v>0</v>
      </c>
      <c r="P81" s="39" t="n">
        <f aca="false">IF(AND(P80=1,Q81=1),1,0)</f>
        <v>0</v>
      </c>
      <c r="Q81" s="39" t="n">
        <f aca="false">IF(AND(Q80=1,R81=1),1,0)</f>
        <v>0</v>
      </c>
      <c r="R81" s="39" t="n">
        <f aca="false">IF(AND(R80=1,S81=1),1,0)</f>
        <v>0</v>
      </c>
      <c r="S81" s="39" t="n">
        <f aca="false">IF(AND(S80=1,T81=1),1,0)</f>
        <v>0</v>
      </c>
      <c r="T81" s="39" t="n">
        <f aca="false">IF(AND(T80=1,U81=1),1,0)</f>
        <v>0</v>
      </c>
      <c r="U81" s="39" t="n">
        <f aca="false">IF(AND(U80=1,V81=1),1,0)</f>
        <v>0</v>
      </c>
      <c r="V81" s="39" t="n">
        <f aca="false">IF(AND(V80=1,W81=1),1,0)</f>
        <v>0</v>
      </c>
      <c r="W81" s="39" t="n">
        <f aca="false">IF(AND(W80=1,X81=1),1,0)</f>
        <v>0</v>
      </c>
      <c r="X81" s="39" t="n">
        <f aca="false">IF(AND(X80=1,Y81=1),1,0)</f>
        <v>0</v>
      </c>
      <c r="Y81" s="39" t="n">
        <f aca="false">IF(AND(Y80=1,Z81=1),1,0)</f>
        <v>0</v>
      </c>
      <c r="Z81" s="39" t="n">
        <f aca="false">IF(AND(Z80=1,AA81=1),1,0)</f>
        <v>0</v>
      </c>
      <c r="AA81" s="39" t="n">
        <f aca="false">IF(AND(AA80=1,AB81=1),1,0)</f>
        <v>0</v>
      </c>
      <c r="AB81" s="39" t="n">
        <f aca="false">IF(AND(AB80=1,AC81=1),1,0)</f>
        <v>0</v>
      </c>
      <c r="AC81" s="39" t="n">
        <f aca="false">IF(AND(AC80=1,AD81=1),1,0)</f>
        <v>0</v>
      </c>
      <c r="AD81" s="39" t="n">
        <f aca="false">IF(AND(AD80=1,AE81=1),1,0)</f>
        <v>0</v>
      </c>
      <c r="AE81" s="39" t="n">
        <f aca="false">IF(AND(AE80=1,AF81=1),1,0)</f>
        <v>0</v>
      </c>
      <c r="AF81" s="39" t="n">
        <f aca="false">IF(AND(AF80=1,AG81=1),1,0)</f>
        <v>0</v>
      </c>
      <c r="AG81" s="39" t="n">
        <f aca="false">IF(AND(AG80=1,AH81=1),1,0)</f>
        <v>0</v>
      </c>
      <c r="AH81" s="39" t="n">
        <f aca="false">IF(AND(AH80=1,AI81=1),1,0)</f>
        <v>0</v>
      </c>
      <c r="AI81" s="39" t="n">
        <f aca="false">IF(AND(AI80=1,AJ81=1),1,0)</f>
        <v>0</v>
      </c>
      <c r="AJ81" s="39" t="n">
        <f aca="false">IF(AND(AJ80=1,AK81=1),1,0)</f>
        <v>0</v>
      </c>
      <c r="AK81" s="39" t="n">
        <f aca="false">IF(AND(AK80=1,AL81=1),1,0)</f>
        <v>0</v>
      </c>
      <c r="AL81" s="39" t="n">
        <f aca="false">IF(AND(AL80=1,AM81=1),1,0)</f>
        <v>0</v>
      </c>
      <c r="AM81" s="39" t="n">
        <f aca="false">AM80</f>
        <v>0</v>
      </c>
    </row>
    <row r="82" customFormat="false" ht="15" hidden="false" customHeight="false" outlineLevel="0" collapsed="false">
      <c r="A82" s="28" t="s">
        <v>671</v>
      </c>
      <c r="B82" s="6" t="s">
        <v>672</v>
      </c>
      <c r="C82" s="51"/>
      <c r="D82" s="39" t="n">
        <f aca="false">IF(AND(D80=1,E82=1),1,0)</f>
        <v>0</v>
      </c>
      <c r="E82" s="39" t="n">
        <f aca="false">IF(AND(E80=1,F82=1),1,0)</f>
        <v>0</v>
      </c>
      <c r="F82" s="39" t="n">
        <f aca="false">IF(AND(F80=1,G82=1),1,0)</f>
        <v>0</v>
      </c>
      <c r="G82" s="39" t="n">
        <f aca="false">IF(AND(G80=1,H82=1),1,0)</f>
        <v>0</v>
      </c>
      <c r="H82" s="39" t="n">
        <f aca="false">IF(AND(H80=1,I82=1),1,0)</f>
        <v>0</v>
      </c>
      <c r="I82" s="39" t="n">
        <f aca="false">IF(AND(I80=1,J82=1),1,0)</f>
        <v>0</v>
      </c>
      <c r="J82" s="39" t="n">
        <f aca="false">IF(AND(J80=1,K82=1),1,0)</f>
        <v>0</v>
      </c>
      <c r="K82" s="39" t="n">
        <f aca="false">IF(AND(K80=1,L82=1),1,0)</f>
        <v>0</v>
      </c>
      <c r="L82" s="39" t="n">
        <f aca="false">IF(AND(L80=1,M82=1),1,0)</f>
        <v>0</v>
      </c>
      <c r="M82" s="39" t="n">
        <f aca="false">IF(AND(M80=1,N82=1),1,0)</f>
        <v>0</v>
      </c>
      <c r="N82" s="39" t="n">
        <f aca="false">IF(AND(N80=1,O82=1),1,0)</f>
        <v>0</v>
      </c>
      <c r="O82" s="39" t="n">
        <f aca="false">IF(AND(O80=1,P82=1),1,0)</f>
        <v>0</v>
      </c>
      <c r="P82" s="39" t="n">
        <f aca="false">IF(AND(P80=1,Q82=1),1,0)</f>
        <v>0</v>
      </c>
      <c r="Q82" s="39" t="n">
        <f aca="false">IF(AND(Q80=1,R82=1),1,0)</f>
        <v>0</v>
      </c>
      <c r="R82" s="39" t="n">
        <f aca="false">IF(AND(R80=1,S82=1),1,0)</f>
        <v>0</v>
      </c>
      <c r="S82" s="39" t="n">
        <f aca="false">IF(AND(S80=1,T82=1),1,0)</f>
        <v>0</v>
      </c>
      <c r="T82" s="39" t="n">
        <f aca="false">IF(AND(T80=1,U82=1),1,0)</f>
        <v>0</v>
      </c>
      <c r="U82" s="39" t="n">
        <f aca="false">IF(AND(U80=1,V82=1),1,0)</f>
        <v>0</v>
      </c>
      <c r="V82" s="39" t="n">
        <f aca="false">IF(AND(V80=1,W82=1),1,0)</f>
        <v>0</v>
      </c>
      <c r="W82" s="39" t="n">
        <f aca="false">IF(AND(W80=1,X82=1),1,0)</f>
        <v>0</v>
      </c>
      <c r="X82" s="39" t="n">
        <f aca="false">IF(AND(X80=1,Y82=1),1,0)</f>
        <v>0</v>
      </c>
      <c r="Y82" s="39" t="n">
        <f aca="false">IF(AND(Y80=1,Z82=1),1,0)</f>
        <v>0</v>
      </c>
      <c r="Z82" s="39" t="n">
        <f aca="false">IF(AND(Z80=1,AA82=1),1,0)</f>
        <v>0</v>
      </c>
      <c r="AA82" s="39" t="n">
        <f aca="false">IF(AND(AA80=1,AB82=1),1,0)</f>
        <v>0</v>
      </c>
      <c r="AB82" s="39" t="n">
        <f aca="false">IF(AND(AB80=1,AC82=1),1,0)</f>
        <v>0</v>
      </c>
      <c r="AC82" s="39" t="n">
        <f aca="false">IF(AND(AC80=1,AD82=1),1,0)</f>
        <v>0</v>
      </c>
      <c r="AD82" s="39" t="n">
        <f aca="false">IF(AND(AD80=1,AE82=1),1,0)</f>
        <v>0</v>
      </c>
      <c r="AE82" s="39" t="n">
        <f aca="false">IF(AND(AE80=1,AF82=1),1,0)</f>
        <v>0</v>
      </c>
      <c r="AF82" s="39" t="n">
        <f aca="false">IF(AND(AF80=1,AG82=1),1,0)</f>
        <v>0</v>
      </c>
      <c r="AG82" s="39" t="n">
        <f aca="false">IF(AND(AG80=1,AH82=1),1,0)</f>
        <v>0</v>
      </c>
      <c r="AH82" s="39" t="n">
        <f aca="false">IF(AND(AH80=1,AI82=1),1,0)</f>
        <v>0</v>
      </c>
      <c r="AI82" s="39" t="n">
        <f aca="false">IF(AND(AI80=1,AJ82=1),1,0)</f>
        <v>0</v>
      </c>
      <c r="AJ82" s="39" t="n">
        <f aca="false">IF(AND(AJ80=1,AK82=1),1,0)</f>
        <v>0</v>
      </c>
      <c r="AK82" s="39" t="n">
        <f aca="false">IF(AND(AK80=1,AL82=1),1,0)</f>
        <v>0</v>
      </c>
      <c r="AL82" s="39" t="n">
        <f aca="false">IF(AND(AL80=1,AM82=1),1,0)</f>
        <v>0</v>
      </c>
      <c r="AM82" s="39" t="n">
        <f aca="false">IF(AND(AM80=1,AN82=1),1,0)</f>
        <v>0</v>
      </c>
      <c r="AN82" s="39" t="n">
        <f aca="false">IF(AND(AN80=1,AO82=1),1,0)</f>
        <v>0</v>
      </c>
      <c r="AO82" s="39" t="n">
        <f aca="false">IF(AND(AO80=1,AP82=1),1,0)</f>
        <v>0</v>
      </c>
      <c r="AP82" s="39" t="n">
        <f aca="false">IF(AND(AP80=1,AQ82=1),1,0)</f>
        <v>1</v>
      </c>
      <c r="AQ82" s="39" t="n">
        <f aca="false">IF(AND(AQ80=1,AR82=1),1,0)</f>
        <v>1</v>
      </c>
      <c r="AR82" s="39" t="n">
        <f aca="false">IF(AND(AR80=1,AS82=1),1,0)</f>
        <v>1</v>
      </c>
      <c r="AS82" s="39" t="n">
        <f aca="false">IF(AND(AS80=1,AT82=1),1,0)</f>
        <v>1</v>
      </c>
      <c r="AT82" s="39" t="n">
        <f aca="false">IF(AND(AT80=1,AU82=1),1,0)</f>
        <v>1</v>
      </c>
      <c r="AU82" s="39" t="n">
        <f aca="false">IF(AND(AU80=1,AV82=1),1,0)</f>
        <v>1</v>
      </c>
      <c r="AV82" s="39" t="n">
        <f aca="false">IF(AND(AV80=1,AW82=1),1,0)</f>
        <v>1</v>
      </c>
      <c r="AW82" s="39" t="n">
        <f aca="false">IF(AND(AW80=1,AX82=1),1,0)</f>
        <v>1</v>
      </c>
      <c r="AX82" s="39" t="n">
        <f aca="false">IF(AND(AX80=1,AY82=1),1,0)</f>
        <v>1</v>
      </c>
      <c r="AY82" s="39" t="n">
        <f aca="false">IF(AND(AY80=1,AZ82=1),1,0)</f>
        <v>1</v>
      </c>
      <c r="AZ82" s="39" t="n">
        <f aca="false">IF(AND(AZ80=1,BA82=1),1,0)</f>
        <v>1</v>
      </c>
      <c r="BA82" s="39" t="n">
        <f aca="false">IF(AND(BA80=1,BB82=1),1,0)</f>
        <v>1</v>
      </c>
      <c r="BB82" s="39" t="n">
        <f aca="false">IF(AND(BB80=1,BC82=1),1,0)</f>
        <v>1</v>
      </c>
      <c r="BC82" s="39" t="n">
        <f aca="false">IF(AND(BC80=1,BD82=1),1,0)</f>
        <v>1</v>
      </c>
      <c r="BD82" s="39" t="n">
        <f aca="false">IF(AND(BD80=1,BE82=1),1,0)</f>
        <v>1</v>
      </c>
      <c r="BE82" s="39" t="n">
        <f aca="false">IF(AND(BE80=1,BF82=1),1,0)</f>
        <v>1</v>
      </c>
      <c r="BF82" s="39" t="n">
        <f aca="false">IF(AND(BF80=1,BG82=1),1,0)</f>
        <v>1</v>
      </c>
      <c r="BG82" s="39" t="n">
        <f aca="false">IF(AND(BG80=1,BH82=1),1,0)</f>
        <v>1</v>
      </c>
      <c r="BH82" s="39" t="n">
        <f aca="false">IF(AND(BH80=1,BI82=1),1,0)</f>
        <v>1</v>
      </c>
      <c r="BI82" s="39" t="n">
        <f aca="false">IF(AND(BI80=1,BJ82=1),1,0)</f>
        <v>1</v>
      </c>
      <c r="BJ82" s="39" t="n">
        <f aca="false">IF(AND(BJ80=1,BK82=1),1,0)</f>
        <v>1</v>
      </c>
      <c r="BK82" s="39" t="n">
        <f aca="false">BK80</f>
        <v>1</v>
      </c>
    </row>
    <row r="84" customFormat="false" ht="17.35" hidden="false" customHeight="false" outlineLevel="0" collapsed="false">
      <c r="B84" s="1" t="s">
        <v>673</v>
      </c>
    </row>
    <row r="85" customFormat="false" ht="15" hidden="false" customHeight="false" outlineLevel="0" collapsed="false">
      <c r="B85" s="5" t="s">
        <v>674</v>
      </c>
      <c r="C85" s="52" t="str">
        <f aca="false">IFERROR(MATCH(1,D81:AM81,0),"none")</f>
        <v>none</v>
      </c>
    </row>
    <row r="86" customFormat="false" ht="15" hidden="false" customHeight="false" outlineLevel="0" collapsed="false">
      <c r="B86" s="5" t="s">
        <v>675</v>
      </c>
      <c r="C86" s="52" t="n">
        <f aca="false">IFERROR(MATCH(1,D82:BK82,0),"none")</f>
        <v>39</v>
      </c>
    </row>
    <row r="87" customFormat="false" ht="15" hidden="false" customHeight="false" outlineLevel="0" collapsed="false">
      <c r="B87" s="5" t="s">
        <v>676</v>
      </c>
      <c r="C87" s="52" t="str">
        <f aca="false">IFERROR(MATCH(1,D80:AM80,0),"none")</f>
        <v>none</v>
      </c>
    </row>
    <row r="88" customFormat="false" ht="15" hidden="false" customHeight="false" outlineLevel="0" collapsed="false">
      <c r="B88" s="5" t="s">
        <v>485</v>
      </c>
      <c r="C88" s="53" t="n">
        <f aca="false">-MIN(0,MIN(D77:AM77))</f>
        <v>197411.147228238</v>
      </c>
    </row>
    <row r="89" customFormat="false" ht="15" hidden="false" customHeight="false" outlineLevel="0" collapsed="false">
      <c r="B89" s="5" t="s">
        <v>677</v>
      </c>
      <c r="C89" s="52" t="n">
        <f aca="false">MATCH(MIN(D77:AM77),D77:AM77,0)</f>
        <v>36</v>
      </c>
    </row>
    <row r="90" customFormat="false" ht="15" hidden="false" customHeight="false" outlineLevel="0" collapsed="false">
      <c r="B90" s="5" t="s">
        <v>678</v>
      </c>
      <c r="C90" s="53" t="n">
        <f aca="false">-MIN(0,MIN(D77:BK77))</f>
        <v>199397.637969554</v>
      </c>
    </row>
    <row r="91" customFormat="false" ht="15" hidden="false" customHeight="false" outlineLevel="0" collapsed="false">
      <c r="B91" s="5" t="s">
        <v>488</v>
      </c>
      <c r="C91" s="52" t="n">
        <f aca="false">IFERROR(MATCH(1,D16:AM16,0),"none")</f>
        <v>16</v>
      </c>
    </row>
    <row r="92" customFormat="false" ht="15" hidden="false" customHeight="false" outlineLevel="0" collapsed="false">
      <c r="B92" s="5" t="s">
        <v>489</v>
      </c>
      <c r="C92" s="52" t="n">
        <f aca="false">IFERROR(MATCH(1,D17:AM17,0),"none")</f>
        <v>11</v>
      </c>
    </row>
    <row r="93" customFormat="false" ht="15" hidden="false" customHeight="false" outlineLevel="0" collapsed="false">
      <c r="B93" s="5" t="s">
        <v>679</v>
      </c>
      <c r="C93" s="52" t="n">
        <f aca="false">IFERROR(MATCH(1,D18:AM18,0),"none")</f>
        <v>16</v>
      </c>
    </row>
    <row r="94" customFormat="false" ht="15" hidden="false" customHeight="false" outlineLevel="0" collapsed="false">
      <c r="B94" s="5" t="s">
        <v>491</v>
      </c>
      <c r="C94" s="52" t="n">
        <f aca="false">IFERROR(MATCH(1,D19:AM19,0),"none")</f>
        <v>27</v>
      </c>
    </row>
    <row r="95" customFormat="false" ht="15" hidden="false" customHeight="false" outlineLevel="0" collapsed="false">
      <c r="B95" s="5" t="s">
        <v>492</v>
      </c>
      <c r="C95" s="54" t="n">
        <f aca="false">AM13</f>
        <v>546.012891142947</v>
      </c>
    </row>
    <row r="96" customFormat="false" ht="15" hidden="false" customHeight="false" outlineLevel="0" collapsed="false">
      <c r="B96" s="5" t="s">
        <v>493</v>
      </c>
      <c r="C96" s="54" t="n">
        <f aca="false">AM32</f>
        <v>86.712948353366</v>
      </c>
    </row>
    <row r="97" customFormat="false" ht="15" hidden="false" customHeight="false" outlineLevel="0" collapsed="false">
      <c r="B97" s="5" t="s">
        <v>494</v>
      </c>
      <c r="C97" s="54" t="n">
        <f aca="false">AM24</f>
        <v>26607.8698294962</v>
      </c>
    </row>
    <row r="98" customFormat="false" ht="15" hidden="false" customHeight="false" outlineLevel="0" collapsed="false">
      <c r="B98" s="5" t="s">
        <v>495</v>
      </c>
      <c r="C98" s="53" t="n">
        <f aca="false">AM46</f>
        <v>19693.5781031006</v>
      </c>
    </row>
    <row r="99" customFormat="false" ht="15" hidden="false" customHeight="false" outlineLevel="0" collapsed="false">
      <c r="B99" s="5" t="s">
        <v>496</v>
      </c>
      <c r="C99" s="53" t="n">
        <f aca="false">AM76</f>
        <v>-1648.64654450398</v>
      </c>
    </row>
    <row r="100" customFormat="false" ht="15" hidden="false" customHeight="false" outlineLevel="0" collapsed="false">
      <c r="B100" s="5" t="s">
        <v>497</v>
      </c>
      <c r="C100" s="53" t="n">
        <f aca="false">SUM(D46:O46)</f>
        <v>116.790138415027</v>
      </c>
    </row>
    <row r="101" customFormat="false" ht="15" hidden="false" customHeight="false" outlineLevel="0" collapsed="false">
      <c r="B101" s="5" t="s">
        <v>498</v>
      </c>
      <c r="C101" s="53" t="n">
        <f aca="false">SUM(P46:AA46)</f>
        <v>34541.8484731325</v>
      </c>
    </row>
    <row r="102" customFormat="false" ht="15" hidden="false" customHeight="false" outlineLevel="0" collapsed="false">
      <c r="B102" s="5" t="s">
        <v>499</v>
      </c>
      <c r="C102" s="53" t="n">
        <f aca="false">SUM(AB46:AM46)</f>
        <v>156099.47020308</v>
      </c>
    </row>
    <row r="103" customFormat="false" ht="15" hidden="false" customHeight="false" outlineLevel="0" collapsed="false">
      <c r="B103" s="5" t="s">
        <v>500</v>
      </c>
      <c r="C103" s="53" t="n">
        <f aca="false">SUM(D76:O76)</f>
        <v>-63351.3665498653</v>
      </c>
    </row>
    <row r="104" customFormat="false" ht="15" hidden="false" customHeight="false" outlineLevel="0" collapsed="false">
      <c r="B104" s="5" t="s">
        <v>501</v>
      </c>
      <c r="C104" s="53" t="n">
        <f aca="false">SUM(P76:AA76)</f>
        <v>-82521.6027846002</v>
      </c>
    </row>
    <row r="105" customFormat="false" ht="15" hidden="false" customHeight="false" outlineLevel="0" collapsed="false">
      <c r="B105" s="5" t="s">
        <v>502</v>
      </c>
      <c r="C105" s="53" t="n">
        <f aca="false">SUM(AB76:AM76)</f>
        <v>-51538.1778937728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63" min="3" style="0" width="11"/>
  </cols>
  <sheetData>
    <row r="1" customFormat="false" ht="17.35" hidden="false" customHeight="false" outlineLevel="0" collapsed="false">
      <c r="A1" s="1" t="s">
        <v>686</v>
      </c>
    </row>
    <row r="2" customFormat="false" ht="15" hidden="false" customHeight="false" outlineLevel="0" collapsed="false">
      <c r="A2" s="3" t="s">
        <v>687</v>
      </c>
    </row>
    <row r="4" customFormat="false" ht="15" hidden="false" customHeight="false" outlineLevel="0" collapsed="false">
      <c r="B4" s="5" t="s">
        <v>531</v>
      </c>
      <c r="C4" s="4" t="n">
        <v>0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  <c r="AD4" s="4" t="n">
        <v>27</v>
      </c>
      <c r="AE4" s="4" t="n">
        <v>28</v>
      </c>
      <c r="AF4" s="4" t="n">
        <v>29</v>
      </c>
      <c r="AG4" s="4" t="n">
        <v>30</v>
      </c>
      <c r="AH4" s="4" t="n">
        <v>31</v>
      </c>
      <c r="AI4" s="4" t="n">
        <v>32</v>
      </c>
      <c r="AJ4" s="4" t="n">
        <v>33</v>
      </c>
      <c r="AK4" s="4" t="n">
        <v>34</v>
      </c>
      <c r="AL4" s="4" t="n">
        <v>35</v>
      </c>
      <c r="AM4" s="4" t="n">
        <v>36</v>
      </c>
      <c r="AN4" s="19" t="n">
        <v>37</v>
      </c>
      <c r="AO4" s="19" t="n">
        <v>38</v>
      </c>
      <c r="AP4" s="19" t="n">
        <v>39</v>
      </c>
      <c r="AQ4" s="19" t="n">
        <v>40</v>
      </c>
      <c r="AR4" s="19" t="n">
        <v>41</v>
      </c>
      <c r="AS4" s="19" t="n">
        <v>42</v>
      </c>
      <c r="AT4" s="19" t="n">
        <v>43</v>
      </c>
      <c r="AU4" s="19" t="n">
        <v>44</v>
      </c>
      <c r="AV4" s="19" t="n">
        <v>45</v>
      </c>
      <c r="AW4" s="19" t="n">
        <v>46</v>
      </c>
      <c r="AX4" s="19" t="n">
        <v>47</v>
      </c>
      <c r="AY4" s="19" t="n">
        <v>48</v>
      </c>
      <c r="AZ4" s="19" t="n">
        <v>49</v>
      </c>
      <c r="BA4" s="19" t="n">
        <v>50</v>
      </c>
      <c r="BB4" s="19" t="n">
        <v>51</v>
      </c>
      <c r="BC4" s="19" t="n">
        <v>52</v>
      </c>
      <c r="BD4" s="19" t="n">
        <v>53</v>
      </c>
      <c r="BE4" s="19" t="n">
        <v>54</v>
      </c>
      <c r="BF4" s="19" t="n">
        <v>55</v>
      </c>
      <c r="BG4" s="19" t="n">
        <v>56</v>
      </c>
      <c r="BH4" s="19" t="n">
        <v>57</v>
      </c>
      <c r="BI4" s="19" t="n">
        <v>58</v>
      </c>
      <c r="BJ4" s="19" t="n">
        <v>59</v>
      </c>
      <c r="BK4" s="19" t="n">
        <v>60</v>
      </c>
    </row>
    <row r="5" customFormat="false" ht="15" hidden="false" customHeight="false" outlineLevel="0" collapsed="false">
      <c r="B5" s="5" t="s">
        <v>402</v>
      </c>
      <c r="C5" s="5" t="s">
        <v>532</v>
      </c>
      <c r="D5" s="5" t="s">
        <v>403</v>
      </c>
      <c r="E5" s="5" t="s">
        <v>404</v>
      </c>
      <c r="F5" s="5" t="s">
        <v>405</v>
      </c>
      <c r="G5" s="5" t="s">
        <v>406</v>
      </c>
      <c r="H5" s="5" t="s">
        <v>407</v>
      </c>
      <c r="I5" s="5" t="s">
        <v>408</v>
      </c>
      <c r="J5" s="5" t="s">
        <v>409</v>
      </c>
      <c r="K5" s="5" t="s">
        <v>410</v>
      </c>
      <c r="L5" s="5" t="s">
        <v>411</v>
      </c>
      <c r="M5" s="5" t="s">
        <v>412</v>
      </c>
      <c r="N5" s="5" t="s">
        <v>413</v>
      </c>
      <c r="O5" s="5" t="s">
        <v>414</v>
      </c>
      <c r="P5" s="5" t="s">
        <v>415</v>
      </c>
      <c r="Q5" s="5" t="s">
        <v>416</v>
      </c>
      <c r="R5" s="5" t="s">
        <v>417</v>
      </c>
      <c r="S5" s="5" t="s">
        <v>418</v>
      </c>
      <c r="T5" s="5" t="s">
        <v>419</v>
      </c>
      <c r="U5" s="5" t="s">
        <v>420</v>
      </c>
      <c r="V5" s="5" t="s">
        <v>421</v>
      </c>
      <c r="W5" s="5" t="s">
        <v>422</v>
      </c>
      <c r="X5" s="5" t="s">
        <v>423</v>
      </c>
      <c r="Y5" s="5" t="s">
        <v>424</v>
      </c>
      <c r="Z5" s="5" t="s">
        <v>425</v>
      </c>
      <c r="AA5" s="5" t="s">
        <v>426</v>
      </c>
      <c r="AB5" s="5" t="s">
        <v>427</v>
      </c>
      <c r="AC5" s="5" t="s">
        <v>428</v>
      </c>
      <c r="AD5" s="5" t="s">
        <v>429</v>
      </c>
      <c r="AE5" s="5" t="s">
        <v>430</v>
      </c>
      <c r="AF5" s="5" t="s">
        <v>431</v>
      </c>
      <c r="AG5" s="5" t="s">
        <v>432</v>
      </c>
      <c r="AH5" s="5" t="s">
        <v>433</v>
      </c>
      <c r="AI5" s="5" t="s">
        <v>434</v>
      </c>
      <c r="AJ5" s="5" t="s">
        <v>435</v>
      </c>
      <c r="AK5" s="5" t="s">
        <v>436</v>
      </c>
      <c r="AL5" s="5" t="s">
        <v>437</v>
      </c>
      <c r="AM5" s="5" t="s">
        <v>438</v>
      </c>
      <c r="AN5" s="5" t="s">
        <v>439</v>
      </c>
      <c r="AO5" s="5" t="s">
        <v>440</v>
      </c>
      <c r="AP5" s="5" t="s">
        <v>441</v>
      </c>
      <c r="AQ5" s="5" t="s">
        <v>442</v>
      </c>
      <c r="AR5" s="5" t="s">
        <v>443</v>
      </c>
      <c r="AS5" s="5" t="s">
        <v>444</v>
      </c>
      <c r="AT5" s="5" t="s">
        <v>445</v>
      </c>
      <c r="AU5" s="5" t="s">
        <v>446</v>
      </c>
      <c r="AV5" s="5" t="s">
        <v>447</v>
      </c>
      <c r="AW5" s="5" t="s">
        <v>448</v>
      </c>
      <c r="AX5" s="5" t="s">
        <v>449</v>
      </c>
      <c r="AY5" s="5" t="s">
        <v>450</v>
      </c>
      <c r="AZ5" s="5" t="s">
        <v>451</v>
      </c>
      <c r="BA5" s="5" t="s">
        <v>452</v>
      </c>
      <c r="BB5" s="5" t="s">
        <v>453</v>
      </c>
      <c r="BC5" s="5" t="s">
        <v>454</v>
      </c>
      <c r="BD5" s="5" t="s">
        <v>455</v>
      </c>
      <c r="BE5" s="5" t="s">
        <v>456</v>
      </c>
      <c r="BF5" s="5" t="s">
        <v>457</v>
      </c>
      <c r="BG5" s="5" t="s">
        <v>458</v>
      </c>
      <c r="BH5" s="5" t="s">
        <v>459</v>
      </c>
      <c r="BI5" s="5" t="s">
        <v>460</v>
      </c>
      <c r="BJ5" s="5" t="s">
        <v>461</v>
      </c>
      <c r="BK5" s="5" t="s">
        <v>462</v>
      </c>
    </row>
    <row r="6" customFormat="false" ht="15" hidden="false" customHeight="false" outlineLevel="0" collapsed="false">
      <c r="B6" s="5" t="s">
        <v>533</v>
      </c>
    </row>
    <row r="7" customFormat="false" ht="15" hidden="false" customHeight="false" outlineLevel="0" collapsed="false">
      <c r="A7" s="28" t="s">
        <v>534</v>
      </c>
      <c r="B7" s="6" t="s">
        <v>531</v>
      </c>
      <c r="C7" s="29" t="n">
        <v>0</v>
      </c>
      <c r="D7" s="30" t="n">
        <v>1</v>
      </c>
      <c r="E7" s="30" t="n">
        <v>2</v>
      </c>
      <c r="F7" s="30" t="n">
        <v>3</v>
      </c>
      <c r="G7" s="30" t="n">
        <v>4</v>
      </c>
      <c r="H7" s="30" t="n">
        <v>5</v>
      </c>
      <c r="I7" s="30" t="n">
        <v>6</v>
      </c>
      <c r="J7" s="30" t="n">
        <v>7</v>
      </c>
      <c r="K7" s="30" t="n">
        <v>8</v>
      </c>
      <c r="L7" s="30" t="n">
        <v>9</v>
      </c>
      <c r="M7" s="30" t="n">
        <v>10</v>
      </c>
      <c r="N7" s="30" t="n">
        <v>11</v>
      </c>
      <c r="O7" s="30" t="n">
        <v>12</v>
      </c>
      <c r="P7" s="30" t="n">
        <v>13</v>
      </c>
      <c r="Q7" s="30" t="n">
        <v>14</v>
      </c>
      <c r="R7" s="30" t="n">
        <v>15</v>
      </c>
      <c r="S7" s="30" t="n">
        <v>16</v>
      </c>
      <c r="T7" s="30" t="n">
        <v>17</v>
      </c>
      <c r="U7" s="30" t="n">
        <v>18</v>
      </c>
      <c r="V7" s="30" t="n">
        <v>19</v>
      </c>
      <c r="W7" s="30" t="n">
        <v>20</v>
      </c>
      <c r="X7" s="30" t="n">
        <v>21</v>
      </c>
      <c r="Y7" s="30" t="n">
        <v>22</v>
      </c>
      <c r="Z7" s="30" t="n">
        <v>23</v>
      </c>
      <c r="AA7" s="30" t="n">
        <v>24</v>
      </c>
      <c r="AB7" s="30" t="n">
        <v>25</v>
      </c>
      <c r="AC7" s="30" t="n">
        <v>26</v>
      </c>
      <c r="AD7" s="30" t="n">
        <v>27</v>
      </c>
      <c r="AE7" s="30" t="n">
        <v>28</v>
      </c>
      <c r="AF7" s="30" t="n">
        <v>29</v>
      </c>
      <c r="AG7" s="30" t="n">
        <v>30</v>
      </c>
      <c r="AH7" s="30" t="n">
        <v>31</v>
      </c>
      <c r="AI7" s="30" t="n">
        <v>32</v>
      </c>
      <c r="AJ7" s="30" t="n">
        <v>33</v>
      </c>
      <c r="AK7" s="30" t="n">
        <v>34</v>
      </c>
      <c r="AL7" s="30" t="n">
        <v>35</v>
      </c>
      <c r="AM7" s="30" t="n">
        <v>36</v>
      </c>
      <c r="AN7" s="31" t="n">
        <v>37</v>
      </c>
      <c r="AO7" s="31" t="n">
        <v>38</v>
      </c>
      <c r="AP7" s="31" t="n">
        <v>39</v>
      </c>
      <c r="AQ7" s="31" t="n">
        <v>40</v>
      </c>
      <c r="AR7" s="31" t="n">
        <v>41</v>
      </c>
      <c r="AS7" s="31" t="n">
        <v>42</v>
      </c>
      <c r="AT7" s="31" t="n">
        <v>43</v>
      </c>
      <c r="AU7" s="31" t="n">
        <v>44</v>
      </c>
      <c r="AV7" s="31" t="n">
        <v>45</v>
      </c>
      <c r="AW7" s="31" t="n">
        <v>46</v>
      </c>
      <c r="AX7" s="31" t="n">
        <v>47</v>
      </c>
      <c r="AY7" s="31" t="n">
        <v>48</v>
      </c>
      <c r="AZ7" s="31" t="n">
        <v>49</v>
      </c>
      <c r="BA7" s="31" t="n">
        <v>50</v>
      </c>
      <c r="BB7" s="31" t="n">
        <v>51</v>
      </c>
      <c r="BC7" s="31" t="n">
        <v>52</v>
      </c>
      <c r="BD7" s="31" t="n">
        <v>53</v>
      </c>
      <c r="BE7" s="31" t="n">
        <v>54</v>
      </c>
      <c r="BF7" s="31" t="n">
        <v>55</v>
      </c>
      <c r="BG7" s="31" t="n">
        <v>56</v>
      </c>
      <c r="BH7" s="31" t="n">
        <v>57</v>
      </c>
      <c r="BI7" s="31" t="n">
        <v>58</v>
      </c>
      <c r="BJ7" s="31" t="n">
        <v>59</v>
      </c>
      <c r="BK7" s="31" t="n">
        <v>60</v>
      </c>
    </row>
    <row r="8" customFormat="false" ht="15" hidden="false" customHeight="false" outlineLevel="0" collapsed="false">
      <c r="A8" s="28" t="s">
        <v>535</v>
      </c>
      <c r="B8" s="6" t="s">
        <v>536</v>
      </c>
      <c r="C8" s="32" t="n">
        <v>0</v>
      </c>
      <c r="D8" s="23" t="n">
        <f aca="false">Assumptions!C$143</f>
        <v>0</v>
      </c>
      <c r="E8" s="23" t="n">
        <f aca="false">Assumptions!D$143</f>
        <v>0</v>
      </c>
      <c r="F8" s="23" t="n">
        <f aca="false">Assumptions!E$143</f>
        <v>0</v>
      </c>
      <c r="G8" s="23" t="n">
        <f aca="false">Assumptions!F$143</f>
        <v>0</v>
      </c>
      <c r="H8" s="23" t="n">
        <f aca="false">Assumptions!G$143</f>
        <v>1</v>
      </c>
      <c r="I8" s="23" t="n">
        <f aca="false">Assumptions!H$143</f>
        <v>0</v>
      </c>
      <c r="J8" s="23" t="n">
        <f aca="false">Assumptions!I$143</f>
        <v>0</v>
      </c>
      <c r="K8" s="23" t="n">
        <f aca="false">Assumptions!J$143</f>
        <v>1</v>
      </c>
      <c r="L8" s="23" t="n">
        <f aca="false">Assumptions!K$143</f>
        <v>1</v>
      </c>
      <c r="M8" s="23" t="n">
        <f aca="false">Assumptions!L$143</f>
        <v>0</v>
      </c>
      <c r="N8" s="23" t="n">
        <f aca="false">Assumptions!M$143</f>
        <v>1</v>
      </c>
      <c r="O8" s="23" t="n">
        <f aca="false">Assumptions!N$143</f>
        <v>1</v>
      </c>
      <c r="P8" s="23" t="n">
        <f aca="false">Assumptions!O$143</f>
        <v>1</v>
      </c>
      <c r="Q8" s="23" t="n">
        <f aca="false">Assumptions!P$143</f>
        <v>1</v>
      </c>
      <c r="R8" s="23" t="n">
        <f aca="false">Assumptions!Q$143</f>
        <v>1</v>
      </c>
      <c r="S8" s="23" t="n">
        <f aca="false">Assumptions!R$143</f>
        <v>1</v>
      </c>
      <c r="T8" s="23" t="n">
        <f aca="false">Assumptions!S$143</f>
        <v>1</v>
      </c>
      <c r="U8" s="23" t="n">
        <f aca="false">Assumptions!T$143</f>
        <v>1</v>
      </c>
      <c r="V8" s="23" t="n">
        <f aca="false">Assumptions!U$143</f>
        <v>1</v>
      </c>
      <c r="W8" s="23" t="n">
        <f aca="false">Assumptions!V$143</f>
        <v>2</v>
      </c>
      <c r="X8" s="23" t="n">
        <f aca="false">Assumptions!W$143</f>
        <v>1</v>
      </c>
      <c r="Y8" s="23" t="n">
        <f aca="false">Assumptions!X$143</f>
        <v>1</v>
      </c>
      <c r="Z8" s="23" t="n">
        <f aca="false">Assumptions!Y$143</f>
        <v>2</v>
      </c>
      <c r="AA8" s="23" t="n">
        <f aca="false">Assumptions!Z$143</f>
        <v>1</v>
      </c>
      <c r="AB8" s="23" t="n">
        <f aca="false">Assumptions!AA$143</f>
        <v>1</v>
      </c>
      <c r="AC8" s="23" t="n">
        <f aca="false">Assumptions!AB$143</f>
        <v>2</v>
      </c>
      <c r="AD8" s="23" t="n">
        <f aca="false">Assumptions!AC$143</f>
        <v>2</v>
      </c>
      <c r="AE8" s="23" t="n">
        <f aca="false">Assumptions!AD$143</f>
        <v>1</v>
      </c>
      <c r="AF8" s="23" t="n">
        <f aca="false">Assumptions!AE$143</f>
        <v>2</v>
      </c>
      <c r="AG8" s="23" t="n">
        <f aca="false">Assumptions!AF$143</f>
        <v>2</v>
      </c>
      <c r="AH8" s="23" t="n">
        <f aca="false">Assumptions!AG$143</f>
        <v>1</v>
      </c>
      <c r="AI8" s="23" t="n">
        <f aca="false">Assumptions!AH$143</f>
        <v>2</v>
      </c>
      <c r="AJ8" s="23" t="n">
        <f aca="false">Assumptions!AI$143</f>
        <v>2</v>
      </c>
      <c r="AK8" s="23" t="n">
        <f aca="false">Assumptions!AJ$143</f>
        <v>2</v>
      </c>
      <c r="AL8" s="23" t="n">
        <f aca="false">Assumptions!AK$143</f>
        <v>2</v>
      </c>
      <c r="AM8" s="23" t="n">
        <f aca="false">Assumptions!AL$143</f>
        <v>2</v>
      </c>
      <c r="AN8" s="33" t="n">
        <f aca="false">Assumptions!AM$143</f>
        <v>2</v>
      </c>
      <c r="AO8" s="33" t="n">
        <f aca="false">Assumptions!AN$143</f>
        <v>2</v>
      </c>
      <c r="AP8" s="33" t="n">
        <f aca="false">Assumptions!AO$143</f>
        <v>2</v>
      </c>
      <c r="AQ8" s="33" t="n">
        <f aca="false">Assumptions!AP$143</f>
        <v>2</v>
      </c>
      <c r="AR8" s="33" t="n">
        <f aca="false">Assumptions!AQ$143</f>
        <v>2</v>
      </c>
      <c r="AS8" s="33" t="n">
        <f aca="false">Assumptions!AR$143</f>
        <v>2</v>
      </c>
      <c r="AT8" s="33" t="n">
        <f aca="false">Assumptions!AS$143</f>
        <v>2</v>
      </c>
      <c r="AU8" s="33" t="n">
        <f aca="false">Assumptions!AT$143</f>
        <v>2</v>
      </c>
      <c r="AV8" s="33" t="n">
        <f aca="false">Assumptions!AU$143</f>
        <v>2</v>
      </c>
      <c r="AW8" s="33" t="n">
        <f aca="false">Assumptions!AV$143</f>
        <v>2</v>
      </c>
      <c r="AX8" s="33" t="n">
        <f aca="false">Assumptions!AW$143</f>
        <v>2</v>
      </c>
      <c r="AY8" s="33" t="n">
        <f aca="false">Assumptions!AX$143</f>
        <v>2</v>
      </c>
      <c r="AZ8" s="33" t="n">
        <f aca="false">Assumptions!AY$143</f>
        <v>2</v>
      </c>
      <c r="BA8" s="33" t="n">
        <f aca="false">Assumptions!AZ$143</f>
        <v>2</v>
      </c>
      <c r="BB8" s="33" t="n">
        <f aca="false">Assumptions!BA$143</f>
        <v>2</v>
      </c>
      <c r="BC8" s="33" t="n">
        <f aca="false">Assumptions!BB$143</f>
        <v>2</v>
      </c>
      <c r="BD8" s="33" t="n">
        <f aca="false">Assumptions!BC$143</f>
        <v>2</v>
      </c>
      <c r="BE8" s="33" t="n">
        <f aca="false">Assumptions!BD$143</f>
        <v>2</v>
      </c>
      <c r="BF8" s="33" t="n">
        <f aca="false">Assumptions!BE$143</f>
        <v>2</v>
      </c>
      <c r="BG8" s="33" t="n">
        <f aca="false">Assumptions!BF$143</f>
        <v>2</v>
      </c>
      <c r="BH8" s="33" t="n">
        <f aca="false">Assumptions!BG$143</f>
        <v>2</v>
      </c>
      <c r="BI8" s="33" t="n">
        <f aca="false">Assumptions!BH$143</f>
        <v>2</v>
      </c>
      <c r="BJ8" s="33" t="n">
        <f aca="false">Assumptions!BI$143</f>
        <v>2</v>
      </c>
      <c r="BK8" s="33" t="n">
        <f aca="false">Assumptions!BJ$143</f>
        <v>2</v>
      </c>
    </row>
    <row r="9" customFormat="false" ht="15" hidden="false" customHeight="false" outlineLevel="0" collapsed="false">
      <c r="A9" s="28" t="s">
        <v>537</v>
      </c>
      <c r="B9" s="6" t="s">
        <v>538</v>
      </c>
      <c r="C9" s="32" t="n">
        <v>0</v>
      </c>
      <c r="D9" s="34" t="n">
        <f aca="false">C9+D8</f>
        <v>0</v>
      </c>
      <c r="E9" s="34" t="n">
        <f aca="false">D9+E8</f>
        <v>0</v>
      </c>
      <c r="F9" s="34" t="n">
        <f aca="false">E9+F8</f>
        <v>0</v>
      </c>
      <c r="G9" s="34" t="n">
        <f aca="false">F9+G8</f>
        <v>0</v>
      </c>
      <c r="H9" s="34" t="n">
        <f aca="false">G9+H8</f>
        <v>1</v>
      </c>
      <c r="I9" s="34" t="n">
        <f aca="false">H9+I8</f>
        <v>1</v>
      </c>
      <c r="J9" s="34" t="n">
        <f aca="false">I9+J8</f>
        <v>1</v>
      </c>
      <c r="K9" s="34" t="n">
        <f aca="false">J9+K8</f>
        <v>2</v>
      </c>
      <c r="L9" s="34" t="n">
        <f aca="false">K9+L8</f>
        <v>3</v>
      </c>
      <c r="M9" s="34" t="n">
        <f aca="false">L9+M8</f>
        <v>3</v>
      </c>
      <c r="N9" s="34" t="n">
        <f aca="false">M9+N8</f>
        <v>4</v>
      </c>
      <c r="O9" s="34" t="n">
        <f aca="false">N9+O8</f>
        <v>5</v>
      </c>
      <c r="P9" s="34" t="n">
        <f aca="false">O9+P8</f>
        <v>6</v>
      </c>
      <c r="Q9" s="34" t="n">
        <f aca="false">P9+Q8</f>
        <v>7</v>
      </c>
      <c r="R9" s="34" t="n">
        <f aca="false">Q9+R8</f>
        <v>8</v>
      </c>
      <c r="S9" s="34" t="n">
        <f aca="false">R9+S8</f>
        <v>9</v>
      </c>
      <c r="T9" s="34" t="n">
        <f aca="false">S9+T8</f>
        <v>10</v>
      </c>
      <c r="U9" s="34" t="n">
        <f aca="false">T9+U8</f>
        <v>11</v>
      </c>
      <c r="V9" s="34" t="n">
        <f aca="false">U9+V8</f>
        <v>12</v>
      </c>
      <c r="W9" s="34" t="n">
        <f aca="false">V9+W8</f>
        <v>14</v>
      </c>
      <c r="X9" s="34" t="n">
        <f aca="false">W9+X8</f>
        <v>15</v>
      </c>
      <c r="Y9" s="34" t="n">
        <f aca="false">X9+Y8</f>
        <v>16</v>
      </c>
      <c r="Z9" s="34" t="n">
        <f aca="false">Y9+Z8</f>
        <v>18</v>
      </c>
      <c r="AA9" s="34" t="n">
        <f aca="false">Z9+AA8</f>
        <v>19</v>
      </c>
      <c r="AB9" s="34" t="n">
        <f aca="false">AA9+AB8</f>
        <v>20</v>
      </c>
      <c r="AC9" s="34" t="n">
        <f aca="false">AB9+AC8</f>
        <v>22</v>
      </c>
      <c r="AD9" s="34" t="n">
        <f aca="false">AC9+AD8</f>
        <v>24</v>
      </c>
      <c r="AE9" s="34" t="n">
        <f aca="false">AD9+AE8</f>
        <v>25</v>
      </c>
      <c r="AF9" s="34" t="n">
        <f aca="false">AE9+AF8</f>
        <v>27</v>
      </c>
      <c r="AG9" s="34" t="n">
        <f aca="false">AF9+AG8</f>
        <v>29</v>
      </c>
      <c r="AH9" s="34" t="n">
        <f aca="false">AG9+AH8</f>
        <v>30</v>
      </c>
      <c r="AI9" s="34" t="n">
        <f aca="false">AH9+AI8</f>
        <v>32</v>
      </c>
      <c r="AJ9" s="34" t="n">
        <f aca="false">AI9+AJ8</f>
        <v>34</v>
      </c>
      <c r="AK9" s="34" t="n">
        <f aca="false">AJ9+AK8</f>
        <v>36</v>
      </c>
      <c r="AL9" s="34" t="n">
        <f aca="false">AK9+AL8</f>
        <v>38</v>
      </c>
      <c r="AM9" s="34" t="n">
        <f aca="false">AL9+AM8</f>
        <v>40</v>
      </c>
      <c r="AN9" s="35" t="n">
        <f aca="false">AM9+AN8</f>
        <v>42</v>
      </c>
      <c r="AO9" s="35" t="n">
        <f aca="false">AN9+AO8</f>
        <v>44</v>
      </c>
      <c r="AP9" s="35" t="n">
        <f aca="false">AO9+AP8</f>
        <v>46</v>
      </c>
      <c r="AQ9" s="35" t="n">
        <f aca="false">AP9+AQ8</f>
        <v>48</v>
      </c>
      <c r="AR9" s="35" t="n">
        <f aca="false">AQ9+AR8</f>
        <v>50</v>
      </c>
      <c r="AS9" s="35" t="n">
        <f aca="false">AR9+AS8</f>
        <v>52</v>
      </c>
      <c r="AT9" s="35" t="n">
        <f aca="false">AS9+AT8</f>
        <v>54</v>
      </c>
      <c r="AU9" s="35" t="n">
        <f aca="false">AT9+AU8</f>
        <v>56</v>
      </c>
      <c r="AV9" s="35" t="n">
        <f aca="false">AU9+AV8</f>
        <v>58</v>
      </c>
      <c r="AW9" s="35" t="n">
        <f aca="false">AV9+AW8</f>
        <v>60</v>
      </c>
      <c r="AX9" s="35" t="n">
        <f aca="false">AW9+AX8</f>
        <v>62</v>
      </c>
      <c r="AY9" s="35" t="n">
        <f aca="false">AX9+AY8</f>
        <v>64</v>
      </c>
      <c r="AZ9" s="35" t="n">
        <f aca="false">AY9+AZ8</f>
        <v>66</v>
      </c>
      <c r="BA9" s="35" t="n">
        <f aca="false">AZ9+BA8</f>
        <v>68</v>
      </c>
      <c r="BB9" s="35" t="n">
        <f aca="false">BA9+BB8</f>
        <v>70</v>
      </c>
      <c r="BC9" s="35" t="n">
        <f aca="false">BB9+BC8</f>
        <v>72</v>
      </c>
      <c r="BD9" s="35" t="n">
        <f aca="false">BC9+BD8</f>
        <v>74</v>
      </c>
      <c r="BE9" s="35" t="n">
        <f aca="false">BD9+BE8</f>
        <v>76</v>
      </c>
      <c r="BF9" s="35" t="n">
        <f aca="false">BE9+BF8</f>
        <v>78</v>
      </c>
      <c r="BG9" s="35" t="n">
        <f aca="false">BF9+BG8</f>
        <v>80</v>
      </c>
      <c r="BH9" s="35" t="n">
        <f aca="false">BG9+BH8</f>
        <v>82</v>
      </c>
      <c r="BI9" s="35" t="n">
        <f aca="false">BH9+BI8</f>
        <v>84</v>
      </c>
      <c r="BJ9" s="35" t="n">
        <f aca="false">BI9+BJ8</f>
        <v>86</v>
      </c>
      <c r="BK9" s="35" t="n">
        <f aca="false">BJ9+BK8</f>
        <v>88</v>
      </c>
    </row>
    <row r="10" customFormat="false" ht="15" hidden="false" customHeight="false" outlineLevel="0" collapsed="false">
      <c r="A10" s="28" t="s">
        <v>539</v>
      </c>
      <c r="B10" s="6" t="s">
        <v>540</v>
      </c>
      <c r="C10" s="32" t="n">
        <v>0</v>
      </c>
      <c r="D10" s="34" t="n">
        <f aca="false">IF(D7&gt;Assumptions!$G$79,INDEX($D$9:$BK$9,D7-Assumptions!$G$79),0)</f>
        <v>0</v>
      </c>
      <c r="E10" s="34" t="n">
        <f aca="false">IF(E7&gt;Assumptions!$G$79,INDEX($D$9:$BK$9,E7-Assumptions!$G$79),0)</f>
        <v>0</v>
      </c>
      <c r="F10" s="34" t="n">
        <f aca="false">IF(F7&gt;Assumptions!$G$79,INDEX($D$9:$BK$9,F7-Assumptions!$G$79),0)</f>
        <v>0</v>
      </c>
      <c r="G10" s="34" t="n">
        <f aca="false">IF(G7&gt;Assumptions!$G$79,INDEX($D$9:$BK$9,G7-Assumptions!$G$79),0)</f>
        <v>0</v>
      </c>
      <c r="H10" s="34" t="n">
        <f aca="false">IF(H7&gt;Assumptions!$G$79,INDEX($D$9:$BK$9,H7-Assumptions!$G$79),0)</f>
        <v>0</v>
      </c>
      <c r="I10" s="34" t="n">
        <f aca="false">IF(I7&gt;Assumptions!$G$79,INDEX($D$9:$BK$9,I7-Assumptions!$G$79),0)</f>
        <v>0</v>
      </c>
      <c r="J10" s="34" t="n">
        <f aca="false">IF(J7&gt;Assumptions!$G$79,INDEX($D$9:$BK$9,J7-Assumptions!$G$79),0)</f>
        <v>0</v>
      </c>
      <c r="K10" s="34" t="n">
        <f aca="false">IF(K7&gt;Assumptions!$G$79,INDEX($D$9:$BK$9,K7-Assumptions!$G$79),0)</f>
        <v>0</v>
      </c>
      <c r="L10" s="34" t="n">
        <f aca="false">IF(L7&gt;Assumptions!$G$79,INDEX($D$9:$BK$9,L7-Assumptions!$G$79),0)</f>
        <v>0</v>
      </c>
      <c r="M10" s="34" t="n">
        <f aca="false">IF(M7&gt;Assumptions!$G$79,INDEX($D$9:$BK$9,M7-Assumptions!$G$79),0)</f>
        <v>0</v>
      </c>
      <c r="N10" s="34" t="n">
        <f aca="false">IF(N7&gt;Assumptions!$G$79,INDEX($D$9:$BK$9,N7-Assumptions!$G$79),0)</f>
        <v>1</v>
      </c>
      <c r="O10" s="34" t="n">
        <f aca="false">IF(O7&gt;Assumptions!$G$79,INDEX($D$9:$BK$9,O7-Assumptions!$G$79),0)</f>
        <v>1</v>
      </c>
      <c r="P10" s="34" t="n">
        <f aca="false">IF(P7&gt;Assumptions!$G$79,INDEX($D$9:$BK$9,P7-Assumptions!$G$79),0)</f>
        <v>1</v>
      </c>
      <c r="Q10" s="34" t="n">
        <f aca="false">IF(Q7&gt;Assumptions!$G$79,INDEX($D$9:$BK$9,Q7-Assumptions!$G$79),0)</f>
        <v>2</v>
      </c>
      <c r="R10" s="34" t="n">
        <f aca="false">IF(R7&gt;Assumptions!$G$79,INDEX($D$9:$BK$9,R7-Assumptions!$G$79),0)</f>
        <v>3</v>
      </c>
      <c r="S10" s="34" t="n">
        <f aca="false">IF(S7&gt;Assumptions!$G$79,INDEX($D$9:$BK$9,S7-Assumptions!$G$79),0)</f>
        <v>3</v>
      </c>
      <c r="T10" s="34" t="n">
        <f aca="false">IF(T7&gt;Assumptions!$G$79,INDEX($D$9:$BK$9,T7-Assumptions!$G$79),0)</f>
        <v>4</v>
      </c>
      <c r="U10" s="34" t="n">
        <f aca="false">IF(U7&gt;Assumptions!$G$79,INDEX($D$9:$BK$9,U7-Assumptions!$G$79),0)</f>
        <v>5</v>
      </c>
      <c r="V10" s="34" t="n">
        <f aca="false">IF(V7&gt;Assumptions!$G$79,INDEX($D$9:$BK$9,V7-Assumptions!$G$79),0)</f>
        <v>6</v>
      </c>
      <c r="W10" s="34" t="n">
        <f aca="false">IF(W7&gt;Assumptions!$G$79,INDEX($D$9:$BK$9,W7-Assumptions!$G$79),0)</f>
        <v>7</v>
      </c>
      <c r="X10" s="34" t="n">
        <f aca="false">IF(X7&gt;Assumptions!$G$79,INDEX($D$9:$BK$9,X7-Assumptions!$G$79),0)</f>
        <v>8</v>
      </c>
      <c r="Y10" s="34" t="n">
        <f aca="false">IF(Y7&gt;Assumptions!$G$79,INDEX($D$9:$BK$9,Y7-Assumptions!$G$79),0)</f>
        <v>9</v>
      </c>
      <c r="Z10" s="34" t="n">
        <f aca="false">IF(Z7&gt;Assumptions!$G$79,INDEX($D$9:$BK$9,Z7-Assumptions!$G$79),0)</f>
        <v>10</v>
      </c>
      <c r="AA10" s="34" t="n">
        <f aca="false">IF(AA7&gt;Assumptions!$G$79,INDEX($D$9:$BK$9,AA7-Assumptions!$G$79),0)</f>
        <v>11</v>
      </c>
      <c r="AB10" s="34" t="n">
        <f aca="false">IF(AB7&gt;Assumptions!$G$79,INDEX($D$9:$BK$9,AB7-Assumptions!$G$79),0)</f>
        <v>12</v>
      </c>
      <c r="AC10" s="34" t="n">
        <f aca="false">IF(AC7&gt;Assumptions!$G$79,INDEX($D$9:$BK$9,AC7-Assumptions!$G$79),0)</f>
        <v>14</v>
      </c>
      <c r="AD10" s="34" t="n">
        <f aca="false">IF(AD7&gt;Assumptions!$G$79,INDEX($D$9:$BK$9,AD7-Assumptions!$G$79),0)</f>
        <v>15</v>
      </c>
      <c r="AE10" s="34" t="n">
        <f aca="false">IF(AE7&gt;Assumptions!$G$79,INDEX($D$9:$BK$9,AE7-Assumptions!$G$79),0)</f>
        <v>16</v>
      </c>
      <c r="AF10" s="34" t="n">
        <f aca="false">IF(AF7&gt;Assumptions!$G$79,INDEX($D$9:$BK$9,AF7-Assumptions!$G$79),0)</f>
        <v>18</v>
      </c>
      <c r="AG10" s="34" t="n">
        <f aca="false">IF(AG7&gt;Assumptions!$G$79,INDEX($D$9:$BK$9,AG7-Assumptions!$G$79),0)</f>
        <v>19</v>
      </c>
      <c r="AH10" s="34" t="n">
        <f aca="false">IF(AH7&gt;Assumptions!$G$79,INDEX($D$9:$BK$9,AH7-Assumptions!$G$79),0)</f>
        <v>20</v>
      </c>
      <c r="AI10" s="34" t="n">
        <f aca="false">IF(AI7&gt;Assumptions!$G$79,INDEX($D$9:$BK$9,AI7-Assumptions!$G$79),0)</f>
        <v>22</v>
      </c>
      <c r="AJ10" s="34" t="n">
        <f aca="false">IF(AJ7&gt;Assumptions!$G$79,INDEX($D$9:$BK$9,AJ7-Assumptions!$G$79),0)</f>
        <v>24</v>
      </c>
      <c r="AK10" s="34" t="n">
        <f aca="false">IF(AK7&gt;Assumptions!$G$79,INDEX($D$9:$BK$9,AK7-Assumptions!$G$79),0)</f>
        <v>25</v>
      </c>
      <c r="AL10" s="34" t="n">
        <f aca="false">IF(AL7&gt;Assumptions!$G$79,INDEX($D$9:$BK$9,AL7-Assumptions!$G$79),0)</f>
        <v>27</v>
      </c>
      <c r="AM10" s="34" t="n">
        <f aca="false">IF(AM7&gt;Assumptions!$G$79,INDEX($D$9:$BK$9,AM7-Assumptions!$G$79),0)</f>
        <v>29</v>
      </c>
      <c r="AN10" s="35" t="n">
        <f aca="false">IF(AN7&gt;Assumptions!$G$79,INDEX($D$9:$BK$9,AN7-Assumptions!$G$79),0)</f>
        <v>30</v>
      </c>
      <c r="AO10" s="35" t="n">
        <f aca="false">IF(AO7&gt;Assumptions!$G$79,INDEX($D$9:$BK$9,AO7-Assumptions!$G$79),0)</f>
        <v>32</v>
      </c>
      <c r="AP10" s="35" t="n">
        <f aca="false">IF(AP7&gt;Assumptions!$G$79,INDEX($D$9:$BK$9,AP7-Assumptions!$G$79),0)</f>
        <v>34</v>
      </c>
      <c r="AQ10" s="35" t="n">
        <f aca="false">IF(AQ7&gt;Assumptions!$G$79,INDEX($D$9:$BK$9,AQ7-Assumptions!$G$79),0)</f>
        <v>36</v>
      </c>
      <c r="AR10" s="35" t="n">
        <f aca="false">IF(AR7&gt;Assumptions!$G$79,INDEX($D$9:$BK$9,AR7-Assumptions!$G$79),0)</f>
        <v>38</v>
      </c>
      <c r="AS10" s="35" t="n">
        <f aca="false">IF(AS7&gt;Assumptions!$G$79,INDEX($D$9:$BK$9,AS7-Assumptions!$G$79),0)</f>
        <v>40</v>
      </c>
      <c r="AT10" s="35" t="n">
        <f aca="false">IF(AT7&gt;Assumptions!$G$79,INDEX($D$9:$BK$9,AT7-Assumptions!$G$79),0)</f>
        <v>42</v>
      </c>
      <c r="AU10" s="35" t="n">
        <f aca="false">IF(AU7&gt;Assumptions!$G$79,INDEX($D$9:$BK$9,AU7-Assumptions!$G$79),0)</f>
        <v>44</v>
      </c>
      <c r="AV10" s="35" t="n">
        <f aca="false">IF(AV7&gt;Assumptions!$G$79,INDEX($D$9:$BK$9,AV7-Assumptions!$G$79),0)</f>
        <v>46</v>
      </c>
      <c r="AW10" s="35" t="n">
        <f aca="false">IF(AW7&gt;Assumptions!$G$79,INDEX($D$9:$BK$9,AW7-Assumptions!$G$79),0)</f>
        <v>48</v>
      </c>
      <c r="AX10" s="35" t="n">
        <f aca="false">IF(AX7&gt;Assumptions!$G$79,INDEX($D$9:$BK$9,AX7-Assumptions!$G$79),0)</f>
        <v>50</v>
      </c>
      <c r="AY10" s="35" t="n">
        <f aca="false">IF(AY7&gt;Assumptions!$G$79,INDEX($D$9:$BK$9,AY7-Assumptions!$G$79),0)</f>
        <v>52</v>
      </c>
      <c r="AZ10" s="35" t="n">
        <f aca="false">IF(AZ7&gt;Assumptions!$G$79,INDEX($D$9:$BK$9,AZ7-Assumptions!$G$79),0)</f>
        <v>54</v>
      </c>
      <c r="BA10" s="35" t="n">
        <f aca="false">IF(BA7&gt;Assumptions!$G$79,INDEX($D$9:$BK$9,BA7-Assumptions!$G$79),0)</f>
        <v>56</v>
      </c>
      <c r="BB10" s="35" t="n">
        <f aca="false">IF(BB7&gt;Assumptions!$G$79,INDEX($D$9:$BK$9,BB7-Assumptions!$G$79),0)</f>
        <v>58</v>
      </c>
      <c r="BC10" s="35" t="n">
        <f aca="false">IF(BC7&gt;Assumptions!$G$79,INDEX($D$9:$BK$9,BC7-Assumptions!$G$79),0)</f>
        <v>60</v>
      </c>
      <c r="BD10" s="35" t="n">
        <f aca="false">IF(BD7&gt;Assumptions!$G$79,INDEX($D$9:$BK$9,BD7-Assumptions!$G$79),0)</f>
        <v>62</v>
      </c>
      <c r="BE10" s="35" t="n">
        <f aca="false">IF(BE7&gt;Assumptions!$G$79,INDEX($D$9:$BK$9,BE7-Assumptions!$G$79),0)</f>
        <v>64</v>
      </c>
      <c r="BF10" s="35" t="n">
        <f aca="false">IF(BF7&gt;Assumptions!$G$79,INDEX($D$9:$BK$9,BF7-Assumptions!$G$79),0)</f>
        <v>66</v>
      </c>
      <c r="BG10" s="35" t="n">
        <f aca="false">IF(BG7&gt;Assumptions!$G$79,INDEX($D$9:$BK$9,BG7-Assumptions!$G$79),0)</f>
        <v>68</v>
      </c>
      <c r="BH10" s="35" t="n">
        <f aca="false">IF(BH7&gt;Assumptions!$G$79,INDEX($D$9:$BK$9,BH7-Assumptions!$G$79),0)</f>
        <v>70</v>
      </c>
      <c r="BI10" s="35" t="n">
        <f aca="false">IF(BI7&gt;Assumptions!$G$79,INDEX($D$9:$BK$9,BI7-Assumptions!$G$79),0)</f>
        <v>72</v>
      </c>
      <c r="BJ10" s="35" t="n">
        <f aca="false">IF(BJ7&gt;Assumptions!$G$79,INDEX($D$9:$BK$9,BJ7-Assumptions!$G$79),0)</f>
        <v>74</v>
      </c>
      <c r="BK10" s="35" t="n">
        <f aca="false">IF(BK7&gt;Assumptions!$G$79,INDEX($D$9:$BK$9,BK7-Assumptions!$G$79),0)</f>
        <v>76</v>
      </c>
    </row>
    <row r="11" customFormat="false" ht="15" hidden="false" customHeight="false" outlineLevel="0" collapsed="false">
      <c r="A11" s="28" t="s">
        <v>541</v>
      </c>
      <c r="B11" s="6" t="s">
        <v>542</v>
      </c>
      <c r="C11" s="36" t="n">
        <v>0</v>
      </c>
      <c r="D11" s="26" t="n">
        <f aca="false">Assumptions!$G$10*(D8*Assumptions!$G$111)</f>
        <v>0</v>
      </c>
      <c r="E11" s="26" t="n">
        <f aca="false">Assumptions!$G$10*(E8*Assumptions!$G$111+D8*Assumptions!$G$112)</f>
        <v>0</v>
      </c>
      <c r="F11" s="26" t="n">
        <f aca="false">Assumptions!$G$10*(F8*Assumptions!$G$111+E8*Assumptions!$G$112+D8*Assumptions!$G$113)</f>
        <v>0</v>
      </c>
      <c r="G11" s="26" t="n">
        <f aca="false">Assumptions!$G$10*(G8*Assumptions!$G$111+F8*Assumptions!$G$112+E8*Assumptions!$G$113+D8*Assumptions!$G$114)</f>
        <v>0</v>
      </c>
      <c r="H11" s="26" t="n">
        <f aca="false">Assumptions!$G$10*(H8*Assumptions!$G$111+G8*Assumptions!$G$112+F8*Assumptions!$G$113+E8*Assumptions!$G$114+D8*Assumptions!$G$115)</f>
        <v>9.5</v>
      </c>
      <c r="I11" s="26" t="n">
        <f aca="false">Assumptions!$G$10*(I8*Assumptions!$G$111+H8*Assumptions!$G$112+G8*Assumptions!$G$113+F8*Assumptions!$G$114+E8*Assumptions!$G$115+D8*Assumptions!$G$116)</f>
        <v>8.36</v>
      </c>
      <c r="J11" s="26" t="n">
        <f aca="false">Assumptions!$G$10*(J8*Assumptions!$G$111+I8*Assumptions!$G$112+H8*Assumptions!$G$113+G8*Assumptions!$G$114+F8*Assumptions!$G$115+E8*Assumptions!$G$116+D8*Assumptions!$G$117)</f>
        <v>5.7</v>
      </c>
      <c r="K11" s="26" t="n">
        <f aca="false">Assumptions!$G$10*(K8*Assumptions!$G$111+J8*Assumptions!$G$112+I8*Assumptions!$G$113+H8*Assumptions!$G$114+G8*Assumptions!$G$115+F8*Assumptions!$G$116+E8*Assumptions!$G$117+D8*Assumptions!$G$118)</f>
        <v>13.3</v>
      </c>
      <c r="L11" s="26" t="n">
        <f aca="false">Assumptions!$G$10*(L8*Assumptions!$G$111+K8*Assumptions!$G$112+J8*Assumptions!$G$113+I8*Assumptions!$G$114+H8*Assumptions!$G$115+G8*Assumptions!$G$116+F8*Assumptions!$G$117+E8*Assumptions!$G$118+D8*Assumptions!$G$119)</f>
        <v>20.14</v>
      </c>
      <c r="M11" s="26" t="n">
        <f aca="false">Assumptions!$G$10*(M8*Assumptions!$G$111+L8*Assumptions!$G$112+K8*Assumptions!$G$113+J8*Assumptions!$G$114+I8*Assumptions!$G$115+H8*Assumptions!$G$116+G8*Assumptions!$G$117+F8*Assumptions!$G$118+E8*Assumptions!$G$119+D8*Assumptions!$G$120)</f>
        <v>15.96</v>
      </c>
      <c r="N11" s="26" t="n">
        <f aca="false">Assumptions!$G$10*(N8*Assumptions!$G$111+M8*Assumptions!$G$112+L8*Assumptions!$G$113+K8*Assumptions!$G$114+J8*Assumptions!$G$115+I8*Assumptions!$G$116+H8*Assumptions!$G$117+G8*Assumptions!$G$118+F8*Assumptions!$G$119+E8*Assumptions!$G$120+D8*Assumptions!$G$121)</f>
        <v>19.38</v>
      </c>
      <c r="O11" s="26" t="n">
        <f aca="false">Assumptions!$G$10*(O8*Assumptions!$G$111+N8*Assumptions!$G$112+M8*Assumptions!$G$113+L8*Assumptions!$G$114+K8*Assumptions!$G$115+J8*Assumptions!$G$116+I8*Assumptions!$G$117+H8*Assumptions!$G$118+G8*Assumptions!$G$119+F8*Assumptions!$G$120+E8*Assumptions!$G$121+D8*Assumptions!$G$122)</f>
        <v>24.32</v>
      </c>
      <c r="P11" s="26" t="n">
        <f aca="false">Assumptions!$G$10*(P8*Assumptions!$G$111+O8*Assumptions!$G$112+N8*Assumptions!$G$113+M8*Assumptions!$G$114+L8*Assumptions!$G$115+K8*Assumptions!$G$116+J8*Assumptions!$G$117+I8*Assumptions!$G$118+H8*Assumptions!$G$119+G8*Assumptions!$G$120+F8*Assumptions!$G$121+E8*Assumptions!$G$122+D8*Assumptions!$G$123)</f>
        <v>28.12</v>
      </c>
      <c r="Q11" s="26" t="n">
        <f aca="false">Assumptions!$G$10*(Q8*Assumptions!$G$111+P8*Assumptions!$G$112+O8*Assumptions!$G$113+N8*Assumptions!$G$114+M8*Assumptions!$G$115+L8*Assumptions!$G$116+K8*Assumptions!$G$117+J8*Assumptions!$G$118+I8*Assumptions!$G$119+H8*Assumptions!$G$120+G8*Assumptions!$G$121+F8*Assumptions!$G$122+E8*Assumptions!$G$123+D8*Assumptions!$G$124)</f>
        <v>30.02</v>
      </c>
      <c r="R11" s="26" t="n">
        <f aca="false">Assumptions!$G$10*(R8*Assumptions!$G$111+Q8*Assumptions!$G$112+P8*Assumptions!$G$113+O8*Assumptions!$G$114+N8*Assumptions!$G$115+M8*Assumptions!$G$116+L8*Assumptions!$G$117+K8*Assumptions!$G$118+J8*Assumptions!$G$119+I8*Assumptions!$G$120+H8*Assumptions!$G$121+G8*Assumptions!$G$122+F8*Assumptions!$G$123+E8*Assumptions!$G$124+D8*Assumptions!$G$125)</f>
        <v>30.78</v>
      </c>
      <c r="S11" s="26" t="n">
        <f aca="false">Assumptions!$G$10*(S8*Assumptions!$G$111+R8*Assumptions!$G$112+Q8*Assumptions!$G$113+P8*Assumptions!$G$114+O8*Assumptions!$G$115+N8*Assumptions!$G$116+M8*Assumptions!$G$117+L8*Assumptions!$G$118+K8*Assumptions!$G$119+J8*Assumptions!$G$120+I8*Assumptions!$G$121+H8*Assumptions!$G$122+G8*Assumptions!$G$123+F8*Assumptions!$G$124+E8*Assumptions!$G$125+D8*Assumptions!$G$126)</f>
        <v>32.68</v>
      </c>
      <c r="T11" s="26" t="n">
        <f aca="false">Assumptions!$G$10*(T8*Assumptions!$G$111+S8*Assumptions!$G$112+R8*Assumptions!$G$113+Q8*Assumptions!$G$114+P8*Assumptions!$G$115+O8*Assumptions!$G$116+N8*Assumptions!$G$117+M8*Assumptions!$G$118+L8*Assumptions!$G$119+K8*Assumptions!$G$120+J8*Assumptions!$G$121+I8*Assumptions!$G$122+H8*Assumptions!$G$123+G8*Assumptions!$G$124+F8*Assumptions!$G$125+E8*Assumptions!$G$126+D8*Assumptions!$G$127)</f>
        <v>33.06</v>
      </c>
      <c r="U11" s="26" t="n">
        <f aca="false">Assumptions!$G$10*(U8*Assumptions!$G$111+T8*Assumptions!$G$112+S8*Assumptions!$G$113+R8*Assumptions!$G$114+Q8*Assumptions!$G$115+P8*Assumptions!$G$116+O8*Assumptions!$G$117+N8*Assumptions!$G$118+M8*Assumptions!$G$119+L8*Assumptions!$G$120+K8*Assumptions!$G$121+J8*Assumptions!$G$122+I8*Assumptions!$G$123+H8*Assumptions!$G$124+G8*Assumptions!$G$125+F8*Assumptions!$G$126+E8*Assumptions!$G$127+D8*Assumptions!$G$128)</f>
        <v>33.44</v>
      </c>
      <c r="V11" s="26" t="n">
        <f aca="false">Assumptions!$G$10*(V8*Assumptions!$G$111+U8*Assumptions!$G$112+T8*Assumptions!$G$113+S8*Assumptions!$G$114+R8*Assumptions!$G$115+Q8*Assumptions!$G$116+P8*Assumptions!$G$117+O8*Assumptions!$G$118+N8*Assumptions!$G$119+M8*Assumptions!$G$120+L8*Assumptions!$G$121+K8*Assumptions!$G$122+J8*Assumptions!$G$123+I8*Assumptions!$G$124+H8*Assumptions!$G$125+G8*Assumptions!$G$126+F8*Assumptions!$G$127+E8*Assumptions!$G$128+D8*Assumptions!$G$129)</f>
        <v>33.82</v>
      </c>
      <c r="W11" s="26" t="n">
        <f aca="false">Assumptions!$G$10*(W8*Assumptions!$G$111+V8*Assumptions!$G$112+U8*Assumptions!$G$113+T8*Assumptions!$G$114+S8*Assumptions!$G$115+R8*Assumptions!$G$116+Q8*Assumptions!$G$117+P8*Assumptions!$G$118+O8*Assumptions!$G$119+N8*Assumptions!$G$120+M8*Assumptions!$G$121+L8*Assumptions!$G$122+K8*Assumptions!$G$123+J8*Assumptions!$G$124+I8*Assumptions!$G$125+H8*Assumptions!$G$126+G8*Assumptions!$G$127+F8*Assumptions!$G$128+E8*Assumptions!$G$129+D8*Assumptions!$G$130)</f>
        <v>43.7</v>
      </c>
      <c r="X11" s="26" t="n">
        <f aca="false">Assumptions!$G$10*(X8*Assumptions!$G$111+W8*Assumptions!$G$112+V8*Assumptions!$G$113+U8*Assumptions!$G$114+T8*Assumptions!$G$115+S8*Assumptions!$G$116+R8*Assumptions!$G$117+Q8*Assumptions!$G$118+P8*Assumptions!$G$119+O8*Assumptions!$G$120+N8*Assumptions!$G$121+M8*Assumptions!$G$122+L8*Assumptions!$G$123+K8*Assumptions!$G$124+J8*Assumptions!$G$125+I8*Assumptions!$G$126+H8*Assumptions!$G$127+G8*Assumptions!$G$128+F8*Assumptions!$G$129+E8*Assumptions!$G$130+D8*Assumptions!$G$131)</f>
        <v>42.94</v>
      </c>
      <c r="Y11" s="26" t="n">
        <f aca="false">Assumptions!$G$10*(Y8*Assumptions!$G$111+X8*Assumptions!$G$112+W8*Assumptions!$G$113+V8*Assumptions!$G$114+U8*Assumptions!$G$115+T8*Assumptions!$G$116+S8*Assumptions!$G$117+R8*Assumptions!$G$118+Q8*Assumptions!$G$119+P8*Assumptions!$G$120+O8*Assumptions!$G$121+N8*Assumptions!$G$122+M8*Assumptions!$G$123+L8*Assumptions!$G$124+K8*Assumptions!$G$125+J8*Assumptions!$G$126+I8*Assumptions!$G$127+H8*Assumptions!$G$128+G8*Assumptions!$G$129+F8*Assumptions!$G$130+E8*Assumptions!$G$131+D8*Assumptions!$G$132)</f>
        <v>40.66</v>
      </c>
      <c r="Z11" s="26" t="n">
        <f aca="false">Assumptions!$G$10*(Z8*Assumptions!$G$111+Y8*Assumptions!$G$112+X8*Assumptions!$G$113+W8*Assumptions!$G$114+V8*Assumptions!$G$115+U8*Assumptions!$G$116+T8*Assumptions!$G$117+S8*Assumptions!$G$118+R8*Assumptions!$G$119+Q8*Assumptions!$G$120+P8*Assumptions!$G$121+O8*Assumptions!$G$122+N8*Assumptions!$G$123+M8*Assumptions!$G$124+L8*Assumptions!$G$125+K8*Assumptions!$G$126+J8*Assumptions!$G$127+I8*Assumptions!$G$128+H8*Assumptions!$G$129+G8*Assumptions!$G$130+F8*Assumptions!$G$131+E8*Assumptions!$G$132+D8*Assumptions!$G$133)</f>
        <v>48.64</v>
      </c>
      <c r="AA11" s="26" t="n">
        <f aca="false">Assumptions!$G$10*(AA8*Assumptions!$G$111+Z8*Assumptions!$G$112+Y8*Assumptions!$G$113+X8*Assumptions!$G$114+W8*Assumptions!$G$115+V8*Assumptions!$G$116+U8*Assumptions!$G$117+T8*Assumptions!$G$118+S8*Assumptions!$G$119+R8*Assumptions!$G$120+Q8*Assumptions!$G$121+P8*Assumptions!$G$122+O8*Assumptions!$G$123+N8*Assumptions!$G$124+M8*Assumptions!$G$125+L8*Assumptions!$G$126+K8*Assumptions!$G$127+J8*Assumptions!$G$128+I8*Assumptions!$G$129+H8*Assumptions!$G$130+G8*Assumptions!$G$131+F8*Assumptions!$G$132+E8*Assumptions!$G$133)</f>
        <v>46.36</v>
      </c>
      <c r="AB11" s="26" t="n">
        <f aca="false">Assumptions!$G$10*(AB8*Assumptions!$G$111+AA8*Assumptions!$G$112+Z8*Assumptions!$G$113+Y8*Assumptions!$G$114+X8*Assumptions!$G$115+W8*Assumptions!$G$116+V8*Assumptions!$G$117+U8*Assumptions!$G$118+T8*Assumptions!$G$119+S8*Assumptions!$G$120+R8*Assumptions!$G$121+Q8*Assumptions!$G$122+P8*Assumptions!$G$123+O8*Assumptions!$G$124+N8*Assumptions!$G$125+M8*Assumptions!$G$126+L8*Assumptions!$G$127+K8*Assumptions!$G$128+J8*Assumptions!$G$129+I8*Assumptions!$G$130+H8*Assumptions!$G$131+G8*Assumptions!$G$132+F8*Assumptions!$G$133)</f>
        <v>43.7</v>
      </c>
      <c r="AC11" s="26" t="n">
        <f aca="false">Assumptions!$G$10*(AC8*Assumptions!$G$111+AB8*Assumptions!$G$112+AA8*Assumptions!$G$113+Z8*Assumptions!$G$114+Y8*Assumptions!$G$115+X8*Assumptions!$G$116+W8*Assumptions!$G$117+V8*Assumptions!$G$118+U8*Assumptions!$G$119+T8*Assumptions!$G$120+S8*Assumptions!$G$121+R8*Assumptions!$G$122+Q8*Assumptions!$G$123+P8*Assumptions!$G$124+O8*Assumptions!$G$125+N8*Assumptions!$G$126+M8*Assumptions!$G$127+L8*Assumptions!$G$128+K8*Assumptions!$G$129+J8*Assumptions!$G$130+I8*Assumptions!$G$131+H8*Assumptions!$G$132+G8*Assumptions!$G$133)</f>
        <v>50.16</v>
      </c>
      <c r="AD11" s="26" t="n">
        <f aca="false">Assumptions!$G$10*(AD8*Assumptions!$G$111+AC8*Assumptions!$G$112+AB8*Assumptions!$G$113+AA8*Assumptions!$G$114+Z8*Assumptions!$G$115+Y8*Assumptions!$G$116+X8*Assumptions!$G$117+W8*Assumptions!$G$118+V8*Assumptions!$G$119+U8*Assumptions!$G$120+T8*Assumptions!$G$121+S8*Assumptions!$G$122+R8*Assumptions!$G$123+Q8*Assumptions!$G$124+P8*Assumptions!$G$125+O8*Assumptions!$G$126+N8*Assumptions!$G$127+M8*Assumptions!$G$128+L8*Assumptions!$G$129+K8*Assumptions!$G$130+J8*Assumptions!$G$131+I8*Assumptions!$G$132+H8*Assumptions!$G$133)</f>
        <v>57.38</v>
      </c>
      <c r="AE11" s="26" t="n">
        <f aca="false">Assumptions!$G$10*(AE8*Assumptions!$G$111+AD8*Assumptions!$G$112+AC8*Assumptions!$G$113+AB8*Assumptions!$G$114+AA8*Assumptions!$G$115+Z8*Assumptions!$G$116+Y8*Assumptions!$G$117+X8*Assumptions!$G$118+W8*Assumptions!$G$119+V8*Assumptions!$G$120+U8*Assumptions!$G$121+T8*Assumptions!$G$122+S8*Assumptions!$G$123+R8*Assumptions!$G$124+Q8*Assumptions!$G$125+P8*Assumptions!$G$126+O8*Assumptions!$G$127+N8*Assumptions!$G$128+M8*Assumptions!$G$129+L8*Assumptions!$G$130+K8*Assumptions!$G$131+J8*Assumptions!$G$132+I8*Assumptions!$G$133)</f>
        <v>53.2</v>
      </c>
      <c r="AF11" s="26" t="n">
        <f aca="false">Assumptions!$G$10*(AF8*Assumptions!$G$111+AE8*Assumptions!$G$112+AD8*Assumptions!$G$113+AC8*Assumptions!$G$114+AB8*Assumptions!$G$115+AA8*Assumptions!$G$116+Z8*Assumptions!$G$117+Y8*Assumptions!$G$118+X8*Assumptions!$G$119+W8*Assumptions!$G$120+V8*Assumptions!$G$121+U8*Assumptions!$G$122+T8*Assumptions!$G$123+S8*Assumptions!$G$124+R8*Assumptions!$G$125+Q8*Assumptions!$G$126+P8*Assumptions!$G$127+O8*Assumptions!$G$128+N8*Assumptions!$G$129+M8*Assumptions!$G$130+L8*Assumptions!$G$131+K8*Assumptions!$G$132+J8*Assumptions!$G$133)</f>
        <v>57</v>
      </c>
      <c r="AG11" s="26" t="n">
        <f aca="false">Assumptions!$G$10*(AG8*Assumptions!$G$111+AF8*Assumptions!$G$112+AE8*Assumptions!$G$113+AD8*Assumptions!$G$114+AC8*Assumptions!$G$115+AB8*Assumptions!$G$116+AA8*Assumptions!$G$117+Z8*Assumptions!$G$118+Y8*Assumptions!$G$119+X8*Assumptions!$G$120+W8*Assumptions!$G$121+V8*Assumptions!$G$122+U8*Assumptions!$G$123+T8*Assumptions!$G$124+S8*Assumptions!$G$125+R8*Assumptions!$G$126+Q8*Assumptions!$G$127+P8*Assumptions!$G$128+O8*Assumptions!$G$129+N8*Assumptions!$G$130+M8*Assumptions!$G$131+L8*Assumptions!$G$132+K8*Assumptions!$G$133)</f>
        <v>62.32</v>
      </c>
      <c r="AH11" s="26" t="n">
        <f aca="false">Assumptions!$G$10*(AH8*Assumptions!$G$111+AG8*Assumptions!$G$112+AF8*Assumptions!$G$113+AE8*Assumptions!$G$114+AD8*Assumptions!$G$115+AC8*Assumptions!$G$116+AB8*Assumptions!$G$117+AA8*Assumptions!$G$118+Z8*Assumptions!$G$119+Y8*Assumptions!$G$120+X8*Assumptions!$G$121+W8*Assumptions!$G$122+V8*Assumptions!$G$123+U8*Assumptions!$G$124+T8*Assumptions!$G$125+S8*Assumptions!$G$126+R8*Assumptions!$G$127+Q8*Assumptions!$G$128+P8*Assumptions!$G$129+O8*Assumptions!$G$130+N8*Assumptions!$G$131+M8*Assumptions!$G$132+L8*Assumptions!$G$133)</f>
        <v>56.62</v>
      </c>
      <c r="AI11" s="26" t="n">
        <f aca="false">Assumptions!$G$10*(AI8*Assumptions!$G$111+AH8*Assumptions!$G$112+AG8*Assumptions!$G$113+AF8*Assumptions!$G$114+AE8*Assumptions!$G$115+AD8*Assumptions!$G$116+AC8*Assumptions!$G$117+AB8*Assumptions!$G$118+AA8*Assumptions!$G$119+Z8*Assumptions!$G$120+Y8*Assumptions!$G$121+X8*Assumptions!$G$122+W8*Assumptions!$G$123+V8*Assumptions!$G$124+U8*Assumptions!$G$125+T8*Assumptions!$G$126+S8*Assumptions!$G$127+R8*Assumptions!$G$128+Q8*Assumptions!$G$129+P8*Assumptions!$G$130+O8*Assumptions!$G$131+N8*Assumptions!$G$132+M8*Assumptions!$G$133)</f>
        <v>59.66</v>
      </c>
      <c r="AJ11" s="26" t="n">
        <f aca="false">Assumptions!$G$10*(AJ8*Assumptions!$G$111+AI8*Assumptions!$G$112+AH8*Assumptions!$G$113+AG8*Assumptions!$G$114+AF8*Assumptions!$G$115+AE8*Assumptions!$G$116+AD8*Assumptions!$G$117+AC8*Assumptions!$G$118+AB8*Assumptions!$G$119+AA8*Assumptions!$G$120+Z8*Assumptions!$G$121+Y8*Assumptions!$G$122+X8*Assumptions!$G$123+W8*Assumptions!$G$124+V8*Assumptions!$G$125+U8*Assumptions!$G$126+T8*Assumptions!$G$127+S8*Assumptions!$G$128+R8*Assumptions!$G$129+Q8*Assumptions!$G$130+P8*Assumptions!$G$131+O8*Assumptions!$G$132+N8*Assumptions!$G$133)</f>
        <v>63.46</v>
      </c>
      <c r="AK11" s="26" t="n">
        <f aca="false">Assumptions!$G$10*(AK8*Assumptions!$G$111+AJ8*Assumptions!$G$112+AI8*Assumptions!$G$113+AH8*Assumptions!$G$114+AG8*Assumptions!$G$115+AF8*Assumptions!$G$116+AE8*Assumptions!$G$117+AD8*Assumptions!$G$118+AC8*Assumptions!$G$119+AB8*Assumptions!$G$120+AA8*Assumptions!$G$121+Z8*Assumptions!$G$122+Y8*Assumptions!$G$123+X8*Assumptions!$G$124+W8*Assumptions!$G$125+V8*Assumptions!$G$126+U8*Assumptions!$G$127+T8*Assumptions!$G$128+S8*Assumptions!$G$129+R8*Assumptions!$G$130+Q8*Assumptions!$G$131+P8*Assumptions!$G$132+O8*Assumptions!$G$133)</f>
        <v>67.26</v>
      </c>
      <c r="AL11" s="26" t="n">
        <f aca="false">Assumptions!$G$10*(AL8*Assumptions!$G$111+AK8*Assumptions!$G$112+AJ8*Assumptions!$G$113+AI8*Assumptions!$G$114+AH8*Assumptions!$G$115+AG8*Assumptions!$G$116+AF8*Assumptions!$G$117+AE8*Assumptions!$G$118+AD8*Assumptions!$G$119+AC8*Assumptions!$G$120+AB8*Assumptions!$G$121+AA8*Assumptions!$G$122+Z8*Assumptions!$G$123+Y8*Assumptions!$G$124+X8*Assumptions!$G$125+W8*Assumptions!$G$126+V8*Assumptions!$G$127+U8*Assumptions!$G$128+T8*Assumptions!$G$129+S8*Assumptions!$G$130+R8*Assumptions!$G$131+Q8*Assumptions!$G$132+P8*Assumptions!$G$133)</f>
        <v>69.16</v>
      </c>
      <c r="AM11" s="26" t="n">
        <f aca="false">Assumptions!$G$10*(AM8*Assumptions!$G$111+AL8*Assumptions!$G$112+AK8*Assumptions!$G$113+AJ8*Assumptions!$G$114+AI8*Assumptions!$G$115+AH8*Assumptions!$G$116+AG8*Assumptions!$G$117+AF8*Assumptions!$G$118+AE8*Assumptions!$G$119+AD8*Assumptions!$G$120+AC8*Assumptions!$G$121+AB8*Assumptions!$G$122+AA8*Assumptions!$G$123+Z8*Assumptions!$G$124+Y8*Assumptions!$G$125+X8*Assumptions!$G$126+W8*Assumptions!$G$127+V8*Assumptions!$G$128+U8*Assumptions!$G$129+T8*Assumptions!$G$130+S8*Assumptions!$G$131+R8*Assumptions!$G$132+Q8*Assumptions!$G$133)</f>
        <v>69.92</v>
      </c>
      <c r="AN11" s="37" t="n">
        <f aca="false">Assumptions!$G$10*(AN8*Assumptions!$G$111+AM8*Assumptions!$G$112+AL8*Assumptions!$G$113+AK8*Assumptions!$G$114+AJ8*Assumptions!$G$115+AI8*Assumptions!$G$116+AH8*Assumptions!$G$117+AG8*Assumptions!$G$118+AF8*Assumptions!$G$119+AE8*Assumptions!$G$120+AD8*Assumptions!$G$121+AC8*Assumptions!$G$122+AB8*Assumptions!$G$123+AA8*Assumptions!$G$124+Z8*Assumptions!$G$125+Y8*Assumptions!$G$126+X8*Assumptions!$G$127+W8*Assumptions!$G$128+V8*Assumptions!$G$129+U8*Assumptions!$G$130+T8*Assumptions!$G$131+S8*Assumptions!$G$132+R8*Assumptions!$G$133)</f>
        <v>71.82</v>
      </c>
      <c r="AO11" s="37" t="n">
        <f aca="false">Assumptions!$G$10*(AO8*Assumptions!$G$111+AN8*Assumptions!$G$112+AM8*Assumptions!$G$113+AL8*Assumptions!$G$114+AK8*Assumptions!$G$115+AJ8*Assumptions!$G$116+AI8*Assumptions!$G$117+AH8*Assumptions!$G$118+AG8*Assumptions!$G$119+AF8*Assumptions!$G$120+AE8*Assumptions!$G$121+AD8*Assumptions!$G$122+AC8*Assumptions!$G$123+AB8*Assumptions!$G$124+AA8*Assumptions!$G$125+Z8*Assumptions!$G$126+Y8*Assumptions!$G$127+X8*Assumptions!$G$128+W8*Assumptions!$G$129+V8*Assumptions!$G$130+U8*Assumptions!$G$131+T8*Assumptions!$G$132+S8*Assumptions!$G$133)</f>
        <v>72.2</v>
      </c>
      <c r="AP11" s="37" t="n">
        <f aca="false">Assumptions!$G$10*(AP8*Assumptions!$G$111+AO8*Assumptions!$G$112+AN8*Assumptions!$G$113+AM8*Assumptions!$G$114+AL8*Assumptions!$G$115+AK8*Assumptions!$G$116+AJ8*Assumptions!$G$117+AI8*Assumptions!$G$118+AH8*Assumptions!$G$119+AG8*Assumptions!$G$120+AF8*Assumptions!$G$121+AE8*Assumptions!$G$122+AD8*Assumptions!$G$123+AC8*Assumptions!$G$124+AB8*Assumptions!$G$125+AA8*Assumptions!$G$126+Z8*Assumptions!$G$127+Y8*Assumptions!$G$128+X8*Assumptions!$G$129+W8*Assumptions!$G$130+V8*Assumptions!$G$131+U8*Assumptions!$G$132+T8*Assumptions!$G$133)</f>
        <v>72.58</v>
      </c>
      <c r="AQ11" s="37" t="n">
        <f aca="false">Assumptions!$G$10*(AQ8*Assumptions!$G$111+AP8*Assumptions!$G$112+AO8*Assumptions!$G$113+AN8*Assumptions!$G$114+AM8*Assumptions!$G$115+AL8*Assumptions!$G$116+AK8*Assumptions!$G$117+AJ8*Assumptions!$G$118+AI8*Assumptions!$G$119+AH8*Assumptions!$G$120+AG8*Assumptions!$G$121+AF8*Assumptions!$G$122+AE8*Assumptions!$G$123+AD8*Assumptions!$G$124+AC8*Assumptions!$G$125+AB8*Assumptions!$G$126+AA8*Assumptions!$G$127+Z8*Assumptions!$G$128+Y8*Assumptions!$G$129+X8*Assumptions!$G$130+W8*Assumptions!$G$131+V8*Assumptions!$G$132+U8*Assumptions!$G$133)</f>
        <v>72.96</v>
      </c>
      <c r="AR11" s="37" t="n">
        <f aca="false">Assumptions!$G$10*(AR8*Assumptions!$G$111+AQ8*Assumptions!$G$112+AP8*Assumptions!$G$113+AO8*Assumptions!$G$114+AN8*Assumptions!$G$115+AM8*Assumptions!$G$116+AL8*Assumptions!$G$117+AK8*Assumptions!$G$118+AJ8*Assumptions!$G$119+AI8*Assumptions!$G$120+AH8*Assumptions!$G$121+AG8*Assumptions!$G$122+AF8*Assumptions!$G$123+AE8*Assumptions!$G$124+AD8*Assumptions!$G$125+AC8*Assumptions!$G$126+AB8*Assumptions!$G$127+AA8*Assumptions!$G$128+Z8*Assumptions!$G$129+Y8*Assumptions!$G$130+X8*Assumptions!$G$131+W8*Assumptions!$G$132+V8*Assumptions!$G$133)</f>
        <v>73.34</v>
      </c>
      <c r="AS11" s="37" t="n">
        <f aca="false">Assumptions!$G$10*(AS8*Assumptions!$G$111+AR8*Assumptions!$G$112+AQ8*Assumptions!$G$113+AP8*Assumptions!$G$114+AO8*Assumptions!$G$115+AN8*Assumptions!$G$116+AM8*Assumptions!$G$117+AL8*Assumptions!$G$118+AK8*Assumptions!$G$119+AJ8*Assumptions!$G$120+AI8*Assumptions!$G$121+AH8*Assumptions!$G$122+AG8*Assumptions!$G$123+AF8*Assumptions!$G$124+AE8*Assumptions!$G$125+AD8*Assumptions!$G$126+AC8*Assumptions!$G$127+AB8*Assumptions!$G$128+AA8*Assumptions!$G$129+Z8*Assumptions!$G$130+Y8*Assumptions!$G$131+X8*Assumptions!$G$132+W8*Assumptions!$G$133)</f>
        <v>73.72</v>
      </c>
      <c r="AT11" s="37" t="n">
        <f aca="false">Assumptions!$G$10*(AT8*Assumptions!$G$111+AS8*Assumptions!$G$112+AR8*Assumptions!$G$113+AQ8*Assumptions!$G$114+AP8*Assumptions!$G$115+AO8*Assumptions!$G$116+AN8*Assumptions!$G$117+AM8*Assumptions!$G$118+AL8*Assumptions!$G$119+AK8*Assumptions!$G$120+AJ8*Assumptions!$G$121+AI8*Assumptions!$G$122+AH8*Assumptions!$G$123+AG8*Assumptions!$G$124+AF8*Assumptions!$G$125+AE8*Assumptions!$G$126+AD8*Assumptions!$G$127+AC8*Assumptions!$G$128+AB8*Assumptions!$G$129+AA8*Assumptions!$G$130+Z8*Assumptions!$G$131+Y8*Assumptions!$G$132+X8*Assumptions!$G$133)</f>
        <v>73.72</v>
      </c>
      <c r="AU11" s="37" t="n">
        <f aca="false">Assumptions!$G$10*(AU8*Assumptions!$G$111+AT8*Assumptions!$G$112+AS8*Assumptions!$G$113+AR8*Assumptions!$G$114+AQ8*Assumptions!$G$115+AP8*Assumptions!$G$116+AO8*Assumptions!$G$117+AN8*Assumptions!$G$118+AM8*Assumptions!$G$119+AL8*Assumptions!$G$120+AK8*Assumptions!$G$121+AJ8*Assumptions!$G$122+AI8*Assumptions!$G$123+AH8*Assumptions!$G$124+AG8*Assumptions!$G$125+AF8*Assumptions!$G$126+AE8*Assumptions!$G$127+AD8*Assumptions!$G$128+AC8*Assumptions!$G$129+AB8*Assumptions!$G$130+AA8*Assumptions!$G$131+Z8*Assumptions!$G$132+Y8*Assumptions!$G$133)</f>
        <v>74.1</v>
      </c>
      <c r="AV11" s="37" t="n">
        <f aca="false">Assumptions!$G$10*(AV8*Assumptions!$G$111+AU8*Assumptions!$G$112+AT8*Assumptions!$G$113+AS8*Assumptions!$G$114+AR8*Assumptions!$G$115+AQ8*Assumptions!$G$116+AP8*Assumptions!$G$117+AO8*Assumptions!$G$118+AN8*Assumptions!$G$119+AM8*Assumptions!$G$120+AL8*Assumptions!$G$121+AK8*Assumptions!$G$122+AJ8*Assumptions!$G$123+AI8*Assumptions!$G$124+AH8*Assumptions!$G$125+AG8*Assumptions!$G$126+AF8*Assumptions!$G$127+AE8*Assumptions!$G$128+AD8*Assumptions!$G$129+AC8*Assumptions!$G$130+AB8*Assumptions!$G$131+AA8*Assumptions!$G$132+Z8*Assumptions!$G$133)</f>
        <v>74.48</v>
      </c>
      <c r="AW11" s="37" t="n">
        <f aca="false">Assumptions!$G$10*(AW8*Assumptions!$G$111+AV8*Assumptions!$G$112+AU8*Assumptions!$G$113+AT8*Assumptions!$G$114+AS8*Assumptions!$G$115+AR8*Assumptions!$G$116+AQ8*Assumptions!$G$117+AP8*Assumptions!$G$118+AO8*Assumptions!$G$119+AN8*Assumptions!$G$120+AM8*Assumptions!$G$121+AL8*Assumptions!$G$122+AK8*Assumptions!$G$123+AJ8*Assumptions!$G$124+AI8*Assumptions!$G$125+AH8*Assumptions!$G$126+AG8*Assumptions!$G$127+AF8*Assumptions!$G$128+AE8*Assumptions!$G$129+AD8*Assumptions!$G$130+AC8*Assumptions!$G$131+AB8*Assumptions!$G$132+AA8*Assumptions!$G$133)</f>
        <v>74.48</v>
      </c>
      <c r="AX11" s="37" t="n">
        <f aca="false">Assumptions!$G$10*(AX8*Assumptions!$G$111+AW8*Assumptions!$G$112+AV8*Assumptions!$G$113+AU8*Assumptions!$G$114+AT8*Assumptions!$G$115+AS8*Assumptions!$G$116+AR8*Assumptions!$G$117+AQ8*Assumptions!$G$118+AP8*Assumptions!$G$119+AO8*Assumptions!$G$120+AN8*Assumptions!$G$121+AM8*Assumptions!$G$122+AL8*Assumptions!$G$123+AK8*Assumptions!$G$124+AJ8*Assumptions!$G$125+AI8*Assumptions!$G$126+AH8*Assumptions!$G$127+AG8*Assumptions!$G$128+AF8*Assumptions!$G$129+AE8*Assumptions!$G$130+AD8*Assumptions!$G$131+AC8*Assumptions!$G$132+AB8*Assumptions!$G$133)</f>
        <v>74.86</v>
      </c>
      <c r="AY11" s="37" t="n">
        <f aca="false">Assumptions!$G$10*(AY8*Assumptions!$G$111+AX8*Assumptions!$G$112+AW8*Assumptions!$G$113+AV8*Assumptions!$G$114+AU8*Assumptions!$G$115+AT8*Assumptions!$G$116+AS8*Assumptions!$G$117+AR8*Assumptions!$G$118+AQ8*Assumptions!$G$119+AP8*Assumptions!$G$120+AO8*Assumptions!$G$121+AN8*Assumptions!$G$122+AM8*Assumptions!$G$123+AL8*Assumptions!$G$124+AK8*Assumptions!$G$125+AJ8*Assumptions!$G$126+AI8*Assumptions!$G$127+AH8*Assumptions!$G$128+AG8*Assumptions!$G$129+AF8*Assumptions!$G$130+AE8*Assumptions!$G$131+AD8*Assumptions!$G$132+AC8*Assumptions!$G$133)</f>
        <v>75.24</v>
      </c>
      <c r="AZ11" s="37" t="n">
        <f aca="false">Assumptions!$G$10*(AZ8*Assumptions!$G$111+AY8*Assumptions!$G$112+AX8*Assumptions!$G$113+AW8*Assumptions!$G$114+AV8*Assumptions!$G$115+AU8*Assumptions!$G$116+AT8*Assumptions!$G$117+AS8*Assumptions!$G$118+AR8*Assumptions!$G$119+AQ8*Assumptions!$G$120+AP8*Assumptions!$G$121+AO8*Assumptions!$G$122+AN8*Assumptions!$G$123+AM8*Assumptions!$G$124+AL8*Assumptions!$G$125+AK8*Assumptions!$G$126+AJ8*Assumptions!$G$127+AI8*Assumptions!$G$128+AH8*Assumptions!$G$129+AG8*Assumptions!$G$130+AF8*Assumptions!$G$131+AE8*Assumptions!$G$132+AD8*Assumptions!$G$133)</f>
        <v>75.24</v>
      </c>
      <c r="BA11" s="37" t="n">
        <f aca="false">Assumptions!$G$10*(BA8*Assumptions!$G$111+AZ8*Assumptions!$G$112+AY8*Assumptions!$G$113+AX8*Assumptions!$G$114+AW8*Assumptions!$G$115+AV8*Assumptions!$G$116+AU8*Assumptions!$G$117+AT8*Assumptions!$G$118+AS8*Assumptions!$G$119+AR8*Assumptions!$G$120+AQ8*Assumptions!$G$121+AP8*Assumptions!$G$122+AO8*Assumptions!$G$123+AN8*Assumptions!$G$124+AM8*Assumptions!$G$125+AL8*Assumptions!$G$126+AK8*Assumptions!$G$127+AJ8*Assumptions!$G$128+AI8*Assumptions!$G$129+AH8*Assumptions!$G$130+AG8*Assumptions!$G$131+AF8*Assumptions!$G$132+AE8*Assumptions!$G$133)</f>
        <v>75.24</v>
      </c>
      <c r="BB11" s="37" t="n">
        <f aca="false">Assumptions!$G$10*(BB8*Assumptions!$G$111+BA8*Assumptions!$G$112+AZ8*Assumptions!$G$113+AY8*Assumptions!$G$114+AX8*Assumptions!$G$115+AW8*Assumptions!$G$116+AV8*Assumptions!$G$117+AU8*Assumptions!$G$118+AT8*Assumptions!$G$119+AS8*Assumptions!$G$120+AR8*Assumptions!$G$121+AQ8*Assumptions!$G$122+AP8*Assumptions!$G$123+AO8*Assumptions!$G$124+AN8*Assumptions!$G$125+AM8*Assumptions!$G$126+AL8*Assumptions!$G$127+AK8*Assumptions!$G$128+AJ8*Assumptions!$G$129+AI8*Assumptions!$G$130+AH8*Assumptions!$G$131+AG8*Assumptions!$G$132+AF8*Assumptions!$G$133)</f>
        <v>75.62</v>
      </c>
      <c r="BC11" s="37" t="n">
        <f aca="false">Assumptions!$G$10*(BC8*Assumptions!$G$111+BB8*Assumptions!$G$112+BA8*Assumptions!$G$113+AZ8*Assumptions!$G$114+AY8*Assumptions!$G$115+AX8*Assumptions!$G$116+AW8*Assumptions!$G$117+AV8*Assumptions!$G$118+AU8*Assumptions!$G$119+AT8*Assumptions!$G$120+AS8*Assumptions!$G$121+AR8*Assumptions!$G$122+AQ8*Assumptions!$G$123+AP8*Assumptions!$G$124+AO8*Assumptions!$G$125+AN8*Assumptions!$G$126+AM8*Assumptions!$G$127+AL8*Assumptions!$G$128+AK8*Assumptions!$G$129+AJ8*Assumptions!$G$130+AI8*Assumptions!$G$131+AH8*Assumptions!$G$132+AG8*Assumptions!$G$133)</f>
        <v>75.62</v>
      </c>
      <c r="BD11" s="37" t="n">
        <f aca="false">Assumptions!$G$10*(BD8*Assumptions!$G$111+BC8*Assumptions!$G$112+BB8*Assumptions!$G$113+BA8*Assumptions!$G$114+AZ8*Assumptions!$G$115+AY8*Assumptions!$G$116+AX8*Assumptions!$G$117+AW8*Assumptions!$G$118+AV8*Assumptions!$G$119+AU8*Assumptions!$G$120+AT8*Assumptions!$G$121+AS8*Assumptions!$G$122+AR8*Assumptions!$G$123+AQ8*Assumptions!$G$124+AP8*Assumptions!$G$125+AO8*Assumptions!$G$126+AN8*Assumptions!$G$127+AM8*Assumptions!$G$128+AL8*Assumptions!$G$129+AK8*Assumptions!$G$130+AJ8*Assumptions!$G$131+AI8*Assumptions!$G$132+AH8*Assumptions!$G$133)</f>
        <v>75.62</v>
      </c>
      <c r="BE11" s="37" t="n">
        <f aca="false">Assumptions!$G$10*(BE8*Assumptions!$G$111+BD8*Assumptions!$G$112+BC8*Assumptions!$G$113+BB8*Assumptions!$G$114+BA8*Assumptions!$G$115+AZ8*Assumptions!$G$116+AY8*Assumptions!$G$117+AX8*Assumptions!$G$118+AW8*Assumptions!$G$119+AV8*Assumptions!$G$120+AU8*Assumptions!$G$121+AT8*Assumptions!$G$122+AS8*Assumptions!$G$123+AR8*Assumptions!$G$124+AQ8*Assumptions!$G$125+AP8*Assumptions!$G$126+AO8*Assumptions!$G$127+AN8*Assumptions!$G$128+AM8*Assumptions!$G$129+AL8*Assumptions!$G$130+AK8*Assumptions!$G$131+AJ8*Assumptions!$G$132+AI8*Assumptions!$G$133)</f>
        <v>76</v>
      </c>
      <c r="BF11" s="37" t="n">
        <f aca="false">Assumptions!$G$10*(BF8*Assumptions!$G$111+BE8*Assumptions!$G$112+BD8*Assumptions!$G$113+BC8*Assumptions!$G$114+BB8*Assumptions!$G$115+BA8*Assumptions!$G$116+AZ8*Assumptions!$G$117+AY8*Assumptions!$G$118+AX8*Assumptions!$G$119+AW8*Assumptions!$G$120+AV8*Assumptions!$G$121+AU8*Assumptions!$G$122+AT8*Assumptions!$G$123+AS8*Assumptions!$G$124+AR8*Assumptions!$G$125+AQ8*Assumptions!$G$126+AP8*Assumptions!$G$127+AO8*Assumptions!$G$128+AN8*Assumptions!$G$129+AM8*Assumptions!$G$130+AL8*Assumptions!$G$131+AK8*Assumptions!$G$132+AJ8*Assumptions!$G$133)</f>
        <v>76</v>
      </c>
      <c r="BG11" s="37" t="n">
        <f aca="false">Assumptions!$G$10*(BG8*Assumptions!$G$111+BF8*Assumptions!$G$112+BE8*Assumptions!$G$113+BD8*Assumptions!$G$114+BC8*Assumptions!$G$115+BB8*Assumptions!$G$116+BA8*Assumptions!$G$117+AZ8*Assumptions!$G$118+AY8*Assumptions!$G$119+AX8*Assumptions!$G$120+AW8*Assumptions!$G$121+AV8*Assumptions!$G$122+AU8*Assumptions!$G$123+AT8*Assumptions!$G$124+AS8*Assumptions!$G$125+AR8*Assumptions!$G$126+AQ8*Assumptions!$G$127+AP8*Assumptions!$G$128+AO8*Assumptions!$G$129+AN8*Assumptions!$G$130+AM8*Assumptions!$G$131+AL8*Assumptions!$G$132+AK8*Assumptions!$G$133)</f>
        <v>76</v>
      </c>
      <c r="BH11" s="37" t="n">
        <f aca="false">Assumptions!$G$10*(BH8*Assumptions!$G$111+BG8*Assumptions!$G$112+BF8*Assumptions!$G$113+BE8*Assumptions!$G$114+BD8*Assumptions!$G$115+BC8*Assumptions!$G$116+BB8*Assumptions!$G$117+BA8*Assumptions!$G$118+AZ8*Assumptions!$G$119+AY8*Assumptions!$G$120+AX8*Assumptions!$G$121+AW8*Assumptions!$G$122+AV8*Assumptions!$G$123+AU8*Assumptions!$G$124+AT8*Assumptions!$G$125+AS8*Assumptions!$G$126+AR8*Assumptions!$G$127+AQ8*Assumptions!$G$128+AP8*Assumptions!$G$129+AO8*Assumptions!$G$130+AN8*Assumptions!$G$131+AM8*Assumptions!$G$132+AL8*Assumptions!$G$133)</f>
        <v>76</v>
      </c>
      <c r="BI11" s="37" t="n">
        <f aca="false">Assumptions!$G$10*(BI8*Assumptions!$G$111+BH8*Assumptions!$G$112+BG8*Assumptions!$G$113+BF8*Assumptions!$G$114+BE8*Assumptions!$G$115+BD8*Assumptions!$G$116+BC8*Assumptions!$G$117+BB8*Assumptions!$G$118+BA8*Assumptions!$G$119+AZ8*Assumptions!$G$120+AY8*Assumptions!$G$121+AX8*Assumptions!$G$122+AW8*Assumptions!$G$123+AV8*Assumptions!$G$124+AU8*Assumptions!$G$125+AT8*Assumptions!$G$126+AS8*Assumptions!$G$127+AR8*Assumptions!$G$128+AQ8*Assumptions!$G$129+AP8*Assumptions!$G$130+AO8*Assumptions!$G$131+AN8*Assumptions!$G$132+AM8*Assumptions!$G$133)</f>
        <v>76</v>
      </c>
      <c r="BJ11" s="37" t="n">
        <f aca="false">Assumptions!$G$10*(BJ8*Assumptions!$G$111+BI8*Assumptions!$G$112+BH8*Assumptions!$G$113+BG8*Assumptions!$G$114+BF8*Assumptions!$G$115+BE8*Assumptions!$G$116+BD8*Assumptions!$G$117+BC8*Assumptions!$G$118+BB8*Assumptions!$G$119+BA8*Assumptions!$G$120+AZ8*Assumptions!$G$121+AY8*Assumptions!$G$122+AX8*Assumptions!$G$123+AW8*Assumptions!$G$124+AV8*Assumptions!$G$125+AU8*Assumptions!$G$126+AT8*Assumptions!$G$127+AS8*Assumptions!$G$128+AR8*Assumptions!$G$129+AQ8*Assumptions!$G$130+AP8*Assumptions!$G$131+AO8*Assumptions!$G$132+AN8*Assumptions!$G$133)</f>
        <v>76</v>
      </c>
      <c r="BK11" s="37" t="n">
        <f aca="false">Assumptions!$G$10*(BK8*Assumptions!$G$111+BJ8*Assumptions!$G$112+BI8*Assumptions!$G$113+BH8*Assumptions!$G$114+BG8*Assumptions!$G$115+BF8*Assumptions!$G$116+BE8*Assumptions!$G$117+BD8*Assumptions!$G$118+BC8*Assumptions!$G$119+BB8*Assumptions!$G$120+BA8*Assumptions!$G$121+AZ8*Assumptions!$G$122+AY8*Assumptions!$G$123+AX8*Assumptions!$G$124+AW8*Assumptions!$G$125+AV8*Assumptions!$G$126+AU8*Assumptions!$G$127+AT8*Assumptions!$G$128+AS8*Assumptions!$G$129+AR8*Assumptions!$G$130+AQ8*Assumptions!$G$131+AP8*Assumptions!$G$132+AO8*Assumptions!$G$133)</f>
        <v>76</v>
      </c>
    </row>
    <row r="12" customFormat="false" ht="15" hidden="false" customHeight="false" outlineLevel="0" collapsed="false">
      <c r="A12" s="28" t="s">
        <v>543</v>
      </c>
      <c r="B12" s="6" t="s">
        <v>544</v>
      </c>
      <c r="C12" s="36" t="n">
        <v>0</v>
      </c>
      <c r="D12" s="26" t="n">
        <f aca="false">C12*(1-Assumptions!$G$12)+D11</f>
        <v>0</v>
      </c>
      <c r="E12" s="26" t="n">
        <f aca="false">D12*(1-Assumptions!$G$12)+E11</f>
        <v>0</v>
      </c>
      <c r="F12" s="26" t="n">
        <f aca="false">E12*(1-Assumptions!$G$12)+F11</f>
        <v>0</v>
      </c>
      <c r="G12" s="26" t="n">
        <f aca="false">F12*(1-Assumptions!$G$12)+G11</f>
        <v>0</v>
      </c>
      <c r="H12" s="26" t="n">
        <f aca="false">G12*(1-Assumptions!$G$12)+H11</f>
        <v>9.5</v>
      </c>
      <c r="I12" s="26" t="n">
        <f aca="false">H12*(1-Assumptions!$G$12)+I11</f>
        <v>17.765</v>
      </c>
      <c r="J12" s="26" t="n">
        <f aca="false">I12*(1-Assumptions!$G$12)+J11</f>
        <v>23.28735</v>
      </c>
      <c r="K12" s="26" t="n">
        <f aca="false">J12*(1-Assumptions!$G$12)+K11</f>
        <v>36.3544765</v>
      </c>
      <c r="L12" s="26" t="n">
        <f aca="false">K12*(1-Assumptions!$G$12)+L11</f>
        <v>56.130931735</v>
      </c>
      <c r="M12" s="26" t="n">
        <f aca="false">L12*(1-Assumptions!$G$12)+M11</f>
        <v>71.52962241765</v>
      </c>
      <c r="N12" s="26" t="n">
        <f aca="false">M12*(1-Assumptions!$G$12)+N11</f>
        <v>90.1943261934735</v>
      </c>
      <c r="O12" s="26" t="n">
        <f aca="false">N12*(1-Assumptions!$G$12)+O11</f>
        <v>113.612382931539</v>
      </c>
      <c r="P12" s="26" t="n">
        <f aca="false">O12*(1-Assumptions!$G$12)+P11</f>
        <v>140.596259102223</v>
      </c>
      <c r="Q12" s="26" t="n">
        <f aca="false">P12*(1-Assumptions!$G$12)+Q11</f>
        <v>169.210296511201</v>
      </c>
      <c r="R12" s="26" t="n">
        <f aca="false">Q12*(1-Assumptions!$G$12)+R11</f>
        <v>198.298193546089</v>
      </c>
      <c r="S12" s="26" t="n">
        <f aca="false">R12*(1-Assumptions!$G$12)+S11</f>
        <v>228.995211610628</v>
      </c>
      <c r="T12" s="26" t="n">
        <f aca="false">S12*(1-Assumptions!$G$12)+T11</f>
        <v>259.765259494522</v>
      </c>
      <c r="U12" s="26" t="n">
        <f aca="false">T12*(1-Assumptions!$G$12)+U11</f>
        <v>290.607606899577</v>
      </c>
      <c r="V12" s="26" t="n">
        <f aca="false">U12*(1-Assumptions!$G$12)+V11</f>
        <v>321.521530830581</v>
      </c>
      <c r="W12" s="26" t="n">
        <f aca="false">V12*(1-Assumptions!$G$12)+W11</f>
        <v>362.006315522275</v>
      </c>
      <c r="X12" s="26" t="n">
        <f aca="false">W12*(1-Assumptions!$G$12)+X11</f>
        <v>401.326252367052</v>
      </c>
      <c r="Y12" s="26" t="n">
        <f aca="false">X12*(1-Assumptions!$G$12)+Y11</f>
        <v>437.972989843382</v>
      </c>
      <c r="Z12" s="26" t="n">
        <f aca="false">Y12*(1-Assumptions!$G$12)+Z11</f>
        <v>482.233259944948</v>
      </c>
      <c r="AA12" s="26" t="n">
        <f aca="false">Z12*(1-Assumptions!$G$12)+AA11</f>
        <v>523.770927345499</v>
      </c>
      <c r="AB12" s="26" t="n">
        <f aca="false">AA12*(1-Assumptions!$G$12)+AB11</f>
        <v>562.233218072044</v>
      </c>
      <c r="AC12" s="26" t="n">
        <f aca="false">AB12*(1-Assumptions!$G$12)+AC11</f>
        <v>606.770885891323</v>
      </c>
      <c r="AD12" s="26" t="n">
        <f aca="false">AC12*(1-Assumptions!$G$12)+AD11</f>
        <v>658.08317703241</v>
      </c>
      <c r="AE12" s="26" t="n">
        <f aca="false">AD12*(1-Assumptions!$G$12)+AE11</f>
        <v>704.702345262086</v>
      </c>
      <c r="AF12" s="26" t="n">
        <f aca="false">AE12*(1-Assumptions!$G$12)+AF11</f>
        <v>754.655321809465</v>
      </c>
      <c r="AG12" s="26" t="n">
        <f aca="false">AF12*(1-Assumptions!$G$12)+AG11</f>
        <v>809.42876859137</v>
      </c>
      <c r="AH12" s="26" t="n">
        <f aca="false">AG12*(1-Assumptions!$G$12)+AH11</f>
        <v>857.954480905456</v>
      </c>
      <c r="AI12" s="26" t="n">
        <f aca="false">AH12*(1-Assumptions!$G$12)+AI11</f>
        <v>909.034936096402</v>
      </c>
      <c r="AJ12" s="26" t="n">
        <f aca="false">AI12*(1-Assumptions!$G$12)+AJ11</f>
        <v>963.404586735438</v>
      </c>
      <c r="AK12" s="26" t="n">
        <f aca="false">AJ12*(1-Assumptions!$G$12)+AK11</f>
        <v>1021.03054086808</v>
      </c>
      <c r="AL12" s="26" t="n">
        <f aca="false">AK12*(1-Assumptions!$G$12)+AL11</f>
        <v>1079.9802354594</v>
      </c>
      <c r="AM12" s="26" t="n">
        <f aca="false">AL12*(1-Assumptions!$G$12)+AM11</f>
        <v>1139.10043310481</v>
      </c>
      <c r="AN12" s="37" t="n">
        <f aca="false">AM12*(1-Assumptions!$G$12)+AN11</f>
        <v>1199.52942877376</v>
      </c>
      <c r="AO12" s="37" t="n">
        <f aca="false">AN12*(1-Assumptions!$G$12)+AO11</f>
        <v>1259.73413448602</v>
      </c>
      <c r="AP12" s="37" t="n">
        <f aca="false">AO12*(1-Assumptions!$G$12)+AP11</f>
        <v>1319.71679314116</v>
      </c>
      <c r="AQ12" s="37" t="n">
        <f aca="false">AP12*(1-Assumptions!$G$12)+AQ11</f>
        <v>1379.47962520975</v>
      </c>
      <c r="AR12" s="37" t="n">
        <f aca="false">AQ12*(1-Assumptions!$G$12)+AR11</f>
        <v>1439.02482895765</v>
      </c>
      <c r="AS12" s="37" t="n">
        <f aca="false">AR12*(1-Assumptions!$G$12)+AS11</f>
        <v>1498.35458066808</v>
      </c>
      <c r="AT12" s="37" t="n">
        <f aca="false">AS12*(1-Assumptions!$G$12)+AT11</f>
        <v>1557.0910348614</v>
      </c>
      <c r="AU12" s="37" t="n">
        <f aca="false">AT12*(1-Assumptions!$G$12)+AU11</f>
        <v>1615.62012451278</v>
      </c>
      <c r="AV12" s="37" t="n">
        <f aca="false">AU12*(1-Assumptions!$G$12)+AV11</f>
        <v>1673.94392326765</v>
      </c>
      <c r="AW12" s="37" t="n">
        <f aca="false">AV12*(1-Assumptions!$G$12)+AW11</f>
        <v>1731.68448403498</v>
      </c>
      <c r="AX12" s="37" t="n">
        <f aca="false">AW12*(1-Assumptions!$G$12)+AX11</f>
        <v>1789.22763919463</v>
      </c>
      <c r="AY12" s="37" t="n">
        <f aca="false">AX12*(1-Assumptions!$G$12)+AY11</f>
        <v>1846.57536280268</v>
      </c>
      <c r="AZ12" s="37" t="n">
        <f aca="false">AY12*(1-Assumptions!$G$12)+AZ11</f>
        <v>1903.34960917465</v>
      </c>
      <c r="BA12" s="37" t="n">
        <f aca="false">AZ12*(1-Assumptions!$G$12)+BA11</f>
        <v>1959.55611308291</v>
      </c>
      <c r="BB12" s="37" t="n">
        <f aca="false">BA12*(1-Assumptions!$G$12)+BB11</f>
        <v>2015.58055195208</v>
      </c>
      <c r="BC12" s="37" t="n">
        <f aca="false">BB12*(1-Assumptions!$G$12)+BC11</f>
        <v>2071.04474643256</v>
      </c>
      <c r="BD12" s="37" t="n">
        <f aca="false">BC12*(1-Assumptions!$G$12)+BD11</f>
        <v>2125.95429896823</v>
      </c>
      <c r="BE12" s="37" t="n">
        <f aca="false">BD12*(1-Assumptions!$G$12)+BE11</f>
        <v>2180.69475597855</v>
      </c>
      <c r="BF12" s="37" t="n">
        <f aca="false">BE12*(1-Assumptions!$G$12)+BF11</f>
        <v>2234.88780841876</v>
      </c>
      <c r="BG12" s="37" t="n">
        <f aca="false">BF12*(1-Assumptions!$G$12)+BG11</f>
        <v>2288.53893033458</v>
      </c>
      <c r="BH12" s="37" t="n">
        <f aca="false">BG12*(1-Assumptions!$G$12)+BH11</f>
        <v>2341.65354103123</v>
      </c>
      <c r="BI12" s="37" t="n">
        <f aca="false">BH12*(1-Assumptions!$G$12)+BI11</f>
        <v>2394.23700562092</v>
      </c>
      <c r="BJ12" s="37" t="n">
        <f aca="false">BI12*(1-Assumptions!$G$12)+BJ11</f>
        <v>2446.29463556471</v>
      </c>
      <c r="BK12" s="37" t="n">
        <f aca="false">BJ12*(1-Assumptions!$G$12)+BK11</f>
        <v>2497.83168920906</v>
      </c>
    </row>
    <row r="13" customFormat="false" ht="15" hidden="false" customHeight="false" outlineLevel="0" collapsed="false">
      <c r="A13" s="28" t="s">
        <v>545</v>
      </c>
      <c r="B13" s="6" t="s">
        <v>546</v>
      </c>
      <c r="C13" s="36" t="n">
        <v>0</v>
      </c>
      <c r="D13" s="26" t="n">
        <f aca="false">D12*Assumptions!$G$11</f>
        <v>0</v>
      </c>
      <c r="E13" s="26" t="n">
        <f aca="false">E12*Assumptions!$G$11</f>
        <v>0</v>
      </c>
      <c r="F13" s="26" t="n">
        <f aca="false">F12*Assumptions!$G$11</f>
        <v>0</v>
      </c>
      <c r="G13" s="26" t="n">
        <f aca="false">G12*Assumptions!$G$11</f>
        <v>0</v>
      </c>
      <c r="H13" s="26" t="n">
        <f aca="false">H12*Assumptions!$G$11</f>
        <v>6.65</v>
      </c>
      <c r="I13" s="26" t="n">
        <f aca="false">I12*Assumptions!$G$11</f>
        <v>12.4355</v>
      </c>
      <c r="J13" s="26" t="n">
        <f aca="false">J12*Assumptions!$G$11</f>
        <v>16.301145</v>
      </c>
      <c r="K13" s="26" t="n">
        <f aca="false">K12*Assumptions!$G$11</f>
        <v>25.44813355</v>
      </c>
      <c r="L13" s="26" t="n">
        <f aca="false">L12*Assumptions!$G$11</f>
        <v>39.2916522145</v>
      </c>
      <c r="M13" s="26" t="n">
        <f aca="false">M12*Assumptions!$G$11</f>
        <v>50.070735692355</v>
      </c>
      <c r="N13" s="26" t="n">
        <f aca="false">N12*Assumptions!$G$11</f>
        <v>63.1360283354314</v>
      </c>
      <c r="O13" s="26" t="n">
        <f aca="false">O12*Assumptions!$G$11</f>
        <v>79.5286680520771</v>
      </c>
      <c r="P13" s="26" t="n">
        <f aca="false">P12*Assumptions!$G$11</f>
        <v>98.4173813715563</v>
      </c>
      <c r="Q13" s="26" t="n">
        <f aca="false">Q12*Assumptions!$G$11</f>
        <v>118.447207557841</v>
      </c>
      <c r="R13" s="26" t="n">
        <f aca="false">R12*Assumptions!$G$11</f>
        <v>138.808735482262</v>
      </c>
      <c r="S13" s="26" t="n">
        <f aca="false">S12*Assumptions!$G$11</f>
        <v>160.29664812744</v>
      </c>
      <c r="T13" s="26" t="n">
        <f aca="false">T12*Assumptions!$G$11</f>
        <v>181.835681646165</v>
      </c>
      <c r="U13" s="26" t="n">
        <f aca="false">U12*Assumptions!$G$11</f>
        <v>203.425324829704</v>
      </c>
      <c r="V13" s="26" t="n">
        <f aca="false">V12*Assumptions!$G$11</f>
        <v>225.065071581407</v>
      </c>
      <c r="W13" s="26" t="n">
        <f aca="false">W12*Assumptions!$G$11</f>
        <v>253.404420865593</v>
      </c>
      <c r="X13" s="26" t="n">
        <f aca="false">X12*Assumptions!$G$11</f>
        <v>280.928376656937</v>
      </c>
      <c r="Y13" s="26" t="n">
        <f aca="false">Y12*Assumptions!$G$11</f>
        <v>306.581092890367</v>
      </c>
      <c r="Z13" s="26" t="n">
        <f aca="false">Z12*Assumptions!$G$11</f>
        <v>337.563281961464</v>
      </c>
      <c r="AA13" s="26" t="n">
        <f aca="false">AA12*Assumptions!$G$11</f>
        <v>366.639649141849</v>
      </c>
      <c r="AB13" s="26" t="n">
        <f aca="false">AB12*Assumptions!$G$11</f>
        <v>393.56325265043</v>
      </c>
      <c r="AC13" s="26" t="n">
        <f aca="false">AC12*Assumptions!$G$11</f>
        <v>424.739620123926</v>
      </c>
      <c r="AD13" s="26" t="n">
        <f aca="false">AD12*Assumptions!$G$11</f>
        <v>460.658223922687</v>
      </c>
      <c r="AE13" s="26" t="n">
        <f aca="false">AE12*Assumptions!$G$11</f>
        <v>493.29164168346</v>
      </c>
      <c r="AF13" s="26" t="n">
        <f aca="false">AF12*Assumptions!$G$11</f>
        <v>528.258725266625</v>
      </c>
      <c r="AG13" s="26" t="n">
        <f aca="false">AG12*Assumptions!$G$11</f>
        <v>566.600138013959</v>
      </c>
      <c r="AH13" s="26" t="n">
        <f aca="false">AH12*Assumptions!$G$11</f>
        <v>600.568136633819</v>
      </c>
      <c r="AI13" s="26" t="n">
        <f aca="false">AI12*Assumptions!$G$11</f>
        <v>636.324455267481</v>
      </c>
      <c r="AJ13" s="26" t="n">
        <f aca="false">AJ12*Assumptions!$G$11</f>
        <v>674.383210714806</v>
      </c>
      <c r="AK13" s="26" t="n">
        <f aca="false">AK12*Assumptions!$G$11</f>
        <v>714.721378607658</v>
      </c>
      <c r="AL13" s="26" t="n">
        <f aca="false">AL12*Assumptions!$G$11</f>
        <v>755.986164821582</v>
      </c>
      <c r="AM13" s="26" t="n">
        <f aca="false">AM12*Assumptions!$G$11</f>
        <v>797.370303173366</v>
      </c>
      <c r="AN13" s="37" t="n">
        <f aca="false">AN12*Assumptions!$G$11</f>
        <v>839.670600141632</v>
      </c>
      <c r="AO13" s="37" t="n">
        <f aca="false">AO12*Assumptions!$G$11</f>
        <v>881.813894140216</v>
      </c>
      <c r="AP13" s="37" t="n">
        <f aca="false">AP12*Assumptions!$G$11</f>
        <v>923.801755198814</v>
      </c>
      <c r="AQ13" s="37" t="n">
        <f aca="false">AQ12*Assumptions!$G$11</f>
        <v>965.635737646825</v>
      </c>
      <c r="AR13" s="37" t="n">
        <f aca="false">AR12*Assumptions!$G$11</f>
        <v>1007.31738027036</v>
      </c>
      <c r="AS13" s="37" t="n">
        <f aca="false">AS12*Assumptions!$G$11</f>
        <v>1048.84820646765</v>
      </c>
      <c r="AT13" s="37" t="n">
        <f aca="false">AT12*Assumptions!$G$11</f>
        <v>1089.96372440298</v>
      </c>
      <c r="AU13" s="37" t="n">
        <f aca="false">AU12*Assumptions!$G$11</f>
        <v>1130.93408715895</v>
      </c>
      <c r="AV13" s="37" t="n">
        <f aca="false">AV12*Assumptions!$G$11</f>
        <v>1171.76074628736</v>
      </c>
      <c r="AW13" s="37" t="n">
        <f aca="false">AW12*Assumptions!$G$11</f>
        <v>1212.17913882448</v>
      </c>
      <c r="AX13" s="37" t="n">
        <f aca="false">AX12*Assumptions!$G$11</f>
        <v>1252.45934743624</v>
      </c>
      <c r="AY13" s="37" t="n">
        <f aca="false">AY12*Assumptions!$G$11</f>
        <v>1292.60275396188</v>
      </c>
      <c r="AZ13" s="37" t="n">
        <f aca="false">AZ12*Assumptions!$G$11</f>
        <v>1332.34472642226</v>
      </c>
      <c r="BA13" s="37" t="n">
        <f aca="false">BA12*Assumptions!$G$11</f>
        <v>1371.68927915804</v>
      </c>
      <c r="BB13" s="37" t="n">
        <f aca="false">BB12*Assumptions!$G$11</f>
        <v>1410.90638636646</v>
      </c>
      <c r="BC13" s="37" t="n">
        <f aca="false">BC12*Assumptions!$G$11</f>
        <v>1449.73132250279</v>
      </c>
      <c r="BD13" s="37" t="n">
        <f aca="false">BD12*Assumptions!$G$11</f>
        <v>1488.16800927776</v>
      </c>
      <c r="BE13" s="37" t="n">
        <f aca="false">BE12*Assumptions!$G$11</f>
        <v>1526.48632918499</v>
      </c>
      <c r="BF13" s="37" t="n">
        <f aca="false">BF12*Assumptions!$G$11</f>
        <v>1564.42146589314</v>
      </c>
      <c r="BG13" s="37" t="n">
        <f aca="false">BG12*Assumptions!$G$11</f>
        <v>1601.9772512342</v>
      </c>
      <c r="BH13" s="37" t="n">
        <f aca="false">BH12*Assumptions!$G$11</f>
        <v>1639.15747872186</v>
      </c>
      <c r="BI13" s="37" t="n">
        <f aca="false">BI12*Assumptions!$G$11</f>
        <v>1675.96590393464</v>
      </c>
      <c r="BJ13" s="37" t="n">
        <f aca="false">BJ12*Assumptions!$G$11</f>
        <v>1712.4062448953</v>
      </c>
      <c r="BK13" s="37" t="n">
        <f aca="false">BK12*Assumptions!$G$11</f>
        <v>1748.48218244634</v>
      </c>
    </row>
    <row r="14" customFormat="false" ht="15" hidden="false" customHeight="false" outlineLevel="0" collapsed="false">
      <c r="A14" s="28" t="s">
        <v>547</v>
      </c>
      <c r="B14" s="6" t="s">
        <v>548</v>
      </c>
      <c r="C14" s="36" t="n">
        <v>0</v>
      </c>
      <c r="D14" s="26" t="n">
        <f aca="false">D11*Assumptions!$G$11</f>
        <v>0</v>
      </c>
      <c r="E14" s="26" t="n">
        <f aca="false">E11*Assumptions!$G$11</f>
        <v>0</v>
      </c>
      <c r="F14" s="26" t="n">
        <f aca="false">F11*Assumptions!$G$11</f>
        <v>0</v>
      </c>
      <c r="G14" s="26" t="n">
        <f aca="false">G11*Assumptions!$G$11</f>
        <v>0</v>
      </c>
      <c r="H14" s="26" t="n">
        <f aca="false">H11*Assumptions!$G$11</f>
        <v>6.65</v>
      </c>
      <c r="I14" s="26" t="n">
        <f aca="false">I11*Assumptions!$G$11</f>
        <v>5.852</v>
      </c>
      <c r="J14" s="26" t="n">
        <f aca="false">J11*Assumptions!$G$11</f>
        <v>3.99</v>
      </c>
      <c r="K14" s="26" t="n">
        <f aca="false">K11*Assumptions!$G$11</f>
        <v>9.31</v>
      </c>
      <c r="L14" s="26" t="n">
        <f aca="false">L11*Assumptions!$G$11</f>
        <v>14.098</v>
      </c>
      <c r="M14" s="26" t="n">
        <f aca="false">M11*Assumptions!$G$11</f>
        <v>11.172</v>
      </c>
      <c r="N14" s="26" t="n">
        <f aca="false">N11*Assumptions!$G$11</f>
        <v>13.566</v>
      </c>
      <c r="O14" s="26" t="n">
        <f aca="false">O11*Assumptions!$G$11</f>
        <v>17.024</v>
      </c>
      <c r="P14" s="26" t="n">
        <f aca="false">P11*Assumptions!$G$11</f>
        <v>19.684</v>
      </c>
      <c r="Q14" s="26" t="n">
        <f aca="false">Q11*Assumptions!$G$11</f>
        <v>21.014</v>
      </c>
      <c r="R14" s="26" t="n">
        <f aca="false">R11*Assumptions!$G$11</f>
        <v>21.546</v>
      </c>
      <c r="S14" s="26" t="n">
        <f aca="false">S11*Assumptions!$G$11</f>
        <v>22.876</v>
      </c>
      <c r="T14" s="26" t="n">
        <f aca="false">T11*Assumptions!$G$11</f>
        <v>23.142</v>
      </c>
      <c r="U14" s="26" t="n">
        <f aca="false">U11*Assumptions!$G$11</f>
        <v>23.408</v>
      </c>
      <c r="V14" s="26" t="n">
        <f aca="false">V11*Assumptions!$G$11</f>
        <v>23.674</v>
      </c>
      <c r="W14" s="26" t="n">
        <f aca="false">W11*Assumptions!$G$11</f>
        <v>30.59</v>
      </c>
      <c r="X14" s="26" t="n">
        <f aca="false">X11*Assumptions!$G$11</f>
        <v>30.058</v>
      </c>
      <c r="Y14" s="26" t="n">
        <f aca="false">Y11*Assumptions!$G$11</f>
        <v>28.462</v>
      </c>
      <c r="Z14" s="26" t="n">
        <f aca="false">Z11*Assumptions!$G$11</f>
        <v>34.048</v>
      </c>
      <c r="AA14" s="26" t="n">
        <f aca="false">AA11*Assumptions!$G$11</f>
        <v>32.452</v>
      </c>
      <c r="AB14" s="26" t="n">
        <f aca="false">AB11*Assumptions!$G$11</f>
        <v>30.59</v>
      </c>
      <c r="AC14" s="26" t="n">
        <f aca="false">AC11*Assumptions!$G$11</f>
        <v>35.112</v>
      </c>
      <c r="AD14" s="26" t="n">
        <f aca="false">AD11*Assumptions!$G$11</f>
        <v>40.166</v>
      </c>
      <c r="AE14" s="26" t="n">
        <f aca="false">AE11*Assumptions!$G$11</f>
        <v>37.24</v>
      </c>
      <c r="AF14" s="26" t="n">
        <f aca="false">AF11*Assumptions!$G$11</f>
        <v>39.9</v>
      </c>
      <c r="AG14" s="26" t="n">
        <f aca="false">AG11*Assumptions!$G$11</f>
        <v>43.624</v>
      </c>
      <c r="AH14" s="26" t="n">
        <f aca="false">AH11*Assumptions!$G$11</f>
        <v>39.634</v>
      </c>
      <c r="AI14" s="26" t="n">
        <f aca="false">AI11*Assumptions!$G$11</f>
        <v>41.762</v>
      </c>
      <c r="AJ14" s="26" t="n">
        <f aca="false">AJ11*Assumptions!$G$11</f>
        <v>44.422</v>
      </c>
      <c r="AK14" s="26" t="n">
        <f aca="false">AK11*Assumptions!$G$11</f>
        <v>47.082</v>
      </c>
      <c r="AL14" s="26" t="n">
        <f aca="false">AL11*Assumptions!$G$11</f>
        <v>48.412</v>
      </c>
      <c r="AM14" s="26" t="n">
        <f aca="false">AM11*Assumptions!$G$11</f>
        <v>48.944</v>
      </c>
      <c r="AN14" s="37" t="n">
        <f aca="false">AN11*Assumptions!$G$11</f>
        <v>50.274</v>
      </c>
      <c r="AO14" s="37" t="n">
        <f aca="false">AO11*Assumptions!$G$11</f>
        <v>50.54</v>
      </c>
      <c r="AP14" s="37" t="n">
        <f aca="false">AP11*Assumptions!$G$11</f>
        <v>50.806</v>
      </c>
      <c r="AQ14" s="37" t="n">
        <f aca="false">AQ11*Assumptions!$G$11</f>
        <v>51.072</v>
      </c>
      <c r="AR14" s="37" t="n">
        <f aca="false">AR11*Assumptions!$G$11</f>
        <v>51.338</v>
      </c>
      <c r="AS14" s="37" t="n">
        <f aca="false">AS11*Assumptions!$G$11</f>
        <v>51.604</v>
      </c>
      <c r="AT14" s="37" t="n">
        <f aca="false">AT11*Assumptions!$G$11</f>
        <v>51.604</v>
      </c>
      <c r="AU14" s="37" t="n">
        <f aca="false">AU11*Assumptions!$G$11</f>
        <v>51.87</v>
      </c>
      <c r="AV14" s="37" t="n">
        <f aca="false">AV11*Assumptions!$G$11</f>
        <v>52.136</v>
      </c>
      <c r="AW14" s="37" t="n">
        <f aca="false">AW11*Assumptions!$G$11</f>
        <v>52.136</v>
      </c>
      <c r="AX14" s="37" t="n">
        <f aca="false">AX11*Assumptions!$G$11</f>
        <v>52.402</v>
      </c>
      <c r="AY14" s="37" t="n">
        <f aca="false">AY11*Assumptions!$G$11</f>
        <v>52.668</v>
      </c>
      <c r="AZ14" s="37" t="n">
        <f aca="false">AZ11*Assumptions!$G$11</f>
        <v>52.668</v>
      </c>
      <c r="BA14" s="37" t="n">
        <f aca="false">BA11*Assumptions!$G$11</f>
        <v>52.668</v>
      </c>
      <c r="BB14" s="37" t="n">
        <f aca="false">BB11*Assumptions!$G$11</f>
        <v>52.934</v>
      </c>
      <c r="BC14" s="37" t="n">
        <f aca="false">BC11*Assumptions!$G$11</f>
        <v>52.934</v>
      </c>
      <c r="BD14" s="37" t="n">
        <f aca="false">BD11*Assumptions!$G$11</f>
        <v>52.934</v>
      </c>
      <c r="BE14" s="37" t="n">
        <f aca="false">BE11*Assumptions!$G$11</f>
        <v>53.2</v>
      </c>
      <c r="BF14" s="37" t="n">
        <f aca="false">BF11*Assumptions!$G$11</f>
        <v>53.2</v>
      </c>
      <c r="BG14" s="37" t="n">
        <f aca="false">BG11*Assumptions!$G$11</f>
        <v>53.2</v>
      </c>
      <c r="BH14" s="37" t="n">
        <f aca="false">BH11*Assumptions!$G$11</f>
        <v>53.2</v>
      </c>
      <c r="BI14" s="37" t="n">
        <f aca="false">BI11*Assumptions!$G$11</f>
        <v>53.2</v>
      </c>
      <c r="BJ14" s="37" t="n">
        <f aca="false">BJ11*Assumptions!$G$11</f>
        <v>53.2</v>
      </c>
      <c r="BK14" s="37" t="n">
        <f aca="false">BK11*Assumptions!$G$11</f>
        <v>53.2</v>
      </c>
    </row>
    <row r="15" customFormat="false" ht="15" hidden="false" customHeight="false" outlineLevel="0" collapsed="false">
      <c r="B15" s="5" t="s">
        <v>549</v>
      </c>
    </row>
    <row r="16" customFormat="false" ht="15" hidden="false" customHeight="false" outlineLevel="0" collapsed="false">
      <c r="A16" s="28" t="s">
        <v>550</v>
      </c>
      <c r="B16" s="6" t="s">
        <v>551</v>
      </c>
      <c r="C16" s="38" t="n">
        <v>0</v>
      </c>
      <c r="D16" s="39" t="n">
        <f aca="false">IF(OR(C16=1,AND(D13&gt;=Assumptions!$G$18,D7&gt;=Assumptions!$G$19)),1,0)</f>
        <v>0</v>
      </c>
      <c r="E16" s="39" t="n">
        <f aca="false">IF(OR(D16=1,AND(E13&gt;=Assumptions!$G$18,E7&gt;=Assumptions!$G$19)),1,0)</f>
        <v>0</v>
      </c>
      <c r="F16" s="39" t="n">
        <f aca="false">IF(OR(E16=1,AND(F13&gt;=Assumptions!$G$18,F7&gt;=Assumptions!$G$19)),1,0)</f>
        <v>0</v>
      </c>
      <c r="G16" s="39" t="n">
        <f aca="false">IF(OR(F16=1,AND(G13&gt;=Assumptions!$G$18,G7&gt;=Assumptions!$G$19)),1,0)</f>
        <v>0</v>
      </c>
      <c r="H16" s="39" t="n">
        <f aca="false">IF(OR(G16=1,AND(H13&gt;=Assumptions!$G$18,H7&gt;=Assumptions!$G$19)),1,0)</f>
        <v>0</v>
      </c>
      <c r="I16" s="39" t="n">
        <f aca="false">IF(OR(H16=1,AND(I13&gt;=Assumptions!$G$18,I7&gt;=Assumptions!$G$19)),1,0)</f>
        <v>0</v>
      </c>
      <c r="J16" s="39" t="n">
        <f aca="false">IF(OR(I16=1,AND(J13&gt;=Assumptions!$G$18,J7&gt;=Assumptions!$G$19)),1,0)</f>
        <v>0</v>
      </c>
      <c r="K16" s="39" t="n">
        <f aca="false">IF(OR(J16=1,AND(K13&gt;=Assumptions!$G$18,K7&gt;=Assumptions!$G$19)),1,0)</f>
        <v>0</v>
      </c>
      <c r="L16" s="39" t="n">
        <f aca="false">IF(OR(K16=1,AND(L13&gt;=Assumptions!$G$18,L7&gt;=Assumptions!$G$19)),1,0)</f>
        <v>0</v>
      </c>
      <c r="M16" s="39" t="n">
        <f aca="false">IF(OR(L16=1,AND(M13&gt;=Assumptions!$G$18,M7&gt;=Assumptions!$G$19)),1,0)</f>
        <v>0</v>
      </c>
      <c r="N16" s="39" t="n">
        <f aca="false">IF(OR(M16=1,AND(N13&gt;=Assumptions!$G$18,N7&gt;=Assumptions!$G$19)),1,0)</f>
        <v>0</v>
      </c>
      <c r="O16" s="39" t="n">
        <f aca="false">IF(OR(N16=1,AND(O13&gt;=Assumptions!$G$18,O7&gt;=Assumptions!$G$19)),1,0)</f>
        <v>0</v>
      </c>
      <c r="P16" s="39" t="n">
        <f aca="false">IF(OR(O16=1,AND(P13&gt;=Assumptions!$G$18,P7&gt;=Assumptions!$G$19)),1,0)</f>
        <v>0</v>
      </c>
      <c r="Q16" s="39" t="n">
        <f aca="false">IF(OR(P16=1,AND(Q13&gt;=Assumptions!$G$18,Q7&gt;=Assumptions!$G$19)),1,0)</f>
        <v>0</v>
      </c>
      <c r="R16" s="39" t="n">
        <f aca="false">IF(OR(Q16=1,AND(R13&gt;=Assumptions!$G$18,R7&gt;=Assumptions!$G$19)),1,0)</f>
        <v>0</v>
      </c>
      <c r="S16" s="39" t="n">
        <f aca="false">IF(OR(R16=1,AND(S13&gt;=Assumptions!$G$18,S7&gt;=Assumptions!$G$19)),1,0)</f>
        <v>1</v>
      </c>
      <c r="T16" s="39" t="n">
        <f aca="false">IF(OR(S16=1,AND(T13&gt;=Assumptions!$G$18,T7&gt;=Assumptions!$G$19)),1,0)</f>
        <v>1</v>
      </c>
      <c r="U16" s="39" t="n">
        <f aca="false">IF(OR(T16=1,AND(U13&gt;=Assumptions!$G$18,U7&gt;=Assumptions!$G$19)),1,0)</f>
        <v>1</v>
      </c>
      <c r="V16" s="39" t="n">
        <f aca="false">IF(OR(U16=1,AND(V13&gt;=Assumptions!$G$18,V7&gt;=Assumptions!$G$19)),1,0)</f>
        <v>1</v>
      </c>
      <c r="W16" s="39" t="n">
        <f aca="false">IF(OR(V16=1,AND(W13&gt;=Assumptions!$G$18,W7&gt;=Assumptions!$G$19)),1,0)</f>
        <v>1</v>
      </c>
      <c r="X16" s="39" t="n">
        <f aca="false">IF(OR(W16=1,AND(X13&gt;=Assumptions!$G$18,X7&gt;=Assumptions!$G$19)),1,0)</f>
        <v>1</v>
      </c>
      <c r="Y16" s="39" t="n">
        <f aca="false">IF(OR(X16=1,AND(Y13&gt;=Assumptions!$G$18,Y7&gt;=Assumptions!$G$19)),1,0)</f>
        <v>1</v>
      </c>
      <c r="Z16" s="39" t="n">
        <f aca="false">IF(OR(Y16=1,AND(Z13&gt;=Assumptions!$G$18,Z7&gt;=Assumptions!$G$19)),1,0)</f>
        <v>1</v>
      </c>
      <c r="AA16" s="39" t="n">
        <f aca="false">IF(OR(Z16=1,AND(AA13&gt;=Assumptions!$G$18,AA7&gt;=Assumptions!$G$19)),1,0)</f>
        <v>1</v>
      </c>
      <c r="AB16" s="39" t="n">
        <f aca="false">IF(OR(AA16=1,AND(AB13&gt;=Assumptions!$G$18,AB7&gt;=Assumptions!$G$19)),1,0)</f>
        <v>1</v>
      </c>
      <c r="AC16" s="39" t="n">
        <f aca="false">IF(OR(AB16=1,AND(AC13&gt;=Assumptions!$G$18,AC7&gt;=Assumptions!$G$19)),1,0)</f>
        <v>1</v>
      </c>
      <c r="AD16" s="39" t="n">
        <f aca="false">IF(OR(AC16=1,AND(AD13&gt;=Assumptions!$G$18,AD7&gt;=Assumptions!$G$19)),1,0)</f>
        <v>1</v>
      </c>
      <c r="AE16" s="39" t="n">
        <f aca="false">IF(OR(AD16=1,AND(AE13&gt;=Assumptions!$G$18,AE7&gt;=Assumptions!$G$19)),1,0)</f>
        <v>1</v>
      </c>
      <c r="AF16" s="39" t="n">
        <f aca="false">IF(OR(AE16=1,AND(AF13&gt;=Assumptions!$G$18,AF7&gt;=Assumptions!$G$19)),1,0)</f>
        <v>1</v>
      </c>
      <c r="AG16" s="39" t="n">
        <f aca="false">IF(OR(AF16=1,AND(AG13&gt;=Assumptions!$G$18,AG7&gt;=Assumptions!$G$19)),1,0)</f>
        <v>1</v>
      </c>
      <c r="AH16" s="39" t="n">
        <f aca="false">IF(OR(AG16=1,AND(AH13&gt;=Assumptions!$G$18,AH7&gt;=Assumptions!$G$19)),1,0)</f>
        <v>1</v>
      </c>
      <c r="AI16" s="39" t="n">
        <f aca="false">IF(OR(AH16=1,AND(AI13&gt;=Assumptions!$G$18,AI7&gt;=Assumptions!$G$19)),1,0)</f>
        <v>1</v>
      </c>
      <c r="AJ16" s="39" t="n">
        <f aca="false">IF(OR(AI16=1,AND(AJ13&gt;=Assumptions!$G$18,AJ7&gt;=Assumptions!$G$19)),1,0)</f>
        <v>1</v>
      </c>
      <c r="AK16" s="39" t="n">
        <f aca="false">IF(OR(AJ16=1,AND(AK13&gt;=Assumptions!$G$18,AK7&gt;=Assumptions!$G$19)),1,0)</f>
        <v>1</v>
      </c>
      <c r="AL16" s="39" t="n">
        <f aca="false">IF(OR(AK16=1,AND(AL13&gt;=Assumptions!$G$18,AL7&gt;=Assumptions!$G$19)),1,0)</f>
        <v>1</v>
      </c>
      <c r="AM16" s="39" t="n">
        <f aca="false">IF(OR(AL16=1,AND(AM13&gt;=Assumptions!$G$18,AM7&gt;=Assumptions!$G$19)),1,0)</f>
        <v>1</v>
      </c>
      <c r="AN16" s="40" t="n">
        <f aca="false">IF(OR(AM16=1,AND(AN13&gt;=Assumptions!$G$18,AN7&gt;=Assumptions!$G$19)),1,0)</f>
        <v>1</v>
      </c>
      <c r="AO16" s="40" t="n">
        <f aca="false">IF(OR(AN16=1,AND(AO13&gt;=Assumptions!$G$18,AO7&gt;=Assumptions!$G$19)),1,0)</f>
        <v>1</v>
      </c>
      <c r="AP16" s="40" t="n">
        <f aca="false">IF(OR(AO16=1,AND(AP13&gt;=Assumptions!$G$18,AP7&gt;=Assumptions!$G$19)),1,0)</f>
        <v>1</v>
      </c>
      <c r="AQ16" s="40" t="n">
        <f aca="false">IF(OR(AP16=1,AND(AQ13&gt;=Assumptions!$G$18,AQ7&gt;=Assumptions!$G$19)),1,0)</f>
        <v>1</v>
      </c>
      <c r="AR16" s="40" t="n">
        <f aca="false">IF(OR(AQ16=1,AND(AR13&gt;=Assumptions!$G$18,AR7&gt;=Assumptions!$G$19)),1,0)</f>
        <v>1</v>
      </c>
      <c r="AS16" s="40" t="n">
        <f aca="false">IF(OR(AR16=1,AND(AS13&gt;=Assumptions!$G$18,AS7&gt;=Assumptions!$G$19)),1,0)</f>
        <v>1</v>
      </c>
      <c r="AT16" s="40" t="n">
        <f aca="false">IF(OR(AS16=1,AND(AT13&gt;=Assumptions!$G$18,AT7&gt;=Assumptions!$G$19)),1,0)</f>
        <v>1</v>
      </c>
      <c r="AU16" s="40" t="n">
        <f aca="false">IF(OR(AT16=1,AND(AU13&gt;=Assumptions!$G$18,AU7&gt;=Assumptions!$G$19)),1,0)</f>
        <v>1</v>
      </c>
      <c r="AV16" s="40" t="n">
        <f aca="false">IF(OR(AU16=1,AND(AV13&gt;=Assumptions!$G$18,AV7&gt;=Assumptions!$G$19)),1,0)</f>
        <v>1</v>
      </c>
      <c r="AW16" s="40" t="n">
        <f aca="false">IF(OR(AV16=1,AND(AW13&gt;=Assumptions!$G$18,AW7&gt;=Assumptions!$G$19)),1,0)</f>
        <v>1</v>
      </c>
      <c r="AX16" s="40" t="n">
        <f aca="false">IF(OR(AW16=1,AND(AX13&gt;=Assumptions!$G$18,AX7&gt;=Assumptions!$G$19)),1,0)</f>
        <v>1</v>
      </c>
      <c r="AY16" s="40" t="n">
        <f aca="false">IF(OR(AX16=1,AND(AY13&gt;=Assumptions!$G$18,AY7&gt;=Assumptions!$G$19)),1,0)</f>
        <v>1</v>
      </c>
      <c r="AZ16" s="40" t="n">
        <f aca="false">IF(OR(AY16=1,AND(AZ13&gt;=Assumptions!$G$18,AZ7&gt;=Assumptions!$G$19)),1,0)</f>
        <v>1</v>
      </c>
      <c r="BA16" s="40" t="n">
        <f aca="false">IF(OR(AZ16=1,AND(BA13&gt;=Assumptions!$G$18,BA7&gt;=Assumptions!$G$19)),1,0)</f>
        <v>1</v>
      </c>
      <c r="BB16" s="40" t="n">
        <f aca="false">IF(OR(BA16=1,AND(BB13&gt;=Assumptions!$G$18,BB7&gt;=Assumptions!$G$19)),1,0)</f>
        <v>1</v>
      </c>
      <c r="BC16" s="40" t="n">
        <f aca="false">IF(OR(BB16=1,AND(BC13&gt;=Assumptions!$G$18,BC7&gt;=Assumptions!$G$19)),1,0)</f>
        <v>1</v>
      </c>
      <c r="BD16" s="40" t="n">
        <f aca="false">IF(OR(BC16=1,AND(BD13&gt;=Assumptions!$G$18,BD7&gt;=Assumptions!$G$19)),1,0)</f>
        <v>1</v>
      </c>
      <c r="BE16" s="40" t="n">
        <f aca="false">IF(OR(BD16=1,AND(BE13&gt;=Assumptions!$G$18,BE7&gt;=Assumptions!$G$19)),1,0)</f>
        <v>1</v>
      </c>
      <c r="BF16" s="40" t="n">
        <f aca="false">IF(OR(BE16=1,AND(BF13&gt;=Assumptions!$G$18,BF7&gt;=Assumptions!$G$19)),1,0)</f>
        <v>1</v>
      </c>
      <c r="BG16" s="40" t="n">
        <f aca="false">IF(OR(BF16=1,AND(BG13&gt;=Assumptions!$G$18,BG7&gt;=Assumptions!$G$19)),1,0)</f>
        <v>1</v>
      </c>
      <c r="BH16" s="40" t="n">
        <f aca="false">IF(OR(BG16=1,AND(BH13&gt;=Assumptions!$G$18,BH7&gt;=Assumptions!$G$19)),1,0)</f>
        <v>1</v>
      </c>
      <c r="BI16" s="40" t="n">
        <f aca="false">IF(OR(BH16=1,AND(BI13&gt;=Assumptions!$G$18,BI7&gt;=Assumptions!$G$19)),1,0)</f>
        <v>1</v>
      </c>
      <c r="BJ16" s="40" t="n">
        <f aca="false">IF(OR(BI16=1,AND(BJ13&gt;=Assumptions!$G$18,BJ7&gt;=Assumptions!$G$19)),1,0)</f>
        <v>1</v>
      </c>
      <c r="BK16" s="40" t="n">
        <f aca="false">IF(OR(BJ16=1,AND(BK13&gt;=Assumptions!$G$18,BK7&gt;=Assumptions!$G$19)),1,0)</f>
        <v>1</v>
      </c>
    </row>
    <row r="17" customFormat="false" ht="15" hidden="false" customHeight="false" outlineLevel="0" collapsed="false">
      <c r="A17" s="28" t="s">
        <v>552</v>
      </c>
      <c r="B17" s="6" t="s">
        <v>553</v>
      </c>
      <c r="C17" s="38" t="n">
        <v>0</v>
      </c>
      <c r="D17" s="39" t="n">
        <f aca="false">IF(OR(C17=1,AND(D13&gt;=Assumptions!$G$20,D7&gt;=Assumptions!$G$21)),1,0)</f>
        <v>0</v>
      </c>
      <c r="E17" s="39" t="n">
        <f aca="false">IF(OR(D17=1,AND(E13&gt;=Assumptions!$G$20,E7&gt;=Assumptions!$G$21)),1,0)</f>
        <v>0</v>
      </c>
      <c r="F17" s="39" t="n">
        <f aca="false">IF(OR(E17=1,AND(F13&gt;=Assumptions!$G$20,F7&gt;=Assumptions!$G$21)),1,0)</f>
        <v>0</v>
      </c>
      <c r="G17" s="39" t="n">
        <f aca="false">IF(OR(F17=1,AND(G13&gt;=Assumptions!$G$20,G7&gt;=Assumptions!$G$21)),1,0)</f>
        <v>0</v>
      </c>
      <c r="H17" s="39" t="n">
        <f aca="false">IF(OR(G17=1,AND(H13&gt;=Assumptions!$G$20,H7&gt;=Assumptions!$G$21)),1,0)</f>
        <v>0</v>
      </c>
      <c r="I17" s="39" t="n">
        <f aca="false">IF(OR(H17=1,AND(I13&gt;=Assumptions!$G$20,I7&gt;=Assumptions!$G$21)),1,0)</f>
        <v>0</v>
      </c>
      <c r="J17" s="39" t="n">
        <f aca="false">IF(OR(I17=1,AND(J13&gt;=Assumptions!$G$20,J7&gt;=Assumptions!$G$21)),1,0)</f>
        <v>0</v>
      </c>
      <c r="K17" s="39" t="n">
        <f aca="false">IF(OR(J17=1,AND(K13&gt;=Assumptions!$G$20,K7&gt;=Assumptions!$G$21)),1,0)</f>
        <v>0</v>
      </c>
      <c r="L17" s="39" t="n">
        <f aca="false">IF(OR(K17=1,AND(L13&gt;=Assumptions!$G$20,L7&gt;=Assumptions!$G$21)),1,0)</f>
        <v>0</v>
      </c>
      <c r="M17" s="39" t="n">
        <f aca="false">IF(OR(L17=1,AND(M13&gt;=Assumptions!$G$20,M7&gt;=Assumptions!$G$21)),1,0)</f>
        <v>0</v>
      </c>
      <c r="N17" s="39" t="n">
        <f aca="false">IF(OR(M17=1,AND(N13&gt;=Assumptions!$G$20,N7&gt;=Assumptions!$G$21)),1,0)</f>
        <v>0</v>
      </c>
      <c r="O17" s="39" t="n">
        <f aca="false">IF(OR(N17=1,AND(O13&gt;=Assumptions!$G$20,O7&gt;=Assumptions!$G$21)),1,0)</f>
        <v>0</v>
      </c>
      <c r="P17" s="39" t="n">
        <f aca="false">IF(OR(O17=1,AND(P13&gt;=Assumptions!$G$20,P7&gt;=Assumptions!$G$21)),1,0)</f>
        <v>0</v>
      </c>
      <c r="Q17" s="39" t="n">
        <f aca="false">IF(OR(P17=1,AND(Q13&gt;=Assumptions!$G$20,Q7&gt;=Assumptions!$G$21)),1,0)</f>
        <v>0</v>
      </c>
      <c r="R17" s="39" t="n">
        <f aca="false">IF(OR(Q17=1,AND(R13&gt;=Assumptions!$G$20,R7&gt;=Assumptions!$G$21)),1,0)</f>
        <v>0</v>
      </c>
      <c r="S17" s="39" t="n">
        <f aca="false">IF(OR(R17=1,AND(S13&gt;=Assumptions!$G$20,S7&gt;=Assumptions!$G$21)),1,0)</f>
        <v>1</v>
      </c>
      <c r="T17" s="39" t="n">
        <f aca="false">IF(OR(S17=1,AND(T13&gt;=Assumptions!$G$20,T7&gt;=Assumptions!$G$21)),1,0)</f>
        <v>1</v>
      </c>
      <c r="U17" s="39" t="n">
        <f aca="false">IF(OR(T17=1,AND(U13&gt;=Assumptions!$G$20,U7&gt;=Assumptions!$G$21)),1,0)</f>
        <v>1</v>
      </c>
      <c r="V17" s="39" t="n">
        <f aca="false">IF(OR(U17=1,AND(V13&gt;=Assumptions!$G$20,V7&gt;=Assumptions!$G$21)),1,0)</f>
        <v>1</v>
      </c>
      <c r="W17" s="39" t="n">
        <f aca="false">IF(OR(V17=1,AND(W13&gt;=Assumptions!$G$20,W7&gt;=Assumptions!$G$21)),1,0)</f>
        <v>1</v>
      </c>
      <c r="X17" s="39" t="n">
        <f aca="false">IF(OR(W17=1,AND(X13&gt;=Assumptions!$G$20,X7&gt;=Assumptions!$G$21)),1,0)</f>
        <v>1</v>
      </c>
      <c r="Y17" s="39" t="n">
        <f aca="false">IF(OR(X17=1,AND(Y13&gt;=Assumptions!$G$20,Y7&gt;=Assumptions!$G$21)),1,0)</f>
        <v>1</v>
      </c>
      <c r="Z17" s="39" t="n">
        <f aca="false">IF(OR(Y17=1,AND(Z13&gt;=Assumptions!$G$20,Z7&gt;=Assumptions!$G$21)),1,0)</f>
        <v>1</v>
      </c>
      <c r="AA17" s="39" t="n">
        <f aca="false">IF(OR(Z17=1,AND(AA13&gt;=Assumptions!$G$20,AA7&gt;=Assumptions!$G$21)),1,0)</f>
        <v>1</v>
      </c>
      <c r="AB17" s="39" t="n">
        <f aca="false">IF(OR(AA17=1,AND(AB13&gt;=Assumptions!$G$20,AB7&gt;=Assumptions!$G$21)),1,0)</f>
        <v>1</v>
      </c>
      <c r="AC17" s="39" t="n">
        <f aca="false">IF(OR(AB17=1,AND(AC13&gt;=Assumptions!$G$20,AC7&gt;=Assumptions!$G$21)),1,0)</f>
        <v>1</v>
      </c>
      <c r="AD17" s="39" t="n">
        <f aca="false">IF(OR(AC17=1,AND(AD13&gt;=Assumptions!$G$20,AD7&gt;=Assumptions!$G$21)),1,0)</f>
        <v>1</v>
      </c>
      <c r="AE17" s="39" t="n">
        <f aca="false">IF(OR(AD17=1,AND(AE13&gt;=Assumptions!$G$20,AE7&gt;=Assumptions!$G$21)),1,0)</f>
        <v>1</v>
      </c>
      <c r="AF17" s="39" t="n">
        <f aca="false">IF(OR(AE17=1,AND(AF13&gt;=Assumptions!$G$20,AF7&gt;=Assumptions!$G$21)),1,0)</f>
        <v>1</v>
      </c>
      <c r="AG17" s="39" t="n">
        <f aca="false">IF(OR(AF17=1,AND(AG13&gt;=Assumptions!$G$20,AG7&gt;=Assumptions!$G$21)),1,0)</f>
        <v>1</v>
      </c>
      <c r="AH17" s="39" t="n">
        <f aca="false">IF(OR(AG17=1,AND(AH13&gt;=Assumptions!$G$20,AH7&gt;=Assumptions!$G$21)),1,0)</f>
        <v>1</v>
      </c>
      <c r="AI17" s="39" t="n">
        <f aca="false">IF(OR(AH17=1,AND(AI13&gt;=Assumptions!$G$20,AI7&gt;=Assumptions!$G$21)),1,0)</f>
        <v>1</v>
      </c>
      <c r="AJ17" s="39" t="n">
        <f aca="false">IF(OR(AI17=1,AND(AJ13&gt;=Assumptions!$G$20,AJ7&gt;=Assumptions!$G$21)),1,0)</f>
        <v>1</v>
      </c>
      <c r="AK17" s="39" t="n">
        <f aca="false">IF(OR(AJ17=1,AND(AK13&gt;=Assumptions!$G$20,AK7&gt;=Assumptions!$G$21)),1,0)</f>
        <v>1</v>
      </c>
      <c r="AL17" s="39" t="n">
        <f aca="false">IF(OR(AK17=1,AND(AL13&gt;=Assumptions!$G$20,AL7&gt;=Assumptions!$G$21)),1,0)</f>
        <v>1</v>
      </c>
      <c r="AM17" s="39" t="n">
        <f aca="false">IF(OR(AL17=1,AND(AM13&gt;=Assumptions!$G$20,AM7&gt;=Assumptions!$G$21)),1,0)</f>
        <v>1</v>
      </c>
      <c r="AN17" s="40" t="n">
        <f aca="false">IF(OR(AM17=1,AND(AN13&gt;=Assumptions!$G$20,AN7&gt;=Assumptions!$G$21)),1,0)</f>
        <v>1</v>
      </c>
      <c r="AO17" s="40" t="n">
        <f aca="false">IF(OR(AN17=1,AND(AO13&gt;=Assumptions!$G$20,AO7&gt;=Assumptions!$G$21)),1,0)</f>
        <v>1</v>
      </c>
      <c r="AP17" s="40" t="n">
        <f aca="false">IF(OR(AO17=1,AND(AP13&gt;=Assumptions!$G$20,AP7&gt;=Assumptions!$G$21)),1,0)</f>
        <v>1</v>
      </c>
      <c r="AQ17" s="40" t="n">
        <f aca="false">IF(OR(AP17=1,AND(AQ13&gt;=Assumptions!$G$20,AQ7&gt;=Assumptions!$G$21)),1,0)</f>
        <v>1</v>
      </c>
      <c r="AR17" s="40" t="n">
        <f aca="false">IF(OR(AQ17=1,AND(AR13&gt;=Assumptions!$G$20,AR7&gt;=Assumptions!$G$21)),1,0)</f>
        <v>1</v>
      </c>
      <c r="AS17" s="40" t="n">
        <f aca="false">IF(OR(AR17=1,AND(AS13&gt;=Assumptions!$G$20,AS7&gt;=Assumptions!$G$21)),1,0)</f>
        <v>1</v>
      </c>
      <c r="AT17" s="40" t="n">
        <f aca="false">IF(OR(AS17=1,AND(AT13&gt;=Assumptions!$G$20,AT7&gt;=Assumptions!$G$21)),1,0)</f>
        <v>1</v>
      </c>
      <c r="AU17" s="40" t="n">
        <f aca="false">IF(OR(AT17=1,AND(AU13&gt;=Assumptions!$G$20,AU7&gt;=Assumptions!$G$21)),1,0)</f>
        <v>1</v>
      </c>
      <c r="AV17" s="40" t="n">
        <f aca="false">IF(OR(AU17=1,AND(AV13&gt;=Assumptions!$G$20,AV7&gt;=Assumptions!$G$21)),1,0)</f>
        <v>1</v>
      </c>
      <c r="AW17" s="40" t="n">
        <f aca="false">IF(OR(AV17=1,AND(AW13&gt;=Assumptions!$G$20,AW7&gt;=Assumptions!$G$21)),1,0)</f>
        <v>1</v>
      </c>
      <c r="AX17" s="40" t="n">
        <f aca="false">IF(OR(AW17=1,AND(AX13&gt;=Assumptions!$G$20,AX7&gt;=Assumptions!$G$21)),1,0)</f>
        <v>1</v>
      </c>
      <c r="AY17" s="40" t="n">
        <f aca="false">IF(OR(AX17=1,AND(AY13&gt;=Assumptions!$G$20,AY7&gt;=Assumptions!$G$21)),1,0)</f>
        <v>1</v>
      </c>
      <c r="AZ17" s="40" t="n">
        <f aca="false">IF(OR(AY17=1,AND(AZ13&gt;=Assumptions!$G$20,AZ7&gt;=Assumptions!$G$21)),1,0)</f>
        <v>1</v>
      </c>
      <c r="BA17" s="40" t="n">
        <f aca="false">IF(OR(AZ17=1,AND(BA13&gt;=Assumptions!$G$20,BA7&gt;=Assumptions!$G$21)),1,0)</f>
        <v>1</v>
      </c>
      <c r="BB17" s="40" t="n">
        <f aca="false">IF(OR(BA17=1,AND(BB13&gt;=Assumptions!$G$20,BB7&gt;=Assumptions!$G$21)),1,0)</f>
        <v>1</v>
      </c>
      <c r="BC17" s="40" t="n">
        <f aca="false">IF(OR(BB17=1,AND(BC13&gt;=Assumptions!$G$20,BC7&gt;=Assumptions!$G$21)),1,0)</f>
        <v>1</v>
      </c>
      <c r="BD17" s="40" t="n">
        <f aca="false">IF(OR(BC17=1,AND(BD13&gt;=Assumptions!$G$20,BD7&gt;=Assumptions!$G$21)),1,0)</f>
        <v>1</v>
      </c>
      <c r="BE17" s="40" t="n">
        <f aca="false">IF(OR(BD17=1,AND(BE13&gt;=Assumptions!$G$20,BE7&gt;=Assumptions!$G$21)),1,0)</f>
        <v>1</v>
      </c>
      <c r="BF17" s="40" t="n">
        <f aca="false">IF(OR(BE17=1,AND(BF13&gt;=Assumptions!$G$20,BF7&gt;=Assumptions!$G$21)),1,0)</f>
        <v>1</v>
      </c>
      <c r="BG17" s="40" t="n">
        <f aca="false">IF(OR(BF17=1,AND(BG13&gt;=Assumptions!$G$20,BG7&gt;=Assumptions!$G$21)),1,0)</f>
        <v>1</v>
      </c>
      <c r="BH17" s="40" t="n">
        <f aca="false">IF(OR(BG17=1,AND(BH13&gt;=Assumptions!$G$20,BH7&gt;=Assumptions!$G$21)),1,0)</f>
        <v>1</v>
      </c>
      <c r="BI17" s="40" t="n">
        <f aca="false">IF(OR(BH17=1,AND(BI13&gt;=Assumptions!$G$20,BI7&gt;=Assumptions!$G$21)),1,0)</f>
        <v>1</v>
      </c>
      <c r="BJ17" s="40" t="n">
        <f aca="false">IF(OR(BI17=1,AND(BJ13&gt;=Assumptions!$G$20,BJ7&gt;=Assumptions!$G$21)),1,0)</f>
        <v>1</v>
      </c>
      <c r="BK17" s="40" t="n">
        <f aca="false">IF(OR(BJ17=1,AND(BK13&gt;=Assumptions!$G$20,BK7&gt;=Assumptions!$G$21)),1,0)</f>
        <v>1</v>
      </c>
    </row>
    <row r="18" customFormat="false" ht="15" hidden="false" customHeight="false" outlineLevel="0" collapsed="false">
      <c r="A18" s="28" t="s">
        <v>554</v>
      </c>
      <c r="B18" s="6" t="s">
        <v>555</v>
      </c>
      <c r="C18" s="38" t="n">
        <v>0</v>
      </c>
      <c r="D18" s="39" t="n">
        <f aca="false">IF(OR(C18=1,D13&gt;=Assumptions!$G$22),1,0)</f>
        <v>0</v>
      </c>
      <c r="E18" s="39" t="n">
        <f aca="false">IF(OR(D18=1,E13&gt;=Assumptions!$G$22),1,0)</f>
        <v>0</v>
      </c>
      <c r="F18" s="39" t="n">
        <f aca="false">IF(OR(E18=1,F13&gt;=Assumptions!$G$22),1,0)</f>
        <v>0</v>
      </c>
      <c r="G18" s="39" t="n">
        <f aca="false">IF(OR(F18=1,G13&gt;=Assumptions!$G$22),1,0)</f>
        <v>0</v>
      </c>
      <c r="H18" s="39" t="n">
        <f aca="false">IF(OR(G18=1,H13&gt;=Assumptions!$G$22),1,0)</f>
        <v>0</v>
      </c>
      <c r="I18" s="39" t="n">
        <f aca="false">IF(OR(H18=1,I13&gt;=Assumptions!$G$22),1,0)</f>
        <v>0</v>
      </c>
      <c r="J18" s="39" t="n">
        <f aca="false">IF(OR(I18=1,J13&gt;=Assumptions!$G$22),1,0)</f>
        <v>0</v>
      </c>
      <c r="K18" s="39" t="n">
        <f aca="false">IF(OR(J18=1,K13&gt;=Assumptions!$G$22),1,0)</f>
        <v>0</v>
      </c>
      <c r="L18" s="39" t="n">
        <f aca="false">IF(OR(K18=1,L13&gt;=Assumptions!$G$22),1,0)</f>
        <v>0</v>
      </c>
      <c r="M18" s="39" t="n">
        <f aca="false">IF(OR(L18=1,M13&gt;=Assumptions!$G$22),1,0)</f>
        <v>0</v>
      </c>
      <c r="N18" s="39" t="n">
        <f aca="false">IF(OR(M18=1,N13&gt;=Assumptions!$G$22),1,0)</f>
        <v>0</v>
      </c>
      <c r="O18" s="39" t="n">
        <f aca="false">IF(OR(N18=1,O13&gt;=Assumptions!$G$22),1,0)</f>
        <v>0</v>
      </c>
      <c r="P18" s="39" t="n">
        <f aca="false">IF(OR(O18=1,P13&gt;=Assumptions!$G$22),1,0)</f>
        <v>0</v>
      </c>
      <c r="Q18" s="39" t="n">
        <f aca="false">IF(OR(P18=1,Q13&gt;=Assumptions!$G$22),1,0)</f>
        <v>1</v>
      </c>
      <c r="R18" s="39" t="n">
        <f aca="false">IF(OR(Q18=1,R13&gt;=Assumptions!$G$22),1,0)</f>
        <v>1</v>
      </c>
      <c r="S18" s="39" t="n">
        <f aca="false">IF(OR(R18=1,S13&gt;=Assumptions!$G$22),1,0)</f>
        <v>1</v>
      </c>
      <c r="T18" s="39" t="n">
        <f aca="false">IF(OR(S18=1,T13&gt;=Assumptions!$G$22),1,0)</f>
        <v>1</v>
      </c>
      <c r="U18" s="39" t="n">
        <f aca="false">IF(OR(T18=1,U13&gt;=Assumptions!$G$22),1,0)</f>
        <v>1</v>
      </c>
      <c r="V18" s="39" t="n">
        <f aca="false">IF(OR(U18=1,V13&gt;=Assumptions!$G$22),1,0)</f>
        <v>1</v>
      </c>
      <c r="W18" s="39" t="n">
        <f aca="false">IF(OR(V18=1,W13&gt;=Assumptions!$G$22),1,0)</f>
        <v>1</v>
      </c>
      <c r="X18" s="39" t="n">
        <f aca="false">IF(OR(W18=1,X13&gt;=Assumptions!$G$22),1,0)</f>
        <v>1</v>
      </c>
      <c r="Y18" s="39" t="n">
        <f aca="false">IF(OR(X18=1,Y13&gt;=Assumptions!$G$22),1,0)</f>
        <v>1</v>
      </c>
      <c r="Z18" s="39" t="n">
        <f aca="false">IF(OR(Y18=1,Z13&gt;=Assumptions!$G$22),1,0)</f>
        <v>1</v>
      </c>
      <c r="AA18" s="39" t="n">
        <f aca="false">IF(OR(Z18=1,AA13&gt;=Assumptions!$G$22),1,0)</f>
        <v>1</v>
      </c>
      <c r="AB18" s="39" t="n">
        <f aca="false">IF(OR(AA18=1,AB13&gt;=Assumptions!$G$22),1,0)</f>
        <v>1</v>
      </c>
      <c r="AC18" s="39" t="n">
        <f aca="false">IF(OR(AB18=1,AC13&gt;=Assumptions!$G$22),1,0)</f>
        <v>1</v>
      </c>
      <c r="AD18" s="39" t="n">
        <f aca="false">IF(OR(AC18=1,AD13&gt;=Assumptions!$G$22),1,0)</f>
        <v>1</v>
      </c>
      <c r="AE18" s="39" t="n">
        <f aca="false">IF(OR(AD18=1,AE13&gt;=Assumptions!$G$22),1,0)</f>
        <v>1</v>
      </c>
      <c r="AF18" s="39" t="n">
        <f aca="false">IF(OR(AE18=1,AF13&gt;=Assumptions!$G$22),1,0)</f>
        <v>1</v>
      </c>
      <c r="AG18" s="39" t="n">
        <f aca="false">IF(OR(AF18=1,AG13&gt;=Assumptions!$G$22),1,0)</f>
        <v>1</v>
      </c>
      <c r="AH18" s="39" t="n">
        <f aca="false">IF(OR(AG18=1,AH13&gt;=Assumptions!$G$22),1,0)</f>
        <v>1</v>
      </c>
      <c r="AI18" s="39" t="n">
        <f aca="false">IF(OR(AH18=1,AI13&gt;=Assumptions!$G$22),1,0)</f>
        <v>1</v>
      </c>
      <c r="AJ18" s="39" t="n">
        <f aca="false">IF(OR(AI18=1,AJ13&gt;=Assumptions!$G$22),1,0)</f>
        <v>1</v>
      </c>
      <c r="AK18" s="39" t="n">
        <f aca="false">IF(OR(AJ18=1,AK13&gt;=Assumptions!$G$22),1,0)</f>
        <v>1</v>
      </c>
      <c r="AL18" s="39" t="n">
        <f aca="false">IF(OR(AK18=1,AL13&gt;=Assumptions!$G$22),1,0)</f>
        <v>1</v>
      </c>
      <c r="AM18" s="39" t="n">
        <f aca="false">IF(OR(AL18=1,AM13&gt;=Assumptions!$G$22),1,0)</f>
        <v>1</v>
      </c>
      <c r="AN18" s="40" t="n">
        <f aca="false">IF(OR(AM18=1,AN13&gt;=Assumptions!$G$22),1,0)</f>
        <v>1</v>
      </c>
      <c r="AO18" s="40" t="n">
        <f aca="false">IF(OR(AN18=1,AO13&gt;=Assumptions!$G$22),1,0)</f>
        <v>1</v>
      </c>
      <c r="AP18" s="40" t="n">
        <f aca="false">IF(OR(AO18=1,AP13&gt;=Assumptions!$G$22),1,0)</f>
        <v>1</v>
      </c>
      <c r="AQ18" s="40" t="n">
        <f aca="false">IF(OR(AP18=1,AQ13&gt;=Assumptions!$G$22),1,0)</f>
        <v>1</v>
      </c>
      <c r="AR18" s="40" t="n">
        <f aca="false">IF(OR(AQ18=1,AR13&gt;=Assumptions!$G$22),1,0)</f>
        <v>1</v>
      </c>
      <c r="AS18" s="40" t="n">
        <f aca="false">IF(OR(AR18=1,AS13&gt;=Assumptions!$G$22),1,0)</f>
        <v>1</v>
      </c>
      <c r="AT18" s="40" t="n">
        <f aca="false">IF(OR(AS18=1,AT13&gt;=Assumptions!$G$22),1,0)</f>
        <v>1</v>
      </c>
      <c r="AU18" s="40" t="n">
        <f aca="false">IF(OR(AT18=1,AU13&gt;=Assumptions!$G$22),1,0)</f>
        <v>1</v>
      </c>
      <c r="AV18" s="40" t="n">
        <f aca="false">IF(OR(AU18=1,AV13&gt;=Assumptions!$G$22),1,0)</f>
        <v>1</v>
      </c>
      <c r="AW18" s="40" t="n">
        <f aca="false">IF(OR(AV18=1,AW13&gt;=Assumptions!$G$22),1,0)</f>
        <v>1</v>
      </c>
      <c r="AX18" s="40" t="n">
        <f aca="false">IF(OR(AW18=1,AX13&gt;=Assumptions!$G$22),1,0)</f>
        <v>1</v>
      </c>
      <c r="AY18" s="40" t="n">
        <f aca="false">IF(OR(AX18=1,AY13&gt;=Assumptions!$G$22),1,0)</f>
        <v>1</v>
      </c>
      <c r="AZ18" s="40" t="n">
        <f aca="false">IF(OR(AY18=1,AZ13&gt;=Assumptions!$G$22),1,0)</f>
        <v>1</v>
      </c>
      <c r="BA18" s="40" t="n">
        <f aca="false">IF(OR(AZ18=1,BA13&gt;=Assumptions!$G$22),1,0)</f>
        <v>1</v>
      </c>
      <c r="BB18" s="40" t="n">
        <f aca="false">IF(OR(BA18=1,BB13&gt;=Assumptions!$G$22),1,0)</f>
        <v>1</v>
      </c>
      <c r="BC18" s="40" t="n">
        <f aca="false">IF(OR(BB18=1,BC13&gt;=Assumptions!$G$22),1,0)</f>
        <v>1</v>
      </c>
      <c r="BD18" s="40" t="n">
        <f aca="false">IF(OR(BC18=1,BD13&gt;=Assumptions!$G$22),1,0)</f>
        <v>1</v>
      </c>
      <c r="BE18" s="40" t="n">
        <f aca="false">IF(OR(BD18=1,BE13&gt;=Assumptions!$G$22),1,0)</f>
        <v>1</v>
      </c>
      <c r="BF18" s="40" t="n">
        <f aca="false">IF(OR(BE18=1,BF13&gt;=Assumptions!$G$22),1,0)</f>
        <v>1</v>
      </c>
      <c r="BG18" s="40" t="n">
        <f aca="false">IF(OR(BF18=1,BG13&gt;=Assumptions!$G$22),1,0)</f>
        <v>1</v>
      </c>
      <c r="BH18" s="40" t="n">
        <f aca="false">IF(OR(BG18=1,BH13&gt;=Assumptions!$G$22),1,0)</f>
        <v>1</v>
      </c>
      <c r="BI18" s="40" t="n">
        <f aca="false">IF(OR(BH18=1,BI13&gt;=Assumptions!$G$22),1,0)</f>
        <v>1</v>
      </c>
      <c r="BJ18" s="40" t="n">
        <f aca="false">IF(OR(BI18=1,BJ13&gt;=Assumptions!$G$22),1,0)</f>
        <v>1</v>
      </c>
      <c r="BK18" s="40" t="n">
        <f aca="false">IF(OR(BJ18=1,BK13&gt;=Assumptions!$G$22),1,0)</f>
        <v>1</v>
      </c>
    </row>
    <row r="19" customFormat="false" ht="15" hidden="false" customHeight="false" outlineLevel="0" collapsed="false">
      <c r="A19" s="28" t="s">
        <v>556</v>
      </c>
      <c r="B19" s="6" t="s">
        <v>557</v>
      </c>
      <c r="C19" s="38" t="n">
        <v>0</v>
      </c>
      <c r="D19" s="39" t="n">
        <f aca="false">IF(OR(C19=1,AND(D13&gt;=Assumptions!$G$23,D7&gt;=Assumptions!$G$24)),1,0)</f>
        <v>0</v>
      </c>
      <c r="E19" s="39" t="n">
        <f aca="false">IF(OR(D19=1,AND(E13&gt;=Assumptions!$G$23,E7&gt;=Assumptions!$G$24)),1,0)</f>
        <v>0</v>
      </c>
      <c r="F19" s="39" t="n">
        <f aca="false">IF(OR(E19=1,AND(F13&gt;=Assumptions!$G$23,F7&gt;=Assumptions!$G$24)),1,0)</f>
        <v>0</v>
      </c>
      <c r="G19" s="39" t="n">
        <f aca="false">IF(OR(F19=1,AND(G13&gt;=Assumptions!$G$23,G7&gt;=Assumptions!$G$24)),1,0)</f>
        <v>0</v>
      </c>
      <c r="H19" s="39" t="n">
        <f aca="false">IF(OR(G19=1,AND(H13&gt;=Assumptions!$G$23,H7&gt;=Assumptions!$G$24)),1,0)</f>
        <v>0</v>
      </c>
      <c r="I19" s="39" t="n">
        <f aca="false">IF(OR(H19=1,AND(I13&gt;=Assumptions!$G$23,I7&gt;=Assumptions!$G$24)),1,0)</f>
        <v>0</v>
      </c>
      <c r="J19" s="39" t="n">
        <f aca="false">IF(OR(I19=1,AND(J13&gt;=Assumptions!$G$23,J7&gt;=Assumptions!$G$24)),1,0)</f>
        <v>0</v>
      </c>
      <c r="K19" s="39" t="n">
        <f aca="false">IF(OR(J19=1,AND(K13&gt;=Assumptions!$G$23,K7&gt;=Assumptions!$G$24)),1,0)</f>
        <v>0</v>
      </c>
      <c r="L19" s="39" t="n">
        <f aca="false">IF(OR(K19=1,AND(L13&gt;=Assumptions!$G$23,L7&gt;=Assumptions!$G$24)),1,0)</f>
        <v>0</v>
      </c>
      <c r="M19" s="39" t="n">
        <f aca="false">IF(OR(L19=1,AND(M13&gt;=Assumptions!$G$23,M7&gt;=Assumptions!$G$24)),1,0)</f>
        <v>0</v>
      </c>
      <c r="N19" s="39" t="n">
        <f aca="false">IF(OR(M19=1,AND(N13&gt;=Assumptions!$G$23,N7&gt;=Assumptions!$G$24)),1,0)</f>
        <v>0</v>
      </c>
      <c r="O19" s="39" t="n">
        <f aca="false">IF(OR(N19=1,AND(O13&gt;=Assumptions!$G$23,O7&gt;=Assumptions!$G$24)),1,0)</f>
        <v>0</v>
      </c>
      <c r="P19" s="39" t="n">
        <f aca="false">IF(OR(O19=1,AND(P13&gt;=Assumptions!$G$23,P7&gt;=Assumptions!$G$24)),1,0)</f>
        <v>0</v>
      </c>
      <c r="Q19" s="39" t="n">
        <f aca="false">IF(OR(P19=1,AND(Q13&gt;=Assumptions!$G$23,Q7&gt;=Assumptions!$G$24)),1,0)</f>
        <v>0</v>
      </c>
      <c r="R19" s="39" t="n">
        <f aca="false">IF(OR(Q19=1,AND(R13&gt;=Assumptions!$G$23,R7&gt;=Assumptions!$G$24)),1,0)</f>
        <v>0</v>
      </c>
      <c r="S19" s="39" t="n">
        <f aca="false">IF(OR(R19=1,AND(S13&gt;=Assumptions!$G$23,S7&gt;=Assumptions!$G$24)),1,0)</f>
        <v>0</v>
      </c>
      <c r="T19" s="39" t="n">
        <f aca="false">IF(OR(S19=1,AND(T13&gt;=Assumptions!$G$23,T7&gt;=Assumptions!$G$24)),1,0)</f>
        <v>0</v>
      </c>
      <c r="U19" s="39" t="n">
        <f aca="false">IF(OR(T19=1,AND(U13&gt;=Assumptions!$G$23,U7&gt;=Assumptions!$G$24)),1,0)</f>
        <v>0</v>
      </c>
      <c r="V19" s="39" t="n">
        <f aca="false">IF(OR(U19=1,AND(V13&gt;=Assumptions!$G$23,V7&gt;=Assumptions!$G$24)),1,0)</f>
        <v>0</v>
      </c>
      <c r="W19" s="39" t="n">
        <f aca="false">IF(OR(V19=1,AND(W13&gt;=Assumptions!$G$23,W7&gt;=Assumptions!$G$24)),1,0)</f>
        <v>0</v>
      </c>
      <c r="X19" s="39" t="n">
        <f aca="false">IF(OR(W19=1,AND(X13&gt;=Assumptions!$G$23,X7&gt;=Assumptions!$G$24)),1,0)</f>
        <v>0</v>
      </c>
      <c r="Y19" s="39" t="n">
        <f aca="false">IF(OR(X19=1,AND(Y13&gt;=Assumptions!$G$23,Y7&gt;=Assumptions!$G$24)),1,0)</f>
        <v>0</v>
      </c>
      <c r="Z19" s="39" t="n">
        <f aca="false">IF(OR(Y19=1,AND(Z13&gt;=Assumptions!$G$23,Z7&gt;=Assumptions!$G$24)),1,0)</f>
        <v>0</v>
      </c>
      <c r="AA19" s="39" t="n">
        <f aca="false">IF(OR(Z19=1,AND(AA13&gt;=Assumptions!$G$23,AA7&gt;=Assumptions!$G$24)),1,0)</f>
        <v>0</v>
      </c>
      <c r="AB19" s="39" t="n">
        <f aca="false">IF(OR(AA19=1,AND(AB13&gt;=Assumptions!$G$23,AB7&gt;=Assumptions!$G$24)),1,0)</f>
        <v>0</v>
      </c>
      <c r="AC19" s="39" t="n">
        <f aca="false">IF(OR(AB19=1,AND(AC13&gt;=Assumptions!$G$23,AC7&gt;=Assumptions!$G$24)),1,0)</f>
        <v>1</v>
      </c>
      <c r="AD19" s="39" t="n">
        <f aca="false">IF(OR(AC19=1,AND(AD13&gt;=Assumptions!$G$23,AD7&gt;=Assumptions!$G$24)),1,0)</f>
        <v>1</v>
      </c>
      <c r="AE19" s="39" t="n">
        <f aca="false">IF(OR(AD19=1,AND(AE13&gt;=Assumptions!$G$23,AE7&gt;=Assumptions!$G$24)),1,0)</f>
        <v>1</v>
      </c>
      <c r="AF19" s="39" t="n">
        <f aca="false">IF(OR(AE19=1,AND(AF13&gt;=Assumptions!$G$23,AF7&gt;=Assumptions!$G$24)),1,0)</f>
        <v>1</v>
      </c>
      <c r="AG19" s="39" t="n">
        <f aca="false">IF(OR(AF19=1,AND(AG13&gt;=Assumptions!$G$23,AG7&gt;=Assumptions!$G$24)),1,0)</f>
        <v>1</v>
      </c>
      <c r="AH19" s="39" t="n">
        <f aca="false">IF(OR(AG19=1,AND(AH13&gt;=Assumptions!$G$23,AH7&gt;=Assumptions!$G$24)),1,0)</f>
        <v>1</v>
      </c>
      <c r="AI19" s="39" t="n">
        <f aca="false">IF(OR(AH19=1,AND(AI13&gt;=Assumptions!$G$23,AI7&gt;=Assumptions!$G$24)),1,0)</f>
        <v>1</v>
      </c>
      <c r="AJ19" s="39" t="n">
        <f aca="false">IF(OR(AI19=1,AND(AJ13&gt;=Assumptions!$G$23,AJ7&gt;=Assumptions!$G$24)),1,0)</f>
        <v>1</v>
      </c>
      <c r="AK19" s="39" t="n">
        <f aca="false">IF(OR(AJ19=1,AND(AK13&gt;=Assumptions!$G$23,AK7&gt;=Assumptions!$G$24)),1,0)</f>
        <v>1</v>
      </c>
      <c r="AL19" s="39" t="n">
        <f aca="false">IF(OR(AK19=1,AND(AL13&gt;=Assumptions!$G$23,AL7&gt;=Assumptions!$G$24)),1,0)</f>
        <v>1</v>
      </c>
      <c r="AM19" s="39" t="n">
        <f aca="false">IF(OR(AL19=1,AND(AM13&gt;=Assumptions!$G$23,AM7&gt;=Assumptions!$G$24)),1,0)</f>
        <v>1</v>
      </c>
      <c r="AN19" s="40" t="n">
        <f aca="false">IF(OR(AM19=1,AND(AN13&gt;=Assumptions!$G$23,AN7&gt;=Assumptions!$G$24)),1,0)</f>
        <v>1</v>
      </c>
      <c r="AO19" s="40" t="n">
        <f aca="false">IF(OR(AN19=1,AND(AO13&gt;=Assumptions!$G$23,AO7&gt;=Assumptions!$G$24)),1,0)</f>
        <v>1</v>
      </c>
      <c r="AP19" s="40" t="n">
        <f aca="false">IF(OR(AO19=1,AND(AP13&gt;=Assumptions!$G$23,AP7&gt;=Assumptions!$G$24)),1,0)</f>
        <v>1</v>
      </c>
      <c r="AQ19" s="40" t="n">
        <f aca="false">IF(OR(AP19=1,AND(AQ13&gt;=Assumptions!$G$23,AQ7&gt;=Assumptions!$G$24)),1,0)</f>
        <v>1</v>
      </c>
      <c r="AR19" s="40" t="n">
        <f aca="false">IF(OR(AQ19=1,AND(AR13&gt;=Assumptions!$G$23,AR7&gt;=Assumptions!$G$24)),1,0)</f>
        <v>1</v>
      </c>
      <c r="AS19" s="40" t="n">
        <f aca="false">IF(OR(AR19=1,AND(AS13&gt;=Assumptions!$G$23,AS7&gt;=Assumptions!$G$24)),1,0)</f>
        <v>1</v>
      </c>
      <c r="AT19" s="40" t="n">
        <f aca="false">IF(OR(AS19=1,AND(AT13&gt;=Assumptions!$G$23,AT7&gt;=Assumptions!$G$24)),1,0)</f>
        <v>1</v>
      </c>
      <c r="AU19" s="40" t="n">
        <f aca="false">IF(OR(AT19=1,AND(AU13&gt;=Assumptions!$G$23,AU7&gt;=Assumptions!$G$24)),1,0)</f>
        <v>1</v>
      </c>
      <c r="AV19" s="40" t="n">
        <f aca="false">IF(OR(AU19=1,AND(AV13&gt;=Assumptions!$G$23,AV7&gt;=Assumptions!$G$24)),1,0)</f>
        <v>1</v>
      </c>
      <c r="AW19" s="40" t="n">
        <f aca="false">IF(OR(AV19=1,AND(AW13&gt;=Assumptions!$G$23,AW7&gt;=Assumptions!$G$24)),1,0)</f>
        <v>1</v>
      </c>
      <c r="AX19" s="40" t="n">
        <f aca="false">IF(OR(AW19=1,AND(AX13&gt;=Assumptions!$G$23,AX7&gt;=Assumptions!$G$24)),1,0)</f>
        <v>1</v>
      </c>
      <c r="AY19" s="40" t="n">
        <f aca="false">IF(OR(AX19=1,AND(AY13&gt;=Assumptions!$G$23,AY7&gt;=Assumptions!$G$24)),1,0)</f>
        <v>1</v>
      </c>
      <c r="AZ19" s="40" t="n">
        <f aca="false">IF(OR(AY19=1,AND(AZ13&gt;=Assumptions!$G$23,AZ7&gt;=Assumptions!$G$24)),1,0)</f>
        <v>1</v>
      </c>
      <c r="BA19" s="40" t="n">
        <f aca="false">IF(OR(AZ19=1,AND(BA13&gt;=Assumptions!$G$23,BA7&gt;=Assumptions!$G$24)),1,0)</f>
        <v>1</v>
      </c>
      <c r="BB19" s="40" t="n">
        <f aca="false">IF(OR(BA19=1,AND(BB13&gt;=Assumptions!$G$23,BB7&gt;=Assumptions!$G$24)),1,0)</f>
        <v>1</v>
      </c>
      <c r="BC19" s="40" t="n">
        <f aca="false">IF(OR(BB19=1,AND(BC13&gt;=Assumptions!$G$23,BC7&gt;=Assumptions!$G$24)),1,0)</f>
        <v>1</v>
      </c>
      <c r="BD19" s="40" t="n">
        <f aca="false">IF(OR(BC19=1,AND(BD13&gt;=Assumptions!$G$23,BD7&gt;=Assumptions!$G$24)),1,0)</f>
        <v>1</v>
      </c>
      <c r="BE19" s="40" t="n">
        <f aca="false">IF(OR(BD19=1,AND(BE13&gt;=Assumptions!$G$23,BE7&gt;=Assumptions!$G$24)),1,0)</f>
        <v>1</v>
      </c>
      <c r="BF19" s="40" t="n">
        <f aca="false">IF(OR(BE19=1,AND(BF13&gt;=Assumptions!$G$23,BF7&gt;=Assumptions!$G$24)),1,0)</f>
        <v>1</v>
      </c>
      <c r="BG19" s="40" t="n">
        <f aca="false">IF(OR(BF19=1,AND(BG13&gt;=Assumptions!$G$23,BG7&gt;=Assumptions!$G$24)),1,0)</f>
        <v>1</v>
      </c>
      <c r="BH19" s="40" t="n">
        <f aca="false">IF(OR(BG19=1,AND(BH13&gt;=Assumptions!$G$23,BH7&gt;=Assumptions!$G$24)),1,0)</f>
        <v>1</v>
      </c>
      <c r="BI19" s="40" t="n">
        <f aca="false">IF(OR(BH19=1,AND(BI13&gt;=Assumptions!$G$23,BI7&gt;=Assumptions!$G$24)),1,0)</f>
        <v>1</v>
      </c>
      <c r="BJ19" s="40" t="n">
        <f aca="false">IF(OR(BI19=1,AND(BJ13&gt;=Assumptions!$G$23,BJ7&gt;=Assumptions!$G$24)),1,0)</f>
        <v>1</v>
      </c>
      <c r="BK19" s="40" t="n">
        <f aca="false">IF(OR(BJ19=1,AND(BK13&gt;=Assumptions!$G$23,BK7&gt;=Assumptions!$G$24)),1,0)</f>
        <v>1</v>
      </c>
    </row>
    <row r="20" customFormat="false" ht="15" hidden="false" customHeight="false" outlineLevel="0" collapsed="false">
      <c r="A20" s="28" t="s">
        <v>558</v>
      </c>
      <c r="B20" s="6" t="s">
        <v>559</v>
      </c>
      <c r="C20" s="32" t="n">
        <v>0</v>
      </c>
      <c r="D20" s="34" t="n">
        <f aca="false">IF(D19=1,C20+1,0)</f>
        <v>0</v>
      </c>
      <c r="E20" s="34" t="n">
        <f aca="false">IF(E19=1,D20+1,0)</f>
        <v>0</v>
      </c>
      <c r="F20" s="34" t="n">
        <f aca="false">IF(F19=1,E20+1,0)</f>
        <v>0</v>
      </c>
      <c r="G20" s="34" t="n">
        <f aca="false">IF(G19=1,F20+1,0)</f>
        <v>0</v>
      </c>
      <c r="H20" s="34" t="n">
        <f aca="false">IF(H19=1,G20+1,0)</f>
        <v>0</v>
      </c>
      <c r="I20" s="34" t="n">
        <f aca="false">IF(I19=1,H20+1,0)</f>
        <v>0</v>
      </c>
      <c r="J20" s="34" t="n">
        <f aca="false">IF(J19=1,I20+1,0)</f>
        <v>0</v>
      </c>
      <c r="K20" s="34" t="n">
        <f aca="false">IF(K19=1,J20+1,0)</f>
        <v>0</v>
      </c>
      <c r="L20" s="34" t="n">
        <f aca="false">IF(L19=1,K20+1,0)</f>
        <v>0</v>
      </c>
      <c r="M20" s="34" t="n">
        <f aca="false">IF(M19=1,L20+1,0)</f>
        <v>0</v>
      </c>
      <c r="N20" s="34" t="n">
        <f aca="false">IF(N19=1,M20+1,0)</f>
        <v>0</v>
      </c>
      <c r="O20" s="34" t="n">
        <f aca="false">IF(O19=1,N20+1,0)</f>
        <v>0</v>
      </c>
      <c r="P20" s="34" t="n">
        <f aca="false">IF(P19=1,O20+1,0)</f>
        <v>0</v>
      </c>
      <c r="Q20" s="34" t="n">
        <f aca="false">IF(Q19=1,P20+1,0)</f>
        <v>0</v>
      </c>
      <c r="R20" s="34" t="n">
        <f aca="false">IF(R19=1,Q20+1,0)</f>
        <v>0</v>
      </c>
      <c r="S20" s="34" t="n">
        <f aca="false">IF(S19=1,R20+1,0)</f>
        <v>0</v>
      </c>
      <c r="T20" s="34" t="n">
        <f aca="false">IF(T19=1,S20+1,0)</f>
        <v>0</v>
      </c>
      <c r="U20" s="34" t="n">
        <f aca="false">IF(U19=1,T20+1,0)</f>
        <v>0</v>
      </c>
      <c r="V20" s="34" t="n">
        <f aca="false">IF(V19=1,U20+1,0)</f>
        <v>0</v>
      </c>
      <c r="W20" s="34" t="n">
        <f aca="false">IF(W19=1,V20+1,0)</f>
        <v>0</v>
      </c>
      <c r="X20" s="34" t="n">
        <f aca="false">IF(X19=1,W20+1,0)</f>
        <v>0</v>
      </c>
      <c r="Y20" s="34" t="n">
        <f aca="false">IF(Y19=1,X20+1,0)</f>
        <v>0</v>
      </c>
      <c r="Z20" s="34" t="n">
        <f aca="false">IF(Z19=1,Y20+1,0)</f>
        <v>0</v>
      </c>
      <c r="AA20" s="34" t="n">
        <f aca="false">IF(AA19=1,Z20+1,0)</f>
        <v>0</v>
      </c>
      <c r="AB20" s="34" t="n">
        <f aca="false">IF(AB19=1,AA20+1,0)</f>
        <v>0</v>
      </c>
      <c r="AC20" s="34" t="n">
        <f aca="false">IF(AC19=1,AB20+1,0)</f>
        <v>1</v>
      </c>
      <c r="AD20" s="34" t="n">
        <f aca="false">IF(AD19=1,AC20+1,0)</f>
        <v>2</v>
      </c>
      <c r="AE20" s="34" t="n">
        <f aca="false">IF(AE19=1,AD20+1,0)</f>
        <v>3</v>
      </c>
      <c r="AF20" s="34" t="n">
        <f aca="false">IF(AF19=1,AE20+1,0)</f>
        <v>4</v>
      </c>
      <c r="AG20" s="34" t="n">
        <f aca="false">IF(AG19=1,AF20+1,0)</f>
        <v>5</v>
      </c>
      <c r="AH20" s="34" t="n">
        <f aca="false">IF(AH19=1,AG20+1,0)</f>
        <v>6</v>
      </c>
      <c r="AI20" s="34" t="n">
        <f aca="false">IF(AI19=1,AH20+1,0)</f>
        <v>7</v>
      </c>
      <c r="AJ20" s="34" t="n">
        <f aca="false">IF(AJ19=1,AI20+1,0)</f>
        <v>8</v>
      </c>
      <c r="AK20" s="34" t="n">
        <f aca="false">IF(AK19=1,AJ20+1,0)</f>
        <v>9</v>
      </c>
      <c r="AL20" s="34" t="n">
        <f aca="false">IF(AL19=1,AK20+1,0)</f>
        <v>10</v>
      </c>
      <c r="AM20" s="34" t="n">
        <f aca="false">IF(AM19=1,AL20+1,0)</f>
        <v>11</v>
      </c>
      <c r="AN20" s="35" t="n">
        <f aca="false">IF(AN19=1,AM20+1,0)</f>
        <v>12</v>
      </c>
      <c r="AO20" s="35" t="n">
        <f aca="false">IF(AO19=1,AN20+1,0)</f>
        <v>13</v>
      </c>
      <c r="AP20" s="35" t="n">
        <f aca="false">IF(AP19=1,AO20+1,0)</f>
        <v>14</v>
      </c>
      <c r="AQ20" s="35" t="n">
        <f aca="false">IF(AQ19=1,AP20+1,0)</f>
        <v>15</v>
      </c>
      <c r="AR20" s="35" t="n">
        <f aca="false">IF(AR19=1,AQ20+1,0)</f>
        <v>16</v>
      </c>
      <c r="AS20" s="35" t="n">
        <f aca="false">IF(AS19=1,AR20+1,0)</f>
        <v>17</v>
      </c>
      <c r="AT20" s="35" t="n">
        <f aca="false">IF(AT19=1,AS20+1,0)</f>
        <v>18</v>
      </c>
      <c r="AU20" s="35" t="n">
        <f aca="false">IF(AU19=1,AT20+1,0)</f>
        <v>19</v>
      </c>
      <c r="AV20" s="35" t="n">
        <f aca="false">IF(AV19=1,AU20+1,0)</f>
        <v>20</v>
      </c>
      <c r="AW20" s="35" t="n">
        <f aca="false">IF(AW19=1,AV20+1,0)</f>
        <v>21</v>
      </c>
      <c r="AX20" s="35" t="n">
        <f aca="false">IF(AX19=1,AW20+1,0)</f>
        <v>22</v>
      </c>
      <c r="AY20" s="35" t="n">
        <f aca="false">IF(AY19=1,AX20+1,0)</f>
        <v>23</v>
      </c>
      <c r="AZ20" s="35" t="n">
        <f aca="false">IF(AZ19=1,AY20+1,0)</f>
        <v>24</v>
      </c>
      <c r="BA20" s="35" t="n">
        <f aca="false">IF(BA19=1,AZ20+1,0)</f>
        <v>25</v>
      </c>
      <c r="BB20" s="35" t="n">
        <f aca="false">IF(BB19=1,BA20+1,0)</f>
        <v>26</v>
      </c>
      <c r="BC20" s="35" t="n">
        <f aca="false">IF(BC19=1,BB20+1,0)</f>
        <v>27</v>
      </c>
      <c r="BD20" s="35" t="n">
        <f aca="false">IF(BD19=1,BC20+1,0)</f>
        <v>28</v>
      </c>
      <c r="BE20" s="35" t="n">
        <f aca="false">IF(BE19=1,BD20+1,0)</f>
        <v>29</v>
      </c>
      <c r="BF20" s="35" t="n">
        <f aca="false">IF(BF19=1,BE20+1,0)</f>
        <v>30</v>
      </c>
      <c r="BG20" s="35" t="n">
        <f aca="false">IF(BG19=1,BF20+1,0)</f>
        <v>31</v>
      </c>
      <c r="BH20" s="35" t="n">
        <f aca="false">IF(BH19=1,BG20+1,0)</f>
        <v>32</v>
      </c>
      <c r="BI20" s="35" t="n">
        <f aca="false">IF(BI19=1,BH20+1,0)</f>
        <v>33</v>
      </c>
      <c r="BJ20" s="35" t="n">
        <f aca="false">IF(BJ19=1,BI20+1,0)</f>
        <v>34</v>
      </c>
      <c r="BK20" s="35" t="n">
        <f aca="false">IF(BK19=1,BJ20+1,0)</f>
        <v>35</v>
      </c>
    </row>
    <row r="21" customFormat="false" ht="15" hidden="false" customHeight="false" outlineLevel="0" collapsed="false">
      <c r="A21" s="28" t="s">
        <v>560</v>
      </c>
      <c r="B21" s="6" t="s">
        <v>561</v>
      </c>
      <c r="C21" s="18" t="n">
        <v>0</v>
      </c>
      <c r="D21" s="13" t="n">
        <f aca="false">MIN(1,D20/Assumptions!$G$77)</f>
        <v>0</v>
      </c>
      <c r="E21" s="13" t="n">
        <f aca="false">MIN(1,E20/Assumptions!$G$77)</f>
        <v>0</v>
      </c>
      <c r="F21" s="13" t="n">
        <f aca="false">MIN(1,F20/Assumptions!$G$77)</f>
        <v>0</v>
      </c>
      <c r="G21" s="13" t="n">
        <f aca="false">MIN(1,G20/Assumptions!$G$77)</f>
        <v>0</v>
      </c>
      <c r="H21" s="13" t="n">
        <f aca="false">MIN(1,H20/Assumptions!$G$77)</f>
        <v>0</v>
      </c>
      <c r="I21" s="13" t="n">
        <f aca="false">MIN(1,I20/Assumptions!$G$77)</f>
        <v>0</v>
      </c>
      <c r="J21" s="13" t="n">
        <f aca="false">MIN(1,J20/Assumptions!$G$77)</f>
        <v>0</v>
      </c>
      <c r="K21" s="13" t="n">
        <f aca="false">MIN(1,K20/Assumptions!$G$77)</f>
        <v>0</v>
      </c>
      <c r="L21" s="13" t="n">
        <f aca="false">MIN(1,L20/Assumptions!$G$77)</f>
        <v>0</v>
      </c>
      <c r="M21" s="13" t="n">
        <f aca="false">MIN(1,M20/Assumptions!$G$77)</f>
        <v>0</v>
      </c>
      <c r="N21" s="13" t="n">
        <f aca="false">MIN(1,N20/Assumptions!$G$77)</f>
        <v>0</v>
      </c>
      <c r="O21" s="13" t="n">
        <f aca="false">MIN(1,O20/Assumptions!$G$77)</f>
        <v>0</v>
      </c>
      <c r="P21" s="13" t="n">
        <f aca="false">MIN(1,P20/Assumptions!$G$77)</f>
        <v>0</v>
      </c>
      <c r="Q21" s="13" t="n">
        <f aca="false">MIN(1,Q20/Assumptions!$G$77)</f>
        <v>0</v>
      </c>
      <c r="R21" s="13" t="n">
        <f aca="false">MIN(1,R20/Assumptions!$G$77)</f>
        <v>0</v>
      </c>
      <c r="S21" s="13" t="n">
        <f aca="false">MIN(1,S20/Assumptions!$G$77)</f>
        <v>0</v>
      </c>
      <c r="T21" s="13" t="n">
        <f aca="false">MIN(1,T20/Assumptions!$G$77)</f>
        <v>0</v>
      </c>
      <c r="U21" s="13" t="n">
        <f aca="false">MIN(1,U20/Assumptions!$G$77)</f>
        <v>0</v>
      </c>
      <c r="V21" s="13" t="n">
        <f aca="false">MIN(1,V20/Assumptions!$G$77)</f>
        <v>0</v>
      </c>
      <c r="W21" s="13" t="n">
        <f aca="false">MIN(1,W20/Assumptions!$G$77)</f>
        <v>0</v>
      </c>
      <c r="X21" s="13" t="n">
        <f aca="false">MIN(1,X20/Assumptions!$G$77)</f>
        <v>0</v>
      </c>
      <c r="Y21" s="13" t="n">
        <f aca="false">MIN(1,Y20/Assumptions!$G$77)</f>
        <v>0</v>
      </c>
      <c r="Z21" s="13" t="n">
        <f aca="false">MIN(1,Z20/Assumptions!$G$77)</f>
        <v>0</v>
      </c>
      <c r="AA21" s="13" t="n">
        <f aca="false">MIN(1,AA20/Assumptions!$G$77)</f>
        <v>0</v>
      </c>
      <c r="AB21" s="13" t="n">
        <f aca="false">MIN(1,AB20/Assumptions!$G$77)</f>
        <v>0</v>
      </c>
      <c r="AC21" s="13" t="n">
        <f aca="false">MIN(1,AC20/Assumptions!$G$77)</f>
        <v>0.166666666666667</v>
      </c>
      <c r="AD21" s="13" t="n">
        <f aca="false">MIN(1,AD20/Assumptions!$G$77)</f>
        <v>0.333333333333333</v>
      </c>
      <c r="AE21" s="13" t="n">
        <f aca="false">MIN(1,AE20/Assumptions!$G$77)</f>
        <v>0.5</v>
      </c>
      <c r="AF21" s="13" t="n">
        <f aca="false">MIN(1,AF20/Assumptions!$G$77)</f>
        <v>0.666666666666667</v>
      </c>
      <c r="AG21" s="13" t="n">
        <f aca="false">MIN(1,AG20/Assumptions!$G$77)</f>
        <v>0.833333333333333</v>
      </c>
      <c r="AH21" s="13" t="n">
        <f aca="false">MIN(1,AH20/Assumptions!$G$77)</f>
        <v>1</v>
      </c>
      <c r="AI21" s="13" t="n">
        <f aca="false">MIN(1,AI20/Assumptions!$G$77)</f>
        <v>1</v>
      </c>
      <c r="AJ21" s="13" t="n">
        <f aca="false">MIN(1,AJ20/Assumptions!$G$77)</f>
        <v>1</v>
      </c>
      <c r="AK21" s="13" t="n">
        <f aca="false">MIN(1,AK20/Assumptions!$G$77)</f>
        <v>1</v>
      </c>
      <c r="AL21" s="13" t="n">
        <f aca="false">MIN(1,AL20/Assumptions!$G$77)</f>
        <v>1</v>
      </c>
      <c r="AM21" s="13" t="n">
        <f aca="false">MIN(1,AM20/Assumptions!$G$77)</f>
        <v>1</v>
      </c>
      <c r="AN21" s="41" t="n">
        <f aca="false">MIN(1,AN20/Assumptions!$G$77)</f>
        <v>1</v>
      </c>
      <c r="AO21" s="41" t="n">
        <f aca="false">MIN(1,AO20/Assumptions!$G$77)</f>
        <v>1</v>
      </c>
      <c r="AP21" s="41" t="n">
        <f aca="false">MIN(1,AP20/Assumptions!$G$77)</f>
        <v>1</v>
      </c>
      <c r="AQ21" s="41" t="n">
        <f aca="false">MIN(1,AQ20/Assumptions!$G$77)</f>
        <v>1</v>
      </c>
      <c r="AR21" s="41" t="n">
        <f aca="false">MIN(1,AR20/Assumptions!$G$77)</f>
        <v>1</v>
      </c>
      <c r="AS21" s="41" t="n">
        <f aca="false">MIN(1,AS20/Assumptions!$G$77)</f>
        <v>1</v>
      </c>
      <c r="AT21" s="41" t="n">
        <f aca="false">MIN(1,AT20/Assumptions!$G$77)</f>
        <v>1</v>
      </c>
      <c r="AU21" s="41" t="n">
        <f aca="false">MIN(1,AU20/Assumptions!$G$77)</f>
        <v>1</v>
      </c>
      <c r="AV21" s="41" t="n">
        <f aca="false">MIN(1,AV20/Assumptions!$G$77)</f>
        <v>1</v>
      </c>
      <c r="AW21" s="41" t="n">
        <f aca="false">MIN(1,AW20/Assumptions!$G$77)</f>
        <v>1</v>
      </c>
      <c r="AX21" s="41" t="n">
        <f aca="false">MIN(1,AX20/Assumptions!$G$77)</f>
        <v>1</v>
      </c>
      <c r="AY21" s="41" t="n">
        <f aca="false">MIN(1,AY20/Assumptions!$G$77)</f>
        <v>1</v>
      </c>
      <c r="AZ21" s="41" t="n">
        <f aca="false">MIN(1,AZ20/Assumptions!$G$77)</f>
        <v>1</v>
      </c>
      <c r="BA21" s="41" t="n">
        <f aca="false">MIN(1,BA20/Assumptions!$G$77)</f>
        <v>1</v>
      </c>
      <c r="BB21" s="41" t="n">
        <f aca="false">MIN(1,BB20/Assumptions!$G$77)</f>
        <v>1</v>
      </c>
      <c r="BC21" s="41" t="n">
        <f aca="false">MIN(1,BC20/Assumptions!$G$77)</f>
        <v>1</v>
      </c>
      <c r="BD21" s="41" t="n">
        <f aca="false">MIN(1,BD20/Assumptions!$G$77)</f>
        <v>1</v>
      </c>
      <c r="BE21" s="41" t="n">
        <f aca="false">MIN(1,BE20/Assumptions!$G$77)</f>
        <v>1</v>
      </c>
      <c r="BF21" s="41" t="n">
        <f aca="false">MIN(1,BF20/Assumptions!$G$77)</f>
        <v>1</v>
      </c>
      <c r="BG21" s="41" t="n">
        <f aca="false">MIN(1,BG20/Assumptions!$G$77)</f>
        <v>1</v>
      </c>
      <c r="BH21" s="41" t="n">
        <f aca="false">MIN(1,BH20/Assumptions!$G$77)</f>
        <v>1</v>
      </c>
      <c r="BI21" s="41" t="n">
        <f aca="false">MIN(1,BI20/Assumptions!$G$77)</f>
        <v>1</v>
      </c>
      <c r="BJ21" s="41" t="n">
        <f aca="false">MIN(1,BJ20/Assumptions!$G$77)</f>
        <v>1</v>
      </c>
      <c r="BK21" s="41" t="n">
        <f aca="false">MIN(1,BK20/Assumptions!$G$77)</f>
        <v>1</v>
      </c>
    </row>
    <row r="22" customFormat="false" ht="15" hidden="false" customHeight="false" outlineLevel="0" collapsed="false">
      <c r="B22" s="5" t="s">
        <v>562</v>
      </c>
    </row>
    <row r="23" customFormat="false" ht="15" hidden="false" customHeight="false" outlineLevel="0" collapsed="false">
      <c r="A23" s="28" t="s">
        <v>563</v>
      </c>
      <c r="B23" s="6" t="s">
        <v>564</v>
      </c>
      <c r="C23" s="32" t="n">
        <v>0</v>
      </c>
      <c r="D23" s="34" t="n">
        <f aca="false">C23+(D13*Assumptions!$G$13-C23)*Assumptions!$G$14</f>
        <v>0</v>
      </c>
      <c r="E23" s="34" t="n">
        <f aca="false">D23+(E13*Assumptions!$G$13-D23)*Assumptions!$G$14</f>
        <v>0</v>
      </c>
      <c r="F23" s="34" t="n">
        <f aca="false">E23+(F13*Assumptions!$G$13-E23)*Assumptions!$G$14</f>
        <v>0</v>
      </c>
      <c r="G23" s="34" t="n">
        <f aca="false">F23+(G13*Assumptions!$G$13-F23)*Assumptions!$G$14</f>
        <v>0</v>
      </c>
      <c r="H23" s="34" t="n">
        <f aca="false">G23+(H13*Assumptions!$G$13-G23)*Assumptions!$G$14</f>
        <v>232.75</v>
      </c>
      <c r="I23" s="34" t="n">
        <f aca="false">H23+(I13*Assumptions!$G$13-H23)*Assumptions!$G$14</f>
        <v>586.53</v>
      </c>
      <c r="J23" s="34" t="n">
        <f aca="false">I23+(J13*Assumptions!$G$13-I23)*Assumptions!$G$14</f>
        <v>951.784575</v>
      </c>
      <c r="K23" s="34" t="n">
        <f aca="false">J23+(K13*Assumptions!$G$13-J23)*Assumptions!$G$14</f>
        <v>1509.344648</v>
      </c>
      <c r="L23" s="34" t="n">
        <f aca="false">K23+(L13*Assumptions!$G$13-K23)*Assumptions!$G$14</f>
        <v>2356.2818487075</v>
      </c>
      <c r="M23" s="34" t="n">
        <f aca="false">L23+(M13*Assumptions!$G$13-L23)*Assumptions!$G$14</f>
        <v>3284.0589508923</v>
      </c>
      <c r="N23" s="34" t="n">
        <f aca="false">M23+(N13*Assumptions!$G$13-M23)*Assumptions!$G$14</f>
        <v>4344.39930982009</v>
      </c>
      <c r="O23" s="34" t="n">
        <f aca="false">N23+(O13*Assumptions!$G$13-N23)*Assumptions!$G$14</f>
        <v>5607.36293320576</v>
      </c>
      <c r="P23" s="34" t="n">
        <f aca="false">O23+(P13*Assumptions!$G$13-O23)*Assumptions!$G$14</f>
        <v>7089.39425458822</v>
      </c>
      <c r="Q23" s="34" t="n">
        <f aca="false">P23+(Q13*Assumptions!$G$13-P23)*Assumptions!$G$14</f>
        <v>8753.75853000677</v>
      </c>
      <c r="R23" s="34" t="n">
        <f aca="false">Q23+(R13*Assumptions!$G$13-Q23)*Assumptions!$G$14</f>
        <v>10548.2487863836</v>
      </c>
      <c r="S23" s="34" t="n">
        <f aca="false">R23+(S13*Assumptions!$G$13-R23)*Assumptions!$G$14</f>
        <v>12466.7443956097</v>
      </c>
      <c r="T23" s="34" t="n">
        <f aca="false">S23+(T13*Assumptions!$G$13-S23)*Assumptions!$G$14</f>
        <v>14467.6327147621</v>
      </c>
      <c r="U23" s="34" t="n">
        <f aca="false">T23+(U13*Assumptions!$G$13-T23)*Assumptions!$G$14</f>
        <v>16523.847633635</v>
      </c>
      <c r="V23" s="34" t="n">
        <f aca="false">U23+(V13*Assumptions!$G$13-U23)*Assumptions!$G$14</f>
        <v>18617.778467212</v>
      </c>
      <c r="W23" s="34" t="n">
        <f aca="false">V23+(W13*Assumptions!$G$13-V23)*Assumptions!$G$14</f>
        <v>20970.7107339835</v>
      </c>
      <c r="X23" s="34" t="n">
        <f aca="false">W23+(X13*Assumptions!$G$13-W23)*Assumptions!$G$14</f>
        <v>23463.4551600821</v>
      </c>
      <c r="Y23" s="34" t="n">
        <f aca="false">X23+(Y13*Assumptions!$G$13-X23)*Assumptions!$G$14</f>
        <v>25981.5841052162</v>
      </c>
      <c r="Z23" s="34" t="n">
        <f aca="false">Y23+(Z13*Assumptions!$G$13-Y23)*Assumptions!$G$14</f>
        <v>28702.7445370418</v>
      </c>
      <c r="AA23" s="34" t="n">
        <f aca="false">Z23+(AA13*Assumptions!$G$13-Z23)*Assumptions!$G$14</f>
        <v>31489.1716690419</v>
      </c>
      <c r="AB23" s="34" t="n">
        <f aca="false">AA23+(AB13*Assumptions!$G$13-AA23)*Assumptions!$G$14</f>
        <v>34242.6754276423</v>
      </c>
      <c r="AC23" s="34" t="n">
        <f aca="false">AB23+(AC13*Assumptions!$G$13-AB23)*Assumptions!$G$14</f>
        <v>37123.6257323049</v>
      </c>
      <c r="AD23" s="34" t="n">
        <f aca="false">AC23+(AD13*Assumptions!$G$13-AC23)*Assumptions!$G$14</f>
        <v>40253.3945632922</v>
      </c>
      <c r="AE23" s="34" t="n">
        <f aca="false">AD23+(AE13*Assumptions!$G$13-AD23)*Assumptions!$G$14</f>
        <v>43429.913925061</v>
      </c>
      <c r="AF23" s="34" t="n">
        <f aca="false">AE23+(AF13*Assumptions!$G$13-AE23)*Assumptions!$G$14</f>
        <v>46718.4994356216</v>
      </c>
      <c r="AG23" s="34" t="n">
        <f aca="false">AF23+(AG13*Assumptions!$G$13-AF23)*Assumptions!$G$14</f>
        <v>50198.0294636426</v>
      </c>
      <c r="AH23" s="34" t="n">
        <f aca="false">AG23+(AH13*Assumptions!$G$13-AG23)*Assumptions!$G$14</f>
        <v>53648.6039335514</v>
      </c>
      <c r="AI23" s="34" t="n">
        <f aca="false">AH23+(AI13*Assumptions!$G$13-AH23)*Assumptions!$G$14</f>
        <v>57142.9484911702</v>
      </c>
      <c r="AJ23" s="34" t="n">
        <f aca="false">AI23+(AJ13*Assumptions!$G$13-AI23)*Assumptions!$G$14</f>
        <v>60746.3288942789</v>
      </c>
      <c r="AK23" s="34" t="n">
        <f aca="false">AJ23+(AK13*Assumptions!$G$13-AJ23)*Assumptions!$G$14</f>
        <v>64500.3620325493</v>
      </c>
      <c r="AL23" s="34" t="n">
        <f aca="false">AK23+(AL13*Assumptions!$G$13-AK23)*Assumptions!$G$14</f>
        <v>68384.7510899124</v>
      </c>
      <c r="AM23" s="34" t="n">
        <f aca="false">AL23+(AM13*Assumptions!$G$13-AL23)*Assumptions!$G$14</f>
        <v>72358.0488195109</v>
      </c>
      <c r="AN23" s="35" t="n">
        <f aca="false">AM23+(AN13*Assumptions!$G$13-AM23)*Assumptions!$G$14</f>
        <v>76421.2027376392</v>
      </c>
      <c r="AO23" s="35" t="n">
        <f aca="false">AN23+(AO13*Assumptions!$G$13-AN23)*Assumptions!$G$14</f>
        <v>80537.268074373</v>
      </c>
      <c r="AP23" s="35" t="n">
        <f aca="false">AO23+(AP13*Assumptions!$G$13-AO23)*Assumptions!$G$14</f>
        <v>84682.285680301</v>
      </c>
      <c r="AQ23" s="35" t="n">
        <f aca="false">AP23+(AQ13*Assumptions!$G$13-AP23)*Assumptions!$G$14</f>
        <v>88840.7365098345</v>
      </c>
      <c r="AR23" s="35" t="n">
        <f aca="false">AQ23+(AR13*Assumptions!$G$13-AQ23)*Assumptions!$G$14</f>
        <v>93002.5870408549</v>
      </c>
      <c r="AS23" s="35" t="n">
        <f aca="false">AR23+(AS13*Assumptions!$G$13-AR23)*Assumptions!$G$14</f>
        <v>97161.3688029236</v>
      </c>
      <c r="AT23" s="35" t="n">
        <f aca="false">AS23+(AT13*Assumptions!$G$13-AS23)*Assumptions!$G$14</f>
        <v>101303.620076005</v>
      </c>
      <c r="AU23" s="35" t="n">
        <f aca="false">AT23+(AU13*Assumptions!$G$13-AT23)*Assumptions!$G$14</f>
        <v>105430.046099966</v>
      </c>
      <c r="AV23" s="35" t="n">
        <f aca="false">AU23+(AV13*Assumptions!$G$13-AU23)*Assumptions!$G$14</f>
        <v>109541.156085035</v>
      </c>
      <c r="AW23" s="35" t="n">
        <f aca="false">AV23+(AW13*Assumptions!$G$13-AV23)*Assumptions!$G$14</f>
        <v>113628.02131413</v>
      </c>
      <c r="AX23" s="35" t="n">
        <f aca="false">AW23+(AX13*Assumptions!$G$13-AW23)*Assumptions!$G$14</f>
        <v>117694.291014453</v>
      </c>
      <c r="AY23" s="35" t="n">
        <f aca="false">AX23+(AY13*Assumptions!$G$13-AX23)*Assumptions!$G$14</f>
        <v>121742.38554806</v>
      </c>
      <c r="AZ23" s="35" t="n">
        <f aca="false">AY23+(AZ13*Assumptions!$G$13-AY23)*Assumptions!$G$14</f>
        <v>125764.616031018</v>
      </c>
      <c r="BA23" s="35" t="n">
        <f aca="false">AZ23+(BA13*Assumptions!$G$13-AZ23)*Assumptions!$G$14</f>
        <v>129756.125190693</v>
      </c>
      <c r="BB23" s="35" t="n">
        <f aca="false">BA23+(BB13*Assumptions!$G$13-BA23)*Assumptions!$G$14</f>
        <v>133723.204896776</v>
      </c>
      <c r="BC23" s="35" t="n">
        <f aca="false">BB23+(BC13*Assumptions!$G$13-BB23)*Assumptions!$G$14</f>
        <v>137660.679470502</v>
      </c>
      <c r="BD23" s="35" t="n">
        <f aca="false">BC23+(BD13*Assumptions!$G$13-BC23)*Assumptions!$G$14</f>
        <v>141565.321980548</v>
      </c>
      <c r="BE23" s="35" t="n">
        <f aca="false">BD23+(BE13*Assumptions!$G$13-BD23)*Assumptions!$G$14</f>
        <v>145444.480808831</v>
      </c>
      <c r="BF23" s="35" t="n">
        <f aca="false">BE23+(BF13*Assumptions!$G$13-BE23)*Assumptions!$G$14</f>
        <v>149293.663832</v>
      </c>
      <c r="BG23" s="35" t="n">
        <f aca="false">BF23+(BG13*Assumptions!$G$13-BF23)*Assumptions!$G$14</f>
        <v>153110.085283997</v>
      </c>
      <c r="BH23" s="35" t="n">
        <f aca="false">BG23+(BH13*Assumptions!$G$13-BG23)*Assumptions!$G$14</f>
        <v>156892.067189863</v>
      </c>
      <c r="BI23" s="35" t="n">
        <f aca="false">BH23+(BI13*Assumptions!$G$13-BH23)*Assumptions!$G$14</f>
        <v>160638.650311124</v>
      </c>
      <c r="BJ23" s="35" t="n">
        <f aca="false">BI23+(BJ13*Assumptions!$G$13-BI23)*Assumptions!$G$14</f>
        <v>164349.341273566</v>
      </c>
      <c r="BK23" s="35" t="n">
        <f aca="false">BJ23+(BK13*Assumptions!$G$13-BJ23)*Assumptions!$G$14</f>
        <v>168023.94821344</v>
      </c>
    </row>
    <row r="24" customFormat="false" ht="15" hidden="false" customHeight="false" outlineLevel="0" collapsed="false">
      <c r="A24" s="28" t="s">
        <v>565</v>
      </c>
      <c r="B24" s="6" t="s">
        <v>566</v>
      </c>
      <c r="C24" s="32" t="n">
        <v>0</v>
      </c>
      <c r="D24" s="34" t="n">
        <f aca="false">D23/Assumptions!$G$15</f>
        <v>0</v>
      </c>
      <c r="E24" s="34" t="n">
        <f aca="false">E23/Assumptions!$G$15</f>
        <v>0</v>
      </c>
      <c r="F24" s="34" t="n">
        <f aca="false">F23/Assumptions!$G$15</f>
        <v>0</v>
      </c>
      <c r="G24" s="34" t="n">
        <f aca="false">G23/Assumptions!$G$15</f>
        <v>0</v>
      </c>
      <c r="H24" s="34" t="n">
        <f aca="false">H23/Assumptions!$G$15</f>
        <v>166.25</v>
      </c>
      <c r="I24" s="34" t="n">
        <f aca="false">I23/Assumptions!$G$15</f>
        <v>418.95</v>
      </c>
      <c r="J24" s="34" t="n">
        <f aca="false">J23/Assumptions!$G$15</f>
        <v>679.846125</v>
      </c>
      <c r="K24" s="34" t="n">
        <f aca="false">K23/Assumptions!$G$15</f>
        <v>1078.10332</v>
      </c>
      <c r="L24" s="34" t="n">
        <f aca="false">L23/Assumptions!$G$15</f>
        <v>1683.0584633625</v>
      </c>
      <c r="M24" s="34" t="n">
        <f aca="false">M23/Assumptions!$G$15</f>
        <v>2345.7563934945</v>
      </c>
      <c r="N24" s="34" t="n">
        <f aca="false">N23/Assumptions!$G$15</f>
        <v>3103.14236415721</v>
      </c>
      <c r="O24" s="34" t="n">
        <f aca="false">O23/Assumptions!$G$15</f>
        <v>4005.25923800412</v>
      </c>
      <c r="P24" s="34" t="n">
        <f aca="false">P23/Assumptions!$G$15</f>
        <v>5063.85303899158</v>
      </c>
      <c r="Q24" s="34" t="n">
        <f aca="false">Q23/Assumptions!$G$15</f>
        <v>6252.68466429055</v>
      </c>
      <c r="R24" s="34" t="n">
        <f aca="false">R23/Assumptions!$G$15</f>
        <v>7534.46341884542</v>
      </c>
      <c r="S24" s="34" t="n">
        <f aca="false">S23/Assumptions!$G$15</f>
        <v>8904.81742543551</v>
      </c>
      <c r="T24" s="34" t="n">
        <f aca="false">T23/Assumptions!$G$15</f>
        <v>10334.0233676872</v>
      </c>
      <c r="U24" s="34" t="n">
        <f aca="false">U23/Assumptions!$G$15</f>
        <v>11802.7483097393</v>
      </c>
      <c r="V24" s="34" t="n">
        <f aca="false">V23/Assumptions!$G$15</f>
        <v>13298.4131908657</v>
      </c>
      <c r="W24" s="34" t="n">
        <f aca="false">W23/Assumptions!$G$15</f>
        <v>14979.0790957025</v>
      </c>
      <c r="X24" s="34" t="n">
        <f aca="false">X23/Assumptions!$G$15</f>
        <v>16759.6108286301</v>
      </c>
      <c r="Y24" s="34" t="n">
        <f aca="false">Y23/Assumptions!$G$15</f>
        <v>18558.2743608687</v>
      </c>
      <c r="Z24" s="34" t="n">
        <f aca="false">Z23/Assumptions!$G$15</f>
        <v>20501.9603836013</v>
      </c>
      <c r="AA24" s="34" t="n">
        <f aca="false">AA23/Assumptions!$G$15</f>
        <v>22492.265477887</v>
      </c>
      <c r="AB24" s="34" t="n">
        <f aca="false">AB23/Assumptions!$G$15</f>
        <v>24459.0538768873</v>
      </c>
      <c r="AC24" s="34" t="n">
        <f aca="false">AC23/Assumptions!$G$15</f>
        <v>26516.8755230749</v>
      </c>
      <c r="AD24" s="34" t="n">
        <f aca="false">AD23/Assumptions!$G$15</f>
        <v>28752.4246880659</v>
      </c>
      <c r="AE24" s="34" t="n">
        <f aca="false">AE23/Assumptions!$G$15</f>
        <v>31021.3670893293</v>
      </c>
      <c r="AF24" s="34" t="n">
        <f aca="false">AF23/Assumptions!$G$15</f>
        <v>33370.3567397297</v>
      </c>
      <c r="AG24" s="34" t="n">
        <f aca="false">AG23/Assumptions!$G$15</f>
        <v>35855.7353311733</v>
      </c>
      <c r="AH24" s="34" t="n">
        <f aca="false">AH23/Assumptions!$G$15</f>
        <v>38320.4313811081</v>
      </c>
      <c r="AI24" s="34" t="n">
        <f aca="false">AI23/Assumptions!$G$15</f>
        <v>40816.3917794073</v>
      </c>
      <c r="AJ24" s="34" t="n">
        <f aca="false">AJ23/Assumptions!$G$15</f>
        <v>43390.2349244849</v>
      </c>
      <c r="AK24" s="34" t="n">
        <f aca="false">AK23/Assumptions!$G$15</f>
        <v>46071.6871661067</v>
      </c>
      <c r="AL24" s="34" t="n">
        <f aca="false">AL23/Assumptions!$G$15</f>
        <v>48846.2507785089</v>
      </c>
      <c r="AM24" s="34" t="n">
        <f aca="false">AM23/Assumptions!$G$15</f>
        <v>51684.3205853649</v>
      </c>
      <c r="AN24" s="35" t="n">
        <f aca="false">AN23/Assumptions!$G$15</f>
        <v>54586.573384028</v>
      </c>
      <c r="AO24" s="35" t="n">
        <f aca="false">AO23/Assumptions!$G$15</f>
        <v>57526.6200531236</v>
      </c>
      <c r="AP24" s="35" t="n">
        <f aca="false">AP23/Assumptions!$G$15</f>
        <v>60487.3469145007</v>
      </c>
      <c r="AQ24" s="35" t="n">
        <f aca="false">AQ23/Assumptions!$G$15</f>
        <v>63457.6689355961</v>
      </c>
      <c r="AR24" s="35" t="n">
        <f aca="false">AR23/Assumptions!$G$15</f>
        <v>66430.4193148964</v>
      </c>
      <c r="AS24" s="35" t="n">
        <f aca="false">AS23/Assumptions!$G$15</f>
        <v>69400.977716374</v>
      </c>
      <c r="AT24" s="35" t="n">
        <f aca="false">AT23/Assumptions!$G$15</f>
        <v>72359.7286257175</v>
      </c>
      <c r="AU24" s="35" t="n">
        <f aca="false">AU23/Assumptions!$G$15</f>
        <v>75307.1757856901</v>
      </c>
      <c r="AV24" s="35" t="n">
        <f aca="false">AV23/Assumptions!$G$15</f>
        <v>78243.6829178825</v>
      </c>
      <c r="AW24" s="35" t="n">
        <f aca="false">AW23/Assumptions!$G$15</f>
        <v>81162.8723672357</v>
      </c>
      <c r="AX24" s="35" t="n">
        <f aca="false">AX23/Assumptions!$G$15</f>
        <v>84067.3507246092</v>
      </c>
      <c r="AY24" s="35" t="n">
        <f aca="false">AY23/Assumptions!$G$15</f>
        <v>86958.8468200429</v>
      </c>
      <c r="AZ24" s="35" t="n">
        <f aca="false">AZ23/Assumptions!$G$15</f>
        <v>89831.8685935843</v>
      </c>
      <c r="BA24" s="35" t="n">
        <f aca="false">BA23/Assumptions!$G$15</f>
        <v>92682.9465647807</v>
      </c>
      <c r="BB24" s="35" t="n">
        <f aca="false">BB23/Assumptions!$G$15</f>
        <v>95516.5749262688</v>
      </c>
      <c r="BC24" s="35" t="n">
        <f aca="false">BC23/Assumptions!$G$15</f>
        <v>98329.0567646445</v>
      </c>
      <c r="BD24" s="35" t="n">
        <f aca="false">BD23/Assumptions!$G$15</f>
        <v>101118.087128963</v>
      </c>
      <c r="BE24" s="35" t="n">
        <f aca="false">BE23/Assumptions!$G$15</f>
        <v>103888.914863451</v>
      </c>
      <c r="BF24" s="35" t="n">
        <f aca="false">BF23/Assumptions!$G$15</f>
        <v>106638.331308571</v>
      </c>
      <c r="BG24" s="35" t="n">
        <f aca="false">BG23/Assumptions!$G$15</f>
        <v>109364.346631426</v>
      </c>
      <c r="BH24" s="35" t="n">
        <f aca="false">BH23/Assumptions!$G$15</f>
        <v>112065.762278474</v>
      </c>
      <c r="BI24" s="35" t="n">
        <f aca="false">BI23/Assumptions!$G$15</f>
        <v>114741.893079374</v>
      </c>
      <c r="BJ24" s="35" t="n">
        <f aca="false">BJ23/Assumptions!$G$15</f>
        <v>117392.386623976</v>
      </c>
      <c r="BK24" s="35" t="n">
        <f aca="false">BK23/Assumptions!$G$15</f>
        <v>120017.105866743</v>
      </c>
    </row>
    <row r="25" customFormat="false" ht="15" hidden="false" customHeight="false" outlineLevel="0" collapsed="false">
      <c r="A25" s="28" t="s">
        <v>567</v>
      </c>
      <c r="B25" s="6" t="s">
        <v>568</v>
      </c>
      <c r="C25" s="32" t="n">
        <v>0</v>
      </c>
      <c r="D25" s="34" t="n">
        <f aca="false">MAX(0,D24-C24)+C24*Assumptions!$G$16</f>
        <v>0</v>
      </c>
      <c r="E25" s="34" t="n">
        <f aca="false">MAX(0,E24-D24)+D24*Assumptions!$G$16</f>
        <v>0</v>
      </c>
      <c r="F25" s="34" t="n">
        <f aca="false">MAX(0,F24-E24)+E24*Assumptions!$G$16</f>
        <v>0</v>
      </c>
      <c r="G25" s="34" t="n">
        <f aca="false">MAX(0,G24-F24)+F24*Assumptions!$G$16</f>
        <v>0</v>
      </c>
      <c r="H25" s="34" t="n">
        <f aca="false">MAX(0,H24-G24)+G24*Assumptions!$G$16</f>
        <v>166.25</v>
      </c>
      <c r="I25" s="34" t="n">
        <f aca="false">MAX(0,I24-H24)+H24*Assumptions!$G$16</f>
        <v>259.35</v>
      </c>
      <c r="J25" s="34" t="n">
        <f aca="false">MAX(0,J24-I24)+I24*Assumptions!$G$16</f>
        <v>277.654125</v>
      </c>
      <c r="K25" s="34" t="n">
        <f aca="false">MAX(0,K24-J24)+J24*Assumptions!$G$16</f>
        <v>425.45104</v>
      </c>
      <c r="L25" s="34" t="n">
        <f aca="false">MAX(0,L24-K24)+K24*Assumptions!$G$16</f>
        <v>648.0792761625</v>
      </c>
      <c r="M25" s="34" t="n">
        <f aca="false">MAX(0,M24-L24)+L24*Assumptions!$G$16</f>
        <v>730.020268666499</v>
      </c>
      <c r="N25" s="34" t="n">
        <f aca="false">MAX(0,N24-M24)+M24*Assumptions!$G$16</f>
        <v>851.216226402491</v>
      </c>
      <c r="O25" s="34" t="n">
        <f aca="false">MAX(0,O24-N24)+N24*Assumptions!$G$16</f>
        <v>1026.24256841319</v>
      </c>
      <c r="P25" s="34" t="n">
        <f aca="false">MAX(0,P24-O24)+O24*Assumptions!$G$16</f>
        <v>1218.80417050763</v>
      </c>
      <c r="Q25" s="34" t="n">
        <f aca="false">MAX(0,Q24-P24)+P24*Assumptions!$G$16</f>
        <v>1391.38574685863</v>
      </c>
      <c r="R25" s="34" t="n">
        <f aca="false">MAX(0,R24-Q24)+Q24*Assumptions!$G$16</f>
        <v>1531.88614112649</v>
      </c>
      <c r="S25" s="34" t="n">
        <f aca="false">MAX(0,S24-R24)+R24*Assumptions!$G$16</f>
        <v>1671.73254334391</v>
      </c>
      <c r="T25" s="34" t="n">
        <f aca="false">MAX(0,T24-S24)+S24*Assumptions!$G$16</f>
        <v>1785.39863926913</v>
      </c>
      <c r="U25" s="34" t="n">
        <f aca="false">MAX(0,U24-T24)+T24*Assumptions!$G$16</f>
        <v>1882.08587675955</v>
      </c>
      <c r="V25" s="34" t="n">
        <f aca="false">MAX(0,V24-U24)+U24*Assumptions!$G$16</f>
        <v>1967.77481351599</v>
      </c>
      <c r="W25" s="34" t="n">
        <f aca="false">MAX(0,W24-V24)+V24*Assumptions!$G$16</f>
        <v>2212.60243247145</v>
      </c>
      <c r="X25" s="34" t="n">
        <f aca="false">MAX(0,X24-W24)+W24*Assumptions!$G$16</f>
        <v>2379.69489675564</v>
      </c>
      <c r="Y25" s="34" t="n">
        <f aca="false">MAX(0,Y24-X24)+X24*Assumptions!$G$16</f>
        <v>2469.04796538387</v>
      </c>
      <c r="Z25" s="34" t="n">
        <f aca="false">MAX(0,Z24-Y24)+Y24*Assumptions!$G$16</f>
        <v>2686.01699716729</v>
      </c>
      <c r="AA25" s="34" t="n">
        <f aca="false">MAX(0,AA24-Z24)+Z24*Assumptions!$G$16</f>
        <v>2810.38350962983</v>
      </c>
      <c r="AB25" s="34" t="n">
        <f aca="false">MAX(0,AB24-AA24)+AA24*Assumptions!$G$16</f>
        <v>2866.47901811578</v>
      </c>
      <c r="AC25" s="34" t="n">
        <f aca="false">MAX(0,AC24-AB24)+AB24*Assumptions!$G$16</f>
        <v>3036.18380126308</v>
      </c>
      <c r="AD25" s="34" t="n">
        <f aca="false">MAX(0,AD24-AC24)+AC24*Assumptions!$G$16</f>
        <v>3296.22418591395</v>
      </c>
      <c r="AE25" s="34" t="n">
        <f aca="false">MAX(0,AE24-AD24)+AD24*Assumptions!$G$16</f>
        <v>3419.03938878608</v>
      </c>
      <c r="AF25" s="34" t="n">
        <f aca="false">MAX(0,AF24-AE24)+AE24*Assumptions!$G$16</f>
        <v>3589.84433397354</v>
      </c>
      <c r="AG25" s="34" t="n">
        <f aca="false">MAX(0,AG24-AF24)+AF24*Assumptions!$G$16</f>
        <v>3820.19286103277</v>
      </c>
      <c r="AH25" s="34" t="n">
        <f aca="false">MAX(0,AH24-AG24)+AG24*Assumptions!$G$16</f>
        <v>3898.92546318177</v>
      </c>
      <c r="AI25" s="34" t="n">
        <f aca="false">MAX(0,AI24-AH24)+AH24*Assumptions!$G$16</f>
        <v>4028.77765354351</v>
      </c>
      <c r="AJ25" s="34" t="n">
        <f aca="false">MAX(0,AJ24-AI24)+AI24*Assumptions!$G$16</f>
        <v>4206.4988162539</v>
      </c>
      <c r="AK25" s="34" t="n">
        <f aca="false">MAX(0,AK24-AJ24)+AJ24*Assumptions!$G$16</f>
        <v>4417.06163860114</v>
      </c>
      <c r="AL25" s="34" t="n">
        <f aca="false">MAX(0,AL24-AK24)+AK24*Assumptions!$G$16</f>
        <v>4617.43109904648</v>
      </c>
      <c r="AM25" s="34" t="n">
        <f aca="false">MAX(0,AM24-AL24)+AL24*Assumptions!$G$16</f>
        <v>4791.9198379964</v>
      </c>
      <c r="AN25" s="35" t="n">
        <f aca="false">MAX(0,AN24-AM24)+AM24*Assumptions!$G$16</f>
        <v>4969.62562207769</v>
      </c>
      <c r="AO25" s="35" t="n">
        <f aca="false">MAX(0,AO24-AN24)+AN24*Assumptions!$G$16</f>
        <v>5123.50960445671</v>
      </c>
      <c r="AP25" s="35" t="n">
        <f aca="false">MAX(0,AP24-AO24)+AO24*Assumptions!$G$16</f>
        <v>5261.79166350203</v>
      </c>
      <c r="AQ25" s="35" t="n">
        <f aca="false">MAX(0,AQ24-AP24)+AP24*Assumptions!$G$16</f>
        <v>5389.81589767542</v>
      </c>
      <c r="AR25" s="35" t="n">
        <f aca="false">MAX(0,AR24-AQ24)+AQ24*Assumptions!$G$16</f>
        <v>5511.05713672415</v>
      </c>
      <c r="AS25" s="35" t="n">
        <f aca="false">MAX(0,AS24-AR24)+AR24*Assumptions!$G$16</f>
        <v>5627.77517407345</v>
      </c>
      <c r="AT25" s="35" t="n">
        <f aca="false">MAX(0,AT24-AS24)+AS24*Assumptions!$G$16</f>
        <v>5734.7900179985</v>
      </c>
      <c r="AU25" s="35" t="n">
        <f aca="false">MAX(0,AU24-AT24)+AT24*Assumptions!$G$16</f>
        <v>5841.83630500125</v>
      </c>
      <c r="AV25" s="35" t="n">
        <f aca="false">MAX(0,AV24-AU24)+AU24*Assumptions!$G$16</f>
        <v>5948.79416362002</v>
      </c>
      <c r="AW25" s="35" t="n">
        <f aca="false">MAX(0,AW24-AV24)+AV24*Assumptions!$G$16</f>
        <v>6048.93676606853</v>
      </c>
      <c r="AX25" s="35" t="n">
        <f aca="false">MAX(0,AX24-AW24)+AW24*Assumptions!$G$16</f>
        <v>6150.9932520629</v>
      </c>
      <c r="AY25" s="35" t="n">
        <f aca="false">MAX(0,AY24-AX24)+AX24*Assumptions!$G$16</f>
        <v>6254.19012441807</v>
      </c>
      <c r="AZ25" s="35" t="n">
        <f aca="false">MAX(0,AZ24-AY24)+AY24*Assumptions!$G$16</f>
        <v>6351.37564634316</v>
      </c>
      <c r="BA25" s="35" t="n">
        <f aca="false">MAX(0,BA24-AZ24)+AZ24*Assumptions!$G$16</f>
        <v>6444.35271493973</v>
      </c>
      <c r="BB25" s="35" t="n">
        <f aca="false">MAX(0,BB24-BA24)+BA24*Assumptions!$G$16</f>
        <v>6540.94622407937</v>
      </c>
      <c r="BC25" s="35" t="n">
        <f aca="false">MAX(0,BC24-BB24)+BB24*Assumptions!$G$16</f>
        <v>6633.14483542643</v>
      </c>
      <c r="BD25" s="35" t="n">
        <f aca="false">MAX(0,BD24-BC24)+BC24*Assumptions!$G$16</f>
        <v>6722.19263490426</v>
      </c>
      <c r="BE25" s="35" t="n">
        <f aca="false">MAX(0,BE24-BD24)+BD24*Assumptions!$G$16</f>
        <v>6815.5512196461</v>
      </c>
      <c r="BF25" s="35" t="n">
        <f aca="false">MAX(0,BF24-BE24)+BE24*Assumptions!$G$16</f>
        <v>6904.97303965871</v>
      </c>
      <c r="BG25" s="35" t="n">
        <f aca="false">MAX(0,BG24-BF24)+BF24*Assumptions!$G$16</f>
        <v>6991.54857519802</v>
      </c>
      <c r="BH25" s="35" t="n">
        <f aca="false">MAX(0,BH24-BG24)+BG24*Assumptions!$G$16</f>
        <v>7075.98951230434</v>
      </c>
      <c r="BI25" s="35" t="n">
        <f aca="false">MAX(0,BI24-BH24)+BH24*Assumptions!$G$16</f>
        <v>7158.76129203925</v>
      </c>
      <c r="BJ25" s="35" t="n">
        <f aca="false">MAX(0,BJ24-BI24)+BI24*Assumptions!$G$16</f>
        <v>7240.16926777648</v>
      </c>
      <c r="BK25" s="35" t="n">
        <f aca="false">MAX(0,BK24-BJ24)+BJ24*Assumptions!$G$16</f>
        <v>7320.41470772619</v>
      </c>
    </row>
    <row r="26" customFormat="false" ht="15" hidden="false" customHeight="false" outlineLevel="0" collapsed="false">
      <c r="B26" s="5" t="s">
        <v>569</v>
      </c>
    </row>
    <row r="27" customFormat="false" ht="15" hidden="false" customHeight="false" outlineLevel="0" collapsed="false">
      <c r="A27" s="28" t="s">
        <v>570</v>
      </c>
      <c r="B27" s="6" t="s">
        <v>571</v>
      </c>
      <c r="C27" s="36" t="n">
        <v>0</v>
      </c>
      <c r="D27" s="26" t="n">
        <f aca="false">C27*(1-Assumptions!$G$41)+D16*((1-(1-Assumptions!$G$30)^(1/12))*Assumptions!$G$40)*MAX(0,D13*Assumptions!$G$25-C27)</f>
        <v>0</v>
      </c>
      <c r="E27" s="26" t="n">
        <f aca="false">D27*(1-Assumptions!$G$41)+E16*((1-(1-Assumptions!$G$30)^(1/12))*Assumptions!$G$40)*MAX(0,E13*Assumptions!$G$25-D27)</f>
        <v>0</v>
      </c>
      <c r="F27" s="26" t="n">
        <f aca="false">E27*(1-Assumptions!$G$41)+F16*((1-(1-Assumptions!$G$30)^(1/12))*Assumptions!$G$40)*MAX(0,F13*Assumptions!$G$25-E27)</f>
        <v>0</v>
      </c>
      <c r="G27" s="26" t="n">
        <f aca="false">F27*(1-Assumptions!$G$41)+G16*((1-(1-Assumptions!$G$30)^(1/12))*Assumptions!$G$40)*MAX(0,G13*Assumptions!$G$25-F27)</f>
        <v>0</v>
      </c>
      <c r="H27" s="26" t="n">
        <f aca="false">G27*(1-Assumptions!$G$41)+H16*((1-(1-Assumptions!$G$30)^(1/12))*Assumptions!$G$40)*MAX(0,H13*Assumptions!$G$25-G27)</f>
        <v>0</v>
      </c>
      <c r="I27" s="26" t="n">
        <f aca="false">H27*(1-Assumptions!$G$41)+I16*((1-(1-Assumptions!$G$30)^(1/12))*Assumptions!$G$40)*MAX(0,I13*Assumptions!$G$25-H27)</f>
        <v>0</v>
      </c>
      <c r="J27" s="26" t="n">
        <f aca="false">I27*(1-Assumptions!$G$41)+J16*((1-(1-Assumptions!$G$30)^(1/12))*Assumptions!$G$40)*MAX(0,J13*Assumptions!$G$25-I27)</f>
        <v>0</v>
      </c>
      <c r="K27" s="26" t="n">
        <f aca="false">J27*(1-Assumptions!$G$41)+K16*((1-(1-Assumptions!$G$30)^(1/12))*Assumptions!$G$40)*MAX(0,K13*Assumptions!$G$25-J27)</f>
        <v>0</v>
      </c>
      <c r="L27" s="26" t="n">
        <f aca="false">K27*(1-Assumptions!$G$41)+L16*((1-(1-Assumptions!$G$30)^(1/12))*Assumptions!$G$40)*MAX(0,L13*Assumptions!$G$25-K27)</f>
        <v>0</v>
      </c>
      <c r="M27" s="26" t="n">
        <f aca="false">L27*(1-Assumptions!$G$41)+M16*((1-(1-Assumptions!$G$30)^(1/12))*Assumptions!$G$40)*MAX(0,M13*Assumptions!$G$25-L27)</f>
        <v>0</v>
      </c>
      <c r="N27" s="26" t="n">
        <f aca="false">M27*(1-Assumptions!$G$41)+N16*((1-(1-Assumptions!$G$30)^(1/12))*Assumptions!$G$40)*MAX(0,N13*Assumptions!$G$25-M27)</f>
        <v>0</v>
      </c>
      <c r="O27" s="26" t="n">
        <f aca="false">N27*(1-Assumptions!$G$41)+O16*((1-(1-Assumptions!$G$30)^(1/12))*Assumptions!$G$40)*MAX(0,O13*Assumptions!$G$25-N27)</f>
        <v>0</v>
      </c>
      <c r="P27" s="26" t="n">
        <f aca="false">O27*(1-Assumptions!$G$41)+P16*((1-(1-Assumptions!$G$30)^(1/12))*Assumptions!$G$40)*MAX(0,P13*Assumptions!$G$25-O27)</f>
        <v>0</v>
      </c>
      <c r="Q27" s="26" t="n">
        <f aca="false">P27*(1-Assumptions!$G$41)+Q16*((1-(1-Assumptions!$G$30)^(1/12))*Assumptions!$G$40)*MAX(0,Q13*Assumptions!$G$25-P27)</f>
        <v>0</v>
      </c>
      <c r="R27" s="26" t="n">
        <f aca="false">Q27*(1-Assumptions!$G$41)+R16*((1-(1-Assumptions!$G$30)^(1/12))*Assumptions!$G$40)*MAX(0,R13*Assumptions!$G$25-Q27)</f>
        <v>0</v>
      </c>
      <c r="S27" s="26" t="n">
        <f aca="false">R27*(1-Assumptions!$G$41)+S16*((1-(1-Assumptions!$G$30)^(1/12))*Assumptions!$G$40)*MAX(0,S13*Assumptions!$G$25-R27)</f>
        <v>1.3437153311917</v>
      </c>
      <c r="T27" s="26" t="n">
        <f aca="false">S27*(1-Assumptions!$G$41)+T16*((1-(1-Assumptions!$G$30)^(1/12))*Assumptions!$G$40)*MAX(0,T13*Assumptions!$G$25-S27)</f>
        <v>2.80556920035461</v>
      </c>
      <c r="U27" s="26" t="n">
        <f aca="false">T27*(1-Assumptions!$G$41)+U16*((1-(1-Assumptions!$G$30)^(1/12))*Assumptions!$G$40)*MAX(0,U13*Assumptions!$G$25-T27)</f>
        <v>4.38049825658151</v>
      </c>
      <c r="V27" s="26" t="n">
        <f aca="false">U27*(1-Assumptions!$G$41)+V16*((1-(1-Assumptions!$G$30)^(1/12))*Assumptions!$G$40)*MAX(0,V13*Assumptions!$G$25-U27)</f>
        <v>6.06367010175736</v>
      </c>
      <c r="W27" s="26" t="n">
        <f aca="false">V27*(1-Assumptions!$G$41)+W16*((1-(1-Assumptions!$G$30)^(1/12))*Assumptions!$G$40)*MAX(0,W13*Assumptions!$G$25-V27)</f>
        <v>7.90621741984293</v>
      </c>
      <c r="X27" s="26" t="n">
        <f aca="false">W27*(1-Assumptions!$G$41)+X16*((1-(1-Assumptions!$G$30)^(1/12))*Assumptions!$G$40)*MAX(0,X13*Assumptions!$G$25-W27)</f>
        <v>9.89390195682084</v>
      </c>
      <c r="Y27" s="26" t="n">
        <f aca="false">X27*(1-Assumptions!$G$41)+Y16*((1-(1-Assumptions!$G$30)^(1/12))*Assumptions!$G$40)*MAX(0,Y13*Assumptions!$G$25-X27)</f>
        <v>12.0042960143117</v>
      </c>
      <c r="Z27" s="26" t="n">
        <f aca="false">Y27*(1-Assumptions!$G$41)+Z16*((1-(1-Assumptions!$G$30)^(1/12))*Assumptions!$G$40)*MAX(0,Z13*Assumptions!$G$25-Y27)</f>
        <v>14.2763749319071</v>
      </c>
      <c r="AA27" s="26" t="n">
        <f aca="false">Z27*(1-Assumptions!$G$41)+AA16*((1-(1-Assumptions!$G$30)^(1/12))*Assumptions!$G$40)*MAX(0,AA13*Assumptions!$G$25-Z27)</f>
        <v>16.686652472243</v>
      </c>
      <c r="AB27" s="26" t="n">
        <f aca="false">AA27*(1-Assumptions!$G$41)+AB16*((1-(1-Assumptions!$G$30)^(1/12))*Assumptions!$G$40)*MAX(0,AB13*Assumptions!$G$25-AA27)</f>
        <v>19.2106633120267</v>
      </c>
      <c r="AC27" s="26" t="n">
        <f aca="false">AB27*(1-Assumptions!$G$41)+AC16*((1-(1-Assumptions!$G$30)^(1/12))*Assumptions!$G$40)*MAX(0,AC13*Assumptions!$G$25-AB27)</f>
        <v>21.8787740361493</v>
      </c>
      <c r="AD27" s="26" t="n">
        <f aca="false">AC27*(1-Assumptions!$G$41)+AD16*((1-(1-Assumptions!$G$30)^(1/12))*Assumptions!$G$40)*MAX(0,AD13*Assumptions!$G$25-AC27)</f>
        <v>24.7240437757427</v>
      </c>
      <c r="AE27" s="26" t="n">
        <f aca="false">AD27*(1-Assumptions!$G$41)+AE16*((1-(1-Assumptions!$G$30)^(1/12))*Assumptions!$G$40)*MAX(0,AE13*Assumptions!$G$25-AD27)</f>
        <v>27.7107047442732</v>
      </c>
      <c r="AF27" s="26" t="n">
        <f aca="false">AE27*(1-Assumptions!$G$41)+AF16*((1-(1-Assumptions!$G$30)^(1/12))*Assumptions!$G$40)*MAX(0,AF13*Assumptions!$G$25-AE27)</f>
        <v>30.8517516181489</v>
      </c>
      <c r="AG27" s="26" t="n">
        <f aca="false">AF27*(1-Assumptions!$G$41)+AG16*((1-(1-Assumptions!$G$30)^(1/12))*Assumptions!$G$40)*MAX(0,AG13*Assumptions!$G$25-AF27)</f>
        <v>34.1682990110612</v>
      </c>
      <c r="AH27" s="26" t="n">
        <f aca="false">AG27*(1-Assumptions!$G$41)+AH16*((1-(1-Assumptions!$G$30)^(1/12))*Assumptions!$G$40)*MAX(0,AH13*Assumptions!$G$25-AG27)</f>
        <v>37.6155339078315</v>
      </c>
      <c r="AI27" s="26" t="n">
        <f aca="false">AH27*(1-Assumptions!$G$41)+AI16*((1-(1-Assumptions!$G$30)^(1/12))*Assumptions!$G$40)*MAX(0,AI13*Assumptions!$G$25-AH27)</f>
        <v>41.2023767195622</v>
      </c>
      <c r="AJ27" s="26" t="n">
        <f aca="false">AI27*(1-Assumptions!$G$41)+AJ16*((1-(1-Assumptions!$G$30)^(1/12))*Assumptions!$G$40)*MAX(0,AJ13*Assumptions!$G$25-AI27)</f>
        <v>44.9416431757545</v>
      </c>
      <c r="AK27" s="26" t="n">
        <f aca="false">AJ27*(1-Assumptions!$G$41)+AK16*((1-(1-Assumptions!$G$30)^(1/12))*Assumptions!$G$40)*MAX(0,AK13*Assumptions!$G$25-AJ27)</f>
        <v>48.8453607028381</v>
      </c>
      <c r="AL27" s="26" t="n">
        <f aca="false">AK27*(1-Assumptions!$G$41)+AL16*((1-(1-Assumptions!$G$30)^(1/12))*Assumptions!$G$40)*MAX(0,AL13*Assumptions!$G$25-AK27)</f>
        <v>52.9136580083639</v>
      </c>
      <c r="AM27" s="26" t="n">
        <f aca="false">AL27*(1-Assumptions!$G$41)+AM16*((1-(1-Assumptions!$G$30)^(1/12))*Assumptions!$G$40)*MAX(0,AM13*Assumptions!$G$25-AL27)</f>
        <v>57.1398907681446</v>
      </c>
      <c r="AN27" s="37" t="n">
        <f aca="false">AM27*(1-Assumptions!$G$41)+AN16*((1-(1-Assumptions!$G$30)^(1/12))*Assumptions!$G$40)*MAX(0,AN13*Assumptions!$G$25-AM27)</f>
        <v>61.5244026631094</v>
      </c>
      <c r="AO27" s="37" t="n">
        <f aca="false">AN27*(1-Assumptions!$G$41)+AO16*((1-(1-Assumptions!$G$30)^(1/12))*Assumptions!$G$40)*MAX(0,AO13*Assumptions!$G$25-AN27)</f>
        <v>66.05852544104</v>
      </c>
      <c r="AP27" s="37" t="n">
        <f aca="false">AO27*(1-Assumptions!$G$41)+AP16*((1-(1-Assumptions!$G$30)^(1/12))*Assumptions!$G$40)*MAX(0,AP13*Assumptions!$G$25-AO27)</f>
        <v>70.7340066555194</v>
      </c>
      <c r="AQ27" s="37" t="n">
        <f aca="false">AP27*(1-Assumptions!$G$41)+AQ16*((1-(1-Assumptions!$G$30)^(1/12))*Assumptions!$G$40)*MAX(0,AQ13*Assumptions!$G$25-AP27)</f>
        <v>75.5429902199292</v>
      </c>
      <c r="AR27" s="37" t="n">
        <f aca="false">AQ27*(1-Assumptions!$G$41)+AR16*((1-(1-Assumptions!$G$30)^(1/12))*Assumptions!$G$40)*MAX(0,AR13*Assumptions!$G$25-AQ27)</f>
        <v>80.4779978660403</v>
      </c>
      <c r="AS27" s="37" t="n">
        <f aca="false">AR27*(1-Assumptions!$G$41)+AS16*((1-(1-Assumptions!$G$30)^(1/12))*Assumptions!$G$40)*MAX(0,AS13*Assumptions!$G$25-AR27)</f>
        <v>85.5319114651633</v>
      </c>
      <c r="AT27" s="37" t="n">
        <f aca="false">AS27*(1-Assumptions!$G$41)+AT16*((1-(1-Assumptions!$G$30)^(1/12))*Assumptions!$G$40)*MAX(0,AT13*Assumptions!$G$25-AS27)</f>
        <v>90.6957263791928</v>
      </c>
      <c r="AU27" s="37" t="n">
        <f aca="false">AT27*(1-Assumptions!$G$41)+AU16*((1-(1-Assumptions!$G$30)^(1/12))*Assumptions!$G$40)*MAX(0,AU13*Assumptions!$G$25-AT27)</f>
        <v>95.9631208466135</v>
      </c>
      <c r="AV27" s="37" t="n">
        <f aca="false">AU27*(1-Assumptions!$G$41)+AV16*((1-(1-Assumptions!$G$30)^(1/12))*Assumptions!$G$40)*MAX(0,AV13*Assumptions!$G$25-AU27)</f>
        <v>101.328078922857</v>
      </c>
      <c r="AW27" s="37" t="n">
        <f aca="false">AV27*(1-Assumptions!$G$41)+AW16*((1-(1-Assumptions!$G$30)^(1/12))*Assumptions!$G$40)*MAX(0,AW13*Assumptions!$G$25-AV27)</f>
        <v>106.782646360678</v>
      </c>
      <c r="AX27" s="37" t="n">
        <f aca="false">AW27*(1-Assumptions!$G$41)+AX16*((1-(1-Assumptions!$G$30)^(1/12))*Assumptions!$G$40)*MAX(0,AX13*Assumptions!$G$25-AW27)</f>
        <v>112.32150240795</v>
      </c>
      <c r="AY27" s="37" t="n">
        <f aca="false">AX27*(1-Assumptions!$G$41)+AY16*((1-(1-Assumptions!$G$30)^(1/12))*Assumptions!$G$40)*MAX(0,AY13*Assumptions!$G$25-AX27)</f>
        <v>117.939585047717</v>
      </c>
      <c r="AZ27" s="37" t="n">
        <f aca="false">AY27*(1-Assumptions!$G$41)+AZ16*((1-(1-Assumptions!$G$30)^(1/12))*Assumptions!$G$40)*MAX(0,AZ13*Assumptions!$G$25-AY27)</f>
        <v>123.629849071389</v>
      </c>
      <c r="BA27" s="37" t="n">
        <f aca="false">AZ27*(1-Assumptions!$G$41)+BA16*((1-(1-Assumptions!$G$30)^(1/12))*Assumptions!$G$40)*MAX(0,BA13*Assumptions!$G$25-AZ27)</f>
        <v>129.385610174844</v>
      </c>
      <c r="BB27" s="37" t="n">
        <f aca="false">BA27*(1-Assumptions!$G$41)+BB16*((1-(1-Assumptions!$G$30)^(1/12))*Assumptions!$G$40)*MAX(0,BB13*Assumptions!$G$25-BA27)</f>
        <v>135.202757650311</v>
      </c>
      <c r="BC27" s="37" t="n">
        <f aca="false">BB27*(1-Assumptions!$G$41)+BC16*((1-(1-Assumptions!$G$30)^(1/12))*Assumptions!$G$40)*MAX(0,BC13*Assumptions!$G$25-BB27)</f>
        <v>141.075152625258</v>
      </c>
      <c r="BD27" s="37" t="n">
        <f aca="false">BC27*(1-Assumptions!$G$41)+BD16*((1-(1-Assumptions!$G$30)^(1/12))*Assumptions!$G$40)*MAX(0,BD13*Assumptions!$G$25-BC27)</f>
        <v>146.996974255363</v>
      </c>
      <c r="BE27" s="37" t="n">
        <f aca="false">BD27*(1-Assumptions!$G$41)+BE16*((1-(1-Assumptions!$G$30)^(1/12))*Assumptions!$G$40)*MAX(0,BE13*Assumptions!$G$25-BD27)</f>
        <v>152.964934415781</v>
      </c>
      <c r="BF27" s="37" t="n">
        <f aca="false">BE27*(1-Assumptions!$G$41)+BF16*((1-(1-Assumptions!$G$30)^(1/12))*Assumptions!$G$40)*MAX(0,BF13*Assumptions!$G$25-BE27)</f>
        <v>158.973677846475</v>
      </c>
      <c r="BG27" s="37" t="n">
        <f aca="false">BF27*(1-Assumptions!$G$41)+BG16*((1-(1-Assumptions!$G$30)^(1/12))*Assumptions!$G$40)*MAX(0,BG13*Assumptions!$G$25-BF27)</f>
        <v>165.01813016299</v>
      </c>
      <c r="BH27" s="37" t="n">
        <f aca="false">BG27*(1-Assumptions!$G$41)+BH16*((1-(1-Assumptions!$G$30)^(1/12))*Assumptions!$G$40)*MAX(0,BH13*Assumptions!$G$25-BG27)</f>
        <v>171.09348448843</v>
      </c>
      <c r="BI27" s="37" t="n">
        <f aca="false">BH27*(1-Assumptions!$G$41)+BI16*((1-(1-Assumptions!$G$30)^(1/12))*Assumptions!$G$40)*MAX(0,BI13*Assumptions!$G$25-BH27)</f>
        <v>177.195188709598</v>
      </c>
      <c r="BJ27" s="37" t="n">
        <f aca="false">BI27*(1-Assumptions!$G$41)+BJ16*((1-(1-Assumptions!$G$30)^(1/12))*Assumptions!$G$40)*MAX(0,BJ13*Assumptions!$G$25-BI27)</f>
        <v>183.318933328272</v>
      </c>
      <c r="BK27" s="37" t="n">
        <f aca="false">BJ27*(1-Assumptions!$G$41)+BK16*((1-(1-Assumptions!$G$30)^(1/12))*Assumptions!$G$40)*MAX(0,BK13*Assumptions!$G$25-BJ27)</f>
        <v>189.460639879945</v>
      </c>
    </row>
    <row r="28" customFormat="false" ht="15" hidden="false" customHeight="false" outlineLevel="0" collapsed="false">
      <c r="A28" s="28" t="s">
        <v>572</v>
      </c>
      <c r="B28" s="6" t="s">
        <v>573</v>
      </c>
      <c r="C28" s="36" t="n">
        <v>0</v>
      </c>
      <c r="D28" s="26" t="n">
        <f aca="false">C28*(1-Assumptions!$G$41)+D16*((1-(1-Assumptions!$G$31)^(1/12))*Assumptions!$G$40)*MAX(0,D13*Assumptions!$G$26-C28)</f>
        <v>0</v>
      </c>
      <c r="E28" s="26" t="n">
        <f aca="false">D28*(1-Assumptions!$G$41)+E16*((1-(1-Assumptions!$G$31)^(1/12))*Assumptions!$G$40)*MAX(0,E13*Assumptions!$G$26-D28)</f>
        <v>0</v>
      </c>
      <c r="F28" s="26" t="n">
        <f aca="false">E28*(1-Assumptions!$G$41)+F16*((1-(1-Assumptions!$G$31)^(1/12))*Assumptions!$G$40)*MAX(0,F13*Assumptions!$G$26-E28)</f>
        <v>0</v>
      </c>
      <c r="G28" s="26" t="n">
        <f aca="false">F28*(1-Assumptions!$G$41)+G16*((1-(1-Assumptions!$G$31)^(1/12))*Assumptions!$G$40)*MAX(0,G13*Assumptions!$G$26-F28)</f>
        <v>0</v>
      </c>
      <c r="H28" s="26" t="n">
        <f aca="false">G28*(1-Assumptions!$G$41)+H16*((1-(1-Assumptions!$G$31)^(1/12))*Assumptions!$G$40)*MAX(0,H13*Assumptions!$G$26-G28)</f>
        <v>0</v>
      </c>
      <c r="I28" s="26" t="n">
        <f aca="false">H28*(1-Assumptions!$G$41)+I16*((1-(1-Assumptions!$G$31)^(1/12))*Assumptions!$G$40)*MAX(0,I13*Assumptions!$G$26-H28)</f>
        <v>0</v>
      </c>
      <c r="J28" s="26" t="n">
        <f aca="false">I28*(1-Assumptions!$G$41)+J16*((1-(1-Assumptions!$G$31)^(1/12))*Assumptions!$G$40)*MAX(0,J13*Assumptions!$G$26-I28)</f>
        <v>0</v>
      </c>
      <c r="K28" s="26" t="n">
        <f aca="false">J28*(1-Assumptions!$G$41)+K16*((1-(1-Assumptions!$G$31)^(1/12))*Assumptions!$G$40)*MAX(0,K13*Assumptions!$G$26-J28)</f>
        <v>0</v>
      </c>
      <c r="L28" s="26" t="n">
        <f aca="false">K28*(1-Assumptions!$G$41)+L16*((1-(1-Assumptions!$G$31)^(1/12))*Assumptions!$G$40)*MAX(0,L13*Assumptions!$G$26-K28)</f>
        <v>0</v>
      </c>
      <c r="M28" s="26" t="n">
        <f aca="false">L28*(1-Assumptions!$G$41)+M16*((1-(1-Assumptions!$G$31)^(1/12))*Assumptions!$G$40)*MAX(0,M13*Assumptions!$G$26-L28)</f>
        <v>0</v>
      </c>
      <c r="N28" s="26" t="n">
        <f aca="false">M28*(1-Assumptions!$G$41)+N16*((1-(1-Assumptions!$G$31)^(1/12))*Assumptions!$G$40)*MAX(0,N13*Assumptions!$G$26-M28)</f>
        <v>0</v>
      </c>
      <c r="O28" s="26" t="n">
        <f aca="false">N28*(1-Assumptions!$G$41)+O16*((1-(1-Assumptions!$G$31)^(1/12))*Assumptions!$G$40)*MAX(0,O13*Assumptions!$G$26-N28)</f>
        <v>0</v>
      </c>
      <c r="P28" s="26" t="n">
        <f aca="false">O28*(1-Assumptions!$G$41)+P16*((1-(1-Assumptions!$G$31)^(1/12))*Assumptions!$G$40)*MAX(0,P13*Assumptions!$G$26-O28)</f>
        <v>0</v>
      </c>
      <c r="Q28" s="26" t="n">
        <f aca="false">P28*(1-Assumptions!$G$41)+Q16*((1-(1-Assumptions!$G$31)^(1/12))*Assumptions!$G$40)*MAX(0,Q13*Assumptions!$G$26-P28)</f>
        <v>0</v>
      </c>
      <c r="R28" s="26" t="n">
        <f aca="false">Q28*(1-Assumptions!$G$41)+R16*((1-(1-Assumptions!$G$31)^(1/12))*Assumptions!$G$40)*MAX(0,R13*Assumptions!$G$26-Q28)</f>
        <v>0</v>
      </c>
      <c r="S28" s="26" t="n">
        <f aca="false">R28*(1-Assumptions!$G$41)+S16*((1-(1-Assumptions!$G$31)^(1/12))*Assumptions!$G$40)*MAX(0,S13*Assumptions!$G$26-R28)</f>
        <v>0.552026124231421</v>
      </c>
      <c r="T28" s="26" t="n">
        <f aca="false">S28*(1-Assumptions!$G$41)+T16*((1-(1-Assumptions!$G$31)^(1/12))*Assumptions!$G$40)*MAX(0,T13*Assumptions!$G$26-S28)</f>
        <v>1.15820309525692</v>
      </c>
      <c r="U28" s="26" t="n">
        <f aca="false">T28*(1-Assumptions!$G$41)+U16*((1-(1-Assumptions!$G$31)^(1/12))*Assumptions!$G$40)*MAX(0,U13*Assumptions!$G$26-T28)</f>
        <v>1.81674087343855</v>
      </c>
      <c r="V28" s="26" t="n">
        <f aca="false">U28*(1-Assumptions!$G$41)+V16*((1-(1-Assumptions!$G$31)^(1/12))*Assumptions!$G$40)*MAX(0,V13*Assumptions!$G$26-U28)</f>
        <v>2.52591261014448</v>
      </c>
      <c r="W28" s="26" t="n">
        <f aca="false">V28*(1-Assumptions!$G$41)+W16*((1-(1-Assumptions!$G$31)^(1/12))*Assumptions!$G$40)*MAX(0,W13*Assumptions!$G$26-V28)</f>
        <v>3.30695349885447</v>
      </c>
      <c r="X28" s="26" t="n">
        <f aca="false">W28*(1-Assumptions!$G$41)+X16*((1-(1-Assumptions!$G$31)^(1/12))*Assumptions!$G$40)*MAX(0,X13*Assumptions!$G$26-W28)</f>
        <v>4.15444844348713</v>
      </c>
      <c r="Y28" s="26" t="n">
        <f aca="false">X28*(1-Assumptions!$G$41)+Y16*((1-(1-Assumptions!$G$31)^(1/12))*Assumptions!$G$40)*MAX(0,Y13*Assumptions!$G$26-X28)</f>
        <v>5.05954268137968</v>
      </c>
      <c r="Z28" s="26" t="n">
        <f aca="false">Y28*(1-Assumptions!$G$41)+Z16*((1-(1-Assumptions!$G$31)^(1/12))*Assumptions!$G$40)*MAX(0,Z13*Assumptions!$G$26-Y28)</f>
        <v>6.03850031474366</v>
      </c>
      <c r="AA28" s="26" t="n">
        <f aca="false">Z28*(1-Assumptions!$G$41)+AA16*((1-(1-Assumptions!$G$31)^(1/12))*Assumptions!$G$40)*MAX(0,AA13*Assumptions!$G$26-Z28)</f>
        <v>7.08207871239584</v>
      </c>
      <c r="AB28" s="26" t="n">
        <f aca="false">AA28*(1-Assumptions!$G$41)+AB16*((1-(1-Assumptions!$G$31)^(1/12))*Assumptions!$G$40)*MAX(0,AB13*Assumptions!$G$26-AA28)</f>
        <v>8.18052010789062</v>
      </c>
      <c r="AC28" s="26" t="n">
        <f aca="false">AB28*(1-Assumptions!$G$41)+AC16*((1-(1-Assumptions!$G$31)^(1/12))*Assumptions!$G$40)*MAX(0,AC13*Assumptions!$G$26-AB28)</f>
        <v>9.34647991617531</v>
      </c>
      <c r="AD28" s="26" t="n">
        <f aca="false">AC28*(1-Assumptions!$G$41)+AD16*((1-(1-Assumptions!$G$31)^(1/12))*Assumptions!$G$40)*MAX(0,AD13*Assumptions!$G$26-AC28)</f>
        <v>10.5938401098964</v>
      </c>
      <c r="AE28" s="26" t="n">
        <f aca="false">AD28*(1-Assumptions!$G$41)+AE16*((1-(1-Assumptions!$G$31)^(1/12))*Assumptions!$G$40)*MAX(0,AE13*Assumptions!$G$26-AD28)</f>
        <v>11.9083344283369</v>
      </c>
      <c r="AF28" s="26" t="n">
        <f aca="false">AE28*(1-Assumptions!$G$41)+AF16*((1-(1-Assumptions!$G$31)^(1/12))*Assumptions!$G$40)*MAX(0,AF13*Assumptions!$G$26-AE28)</f>
        <v>13.295564201317</v>
      </c>
      <c r="AG28" s="26" t="n">
        <f aca="false">AF28*(1-Assumptions!$G$41)+AG16*((1-(1-Assumptions!$G$31)^(1/12))*Assumptions!$G$40)*MAX(0,AG13*Assumptions!$G$26-AF28)</f>
        <v>14.7645113836546</v>
      </c>
      <c r="AH28" s="26" t="n">
        <f aca="false">AG28*(1-Assumptions!$G$41)+AH16*((1-(1-Assumptions!$G$31)^(1/12))*Assumptions!$G$40)*MAX(0,AH13*Assumptions!$G$26-AG28)</f>
        <v>16.2971505982344</v>
      </c>
      <c r="AI28" s="26" t="n">
        <f aca="false">AH28*(1-Assumptions!$G$41)+AI16*((1-(1-Assumptions!$G$31)^(1/12))*Assumptions!$G$40)*MAX(0,AI13*Assumptions!$G$26-AH28)</f>
        <v>17.8973299870898</v>
      </c>
      <c r="AJ28" s="26" t="n">
        <f aca="false">AI28*(1-Assumptions!$G$41)+AJ16*((1-(1-Assumptions!$G$31)^(1/12))*Assumptions!$G$40)*MAX(0,AJ13*Assumptions!$G$26-AI28)</f>
        <v>19.5705286047634</v>
      </c>
      <c r="AK28" s="26" t="n">
        <f aca="false">AJ28*(1-Assumptions!$G$41)+AK16*((1-(1-Assumptions!$G$31)^(1/12))*Assumptions!$G$40)*MAX(0,AK13*Assumptions!$G$26-AJ28)</f>
        <v>21.3219474616534</v>
      </c>
      <c r="AL28" s="26" t="n">
        <f aca="false">AK28*(1-Assumptions!$G$41)+AL16*((1-(1-Assumptions!$G$31)^(1/12))*Assumptions!$G$40)*MAX(0,AL13*Assumptions!$G$26-AK28)</f>
        <v>23.1519401778164</v>
      </c>
      <c r="AM28" s="26" t="n">
        <f aca="false">AL28*(1-Assumptions!$G$41)+AM16*((1-(1-Assumptions!$G$31)^(1/12))*Assumptions!$G$40)*MAX(0,AM13*Assumptions!$G$26-AL28)</f>
        <v>25.0580674999082</v>
      </c>
      <c r="AN28" s="37" t="n">
        <f aca="false">AM28*(1-Assumptions!$G$41)+AN16*((1-(1-Assumptions!$G$31)^(1/12))*Assumptions!$G$40)*MAX(0,AN13*Assumptions!$G$26-AM28)</f>
        <v>27.0407226836652</v>
      </c>
      <c r="AO28" s="37" t="n">
        <f aca="false">AN28*(1-Assumptions!$G$41)+AO16*((1-(1-Assumptions!$G$31)^(1/12))*Assumptions!$G$40)*MAX(0,AO13*Assumptions!$G$26-AN28)</f>
        <v>29.0965889888058</v>
      </c>
      <c r="AP28" s="37" t="n">
        <f aca="false">AO28*(1-Assumptions!$G$41)+AP16*((1-(1-Assumptions!$G$31)^(1/12))*Assumptions!$G$40)*MAX(0,AP13*Assumptions!$G$26-AO28)</f>
        <v>31.222475397012</v>
      </c>
      <c r="AQ28" s="37" t="n">
        <f aca="false">AP28*(1-Assumptions!$G$41)+AQ16*((1-(1-Assumptions!$G$31)^(1/12))*Assumptions!$G$40)*MAX(0,AQ13*Assumptions!$G$26-AP28)</f>
        <v>33.4153119972831</v>
      </c>
      <c r="AR28" s="37" t="n">
        <f aca="false">AQ28*(1-Assumptions!$G$41)+AR16*((1-(1-Assumptions!$G$31)^(1/12))*Assumptions!$G$40)*MAX(0,AR13*Assumptions!$G$26-AQ28)</f>
        <v>35.672145539226</v>
      </c>
      <c r="AS28" s="37" t="n">
        <f aca="false">AR28*(1-Assumptions!$G$41)+AS16*((1-(1-Assumptions!$G$31)^(1/12))*Assumptions!$G$40)*MAX(0,AS13*Assumptions!$G$26-AR28)</f>
        <v>37.9901351481865</v>
      </c>
      <c r="AT28" s="37" t="n">
        <f aca="false">AS28*(1-Assumptions!$G$41)+AT16*((1-(1-Assumptions!$G$31)^(1/12))*Assumptions!$G$40)*MAX(0,AT13*Assumptions!$G$26-AS28)</f>
        <v>40.365632151306</v>
      </c>
      <c r="AU28" s="37" t="n">
        <f aca="false">AT28*(1-Assumptions!$G$41)+AU16*((1-(1-Assumptions!$G$31)^(1/12))*Assumptions!$G$40)*MAX(0,AU13*Assumptions!$G$26-AT28)</f>
        <v>42.7960505790811</v>
      </c>
      <c r="AV28" s="37" t="n">
        <f aca="false">AU28*(1-Assumptions!$G$41)+AV16*((1-(1-Assumptions!$G$31)^(1/12))*Assumptions!$G$40)*MAX(0,AV13*Assumptions!$G$26-AU28)</f>
        <v>45.2789032671679</v>
      </c>
      <c r="AW28" s="37" t="n">
        <f aca="false">AV28*(1-Assumptions!$G$41)+AW16*((1-(1-Assumptions!$G$31)^(1/12))*Assumptions!$G$40)*MAX(0,AW13*Assumptions!$G$26-AV28)</f>
        <v>47.8108821771878</v>
      </c>
      <c r="AX28" s="37" t="n">
        <f aca="false">AW28*(1-Assumptions!$G$41)+AX16*((1-(1-Assumptions!$G$31)^(1/12))*Assumptions!$G$40)*MAX(0,AX13*Assumptions!$G$26-AW28)</f>
        <v>50.3897293750633</v>
      </c>
      <c r="AY28" s="37" t="n">
        <f aca="false">AX28*(1-Assumptions!$G$41)+AY16*((1-(1-Assumptions!$G$31)^(1/12))*Assumptions!$G$40)*MAX(0,AY13*Assumptions!$G$26-AX28)</f>
        <v>53.0132735922795</v>
      </c>
      <c r="AZ28" s="37" t="n">
        <f aca="false">AY28*(1-Assumptions!$G$41)+AZ16*((1-(1-Assumptions!$G$31)^(1/12))*Assumptions!$G$40)*MAX(0,AZ13*Assumptions!$G$26-AY28)</f>
        <v>55.6785109894561</v>
      </c>
      <c r="BA28" s="37" t="n">
        <f aca="false">AZ28*(1-Assumptions!$G$41)+BA16*((1-(1-Assumptions!$G$31)^(1/12))*Assumptions!$G$40)*MAX(0,BA13*Assumptions!$G$26-AZ28)</f>
        <v>58.3825605163263</v>
      </c>
      <c r="BB28" s="37" t="n">
        <f aca="false">BA28*(1-Assumptions!$G$41)+BB16*((1-(1-Assumptions!$G$31)^(1/12))*Assumptions!$G$40)*MAX(0,BB13*Assumptions!$G$26-BA28)</f>
        <v>61.1235753643401</v>
      </c>
      <c r="BC28" s="37" t="n">
        <f aca="false">BB28*(1-Assumptions!$G$41)+BC16*((1-(1-Assumptions!$G$31)^(1/12))*Assumptions!$G$40)*MAX(0,BC13*Assumptions!$G$26-BB28)</f>
        <v>63.8988640620408</v>
      </c>
      <c r="BD28" s="37" t="n">
        <f aca="false">BC28*(1-Assumptions!$G$41)+BD16*((1-(1-Assumptions!$G$31)^(1/12))*Assumptions!$G$40)*MAX(0,BD13*Assumptions!$G$26-BC28)</f>
        <v>66.7058462769064</v>
      </c>
      <c r="BE28" s="37" t="n">
        <f aca="false">BD28*(1-Assumptions!$G$41)+BE16*((1-(1-Assumptions!$G$31)^(1/12))*Assumptions!$G$40)*MAX(0,BE13*Assumptions!$G$26-BD28)</f>
        <v>69.5429646937546</v>
      </c>
      <c r="BF28" s="37" t="n">
        <f aca="false">BE28*(1-Assumptions!$G$41)+BF16*((1-(1-Assumptions!$G$31)^(1/12))*Assumptions!$G$40)*MAX(0,BF13*Assumptions!$G$26-BE28)</f>
        <v>72.4078065204427</v>
      </c>
      <c r="BG28" s="37" t="n">
        <f aca="false">BF28*(1-Assumptions!$G$41)+BG16*((1-(1-Assumptions!$G$31)^(1/12))*Assumptions!$G$40)*MAX(0,BG13*Assumptions!$G$26-BF28)</f>
        <v>75.2980596851165</v>
      </c>
      <c r="BH28" s="37" t="n">
        <f aca="false">BG28*(1-Assumptions!$G$41)+BH16*((1-(1-Assumptions!$G$31)^(1/12))*Assumptions!$G$40)*MAX(0,BH13*Assumptions!$G$26-BG28)</f>
        <v>78.2115090506108</v>
      </c>
      <c r="BI28" s="37" t="n">
        <f aca="false">BH28*(1-Assumptions!$G$41)+BI16*((1-(1-Assumptions!$G$31)^(1/12))*Assumptions!$G$40)*MAX(0,BI13*Assumptions!$G$26-BH28)</f>
        <v>81.1460327674919</v>
      </c>
      <c r="BJ28" s="37" t="n">
        <f aca="false">BI28*(1-Assumptions!$G$41)+BJ16*((1-(1-Assumptions!$G$31)^(1/12))*Assumptions!$G$40)*MAX(0,BJ13*Assumptions!$G$26-BI28)</f>
        <v>84.099598760701</v>
      </c>
      <c r="BK28" s="37" t="n">
        <f aca="false">BJ28*(1-Assumptions!$G$41)+BK16*((1-(1-Assumptions!$G$31)^(1/12))*Assumptions!$G$40)*MAX(0,BK13*Assumptions!$G$26-BJ28)</f>
        <v>87.0702613449383</v>
      </c>
    </row>
    <row r="29" customFormat="false" ht="15" hidden="false" customHeight="false" outlineLevel="0" collapsed="false">
      <c r="A29" s="28" t="s">
        <v>574</v>
      </c>
      <c r="B29" s="6" t="s">
        <v>575</v>
      </c>
      <c r="C29" s="36" t="n">
        <v>0</v>
      </c>
      <c r="D29" s="26" t="n">
        <f aca="false">C29*(1-Assumptions!$G$41)+D17*((1-(1-Assumptions!$G$32)^(1/12))*Assumptions!$G$40)*MAX(0,D13*Assumptions!$G$27-C29)</f>
        <v>0</v>
      </c>
      <c r="E29" s="26" t="n">
        <f aca="false">D29*(1-Assumptions!$G$41)+E17*((1-(1-Assumptions!$G$32)^(1/12))*Assumptions!$G$40)*MAX(0,E13*Assumptions!$G$27-D29)</f>
        <v>0</v>
      </c>
      <c r="F29" s="26" t="n">
        <f aca="false">E29*(1-Assumptions!$G$41)+F17*((1-(1-Assumptions!$G$32)^(1/12))*Assumptions!$G$40)*MAX(0,F13*Assumptions!$G$27-E29)</f>
        <v>0</v>
      </c>
      <c r="G29" s="26" t="n">
        <f aca="false">F29*(1-Assumptions!$G$41)+G17*((1-(1-Assumptions!$G$32)^(1/12))*Assumptions!$G$40)*MAX(0,G13*Assumptions!$G$27-F29)</f>
        <v>0</v>
      </c>
      <c r="H29" s="26" t="n">
        <f aca="false">G29*(1-Assumptions!$G$41)+H17*((1-(1-Assumptions!$G$32)^(1/12))*Assumptions!$G$40)*MAX(0,H13*Assumptions!$G$27-G29)</f>
        <v>0</v>
      </c>
      <c r="I29" s="26" t="n">
        <f aca="false">H29*(1-Assumptions!$G$41)+I17*((1-(1-Assumptions!$G$32)^(1/12))*Assumptions!$G$40)*MAX(0,I13*Assumptions!$G$27-H29)</f>
        <v>0</v>
      </c>
      <c r="J29" s="26" t="n">
        <f aca="false">I29*(1-Assumptions!$G$41)+J17*((1-(1-Assumptions!$G$32)^(1/12))*Assumptions!$G$40)*MAX(0,J13*Assumptions!$G$27-I29)</f>
        <v>0</v>
      </c>
      <c r="K29" s="26" t="n">
        <f aca="false">J29*(1-Assumptions!$G$41)+K17*((1-(1-Assumptions!$G$32)^(1/12))*Assumptions!$G$40)*MAX(0,K13*Assumptions!$G$27-J29)</f>
        <v>0</v>
      </c>
      <c r="L29" s="26" t="n">
        <f aca="false">K29*(1-Assumptions!$G$41)+L17*((1-(1-Assumptions!$G$32)^(1/12))*Assumptions!$G$40)*MAX(0,L13*Assumptions!$G$27-K29)</f>
        <v>0</v>
      </c>
      <c r="M29" s="26" t="n">
        <f aca="false">L29*(1-Assumptions!$G$41)+M17*((1-(1-Assumptions!$G$32)^(1/12))*Assumptions!$G$40)*MAX(0,M13*Assumptions!$G$27-L29)</f>
        <v>0</v>
      </c>
      <c r="N29" s="26" t="n">
        <f aca="false">M29*(1-Assumptions!$G$41)+N17*((1-(1-Assumptions!$G$32)^(1/12))*Assumptions!$G$40)*MAX(0,N13*Assumptions!$G$27-M29)</f>
        <v>0</v>
      </c>
      <c r="O29" s="26" t="n">
        <f aca="false">N29*(1-Assumptions!$G$41)+O17*((1-(1-Assumptions!$G$32)^(1/12))*Assumptions!$G$40)*MAX(0,O13*Assumptions!$G$27-N29)</f>
        <v>0</v>
      </c>
      <c r="P29" s="26" t="n">
        <f aca="false">O29*(1-Assumptions!$G$41)+P17*((1-(1-Assumptions!$G$32)^(1/12))*Assumptions!$G$40)*MAX(0,P13*Assumptions!$G$27-O29)</f>
        <v>0</v>
      </c>
      <c r="Q29" s="26" t="n">
        <f aca="false">P29*(1-Assumptions!$G$41)+Q17*((1-(1-Assumptions!$G$32)^(1/12))*Assumptions!$G$40)*MAX(0,Q13*Assumptions!$G$27-P29)</f>
        <v>0</v>
      </c>
      <c r="R29" s="26" t="n">
        <f aca="false">Q29*(1-Assumptions!$G$41)+R17*((1-(1-Assumptions!$G$32)^(1/12))*Assumptions!$G$40)*MAX(0,R13*Assumptions!$G$27-Q29)</f>
        <v>0</v>
      </c>
      <c r="S29" s="26" t="n">
        <f aca="false">R29*(1-Assumptions!$G$41)+S17*((1-(1-Assumptions!$G$32)^(1/12))*Assumptions!$G$40)*MAX(0,S13*Assumptions!$G$27-R29)</f>
        <v>1.7369139762518</v>
      </c>
      <c r="T29" s="26" t="n">
        <f aca="false">S29*(1-Assumptions!$G$41)+T17*((1-(1-Assumptions!$G$32)^(1/12))*Assumptions!$G$40)*MAX(0,T13*Assumptions!$G$27-S29)</f>
        <v>3.57403350418546</v>
      </c>
      <c r="U29" s="26" t="n">
        <f aca="false">T29*(1-Assumptions!$G$41)+U17*((1-(1-Assumptions!$G$32)^(1/12))*Assumptions!$G$40)*MAX(0,U13*Assumptions!$G$27-T29)</f>
        <v>5.5042233984331</v>
      </c>
      <c r="V29" s="26" t="n">
        <f aca="false">U29*(1-Assumptions!$G$41)+V17*((1-(1-Assumptions!$G$32)^(1/12))*Assumptions!$G$40)*MAX(0,V13*Assumptions!$G$27-U29)</f>
        <v>7.52089010230296</v>
      </c>
      <c r="W29" s="26" t="n">
        <f aca="false">V29*(1-Assumptions!$G$41)+W17*((1-(1-Assumptions!$G$32)^(1/12))*Assumptions!$G$40)*MAX(0,W13*Assumptions!$G$27-V29)</f>
        <v>9.6899971015571</v>
      </c>
      <c r="X29" s="26" t="n">
        <f aca="false">W29*(1-Assumptions!$G$41)+X17*((1-(1-Assumptions!$G$32)^(1/12))*Assumptions!$G$40)*MAX(0,X13*Assumptions!$G$27-W29)</f>
        <v>11.9910202659093</v>
      </c>
      <c r="Y29" s="26" t="n">
        <f aca="false">X29*(1-Assumptions!$G$41)+Y17*((1-(1-Assumptions!$G$32)^(1/12))*Assumptions!$G$40)*MAX(0,Y13*Assumptions!$G$27-X29)</f>
        <v>14.3935684672108</v>
      </c>
      <c r="Z29" s="26" t="n">
        <f aca="false">Y29*(1-Assumptions!$G$41)+Z17*((1-(1-Assumptions!$G$32)^(1/12))*Assumptions!$G$40)*MAX(0,Z13*Assumptions!$G$27-Y29)</f>
        <v>16.9476051133245</v>
      </c>
      <c r="AA29" s="26" t="n">
        <f aca="false">Z29*(1-Assumptions!$G$41)+AA17*((1-(1-Assumptions!$G$32)^(1/12))*Assumptions!$G$40)*MAX(0,AA13*Assumptions!$G$27-Z29)</f>
        <v>19.6208635895248</v>
      </c>
      <c r="AB29" s="26" t="n">
        <f aca="false">AA29*(1-Assumptions!$G$41)+AB17*((1-(1-Assumptions!$G$32)^(1/12))*Assumptions!$G$40)*MAX(0,AB13*Assumptions!$G$27-AA29)</f>
        <v>22.3808756562762</v>
      </c>
      <c r="AC29" s="26" t="n">
        <f aca="false">AB29*(1-Assumptions!$G$41)+AC17*((1-(1-Assumptions!$G$32)^(1/12))*Assumptions!$G$40)*MAX(0,AC13*Assumptions!$G$27-AB29)</f>
        <v>25.2670705571253</v>
      </c>
      <c r="AD29" s="26" t="n">
        <f aca="false">AC29*(1-Assumptions!$G$41)+AD17*((1-(1-Assumptions!$G$32)^(1/12))*Assumptions!$G$40)*MAX(0,AD13*Assumptions!$G$27-AC29)</f>
        <v>28.3211579133842</v>
      </c>
      <c r="AE29" s="26" t="n">
        <f aca="false">AD29*(1-Assumptions!$G$41)+AE17*((1-(1-Assumptions!$G$32)^(1/12))*Assumptions!$G$40)*MAX(0,AE13*Assumptions!$G$27-AD29)</f>
        <v>31.4946670124842</v>
      </c>
      <c r="AF29" s="26" t="n">
        <f aca="false">AE29*(1-Assumptions!$G$41)+AF17*((1-(1-Assumptions!$G$32)^(1/12))*Assumptions!$G$40)*MAX(0,AF13*Assumptions!$G$27-AE29)</f>
        <v>34.8037275425843</v>
      </c>
      <c r="AG29" s="26" t="n">
        <f aca="false">AF29*(1-Assumptions!$G$41)+AG17*((1-(1-Assumptions!$G$32)^(1/12))*Assumptions!$G$40)*MAX(0,AG13*Assumptions!$G$27-AF29)</f>
        <v>38.274508632976</v>
      </c>
      <c r="AH29" s="26" t="n">
        <f aca="false">AG29*(1-Assumptions!$G$41)+AH17*((1-(1-Assumptions!$G$32)^(1/12))*Assumptions!$G$40)*MAX(0,AH13*Assumptions!$G$27-AG29)</f>
        <v>41.8472211915272</v>
      </c>
      <c r="AI29" s="26" t="n">
        <f aca="false">AH29*(1-Assumptions!$G$41)+AI17*((1-(1-Assumptions!$G$32)^(1/12))*Assumptions!$G$40)*MAX(0,AI13*Assumptions!$G$27-AH29)</f>
        <v>45.5334268663065</v>
      </c>
      <c r="AJ29" s="26" t="n">
        <f aca="false">AI29*(1-Assumptions!$G$41)+AJ17*((1-(1-Assumptions!$G$32)^(1/12))*Assumptions!$G$40)*MAX(0,AJ13*Assumptions!$G$27-AI29)</f>
        <v>49.3493715556216</v>
      </c>
      <c r="AK29" s="26" t="n">
        <f aca="false">AJ29*(1-Assumptions!$G$41)+AK17*((1-(1-Assumptions!$G$32)^(1/12))*Assumptions!$G$40)*MAX(0,AK13*Assumptions!$G$27-AJ29)</f>
        <v>53.3098059695947</v>
      </c>
      <c r="AL29" s="26" t="n">
        <f aca="false">AK29*(1-Assumptions!$G$41)+AL17*((1-(1-Assumptions!$G$32)^(1/12))*Assumptions!$G$40)*MAX(0,AL13*Assumptions!$G$27-AK29)</f>
        <v>57.4136913952037</v>
      </c>
      <c r="AM29" s="26" t="n">
        <f aca="false">AL29*(1-Assumptions!$G$41)+AM17*((1-(1-Assumptions!$G$32)^(1/12))*Assumptions!$G$40)*MAX(0,AM13*Assumptions!$G$27-AL29)</f>
        <v>61.6513215343165</v>
      </c>
      <c r="AN29" s="37" t="n">
        <f aca="false">AM29*(1-Assumptions!$G$41)+AN17*((1-(1-Assumptions!$G$32)^(1/12))*Assumptions!$G$40)*MAX(0,AN13*Assumptions!$G$27-AM29)</f>
        <v>66.0223682436772</v>
      </c>
      <c r="AO29" s="37" t="n">
        <f aca="false">AN29*(1-Assumptions!$G$41)+AO17*((1-(1-Assumptions!$G$32)^(1/12))*Assumptions!$G$40)*MAX(0,AO13*Assumptions!$G$27-AN29)</f>
        <v>70.5149001675452</v>
      </c>
      <c r="AP29" s="37" t="n">
        <f aca="false">AO29*(1-Assumptions!$G$41)+AP17*((1-(1-Assumptions!$G$32)^(1/12))*Assumptions!$G$40)*MAX(0,AP13*Assumptions!$G$27-AO29)</f>
        <v>75.1179178362702</v>
      </c>
      <c r="AQ29" s="37" t="n">
        <f aca="false">AP29*(1-Assumptions!$G$41)+AQ17*((1-(1-Assumptions!$G$32)^(1/12))*Assumptions!$G$40)*MAX(0,AQ13*Assumptions!$G$27-AP29)</f>
        <v>79.8212820409031</v>
      </c>
      <c r="AR29" s="37" t="n">
        <f aca="false">AQ29*(1-Assumptions!$G$41)+AR17*((1-(1-Assumptions!$G$32)^(1/12))*Assumptions!$G$40)*MAX(0,AR13*Assumptions!$G$27-AQ29)</f>
        <v>84.6156477016075</v>
      </c>
      <c r="AS29" s="37" t="n">
        <f aca="false">AR29*(1-Assumptions!$G$41)+AS17*((1-(1-Assumptions!$G$32)^(1/12))*Assumptions!$G$40)*MAX(0,AS13*Assumptions!$G$27-AR29)</f>
        <v>89.4924028086011</v>
      </c>
      <c r="AT29" s="37" t="n">
        <f aca="false">AS29*(1-Assumptions!$G$41)+AT17*((1-(1-Assumptions!$G$32)^(1/12))*Assumptions!$G$40)*MAX(0,AT13*Assumptions!$G$27-AS29)</f>
        <v>94.4407297710576</v>
      </c>
      <c r="AU29" s="37" t="n">
        <f aca="false">AT29*(1-Assumptions!$G$41)+AU17*((1-(1-Assumptions!$G$32)^(1/12))*Assumptions!$G$40)*MAX(0,AU13*Assumptions!$G$27-AT29)</f>
        <v>99.4535677474359</v>
      </c>
      <c r="AV29" s="37" t="n">
        <f aca="false">AU29*(1-Assumptions!$G$41)+AV17*((1-(1-Assumptions!$G$32)^(1/12))*Assumptions!$G$40)*MAX(0,AV13*Assumptions!$G$27-AU29)</f>
        <v>104.524413036666</v>
      </c>
      <c r="AW29" s="37" t="n">
        <f aca="false">AV29*(1-Assumptions!$G$41)+AW17*((1-(1-Assumptions!$G$32)^(1/12))*Assumptions!$G$40)*MAX(0,AW13*Assumptions!$G$27-AV29)</f>
        <v>109.644393924786</v>
      </c>
      <c r="AX29" s="37" t="n">
        <f aca="false">AW29*(1-Assumptions!$G$41)+AX17*((1-(1-Assumptions!$G$32)^(1/12))*Assumptions!$G$40)*MAX(0,AX13*Assumptions!$G$27-AW29)</f>
        <v>114.808245477943</v>
      </c>
      <c r="AY29" s="37" t="n">
        <f aca="false">AX29*(1-Assumptions!$G$41)+AY17*((1-(1-Assumptions!$G$32)^(1/12))*Assumptions!$G$40)*MAX(0,AY13*Assumptions!$G$27-AX29)</f>
        <v>120.011121440565</v>
      </c>
      <c r="AZ29" s="37" t="n">
        <f aca="false">AY29*(1-Assumptions!$G$41)+AZ17*((1-(1-Assumptions!$G$32)^(1/12))*Assumptions!$G$40)*MAX(0,AZ13*Assumptions!$G$27-AY29)</f>
        <v>125.245679706569</v>
      </c>
      <c r="BA29" s="37" t="n">
        <f aca="false">AZ29*(1-Assumptions!$G$41)+BA17*((1-(1-Assumptions!$G$32)^(1/12))*Assumptions!$G$40)*MAX(0,BA13*Assumptions!$G$27-AZ29)</f>
        <v>130.505184646591</v>
      </c>
      <c r="BB29" s="37" t="n">
        <f aca="false">BA29*(1-Assumptions!$G$41)+BB17*((1-(1-Assumptions!$G$32)^(1/12))*Assumptions!$G$40)*MAX(0,BB13*Assumptions!$G$27-BA29)</f>
        <v>135.786342445116</v>
      </c>
      <c r="BC29" s="37" t="n">
        <f aca="false">BB29*(1-Assumptions!$G$41)+BC17*((1-(1-Assumptions!$G$32)^(1/12))*Assumptions!$G$40)*MAX(0,BC13*Assumptions!$G$27-BB29)</f>
        <v>141.083243384102</v>
      </c>
      <c r="BD29" s="37" t="n">
        <f aca="false">BC29*(1-Assumptions!$G$41)+BD17*((1-(1-Assumptions!$G$32)^(1/12))*Assumptions!$G$40)*MAX(0,BD13*Assumptions!$G$27-BC29)</f>
        <v>146.390473385713</v>
      </c>
      <c r="BE29" s="37" t="n">
        <f aca="false">BD29*(1-Assumptions!$G$41)+BE17*((1-(1-Assumptions!$G$32)^(1/12))*Assumptions!$G$40)*MAX(0,BE13*Assumptions!$G$27-BD29)</f>
        <v>151.705957858216</v>
      </c>
      <c r="BF29" s="37" t="n">
        <f aca="false">BE29*(1-Assumptions!$G$41)+BF17*((1-(1-Assumptions!$G$32)^(1/12))*Assumptions!$G$40)*MAX(0,BF13*Assumptions!$G$27-BE29)</f>
        <v>157.024911835847</v>
      </c>
      <c r="BG29" s="37" t="n">
        <f aca="false">BF29*(1-Assumptions!$G$41)+BG17*((1-(1-Assumptions!$G$32)^(1/12))*Assumptions!$G$40)*MAX(0,BG13*Assumptions!$G$27-BF29)</f>
        <v>162.342958775269</v>
      </c>
      <c r="BH29" s="37" t="n">
        <f aca="false">BG29*(1-Assumptions!$G$41)+BH17*((1-(1-Assumptions!$G$32)^(1/12))*Assumptions!$G$40)*MAX(0,BH13*Assumptions!$G$27-BG29)</f>
        <v>167.656098823314</v>
      </c>
      <c r="BI29" s="37" t="n">
        <f aca="false">BH29*(1-Assumptions!$G$41)+BI17*((1-(1-Assumptions!$G$32)^(1/12))*Assumptions!$G$40)*MAX(0,BI13*Assumptions!$G$27-BH29)</f>
        <v>172.960679522035</v>
      </c>
      <c r="BJ29" s="37" t="n">
        <f aca="false">BI29*(1-Assumptions!$G$41)+BJ17*((1-(1-Assumptions!$G$32)^(1/12))*Assumptions!$G$40)*MAX(0,BJ13*Assumptions!$G$27-BI29)</f>
        <v>178.25336876416</v>
      </c>
      <c r="BK29" s="37" t="n">
        <f aca="false">BJ29*(1-Assumptions!$G$41)+BK17*((1-(1-Assumptions!$G$32)^(1/12))*Assumptions!$G$40)*MAX(0,BK13*Assumptions!$G$27-BJ29)</f>
        <v>183.531129826333</v>
      </c>
    </row>
    <row r="30" customFormat="false" ht="15" hidden="false" customHeight="false" outlineLevel="0" collapsed="false">
      <c r="A30" s="28" t="s">
        <v>576</v>
      </c>
      <c r="B30" s="6" t="s">
        <v>577</v>
      </c>
      <c r="C30" s="36" t="n">
        <v>0</v>
      </c>
      <c r="D30" s="26" t="n">
        <f aca="false">C30*(1-Assumptions!$G$41)+D16*((1-(1-Assumptions!$G$33)^(1/12))*Assumptions!$G$40)*MAX(0,D13*Assumptions!$G$28-C30)</f>
        <v>0</v>
      </c>
      <c r="E30" s="26" t="n">
        <f aca="false">D30*(1-Assumptions!$G$41)+E16*((1-(1-Assumptions!$G$33)^(1/12))*Assumptions!$G$40)*MAX(0,E13*Assumptions!$G$28-D30)</f>
        <v>0</v>
      </c>
      <c r="F30" s="26" t="n">
        <f aca="false">E30*(1-Assumptions!$G$41)+F16*((1-(1-Assumptions!$G$33)^(1/12))*Assumptions!$G$40)*MAX(0,F13*Assumptions!$G$28-E30)</f>
        <v>0</v>
      </c>
      <c r="G30" s="26" t="n">
        <f aca="false">F30*(1-Assumptions!$G$41)+G16*((1-(1-Assumptions!$G$33)^(1/12))*Assumptions!$G$40)*MAX(0,G13*Assumptions!$G$28-F30)</f>
        <v>0</v>
      </c>
      <c r="H30" s="26" t="n">
        <f aca="false">G30*(1-Assumptions!$G$41)+H16*((1-(1-Assumptions!$G$33)^(1/12))*Assumptions!$G$40)*MAX(0,H13*Assumptions!$G$28-G30)</f>
        <v>0</v>
      </c>
      <c r="I30" s="26" t="n">
        <f aca="false">H30*(1-Assumptions!$G$41)+I16*((1-(1-Assumptions!$G$33)^(1/12))*Assumptions!$G$40)*MAX(0,I13*Assumptions!$G$28-H30)</f>
        <v>0</v>
      </c>
      <c r="J30" s="26" t="n">
        <f aca="false">I30*(1-Assumptions!$G$41)+J16*((1-(1-Assumptions!$G$33)^(1/12))*Assumptions!$G$40)*MAX(0,J13*Assumptions!$G$28-I30)</f>
        <v>0</v>
      </c>
      <c r="K30" s="26" t="n">
        <f aca="false">J30*(1-Assumptions!$G$41)+K16*((1-(1-Assumptions!$G$33)^(1/12))*Assumptions!$G$40)*MAX(0,K13*Assumptions!$G$28-J30)</f>
        <v>0</v>
      </c>
      <c r="L30" s="26" t="n">
        <f aca="false">K30*(1-Assumptions!$G$41)+L16*((1-(1-Assumptions!$G$33)^(1/12))*Assumptions!$G$40)*MAX(0,L13*Assumptions!$G$28-K30)</f>
        <v>0</v>
      </c>
      <c r="M30" s="26" t="n">
        <f aca="false">L30*(1-Assumptions!$G$41)+M16*((1-(1-Assumptions!$G$33)^(1/12))*Assumptions!$G$40)*MAX(0,M13*Assumptions!$G$28-L30)</f>
        <v>0</v>
      </c>
      <c r="N30" s="26" t="n">
        <f aca="false">M30*(1-Assumptions!$G$41)+N16*((1-(1-Assumptions!$G$33)^(1/12))*Assumptions!$G$40)*MAX(0,N13*Assumptions!$G$28-M30)</f>
        <v>0</v>
      </c>
      <c r="O30" s="26" t="n">
        <f aca="false">N30*(1-Assumptions!$G$41)+O16*((1-(1-Assumptions!$G$33)^(1/12))*Assumptions!$G$40)*MAX(0,O13*Assumptions!$G$28-N30)</f>
        <v>0</v>
      </c>
      <c r="P30" s="26" t="n">
        <f aca="false">O30*(1-Assumptions!$G$41)+P16*((1-(1-Assumptions!$G$33)^(1/12))*Assumptions!$G$40)*MAX(0,P13*Assumptions!$G$28-O30)</f>
        <v>0</v>
      </c>
      <c r="Q30" s="26" t="n">
        <f aca="false">P30*(1-Assumptions!$G$41)+Q16*((1-(1-Assumptions!$G$33)^(1/12))*Assumptions!$G$40)*MAX(0,Q13*Assumptions!$G$28-P30)</f>
        <v>0</v>
      </c>
      <c r="R30" s="26" t="n">
        <f aca="false">Q30*(1-Assumptions!$G$41)+R16*((1-(1-Assumptions!$G$33)^(1/12))*Assumptions!$G$40)*MAX(0,R13*Assumptions!$G$28-Q30)</f>
        <v>0</v>
      </c>
      <c r="S30" s="26" t="n">
        <f aca="false">R30*(1-Assumptions!$G$41)+S16*((1-(1-Assumptions!$G$33)^(1/12))*Assumptions!$G$40)*MAX(0,S13*Assumptions!$G$28-R30)</f>
        <v>0.33638311461932</v>
      </c>
      <c r="T30" s="26" t="n">
        <f aca="false">S30*(1-Assumptions!$G$41)+T16*((1-(1-Assumptions!$G$33)^(1/12))*Assumptions!$G$40)*MAX(0,T13*Assumptions!$G$28-S30)</f>
        <v>0.704514841238695</v>
      </c>
      <c r="U30" s="26" t="n">
        <f aca="false">T30*(1-Assumptions!$G$41)+U16*((1-(1-Assumptions!$G$33)^(1/12))*Assumptions!$G$40)*MAX(0,U13*Assumptions!$G$28-T30)</f>
        <v>1.10323183581848</v>
      </c>
      <c r="V30" s="26" t="n">
        <f aca="false">U30*(1-Assumptions!$G$41)+V16*((1-(1-Assumptions!$G$33)^(1/12))*Assumptions!$G$40)*MAX(0,V13*Assumptions!$G$28-U30)</f>
        <v>1.5314162115293</v>
      </c>
      <c r="W30" s="26" t="n">
        <f aca="false">V30*(1-Assumptions!$G$41)+W16*((1-(1-Assumptions!$G$33)^(1/12))*Assumptions!$G$40)*MAX(0,W13*Assumptions!$G$28-V30)</f>
        <v>2.00194878148104</v>
      </c>
      <c r="X30" s="26" t="n">
        <f aca="false">W30*(1-Assumptions!$G$41)+X16*((1-(1-Assumptions!$G$33)^(1/12))*Assumptions!$G$40)*MAX(0,X13*Assumptions!$G$28-W30)</f>
        <v>2.51142503964951</v>
      </c>
      <c r="Y30" s="26" t="n">
        <f aca="false">X30*(1-Assumptions!$G$41)+Y16*((1-(1-Assumptions!$G$33)^(1/12))*Assumptions!$G$40)*MAX(0,Y13*Assumptions!$G$28-X30)</f>
        <v>3.05436092089118</v>
      </c>
      <c r="Z30" s="26" t="n">
        <f aca="false">Y30*(1-Assumptions!$G$41)+Z16*((1-(1-Assumptions!$G$33)^(1/12))*Assumptions!$G$40)*MAX(0,Z13*Assumptions!$G$28-Y30)</f>
        <v>3.6406023761366</v>
      </c>
      <c r="AA30" s="26" t="n">
        <f aca="false">Z30*(1-Assumptions!$G$41)+AA16*((1-(1-Assumptions!$G$33)^(1/12))*Assumptions!$G$40)*MAX(0,AA13*Assumptions!$G$28-Z30)</f>
        <v>4.26441834804413</v>
      </c>
      <c r="AB30" s="26" t="n">
        <f aca="false">AA30*(1-Assumptions!$G$41)+AB16*((1-(1-Assumptions!$G$33)^(1/12))*Assumptions!$G$40)*MAX(0,AB13*Assumptions!$G$28-AA30)</f>
        <v>4.91978874185619</v>
      </c>
      <c r="AC30" s="26" t="n">
        <f aca="false">AB30*(1-Assumptions!$G$41)+AC16*((1-(1-Assumptions!$G$33)^(1/12))*Assumptions!$G$40)*MAX(0,AC13*Assumptions!$G$28-AB30)</f>
        <v>5.61437621520463</v>
      </c>
      <c r="AD30" s="26" t="n">
        <f aca="false">AC30*(1-Assumptions!$G$41)+AD16*((1-(1-Assumptions!$G$33)^(1/12))*Assumptions!$G$40)*MAX(0,AD13*Assumptions!$G$28-AC30)</f>
        <v>6.35656417453659</v>
      </c>
      <c r="AE30" s="26" t="n">
        <f aca="false">AD30*(1-Assumptions!$G$41)+AE16*((1-(1-Assumptions!$G$33)^(1/12))*Assumptions!$G$40)*MAX(0,AE13*Assumptions!$G$28-AD30)</f>
        <v>7.13755521877058</v>
      </c>
      <c r="AF30" s="26" t="n">
        <f aca="false">AE30*(1-Assumptions!$G$41)+AF16*((1-(1-Assumptions!$G$33)^(1/12))*Assumptions!$G$40)*MAX(0,AF13*Assumptions!$G$28-AE30)</f>
        <v>7.96069491478357</v>
      </c>
      <c r="AG30" s="26" t="n">
        <f aca="false">AF30*(1-Assumptions!$G$41)+AG16*((1-(1-Assumptions!$G$33)^(1/12))*Assumptions!$G$40)*MAX(0,AG13*Assumptions!$G$28-AF30)</f>
        <v>8.83137888440132</v>
      </c>
      <c r="AH30" s="26" t="n">
        <f aca="false">AG30*(1-Assumptions!$G$41)+AH16*((1-(1-Assumptions!$G$33)^(1/12))*Assumptions!$G$40)*MAX(0,AH13*Assumptions!$G$28-AG30)</f>
        <v>9.73852832362751</v>
      </c>
      <c r="AI30" s="26" t="n">
        <f aca="false">AH30*(1-Assumptions!$G$41)+AI16*((1-(1-Assumptions!$G$33)^(1/12))*Assumptions!$G$40)*MAX(0,AI13*Assumptions!$G$28-AH30)</f>
        <v>10.6844378645878</v>
      </c>
      <c r="AJ30" s="26" t="n">
        <f aca="false">AI30*(1-Assumptions!$G$41)+AJ16*((1-(1-Assumptions!$G$33)^(1/12))*Assumptions!$G$40)*MAX(0,AJ13*Assumptions!$G$28-AI30)</f>
        <v>11.6723892587586</v>
      </c>
      <c r="AK30" s="26" t="n">
        <f aca="false">AJ30*(1-Assumptions!$G$41)+AK16*((1-(1-Assumptions!$G$33)^(1/12))*Assumptions!$G$40)*MAX(0,AK13*Assumptions!$G$28-AJ30)</f>
        <v>12.7054847117542</v>
      </c>
      <c r="AL30" s="26" t="n">
        <f aca="false">AK30*(1-Assumptions!$G$41)+AL16*((1-(1-Assumptions!$G$33)^(1/12))*Assumptions!$G$40)*MAX(0,AL13*Assumptions!$G$28-AK30)</f>
        <v>13.7838635361246</v>
      </c>
      <c r="AM30" s="26" t="n">
        <f aca="false">AL30*(1-Assumptions!$G$41)+AM16*((1-(1-Assumptions!$G$33)^(1/12))*Assumptions!$G$40)*MAX(0,AM13*Assumptions!$G$28-AL30)</f>
        <v>14.9059654225546</v>
      </c>
      <c r="AN30" s="37" t="n">
        <f aca="false">AM30*(1-Assumptions!$G$41)+AN16*((1-(1-Assumptions!$G$33)^(1/12))*Assumptions!$G$40)*MAX(0,AN13*Assumptions!$G$28-AM30)</f>
        <v>16.0719645560173</v>
      </c>
      <c r="AO30" s="37" t="n">
        <f aca="false">AN30*(1-Assumptions!$G$41)+AO16*((1-(1-Assumptions!$G$33)^(1/12))*Assumptions!$G$40)*MAX(0,AO13*Assumptions!$G$28-AN30)</f>
        <v>17.2797761226629</v>
      </c>
      <c r="AP30" s="37" t="n">
        <f aca="false">AO30*(1-Assumptions!$G$41)+AP16*((1-(1-Assumptions!$G$33)^(1/12))*Assumptions!$G$40)*MAX(0,AP13*Assumptions!$G$28-AO30)</f>
        <v>18.5274019699136</v>
      </c>
      <c r="AQ30" s="37" t="n">
        <f aca="false">AP30*(1-Assumptions!$G$41)+AQ16*((1-(1-Assumptions!$G$33)^(1/12))*Assumptions!$G$40)*MAX(0,AQ13*Assumptions!$G$28-AP30)</f>
        <v>19.8129271081459</v>
      </c>
      <c r="AR30" s="37" t="n">
        <f aca="false">AQ30*(1-Assumptions!$G$41)+AR16*((1-(1-Assumptions!$G$33)^(1/12))*Assumptions!$G$40)*MAX(0,AR13*Assumptions!$G$28-AQ30)</f>
        <v>21.1345163525921</v>
      </c>
      <c r="AS30" s="37" t="n">
        <f aca="false">AR30*(1-Assumptions!$G$41)+AS16*((1-(1-Assumptions!$G$33)^(1/12))*Assumptions!$G$40)*MAX(0,AS13*Assumptions!$G$28-AR30)</f>
        <v>22.4904110998491</v>
      </c>
      <c r="AT30" s="37" t="n">
        <f aca="false">AS30*(1-Assumptions!$G$41)+AT16*((1-(1-Assumptions!$G$33)^(1/12))*Assumptions!$G$40)*MAX(0,AT13*Assumptions!$G$28-AS30)</f>
        <v>23.8783680316175</v>
      </c>
      <c r="AU30" s="37" t="n">
        <f aca="false">AT30*(1-Assumptions!$G$41)+AU16*((1-(1-Assumptions!$G$33)^(1/12))*Assumptions!$G$40)*MAX(0,AU13*Assumptions!$G$28-AT30)</f>
        <v>25.2968004516106</v>
      </c>
      <c r="AV30" s="37" t="n">
        <f aca="false">AU30*(1-Assumptions!$G$41)+AV16*((1-(1-Assumptions!$G$33)^(1/12))*Assumptions!$G$40)*MAX(0,AV13*Assumptions!$G$28-AU30)</f>
        <v>26.7441881576957</v>
      </c>
      <c r="AW30" s="37" t="n">
        <f aca="false">AV30*(1-Assumptions!$G$41)+AW16*((1-(1-Assumptions!$G$33)^(1/12))*Assumptions!$G$40)*MAX(0,AW13*Assumptions!$G$28-AV30)</f>
        <v>28.2185165505031</v>
      </c>
      <c r="AX30" s="37" t="n">
        <f aca="false">AW30*(1-Assumptions!$G$41)+AX16*((1-(1-Assumptions!$G$33)^(1/12))*Assumptions!$G$40)*MAX(0,AX13*Assumptions!$G$28-AW30)</f>
        <v>29.7184183590008</v>
      </c>
      <c r="AY30" s="37" t="n">
        <f aca="false">AX30*(1-Assumptions!$G$41)+AY16*((1-(1-Assumptions!$G$33)^(1/12))*Assumptions!$G$40)*MAX(0,AY13*Assumptions!$G$28-AX30)</f>
        <v>31.2425838857447</v>
      </c>
      <c r="AZ30" s="37" t="n">
        <f aca="false">AY30*(1-Assumptions!$G$41)+AZ16*((1-(1-Assumptions!$G$33)^(1/12))*Assumptions!$G$40)*MAX(0,AZ13*Assumptions!$G$28-AY30)</f>
        <v>32.7892004736616</v>
      </c>
      <c r="BA30" s="37" t="n">
        <f aca="false">AZ30*(1-Assumptions!$G$41)+BA16*((1-(1-Assumptions!$G$33)^(1/12))*Assumptions!$G$40)*MAX(0,BA13*Assumptions!$G$28-AZ30)</f>
        <v>34.3565363734683</v>
      </c>
      <c r="BB30" s="37" t="n">
        <f aca="false">BA30*(1-Assumptions!$G$41)+BB16*((1-(1-Assumptions!$G$33)^(1/12))*Assumptions!$G$40)*MAX(0,BB13*Assumptions!$G$28-BA30)</f>
        <v>35.9434956261208</v>
      </c>
      <c r="BC30" s="37" t="n">
        <f aca="false">BB30*(1-Assumptions!$G$41)+BC16*((1-(1-Assumptions!$G$33)^(1/12))*Assumptions!$G$40)*MAX(0,BC13*Assumptions!$G$28-BB30)</f>
        <v>37.5484705697277</v>
      </c>
      <c r="BD30" s="37" t="n">
        <f aca="false">BC30*(1-Assumptions!$G$41)+BD16*((1-(1-Assumptions!$G$33)^(1/12))*Assumptions!$G$40)*MAX(0,BD13*Assumptions!$G$28-BC30)</f>
        <v>39.1699260585517</v>
      </c>
      <c r="BE30" s="37" t="n">
        <f aca="false">BD30*(1-Assumptions!$G$41)+BE16*((1-(1-Assumptions!$G$33)^(1/12))*Assumptions!$G$40)*MAX(0,BE13*Assumptions!$G$28-BD30)</f>
        <v>40.8069546829643</v>
      </c>
      <c r="BF30" s="37" t="n">
        <f aca="false">BE30*(1-Assumptions!$G$41)+BF16*((1-(1-Assumptions!$G$33)^(1/12))*Assumptions!$G$40)*MAX(0,BF13*Assumptions!$G$28-BE30)</f>
        <v>42.4581296003476</v>
      </c>
      <c r="BG30" s="37" t="n">
        <f aca="false">BF30*(1-Assumptions!$G$41)+BG16*((1-(1-Assumptions!$G$33)^(1/12))*Assumptions!$G$40)*MAX(0,BG13*Assumptions!$G$28-BF30)</f>
        <v>44.122089065111</v>
      </c>
      <c r="BH30" s="37" t="n">
        <f aca="false">BG30*(1-Assumptions!$G$41)+BH16*((1-(1-Assumptions!$G$33)^(1/12))*Assumptions!$G$40)*MAX(0,BH13*Assumptions!$G$28-BG30)</f>
        <v>45.7975337452106</v>
      </c>
      <c r="BI30" s="37" t="n">
        <f aca="false">BH30*(1-Assumptions!$G$41)+BI16*((1-(1-Assumptions!$G$33)^(1/12))*Assumptions!$G$40)*MAX(0,BI13*Assumptions!$G$28-BH30)</f>
        <v>47.4832241467788</v>
      </c>
      <c r="BJ30" s="37" t="n">
        <f aca="false">BI30*(1-Assumptions!$G$41)+BJ16*((1-(1-Assumptions!$G$33)^(1/12))*Assumptions!$G$40)*MAX(0,BJ13*Assumptions!$G$28-BI30)</f>
        <v>49.1779781425321</v>
      </c>
      <c r="BK30" s="37" t="n">
        <f aca="false">BJ30*(1-Assumptions!$G$41)+BK16*((1-(1-Assumptions!$G$33)^(1/12))*Assumptions!$G$40)*MAX(0,BK13*Assumptions!$G$28-BJ30)</f>
        <v>50.8806685998002</v>
      </c>
    </row>
    <row r="31" customFormat="false" ht="15" hidden="false" customHeight="false" outlineLevel="0" collapsed="false">
      <c r="A31" s="28" t="s">
        <v>578</v>
      </c>
      <c r="B31" s="6" t="s">
        <v>579</v>
      </c>
      <c r="C31" s="36" t="n">
        <v>0</v>
      </c>
      <c r="D31" s="26" t="n">
        <f aca="false">C31*(1-Assumptions!$G$41)+D16*((1-(1-Assumptions!$G$34)^(1/12))*Assumptions!$G$40)*MAX(0,D13*Assumptions!$G$29-C31)</f>
        <v>0</v>
      </c>
      <c r="E31" s="26" t="n">
        <f aca="false">D31*(1-Assumptions!$G$41)+E16*((1-(1-Assumptions!$G$34)^(1/12))*Assumptions!$G$40)*MAX(0,E13*Assumptions!$G$29-D31)</f>
        <v>0</v>
      </c>
      <c r="F31" s="26" t="n">
        <f aca="false">E31*(1-Assumptions!$G$41)+F16*((1-(1-Assumptions!$G$34)^(1/12))*Assumptions!$G$40)*MAX(0,F13*Assumptions!$G$29-E31)</f>
        <v>0</v>
      </c>
      <c r="G31" s="26" t="n">
        <f aca="false">F31*(1-Assumptions!$G$41)+G16*((1-(1-Assumptions!$G$34)^(1/12))*Assumptions!$G$40)*MAX(0,G13*Assumptions!$G$29-F31)</f>
        <v>0</v>
      </c>
      <c r="H31" s="26" t="n">
        <f aca="false">G31*(1-Assumptions!$G$41)+H16*((1-(1-Assumptions!$G$34)^(1/12))*Assumptions!$G$40)*MAX(0,H13*Assumptions!$G$29-G31)</f>
        <v>0</v>
      </c>
      <c r="I31" s="26" t="n">
        <f aca="false">H31*(1-Assumptions!$G$41)+I16*((1-(1-Assumptions!$G$34)^(1/12))*Assumptions!$G$40)*MAX(0,I13*Assumptions!$G$29-H31)</f>
        <v>0</v>
      </c>
      <c r="J31" s="26" t="n">
        <f aca="false">I31*(1-Assumptions!$G$41)+J16*((1-(1-Assumptions!$G$34)^(1/12))*Assumptions!$G$40)*MAX(0,J13*Assumptions!$G$29-I31)</f>
        <v>0</v>
      </c>
      <c r="K31" s="26" t="n">
        <f aca="false">J31*(1-Assumptions!$G$41)+K16*((1-(1-Assumptions!$G$34)^(1/12))*Assumptions!$G$40)*MAX(0,K13*Assumptions!$G$29-J31)</f>
        <v>0</v>
      </c>
      <c r="L31" s="26" t="n">
        <f aca="false">K31*(1-Assumptions!$G$41)+L16*((1-(1-Assumptions!$G$34)^(1/12))*Assumptions!$G$40)*MAX(0,L13*Assumptions!$G$29-K31)</f>
        <v>0</v>
      </c>
      <c r="M31" s="26" t="n">
        <f aca="false">L31*(1-Assumptions!$G$41)+M16*((1-(1-Assumptions!$G$34)^(1/12))*Assumptions!$G$40)*MAX(0,M13*Assumptions!$G$29-L31)</f>
        <v>0</v>
      </c>
      <c r="N31" s="26" t="n">
        <f aca="false">M31*(1-Assumptions!$G$41)+N16*((1-(1-Assumptions!$G$34)^(1/12))*Assumptions!$G$40)*MAX(0,N13*Assumptions!$G$29-M31)</f>
        <v>0</v>
      </c>
      <c r="O31" s="26" t="n">
        <f aca="false">N31*(1-Assumptions!$G$41)+O16*((1-(1-Assumptions!$G$34)^(1/12))*Assumptions!$G$40)*MAX(0,O13*Assumptions!$G$29-N31)</f>
        <v>0</v>
      </c>
      <c r="P31" s="26" t="n">
        <f aca="false">O31*(1-Assumptions!$G$41)+P16*((1-(1-Assumptions!$G$34)^(1/12))*Assumptions!$G$40)*MAX(0,P13*Assumptions!$G$29-O31)</f>
        <v>0</v>
      </c>
      <c r="Q31" s="26" t="n">
        <f aca="false">P31*(1-Assumptions!$G$41)+Q16*((1-(1-Assumptions!$G$34)^(1/12))*Assumptions!$G$40)*MAX(0,Q13*Assumptions!$G$29-P31)</f>
        <v>0</v>
      </c>
      <c r="R31" s="26" t="n">
        <f aca="false">Q31*(1-Assumptions!$G$41)+R16*((1-(1-Assumptions!$G$34)^(1/12))*Assumptions!$G$40)*MAX(0,R13*Assumptions!$G$29-Q31)</f>
        <v>0</v>
      </c>
      <c r="S31" s="26" t="n">
        <f aca="false">R31*(1-Assumptions!$G$41)+S16*((1-(1-Assumptions!$G$34)^(1/12))*Assumptions!$G$40)*MAX(0,S13*Assumptions!$G$29-R31)</f>
        <v>0.071106495536752</v>
      </c>
      <c r="T31" s="26" t="n">
        <f aca="false">S31*(1-Assumptions!$G$41)+T16*((1-(1-Assumptions!$G$34)^(1/12))*Assumptions!$G$40)*MAX(0,T13*Assumptions!$G$29-S31)</f>
        <v>0.149773383280386</v>
      </c>
      <c r="U31" s="26" t="n">
        <f aca="false">T31*(1-Assumptions!$G$41)+U16*((1-(1-Assumptions!$G$34)^(1/12))*Assumptions!$G$40)*MAX(0,U13*Assumptions!$G$29-T31)</f>
        <v>0.235811082779329</v>
      </c>
      <c r="V31" s="26" t="n">
        <f aca="false">U31*(1-Assumptions!$G$41)+V16*((1-(1-Assumptions!$G$34)^(1/12))*Assumptions!$G$40)*MAX(0,V13*Assumptions!$G$29-U31)</f>
        <v>0.329035105848535</v>
      </c>
      <c r="W31" s="26" t="n">
        <f aca="false">V31*(1-Assumptions!$G$41)+W16*((1-(1-Assumptions!$G$34)^(1/12))*Assumptions!$G$40)*MAX(0,W13*Assumptions!$G$29-V31)</f>
        <v>0.432215810468883</v>
      </c>
      <c r="X31" s="26" t="n">
        <f aca="false">W31*(1-Assumptions!$G$41)+X16*((1-(1-Assumptions!$G$34)^(1/12))*Assumptions!$G$40)*MAX(0,X13*Assumptions!$G$29-W31)</f>
        <v>0.544712259388141</v>
      </c>
      <c r="Y31" s="26" t="n">
        <f aca="false">X31*(1-Assumptions!$G$41)+Y16*((1-(1-Assumptions!$G$34)^(1/12))*Assumptions!$G$40)*MAX(0,Y13*Assumptions!$G$29-X31)</f>
        <v>0.665433124299507</v>
      </c>
      <c r="Z31" s="26" t="n">
        <f aca="false">Y31*(1-Assumptions!$G$41)+Z16*((1-(1-Assumptions!$G$34)^(1/12))*Assumptions!$G$40)*MAX(0,Z13*Assumptions!$G$29-Y31)</f>
        <v>0.796511869819581</v>
      </c>
      <c r="AA31" s="26" t="n">
        <f aca="false">Z31*(1-Assumptions!$G$41)+AA16*((1-(1-Assumptions!$G$34)^(1/12))*Assumptions!$G$40)*MAX(0,AA13*Assumptions!$G$29-Z31)</f>
        <v>0.936812600531911</v>
      </c>
      <c r="AB31" s="26" t="n">
        <f aca="false">AA31*(1-Assumptions!$G$41)+AB16*((1-(1-Assumptions!$G$34)^(1/12))*Assumptions!$G$40)*MAX(0,AB13*Assumptions!$G$29-AA31)</f>
        <v>1.08512173542653</v>
      </c>
      <c r="AC31" s="26" t="n">
        <f aca="false">AB31*(1-Assumptions!$G$41)+AC16*((1-(1-Assumptions!$G$34)^(1/12))*Assumptions!$G$40)*MAX(0,AC13*Assumptions!$G$29-AB31)</f>
        <v>1.24310117646917</v>
      </c>
      <c r="AD31" s="26" t="n">
        <f aca="false">AC31*(1-Assumptions!$G$41)+AD16*((1-(1-Assumptions!$G$34)^(1/12))*Assumptions!$G$40)*MAX(0,AD13*Assumptions!$G$29-AC31)</f>
        <v>1.41258334431475</v>
      </c>
      <c r="AE31" s="26" t="n">
        <f aca="false">AD31*(1-Assumptions!$G$41)+AE16*((1-(1-Assumptions!$G$34)^(1/12))*Assumptions!$G$40)*MAX(0,AE13*Assumptions!$G$29-AD31)</f>
        <v>1.59178835994225</v>
      </c>
      <c r="AF31" s="26" t="n">
        <f aca="false">AE31*(1-Assumptions!$G$41)+AF16*((1-(1-Assumptions!$G$34)^(1/12))*Assumptions!$G$40)*MAX(0,AF13*Assumptions!$G$29-AE31)</f>
        <v>1.78147874509767</v>
      </c>
      <c r="AG31" s="26" t="n">
        <f aca="false">AF31*(1-Assumptions!$G$41)+AG16*((1-(1-Assumptions!$G$34)^(1/12))*Assumptions!$G$40)*MAX(0,AG13*Assumptions!$G$29-AF31)</f>
        <v>1.98285726780279</v>
      </c>
      <c r="AH31" s="26" t="n">
        <f aca="false">AG31*(1-Assumptions!$G$41)+AH16*((1-(1-Assumptions!$G$34)^(1/12))*Assumptions!$G$40)*MAX(0,AH13*Assumptions!$G$29-AG31)</f>
        <v>2.19365611867881</v>
      </c>
      <c r="AI31" s="26" t="n">
        <f aca="false">AH31*(1-Assumptions!$G$41)+AI16*((1-(1-Assumptions!$G$34)^(1/12))*Assumptions!$G$40)*MAX(0,AI13*Assumptions!$G$29-AH31)</f>
        <v>2.41440439194171</v>
      </c>
      <c r="AJ31" s="26" t="n">
        <f aca="false">AI31*(1-Assumptions!$G$41)+AJ16*((1-(1-Assumptions!$G$34)^(1/12))*Assumptions!$G$40)*MAX(0,AJ13*Assumptions!$G$29-AI31)</f>
        <v>2.64584440209766</v>
      </c>
      <c r="AK31" s="26" t="n">
        <f aca="false">AJ31*(1-Assumptions!$G$41)+AK16*((1-(1-Assumptions!$G$34)^(1/12))*Assumptions!$G$40)*MAX(0,AK13*Assumptions!$G$29-AJ31)</f>
        <v>2.88868743205399</v>
      </c>
      <c r="AL31" s="26" t="n">
        <f aca="false">AK31*(1-Assumptions!$G$41)+AL16*((1-(1-Assumptions!$G$34)^(1/12))*Assumptions!$G$40)*MAX(0,AL13*Assumptions!$G$29-AK31)</f>
        <v>3.14302472663891</v>
      </c>
      <c r="AM31" s="26" t="n">
        <f aca="false">AL31*(1-Assumptions!$G$41)+AM16*((1-(1-Assumptions!$G$34)^(1/12))*Assumptions!$G$40)*MAX(0,AM13*Assumptions!$G$29-AL31)</f>
        <v>3.40858687397584</v>
      </c>
      <c r="AN31" s="37" t="n">
        <f aca="false">AM31*(1-Assumptions!$G$41)+AN16*((1-(1-Assumptions!$G$34)^(1/12))*Assumptions!$G$40)*MAX(0,AN13*Assumptions!$G$29-AM31)</f>
        <v>3.68546547571928</v>
      </c>
      <c r="AO31" s="37" t="n">
        <f aca="false">AN31*(1-Assumptions!$G$41)+AO16*((1-(1-Assumptions!$G$34)^(1/12))*Assumptions!$G$40)*MAX(0,AO13*Assumptions!$G$29-AN31)</f>
        <v>3.97327351743165</v>
      </c>
      <c r="AP31" s="37" t="n">
        <f aca="false">AO31*(1-Assumptions!$G$41)+AP16*((1-(1-Assumptions!$G$34)^(1/12))*Assumptions!$G$40)*MAX(0,AP13*Assumptions!$G$29-AO31)</f>
        <v>4.27163553491653</v>
      </c>
      <c r="AQ31" s="37" t="n">
        <f aca="false">AP31*(1-Assumptions!$G$41)+AQ16*((1-(1-Assumptions!$G$34)^(1/12))*Assumptions!$G$40)*MAX(0,AQ13*Assumptions!$G$29-AP31)</f>
        <v>4.58018728332868</v>
      </c>
      <c r="AR31" s="37" t="n">
        <f aca="false">AQ31*(1-Assumptions!$G$41)+AR16*((1-(1-Assumptions!$G$34)^(1/12))*Assumptions!$G$40)*MAX(0,AR13*Assumptions!$G$29-AQ31)</f>
        <v>4.89857541563332</v>
      </c>
      <c r="AS31" s="37" t="n">
        <f aca="false">AR31*(1-Assumptions!$G$41)+AS16*((1-(1-Assumptions!$G$34)^(1/12))*Assumptions!$G$40)*MAX(0,AS13*Assumptions!$G$29-AR31)</f>
        <v>5.22645717015205</v>
      </c>
      <c r="AT31" s="37" t="n">
        <f aca="false">AS31*(1-Assumptions!$G$41)+AT16*((1-(1-Assumptions!$G$34)^(1/12))*Assumptions!$G$40)*MAX(0,AT13*Assumptions!$G$29-AS31)</f>
        <v>5.56338207116109</v>
      </c>
      <c r="AU31" s="37" t="n">
        <f aca="false">AT31*(1-Assumptions!$G$41)+AU16*((1-(1-Assumptions!$G$34)^(1/12))*Assumptions!$G$40)*MAX(0,AU13*Assumptions!$G$29-AT31)</f>
        <v>5.90903211454746</v>
      </c>
      <c r="AV31" s="37" t="n">
        <f aca="false">AU31*(1-Assumptions!$G$41)+AV16*((1-(1-Assumptions!$G$34)^(1/12))*Assumptions!$G$40)*MAX(0,AV13*Assumptions!$G$29-AU31)</f>
        <v>6.26309885849472</v>
      </c>
      <c r="AW31" s="37" t="n">
        <f aca="false">AV31*(1-Assumptions!$G$41)+AW16*((1-(1-Assumptions!$G$34)^(1/12))*Assumptions!$G$40)*MAX(0,AW13*Assumptions!$G$29-AV31)</f>
        <v>6.62516515309159</v>
      </c>
      <c r="AX31" s="37" t="n">
        <f aca="false">AW31*(1-Assumptions!$G$41)+AX16*((1-(1-Assumptions!$G$34)^(1/12))*Assumptions!$G$40)*MAX(0,AX13*Assumptions!$G$29-AW31)</f>
        <v>6.99494535418165</v>
      </c>
      <c r="AY31" s="37" t="n">
        <f aca="false">AX31*(1-Assumptions!$G$41)+AY16*((1-(1-Assumptions!$G$34)^(1/12))*Assumptions!$G$40)*MAX(0,AY13*Assumptions!$G$29-AX31)</f>
        <v>7.37216244144882</v>
      </c>
      <c r="AZ31" s="37" t="n">
        <f aca="false">AY31*(1-Assumptions!$G$41)+AZ16*((1-(1-Assumptions!$G$34)^(1/12))*Assumptions!$G$40)*MAX(0,AZ13*Assumptions!$G$29-AY31)</f>
        <v>7.75642977465411</v>
      </c>
      <c r="BA31" s="37" t="n">
        <f aca="false">AZ31*(1-Assumptions!$G$41)+BA16*((1-(1-Assumptions!$G$34)^(1/12))*Assumptions!$G$40)*MAX(0,BA13*Assumptions!$G$29-AZ31)</f>
        <v>8.14737333758496</v>
      </c>
      <c r="BB31" s="37" t="n">
        <f aca="false">BA31*(1-Assumptions!$G$41)+BB16*((1-(1-Assumptions!$G$34)^(1/12))*Assumptions!$G$40)*MAX(0,BB13*Assumptions!$G$29-BA31)</f>
        <v>8.54474936198682</v>
      </c>
      <c r="BC31" s="37" t="n">
        <f aca="false">BB31*(1-Assumptions!$G$41)+BC16*((1-(1-Assumptions!$G$34)^(1/12))*Assumptions!$G$40)*MAX(0,BC13*Assumptions!$G$29-BB31)</f>
        <v>8.94820348562597</v>
      </c>
      <c r="BD31" s="37" t="n">
        <f aca="false">BC31*(1-Assumptions!$G$41)+BD16*((1-(1-Assumptions!$G$34)^(1/12))*Assumptions!$G$40)*MAX(0,BD13*Assumptions!$G$29-BC31)</f>
        <v>9.35739302397121</v>
      </c>
      <c r="BE31" s="37" t="n">
        <f aca="false">BD31*(1-Assumptions!$G$41)+BE16*((1-(1-Assumptions!$G$34)^(1/12))*Assumptions!$G$40)*MAX(0,BE13*Assumptions!$G$29-BD31)</f>
        <v>9.77210462107594</v>
      </c>
      <c r="BF31" s="37" t="n">
        <f aca="false">BE31*(1-Assumptions!$G$41)+BF16*((1-(1-Assumptions!$G$34)^(1/12))*Assumptions!$G$40)*MAX(0,BF13*Assumptions!$G$29-BE31)</f>
        <v>10.1920134338315</v>
      </c>
      <c r="BG31" s="37" t="n">
        <f aca="false">BF31*(1-Assumptions!$G$41)+BG16*((1-(1-Assumptions!$G$34)^(1/12))*Assumptions!$G$40)*MAX(0,BG13*Assumptions!$G$29-BF31)</f>
        <v>10.6168054291007</v>
      </c>
      <c r="BH31" s="37" t="n">
        <f aca="false">BG31*(1-Assumptions!$G$41)+BH16*((1-(1-Assumptions!$G$34)^(1/12))*Assumptions!$G$40)*MAX(0,BH13*Assumptions!$G$29-BG31)</f>
        <v>11.0461770635558</v>
      </c>
      <c r="BI31" s="37" t="n">
        <f aca="false">BH31*(1-Assumptions!$G$41)+BI16*((1-(1-Assumptions!$G$34)^(1/12))*Assumptions!$G$40)*MAX(0,BI13*Assumptions!$G$29-BH31)</f>
        <v>11.4798349726643</v>
      </c>
      <c r="BJ31" s="37" t="n">
        <f aca="false">BI31*(1-Assumptions!$G$41)+BJ16*((1-(1-Assumptions!$G$34)^(1/12))*Assumptions!$G$40)*MAX(0,BJ13*Assumptions!$G$29-BI31)</f>
        <v>11.9174956685666</v>
      </c>
      <c r="BK31" s="37" t="n">
        <f aca="false">BJ31*(1-Assumptions!$G$41)+BK16*((1-(1-Assumptions!$G$34)^(1/12))*Assumptions!$G$40)*MAX(0,BK13*Assumptions!$G$29-BJ31)</f>
        <v>12.3588852465921</v>
      </c>
    </row>
    <row r="32" customFormat="false" ht="15" hidden="false" customHeight="false" outlineLevel="0" collapsed="false">
      <c r="A32" s="28" t="s">
        <v>580</v>
      </c>
      <c r="B32" s="6" t="s">
        <v>581</v>
      </c>
      <c r="C32" s="36" t="n">
        <v>0</v>
      </c>
      <c r="D32" s="26" t="n">
        <f aca="false">D27+D28+D29+D30+D31</f>
        <v>0</v>
      </c>
      <c r="E32" s="26" t="n">
        <f aca="false">E27+E28+E29+E30+E31</f>
        <v>0</v>
      </c>
      <c r="F32" s="26" t="n">
        <f aca="false">F27+F28+F29+F30+F31</f>
        <v>0</v>
      </c>
      <c r="G32" s="26" t="n">
        <f aca="false">G27+G28+G29+G30+G31</f>
        <v>0</v>
      </c>
      <c r="H32" s="26" t="n">
        <f aca="false">H27+H28+H29+H30+H31</f>
        <v>0</v>
      </c>
      <c r="I32" s="26" t="n">
        <f aca="false">I27+I28+I29+I30+I31</f>
        <v>0</v>
      </c>
      <c r="J32" s="26" t="n">
        <f aca="false">J27+J28+J29+J30+J31</f>
        <v>0</v>
      </c>
      <c r="K32" s="26" t="n">
        <f aca="false">K27+K28+K29+K30+K31</f>
        <v>0</v>
      </c>
      <c r="L32" s="26" t="n">
        <f aca="false">L27+L28+L29+L30+L31</f>
        <v>0</v>
      </c>
      <c r="M32" s="26" t="n">
        <f aca="false">M27+M28+M29+M30+M31</f>
        <v>0</v>
      </c>
      <c r="N32" s="26" t="n">
        <f aca="false">N27+N28+N29+N30+N31</f>
        <v>0</v>
      </c>
      <c r="O32" s="26" t="n">
        <f aca="false">O27+O28+O29+O30+O31</f>
        <v>0</v>
      </c>
      <c r="P32" s="26" t="n">
        <f aca="false">P27+P28+P29+P30+P31</f>
        <v>0</v>
      </c>
      <c r="Q32" s="26" t="n">
        <f aca="false">Q27+Q28+Q29+Q30+Q31</f>
        <v>0</v>
      </c>
      <c r="R32" s="26" t="n">
        <f aca="false">R27+R28+R29+R30+R31</f>
        <v>0</v>
      </c>
      <c r="S32" s="26" t="n">
        <f aca="false">S27+S28+S29+S30+S31</f>
        <v>4.040145041831</v>
      </c>
      <c r="T32" s="26" t="n">
        <f aca="false">T27+T28+T29+T30+T31</f>
        <v>8.39209402431606</v>
      </c>
      <c r="U32" s="26" t="n">
        <f aca="false">U27+U28+U29+U30+U31</f>
        <v>13.040505447051</v>
      </c>
      <c r="V32" s="26" t="n">
        <f aca="false">V27+V28+V29+V30+V31</f>
        <v>17.9709241315826</v>
      </c>
      <c r="W32" s="26" t="n">
        <f aca="false">W27+W28+W29+W30+W31</f>
        <v>23.3373326122044</v>
      </c>
      <c r="X32" s="26" t="n">
        <f aca="false">X27+X28+X29+X30+X31</f>
        <v>29.0955079652549</v>
      </c>
      <c r="Y32" s="26" t="n">
        <f aca="false">Y27+Y28+Y29+Y30+Y31</f>
        <v>35.1772012080929</v>
      </c>
      <c r="Z32" s="26" t="n">
        <f aca="false">Z27+Z28+Z29+Z30+Z31</f>
        <v>41.6995946059314</v>
      </c>
      <c r="AA32" s="26" t="n">
        <f aca="false">AA27+AA28+AA29+AA30+AA31</f>
        <v>48.5908257227397</v>
      </c>
      <c r="AB32" s="26" t="n">
        <f aca="false">AB27+AB28+AB29+AB30+AB31</f>
        <v>55.7769695534762</v>
      </c>
      <c r="AC32" s="26" t="n">
        <f aca="false">AC27+AC28+AC29+AC30+AC31</f>
        <v>63.3498019011238</v>
      </c>
      <c r="AD32" s="26" t="n">
        <f aca="false">AD27+AD28+AD29+AD30+AD31</f>
        <v>71.4081893178746</v>
      </c>
      <c r="AE32" s="26" t="n">
        <f aca="false">AE27+AE28+AE29+AE30+AE31</f>
        <v>79.8430497638071</v>
      </c>
      <c r="AF32" s="26" t="n">
        <f aca="false">AF27+AF28+AF29+AF30+AF31</f>
        <v>88.6932170219315</v>
      </c>
      <c r="AG32" s="26" t="n">
        <f aca="false">AG27+AG28+AG29+AG30+AG31</f>
        <v>98.021555179896</v>
      </c>
      <c r="AH32" s="26" t="n">
        <f aca="false">AH27+AH28+AH29+AH30+AH31</f>
        <v>107.692090139899</v>
      </c>
      <c r="AI32" s="26" t="n">
        <f aca="false">AI27+AI28+AI29+AI30+AI31</f>
        <v>117.731975829488</v>
      </c>
      <c r="AJ32" s="26" t="n">
        <f aca="false">AJ27+AJ28+AJ29+AJ30+AJ31</f>
        <v>128.179776996996</v>
      </c>
      <c r="AK32" s="26" t="n">
        <f aca="false">AK27+AK28+AK29+AK30+AK31</f>
        <v>139.071286277894</v>
      </c>
      <c r="AL32" s="26" t="n">
        <f aca="false">AL27+AL28+AL29+AL30+AL31</f>
        <v>150.406177844147</v>
      </c>
      <c r="AM32" s="26" t="n">
        <f aca="false">AM27+AM28+AM29+AM30+AM31</f>
        <v>162.1638320989</v>
      </c>
      <c r="AN32" s="37" t="n">
        <f aca="false">AN27+AN28+AN29+AN30+AN31</f>
        <v>174.344923622188</v>
      </c>
      <c r="AO32" s="37" t="n">
        <f aca="false">AO27+AO28+AO29+AO30+AO31</f>
        <v>186.923064237485</v>
      </c>
      <c r="AP32" s="37" t="n">
        <f aca="false">AP27+AP28+AP29+AP30+AP31</f>
        <v>199.873437393632</v>
      </c>
      <c r="AQ32" s="37" t="n">
        <f aca="false">AQ27+AQ28+AQ29+AQ30+AQ31</f>
        <v>213.17269864959</v>
      </c>
      <c r="AR32" s="37" t="n">
        <f aca="false">AR27+AR28+AR29+AR30+AR31</f>
        <v>226.798882875099</v>
      </c>
      <c r="AS32" s="37" t="n">
        <f aca="false">AS27+AS28+AS29+AS30+AS31</f>
        <v>240.731317691952</v>
      </c>
      <c r="AT32" s="37" t="n">
        <f aca="false">AT27+AT28+AT29+AT30+AT31</f>
        <v>254.943838404335</v>
      </c>
      <c r="AU32" s="37" t="n">
        <f aca="false">AU27+AU28+AU29+AU30+AU31</f>
        <v>269.418571739289</v>
      </c>
      <c r="AV32" s="37" t="n">
        <f aca="false">AV27+AV28+AV29+AV30+AV31</f>
        <v>284.138682242881</v>
      </c>
      <c r="AW32" s="37" t="n">
        <f aca="false">AW27+AW28+AW29+AW30+AW31</f>
        <v>299.081604166246</v>
      </c>
      <c r="AX32" s="37" t="n">
        <f aca="false">AX27+AX28+AX29+AX30+AX31</f>
        <v>314.232840974139</v>
      </c>
      <c r="AY32" s="37" t="n">
        <f aca="false">AY27+AY28+AY29+AY30+AY31</f>
        <v>329.578726407755</v>
      </c>
      <c r="AZ32" s="37" t="n">
        <f aca="false">AZ27+AZ28+AZ29+AZ30+AZ31</f>
        <v>345.09967001573</v>
      </c>
      <c r="BA32" s="37" t="n">
        <f aca="false">BA27+BA28+BA29+BA30+BA31</f>
        <v>360.777265048814</v>
      </c>
      <c r="BB32" s="37" t="n">
        <f aca="false">BB27+BB28+BB29+BB30+BB31</f>
        <v>376.600920447874</v>
      </c>
      <c r="BC32" s="37" t="n">
        <f aca="false">BC27+BC28+BC29+BC30+BC31</f>
        <v>392.553934126755</v>
      </c>
      <c r="BD32" s="37" t="n">
        <f aca="false">BD27+BD28+BD29+BD30+BD31</f>
        <v>408.620613000505</v>
      </c>
      <c r="BE32" s="37" t="n">
        <f aca="false">BE27+BE28+BE29+BE30+BE31</f>
        <v>424.792916271791</v>
      </c>
      <c r="BF32" s="37" t="n">
        <f aca="false">BF27+BF28+BF29+BF30+BF31</f>
        <v>441.056539236943</v>
      </c>
      <c r="BG32" s="37" t="n">
        <f aca="false">BG27+BG28+BG29+BG30+BG31</f>
        <v>457.398043117587</v>
      </c>
      <c r="BH32" s="37" t="n">
        <f aca="false">BH27+BH28+BH29+BH30+BH31</f>
        <v>473.804803171122</v>
      </c>
      <c r="BI32" s="37" t="n">
        <f aca="false">BI27+BI28+BI29+BI30+BI31</f>
        <v>490.264960118568</v>
      </c>
      <c r="BJ32" s="37" t="n">
        <f aca="false">BJ27+BJ28+BJ29+BJ30+BJ31</f>
        <v>506.767374664231</v>
      </c>
      <c r="BK32" s="37" t="n">
        <f aca="false">BK27+BK28+BK29+BK30+BK31</f>
        <v>523.301584897609</v>
      </c>
    </row>
    <row r="33" customFormat="false" ht="15" hidden="false" customHeight="false" outlineLevel="0" collapsed="false">
      <c r="A33" s="28" t="s">
        <v>582</v>
      </c>
      <c r="B33" s="6" t="s">
        <v>583</v>
      </c>
      <c r="C33" s="42"/>
      <c r="D33" s="26" t="n">
        <f aca="false">D27*(1-Assumptions!$G$35)+D28*(1-Assumptions!$G$36)+D29*(1-Assumptions!$G$37)+D30*(1-Assumptions!$G$38)+D31*(1-Assumptions!$G$39)</f>
        <v>0</v>
      </c>
      <c r="E33" s="26" t="n">
        <f aca="false">E27*(1-Assumptions!$G$35)+E28*(1-Assumptions!$G$36)+E29*(1-Assumptions!$G$37)+E30*(1-Assumptions!$G$38)+E31*(1-Assumptions!$G$39)</f>
        <v>0</v>
      </c>
      <c r="F33" s="26" t="n">
        <f aca="false">F27*(1-Assumptions!$G$35)+F28*(1-Assumptions!$G$36)+F29*(1-Assumptions!$G$37)+F30*(1-Assumptions!$G$38)+F31*(1-Assumptions!$G$39)</f>
        <v>0</v>
      </c>
      <c r="G33" s="26" t="n">
        <f aca="false">G27*(1-Assumptions!$G$35)+G28*(1-Assumptions!$G$36)+G29*(1-Assumptions!$G$37)+G30*(1-Assumptions!$G$38)+G31*(1-Assumptions!$G$39)</f>
        <v>0</v>
      </c>
      <c r="H33" s="26" t="n">
        <f aca="false">H27*(1-Assumptions!$G$35)+H28*(1-Assumptions!$G$36)+H29*(1-Assumptions!$G$37)+H30*(1-Assumptions!$G$38)+H31*(1-Assumptions!$G$39)</f>
        <v>0</v>
      </c>
      <c r="I33" s="26" t="n">
        <f aca="false">I27*(1-Assumptions!$G$35)+I28*(1-Assumptions!$G$36)+I29*(1-Assumptions!$G$37)+I30*(1-Assumptions!$G$38)+I31*(1-Assumptions!$G$39)</f>
        <v>0</v>
      </c>
      <c r="J33" s="26" t="n">
        <f aca="false">J27*(1-Assumptions!$G$35)+J28*(1-Assumptions!$G$36)+J29*(1-Assumptions!$G$37)+J30*(1-Assumptions!$G$38)+J31*(1-Assumptions!$G$39)</f>
        <v>0</v>
      </c>
      <c r="K33" s="26" t="n">
        <f aca="false">K27*(1-Assumptions!$G$35)+K28*(1-Assumptions!$G$36)+K29*(1-Assumptions!$G$37)+K30*(1-Assumptions!$G$38)+K31*(1-Assumptions!$G$39)</f>
        <v>0</v>
      </c>
      <c r="L33" s="26" t="n">
        <f aca="false">L27*(1-Assumptions!$G$35)+L28*(1-Assumptions!$G$36)+L29*(1-Assumptions!$G$37)+L30*(1-Assumptions!$G$38)+L31*(1-Assumptions!$G$39)</f>
        <v>0</v>
      </c>
      <c r="M33" s="26" t="n">
        <f aca="false">M27*(1-Assumptions!$G$35)+M28*(1-Assumptions!$G$36)+M29*(1-Assumptions!$G$37)+M30*(1-Assumptions!$G$38)+M31*(1-Assumptions!$G$39)</f>
        <v>0</v>
      </c>
      <c r="N33" s="26" t="n">
        <f aca="false">N27*(1-Assumptions!$G$35)+N28*(1-Assumptions!$G$36)+N29*(1-Assumptions!$G$37)+N30*(1-Assumptions!$G$38)+N31*(1-Assumptions!$G$39)</f>
        <v>0</v>
      </c>
      <c r="O33" s="26" t="n">
        <f aca="false">O27*(1-Assumptions!$G$35)+O28*(1-Assumptions!$G$36)+O29*(1-Assumptions!$G$37)+O30*(1-Assumptions!$G$38)+O31*(1-Assumptions!$G$39)</f>
        <v>0</v>
      </c>
      <c r="P33" s="26" t="n">
        <f aca="false">P27*(1-Assumptions!$G$35)+P28*(1-Assumptions!$G$36)+P29*(1-Assumptions!$G$37)+P30*(1-Assumptions!$G$38)+P31*(1-Assumptions!$G$39)</f>
        <v>0</v>
      </c>
      <c r="Q33" s="26" t="n">
        <f aca="false">Q27*(1-Assumptions!$G$35)+Q28*(1-Assumptions!$G$36)+Q29*(1-Assumptions!$G$37)+Q30*(1-Assumptions!$G$38)+Q31*(1-Assumptions!$G$39)</f>
        <v>0</v>
      </c>
      <c r="R33" s="26" t="n">
        <f aca="false">R27*(1-Assumptions!$G$35)+R28*(1-Assumptions!$G$36)+R29*(1-Assumptions!$G$37)+R30*(1-Assumptions!$G$38)+R31*(1-Assumptions!$G$39)</f>
        <v>0</v>
      </c>
      <c r="S33" s="26" t="n">
        <f aca="false">S27*(1-Assumptions!$G$35)+S28*(1-Assumptions!$G$36)+S29*(1-Assumptions!$G$37)+S30*(1-Assumptions!$G$38)+S31*(1-Assumptions!$G$39)</f>
        <v>2.36806615486001</v>
      </c>
      <c r="T33" s="26" t="n">
        <f aca="false">T27*(1-Assumptions!$G$35)+T28*(1-Assumptions!$G$36)+T29*(1-Assumptions!$G$37)+T30*(1-Assumptions!$G$38)+T31*(1-Assumptions!$G$39)</f>
        <v>4.94462247860624</v>
      </c>
      <c r="U33" s="26" t="n">
        <f aca="false">U27*(1-Assumptions!$G$35)+U28*(1-Assumptions!$G$36)+U29*(1-Assumptions!$G$37)+U30*(1-Assumptions!$G$38)+U31*(1-Assumptions!$G$39)</f>
        <v>7.72108405113629</v>
      </c>
      <c r="V33" s="26" t="n">
        <f aca="false">V27*(1-Assumptions!$G$35)+V28*(1-Assumptions!$G$36)+V29*(1-Assumptions!$G$37)+V30*(1-Assumptions!$G$38)+V31*(1-Assumptions!$G$39)</f>
        <v>10.6892635455712</v>
      </c>
      <c r="W33" s="26" t="n">
        <f aca="false">W27*(1-Assumptions!$G$35)+W28*(1-Assumptions!$G$36)+W29*(1-Assumptions!$G$37)+W30*(1-Assumptions!$G$38)+W31*(1-Assumptions!$G$39)</f>
        <v>13.9395918955017</v>
      </c>
      <c r="X33" s="26" t="n">
        <f aca="false">X27*(1-Assumptions!$G$35)+X28*(1-Assumptions!$G$36)+X29*(1-Assumptions!$G$37)+X30*(1-Assumptions!$G$38)+X31*(1-Assumptions!$G$39)</f>
        <v>17.4472957073218</v>
      </c>
      <c r="Y33" s="26" t="n">
        <f aca="false">Y27*(1-Assumptions!$G$35)+Y28*(1-Assumptions!$G$36)+Y29*(1-Assumptions!$G$37)+Y30*(1-Assumptions!$G$38)+Y31*(1-Assumptions!$G$39)</f>
        <v>21.1731677999118</v>
      </c>
      <c r="Z33" s="26" t="n">
        <f aca="false">Z27*(1-Assumptions!$G$35)+Z28*(1-Assumptions!$G$36)+Z29*(1-Assumptions!$G$37)+Z30*(1-Assumptions!$G$38)+Z31*(1-Assumptions!$G$39)</f>
        <v>25.1862057844321</v>
      </c>
      <c r="AA33" s="26" t="n">
        <f aca="false">AA27*(1-Assumptions!$G$35)+AA28*(1-Assumptions!$G$36)+AA29*(1-Assumptions!$G$37)+AA30*(1-Assumptions!$G$38)+AA31*(1-Assumptions!$G$39)</f>
        <v>29.4453296079984</v>
      </c>
      <c r="AB33" s="26" t="n">
        <f aca="false">AB27*(1-Assumptions!$G$35)+AB28*(1-Assumptions!$G$36)+AB29*(1-Assumptions!$G$37)+AB30*(1-Assumptions!$G$38)+AB31*(1-Assumptions!$G$39)</f>
        <v>33.9077294520887</v>
      </c>
      <c r="AC33" s="26" t="n">
        <f aca="false">AC27*(1-Assumptions!$G$35)+AC28*(1-Assumptions!$G$36)+AC29*(1-Assumptions!$G$37)+AC30*(1-Assumptions!$G$38)+AC31*(1-Assumptions!$G$39)</f>
        <v>38.6272163653896</v>
      </c>
      <c r="AD33" s="26" t="n">
        <f aca="false">AD27*(1-Assumptions!$G$35)+AD28*(1-Assumptions!$G$36)+AD29*(1-Assumptions!$G$37)+AD30*(1-Assumptions!$G$38)+AD31*(1-Assumptions!$G$39)</f>
        <v>43.6623416448552</v>
      </c>
      <c r="AE33" s="26" t="n">
        <f aca="false">AE27*(1-Assumptions!$G$35)+AE28*(1-Assumptions!$G$36)+AE29*(1-Assumptions!$G$37)+AE30*(1-Assumptions!$G$38)+AE31*(1-Assumptions!$G$39)</f>
        <v>48.9503642789339</v>
      </c>
      <c r="AF33" s="26" t="n">
        <f aca="false">AF27*(1-Assumptions!$G$35)+AF28*(1-Assumptions!$G$36)+AF29*(1-Assumptions!$G$37)+AF30*(1-Assumptions!$G$38)+AF31*(1-Assumptions!$G$39)</f>
        <v>54.5144743453264</v>
      </c>
      <c r="AG33" s="26" t="n">
        <f aca="false">AG27*(1-Assumptions!$G$35)+AG28*(1-Assumptions!$G$36)+AG29*(1-Assumptions!$G$37)+AG30*(1-Assumptions!$G$38)+AG31*(1-Assumptions!$G$39)</f>
        <v>60.3921686568102</v>
      </c>
      <c r="AH33" s="26" t="n">
        <f aca="false">AH27*(1-Assumptions!$G$35)+AH28*(1-Assumptions!$G$36)+AH29*(1-Assumptions!$G$37)+AH30*(1-Assumptions!$G$38)+AH31*(1-Assumptions!$G$39)</f>
        <v>66.5047594047098</v>
      </c>
      <c r="AI33" s="26" t="n">
        <f aca="false">AI27*(1-Assumptions!$G$35)+AI28*(1-Assumptions!$G$36)+AI29*(1-Assumptions!$G$37)+AI30*(1-Assumptions!$G$38)+AI31*(1-Assumptions!$G$39)</f>
        <v>72.8682462984185</v>
      </c>
      <c r="AJ33" s="26" t="n">
        <f aca="false">AJ27*(1-Assumptions!$G$35)+AJ28*(1-Assumptions!$G$36)+AJ29*(1-Assumptions!$G$37)+AJ30*(1-Assumptions!$G$38)+AJ31*(1-Assumptions!$G$39)</f>
        <v>79.5054858080639</v>
      </c>
      <c r="AK33" s="26" t="n">
        <f aca="false">AK27*(1-Assumptions!$G$35)+AK28*(1-Assumptions!$G$36)+AK29*(1-Assumptions!$G$37)+AK30*(1-Assumptions!$G$38)+AK31*(1-Assumptions!$G$39)</f>
        <v>86.437940381988</v>
      </c>
      <c r="AL33" s="26" t="n">
        <f aca="false">AL27*(1-Assumptions!$G$35)+AL28*(1-Assumptions!$G$36)+AL29*(1-Assumptions!$G$37)+AL30*(1-Assumptions!$G$38)+AL31*(1-Assumptions!$G$39)</f>
        <v>93.666101188078</v>
      </c>
      <c r="AM33" s="26" t="n">
        <f aca="false">AM27*(1-Assumptions!$G$35)+AM28*(1-Assumptions!$G$36)+AM29*(1-Assumptions!$G$37)+AM30*(1-Assumptions!$G$38)+AM31*(1-Assumptions!$G$39)</f>
        <v>101.178521254562</v>
      </c>
      <c r="AN33" s="37" t="n">
        <f aca="false">AN27*(1-Assumptions!$G$35)+AN28*(1-Assumptions!$G$36)+AN29*(1-Assumptions!$G$37)+AN30*(1-Assumptions!$G$38)+AN31*(1-Assumptions!$G$39)</f>
        <v>108.976064980919</v>
      </c>
      <c r="AO33" s="37" t="n">
        <f aca="false">AO27*(1-Assumptions!$G$35)+AO28*(1-Assumptions!$G$36)+AO29*(1-Assumptions!$G$37)+AO30*(1-Assumptions!$G$38)+AO31*(1-Assumptions!$G$39)</f>
        <v>117.043710536781</v>
      </c>
      <c r="AP33" s="37" t="n">
        <f aca="false">AP27*(1-Assumptions!$G$35)+AP28*(1-Assumptions!$G$36)+AP29*(1-Assumptions!$G$37)+AP30*(1-Assumptions!$G$38)+AP31*(1-Assumptions!$G$39)</f>
        <v>125.367162539201</v>
      </c>
      <c r="AQ33" s="37" t="n">
        <f aca="false">AQ27*(1-Assumptions!$G$35)+AQ28*(1-Assumptions!$G$36)+AQ29*(1-Assumptions!$G$37)+AQ30*(1-Assumptions!$G$38)+AQ31*(1-Assumptions!$G$39)</f>
        <v>133.932815671518</v>
      </c>
      <c r="AR33" s="37" t="n">
        <f aca="false">AR27*(1-Assumptions!$G$35)+AR28*(1-Assumptions!$G$36)+AR29*(1-Assumptions!$G$37)+AR30*(1-Assumptions!$G$38)+AR31*(1-Assumptions!$G$39)</f>
        <v>142.727720252692</v>
      </c>
      <c r="AS33" s="37" t="n">
        <f aca="false">AS27*(1-Assumptions!$G$35)+AS28*(1-Assumptions!$G$36)+AS29*(1-Assumptions!$G$37)+AS30*(1-Assumptions!$G$38)+AS31*(1-Assumptions!$G$39)</f>
        <v>151.739549644019</v>
      </c>
      <c r="AT33" s="37" t="n">
        <f aca="false">AT27*(1-Assumptions!$G$35)+AT28*(1-Assumptions!$G$36)+AT29*(1-Assumptions!$G$37)+AT30*(1-Assumptions!$G$38)+AT31*(1-Assumptions!$G$39)</f>
        <v>160.952639762926</v>
      </c>
      <c r="AU33" s="37" t="n">
        <f aca="false">AU27*(1-Assumptions!$G$35)+AU28*(1-Assumptions!$G$36)+AU29*(1-Assumptions!$G$37)+AU30*(1-Assumptions!$G$38)+AU31*(1-Assumptions!$G$39)</f>
        <v>170.3560404472</v>
      </c>
      <c r="AV33" s="37" t="n">
        <f aca="false">AV27*(1-Assumptions!$G$35)+AV28*(1-Assumptions!$G$36)+AV29*(1-Assumptions!$G$37)+AV30*(1-Assumptions!$G$38)+AV31*(1-Assumptions!$G$39)</f>
        <v>179.939325604905</v>
      </c>
      <c r="AW33" s="37" t="n">
        <f aca="false">AW27*(1-Assumptions!$G$35)+AW28*(1-Assumptions!$G$36)+AW29*(1-Assumptions!$G$37)+AW30*(1-Assumptions!$G$38)+AW31*(1-Assumptions!$G$39)</f>
        <v>189.688637938134</v>
      </c>
      <c r="AX33" s="37" t="n">
        <f aca="false">AX27*(1-Assumptions!$G$35)+AX28*(1-Assumptions!$G$36)+AX29*(1-Assumptions!$G$37)+AX30*(1-Assumptions!$G$38)+AX31*(1-Assumptions!$G$39)</f>
        <v>199.594745221036</v>
      </c>
      <c r="AY33" s="37" t="n">
        <f aca="false">AY27*(1-Assumptions!$G$35)+AY28*(1-Assumptions!$G$36)+AY29*(1-Assumptions!$G$37)+AY30*(1-Assumptions!$G$38)+AY31*(1-Assumptions!$G$39)</f>
        <v>209.648855085552</v>
      </c>
      <c r="AZ33" s="37" t="n">
        <f aca="false">AZ27*(1-Assumptions!$G$35)+AZ28*(1-Assumptions!$G$36)+AZ29*(1-Assumptions!$G$37)+AZ30*(1-Assumptions!$G$38)+AZ31*(1-Assumptions!$G$39)</f>
        <v>219.838664120006</v>
      </c>
      <c r="BA33" s="37" t="n">
        <f aca="false">BA27*(1-Assumptions!$G$35)+BA28*(1-Assumptions!$G$36)+BA29*(1-Assumptions!$G$37)+BA30*(1-Assumptions!$G$38)+BA31*(1-Assumptions!$G$39)</f>
        <v>230.152488652613</v>
      </c>
      <c r="BB33" s="37" t="n">
        <f aca="false">BB27*(1-Assumptions!$G$35)+BB28*(1-Assumptions!$G$36)+BB29*(1-Assumptions!$G$37)+BB30*(1-Assumptions!$G$38)+BB31*(1-Assumptions!$G$39)</f>
        <v>240.583164030957</v>
      </c>
      <c r="BC33" s="37" t="n">
        <f aca="false">BC27*(1-Assumptions!$G$35)+BC28*(1-Assumptions!$G$36)+BC29*(1-Assumptions!$G$37)+BC30*(1-Assumptions!$G$38)+BC31*(1-Assumptions!$G$39)</f>
        <v>251.119935244985</v>
      </c>
      <c r="BD33" s="37" t="n">
        <f aca="false">BD27*(1-Assumptions!$G$35)+BD28*(1-Assumptions!$G$36)+BD29*(1-Assumptions!$G$37)+BD30*(1-Assumptions!$G$38)+BD31*(1-Assumptions!$G$39)</f>
        <v>261.75259177847</v>
      </c>
      <c r="BE33" s="37" t="n">
        <f aca="false">BE27*(1-Assumptions!$G$35)+BE28*(1-Assumptions!$G$36)+BE29*(1-Assumptions!$G$37)+BE30*(1-Assumptions!$G$38)+BE31*(1-Assumptions!$G$39)</f>
        <v>272.475370731942</v>
      </c>
      <c r="BF33" s="37" t="n">
        <f aca="false">BF27*(1-Assumptions!$G$35)+BF28*(1-Assumptions!$G$36)+BF29*(1-Assumptions!$G$37)+BF30*(1-Assumptions!$G$38)+BF31*(1-Assumptions!$G$39)</f>
        <v>283.278851078023</v>
      </c>
      <c r="BG33" s="37" t="n">
        <f aca="false">BG27*(1-Assumptions!$G$35)+BG28*(1-Assumptions!$G$36)+BG29*(1-Assumptions!$G$37)+BG30*(1-Assumptions!$G$38)+BG31*(1-Assumptions!$G$39)</f>
        <v>294.15409194667</v>
      </c>
      <c r="BH33" s="37" t="n">
        <f aca="false">BH27*(1-Assumptions!$G$35)+BH28*(1-Assumptions!$G$36)+BH29*(1-Assumptions!$G$37)+BH30*(1-Assumptions!$G$38)+BH31*(1-Assumptions!$G$39)</f>
        <v>305.092609370789</v>
      </c>
      <c r="BI33" s="37" t="n">
        <f aca="false">BI27*(1-Assumptions!$G$35)+BI28*(1-Assumptions!$G$36)+BI29*(1-Assumptions!$G$37)+BI30*(1-Assumptions!$G$38)+BI31*(1-Assumptions!$G$39)</f>
        <v>316.086354206951</v>
      </c>
      <c r="BJ33" s="37" t="n">
        <f aca="false">BJ27*(1-Assumptions!$G$35)+BJ28*(1-Assumptions!$G$36)+BJ29*(1-Assumptions!$G$37)+BJ30*(1-Assumptions!$G$38)+BJ31*(1-Assumptions!$G$39)</f>
        <v>327.127691167487</v>
      </c>
      <c r="BK33" s="37" t="n">
        <f aca="false">BK27*(1-Assumptions!$G$35)+BK28*(1-Assumptions!$G$36)+BK29*(1-Assumptions!$G$37)+BK30*(1-Assumptions!$G$38)+BK31*(1-Assumptions!$G$39)</f>
        <v>338.209378904041</v>
      </c>
    </row>
    <row r="34" customFormat="false" ht="15" hidden="false" customHeight="false" outlineLevel="0" collapsed="false">
      <c r="A34" s="28" t="s">
        <v>584</v>
      </c>
      <c r="B34" s="6" t="s">
        <v>585</v>
      </c>
      <c r="C34" s="42"/>
      <c r="D34" s="26" t="n">
        <f aca="false">D27*Assumptions!$G$35+D28*Assumptions!$G$36+D29*Assumptions!$G$37+D30*Assumptions!$G$38+D31*Assumptions!$G$39</f>
        <v>0</v>
      </c>
      <c r="E34" s="26" t="n">
        <f aca="false">E27*Assumptions!$G$35+E28*Assumptions!$G$36+E29*Assumptions!$G$37+E30*Assumptions!$G$38+E31*Assumptions!$G$39</f>
        <v>0</v>
      </c>
      <c r="F34" s="26" t="n">
        <f aca="false">F27*Assumptions!$G$35+F28*Assumptions!$G$36+F29*Assumptions!$G$37+F30*Assumptions!$G$38+F31*Assumptions!$G$39</f>
        <v>0</v>
      </c>
      <c r="G34" s="26" t="n">
        <f aca="false">G27*Assumptions!$G$35+G28*Assumptions!$G$36+G29*Assumptions!$G$37+G30*Assumptions!$G$38+G31*Assumptions!$G$39</f>
        <v>0</v>
      </c>
      <c r="H34" s="26" t="n">
        <f aca="false">H27*Assumptions!$G$35+H28*Assumptions!$G$36+H29*Assumptions!$G$37+H30*Assumptions!$G$38+H31*Assumptions!$G$39</f>
        <v>0</v>
      </c>
      <c r="I34" s="26" t="n">
        <f aca="false">I27*Assumptions!$G$35+I28*Assumptions!$G$36+I29*Assumptions!$G$37+I30*Assumptions!$G$38+I31*Assumptions!$G$39</f>
        <v>0</v>
      </c>
      <c r="J34" s="26" t="n">
        <f aca="false">J27*Assumptions!$G$35+J28*Assumptions!$G$36+J29*Assumptions!$G$37+J30*Assumptions!$G$38+J31*Assumptions!$G$39</f>
        <v>0</v>
      </c>
      <c r="K34" s="26" t="n">
        <f aca="false">K27*Assumptions!$G$35+K28*Assumptions!$G$36+K29*Assumptions!$G$37+K30*Assumptions!$G$38+K31*Assumptions!$G$39</f>
        <v>0</v>
      </c>
      <c r="L34" s="26" t="n">
        <f aca="false">L27*Assumptions!$G$35+L28*Assumptions!$G$36+L29*Assumptions!$G$37+L30*Assumptions!$G$38+L31*Assumptions!$G$39</f>
        <v>0</v>
      </c>
      <c r="M34" s="26" t="n">
        <f aca="false">M27*Assumptions!$G$35+M28*Assumptions!$G$36+M29*Assumptions!$G$37+M30*Assumptions!$G$38+M31*Assumptions!$G$39</f>
        <v>0</v>
      </c>
      <c r="N34" s="26" t="n">
        <f aca="false">N27*Assumptions!$G$35+N28*Assumptions!$G$36+N29*Assumptions!$G$37+N30*Assumptions!$G$38+N31*Assumptions!$G$39</f>
        <v>0</v>
      </c>
      <c r="O34" s="26" t="n">
        <f aca="false">O27*Assumptions!$G$35+O28*Assumptions!$G$36+O29*Assumptions!$G$37+O30*Assumptions!$G$38+O31*Assumptions!$G$39</f>
        <v>0</v>
      </c>
      <c r="P34" s="26" t="n">
        <f aca="false">P27*Assumptions!$G$35+P28*Assumptions!$G$36+P29*Assumptions!$G$37+P30*Assumptions!$G$38+P31*Assumptions!$G$39</f>
        <v>0</v>
      </c>
      <c r="Q34" s="26" t="n">
        <f aca="false">Q27*Assumptions!$G$35+Q28*Assumptions!$G$36+Q29*Assumptions!$G$37+Q30*Assumptions!$G$38+Q31*Assumptions!$G$39</f>
        <v>0</v>
      </c>
      <c r="R34" s="26" t="n">
        <f aca="false">R27*Assumptions!$G$35+R28*Assumptions!$G$36+R29*Assumptions!$G$37+R30*Assumptions!$G$38+R31*Assumptions!$G$39</f>
        <v>0</v>
      </c>
      <c r="S34" s="26" t="n">
        <f aca="false">S27*Assumptions!$G$35+S28*Assumptions!$G$36+S29*Assumptions!$G$37+S30*Assumptions!$G$38+S31*Assumptions!$G$39</f>
        <v>1.67207888697099</v>
      </c>
      <c r="T34" s="26" t="n">
        <f aca="false">T27*Assumptions!$G$35+T28*Assumptions!$G$36+T29*Assumptions!$G$37+T30*Assumptions!$G$38+T31*Assumptions!$G$39</f>
        <v>3.44747154570982</v>
      </c>
      <c r="U34" s="26" t="n">
        <f aca="false">U27*Assumptions!$G$35+U28*Assumptions!$G$36+U29*Assumptions!$G$37+U30*Assumptions!$G$38+U31*Assumptions!$G$39</f>
        <v>5.31942139591468</v>
      </c>
      <c r="V34" s="26" t="n">
        <f aca="false">V27*Assumptions!$G$35+V28*Assumptions!$G$36+V29*Assumptions!$G$37+V30*Assumptions!$G$38+V31*Assumptions!$G$39</f>
        <v>7.2816605860114</v>
      </c>
      <c r="W34" s="26" t="n">
        <f aca="false">W27*Assumptions!$G$35+W28*Assumptions!$G$36+W29*Assumptions!$G$37+W30*Assumptions!$G$38+W31*Assumptions!$G$39</f>
        <v>9.39774071670272</v>
      </c>
      <c r="X34" s="26" t="n">
        <f aca="false">X27*Assumptions!$G$35+X28*Assumptions!$G$36+X29*Assumptions!$G$37+X30*Assumptions!$G$38+X31*Assumptions!$G$39</f>
        <v>11.6482122579331</v>
      </c>
      <c r="Y34" s="26" t="n">
        <f aca="false">Y27*Assumptions!$G$35+Y28*Assumptions!$G$36+Y29*Assumptions!$G$37+Y30*Assumptions!$G$38+Y31*Assumptions!$G$39</f>
        <v>14.0040334081811</v>
      </c>
      <c r="Z34" s="26" t="n">
        <f aca="false">Z27*Assumptions!$G$35+Z28*Assumptions!$G$36+Z29*Assumptions!$G$37+Z30*Assumptions!$G$38+Z31*Assumptions!$G$39</f>
        <v>16.5133888214993</v>
      </c>
      <c r="AA34" s="26" t="n">
        <f aca="false">AA27*Assumptions!$G$35+AA28*Assumptions!$G$36+AA29*Assumptions!$G$37+AA30*Assumptions!$G$38+AA31*Assumptions!$G$39</f>
        <v>19.1454961147413</v>
      </c>
      <c r="AB34" s="26" t="n">
        <f aca="false">AB27*Assumptions!$G$35+AB28*Assumptions!$G$36+AB29*Assumptions!$G$37+AB30*Assumptions!$G$38+AB31*Assumptions!$G$39</f>
        <v>21.8692401013875</v>
      </c>
      <c r="AC34" s="26" t="n">
        <f aca="false">AC27*Assumptions!$G$35+AC28*Assumptions!$G$36+AC29*Assumptions!$G$37+AC30*Assumptions!$G$38+AC31*Assumptions!$G$39</f>
        <v>24.7225855357341</v>
      </c>
      <c r="AD34" s="26" t="n">
        <f aca="false">AD27*Assumptions!$G$35+AD28*Assumptions!$G$36+AD29*Assumptions!$G$37+AD30*Assumptions!$G$38+AD31*Assumptions!$G$39</f>
        <v>27.7458476730195</v>
      </c>
      <c r="AE34" s="26" t="n">
        <f aca="false">AE27*Assumptions!$G$35+AE28*Assumptions!$G$36+AE29*Assumptions!$G$37+AE30*Assumptions!$G$38+AE31*Assumptions!$G$39</f>
        <v>30.8926854848732</v>
      </c>
      <c r="AF34" s="26" t="n">
        <f aca="false">AF27*Assumptions!$G$35+AF28*Assumptions!$G$36+AF29*Assumptions!$G$37+AF30*Assumptions!$G$38+AF31*Assumptions!$G$39</f>
        <v>34.178742676605</v>
      </c>
      <c r="AG34" s="26" t="n">
        <f aca="false">AG27*Assumptions!$G$35+AG28*Assumptions!$G$36+AG29*Assumptions!$G$37+AG30*Assumptions!$G$38+AG31*Assumptions!$G$39</f>
        <v>37.6293865230858</v>
      </c>
      <c r="AH34" s="26" t="n">
        <f aca="false">AH27*Assumptions!$G$35+AH28*Assumptions!$G$36+AH29*Assumptions!$G$37+AH30*Assumptions!$G$38+AH31*Assumptions!$G$39</f>
        <v>41.1873307351897</v>
      </c>
      <c r="AI34" s="26" t="n">
        <f aca="false">AI27*Assumptions!$G$35+AI28*Assumptions!$G$36+AI29*Assumptions!$G$37+AI30*Assumptions!$G$38+AI31*Assumptions!$G$39</f>
        <v>44.8637295310695</v>
      </c>
      <c r="AJ34" s="26" t="n">
        <f aca="false">AJ27*Assumptions!$G$35+AJ28*Assumptions!$G$36+AJ29*Assumptions!$G$37+AJ30*Assumptions!$G$38+AJ31*Assumptions!$G$39</f>
        <v>48.6742911889318</v>
      </c>
      <c r="AK34" s="26" t="n">
        <f aca="false">AK27*Assumptions!$G$35+AK28*Assumptions!$G$36+AK29*Assumptions!$G$37+AK30*Assumptions!$G$38+AK31*Assumptions!$G$39</f>
        <v>52.6333458959063</v>
      </c>
      <c r="AL34" s="26" t="n">
        <f aca="false">AL27*Assumptions!$G$35+AL28*Assumptions!$G$36+AL29*Assumptions!$G$37+AL30*Assumptions!$G$38+AL31*Assumptions!$G$39</f>
        <v>56.7400766560695</v>
      </c>
      <c r="AM34" s="26" t="n">
        <f aca="false">AM27*Assumptions!$G$35+AM28*Assumptions!$G$36+AM29*Assumptions!$G$37+AM30*Assumptions!$G$38+AM31*Assumptions!$G$39</f>
        <v>60.985310844338</v>
      </c>
      <c r="AN34" s="37" t="n">
        <f aca="false">AN27*Assumptions!$G$35+AN28*Assumptions!$G$36+AN29*Assumptions!$G$37+AN30*Assumptions!$G$38+AN31*Assumptions!$G$39</f>
        <v>65.3688586412695</v>
      </c>
      <c r="AO34" s="37" t="n">
        <f aca="false">AO27*Assumptions!$G$35+AO28*Assumptions!$G$36+AO29*Assumptions!$G$37+AO30*Assumptions!$G$38+AO31*Assumptions!$G$39</f>
        <v>69.8793537007046</v>
      </c>
      <c r="AP34" s="37" t="n">
        <f aca="false">AP27*Assumptions!$G$35+AP28*Assumptions!$G$36+AP29*Assumptions!$G$37+AP30*Assumptions!$G$38+AP31*Assumptions!$G$39</f>
        <v>74.5062748544303</v>
      </c>
      <c r="AQ34" s="37" t="n">
        <f aca="false">AQ27*Assumptions!$G$35+AQ28*Assumptions!$G$36+AQ29*Assumptions!$G$37+AQ30*Assumptions!$G$38+AQ31*Assumptions!$G$39</f>
        <v>79.239882978072</v>
      </c>
      <c r="AR34" s="37" t="n">
        <f aca="false">AR27*Assumptions!$G$35+AR28*Assumptions!$G$36+AR29*Assumptions!$G$37+AR30*Assumptions!$G$38+AR31*Assumptions!$G$39</f>
        <v>84.0711626224073</v>
      </c>
      <c r="AS34" s="37" t="n">
        <f aca="false">AS27*Assumptions!$G$35+AS28*Assumptions!$G$36+AS29*Assumptions!$G$37+AS30*Assumptions!$G$38+AS31*Assumptions!$G$39</f>
        <v>88.9917680479332</v>
      </c>
      <c r="AT34" s="37" t="n">
        <f aca="false">AT27*Assumptions!$G$35+AT28*Assumptions!$G$36+AT29*Assumptions!$G$37+AT30*Assumptions!$G$38+AT31*Assumptions!$G$39</f>
        <v>93.9911986414091</v>
      </c>
      <c r="AU34" s="37" t="n">
        <f aca="false">AU27*Assumptions!$G$35+AU28*Assumptions!$G$36+AU29*Assumptions!$G$37+AU30*Assumptions!$G$38+AU31*Assumptions!$G$39</f>
        <v>99.0625312920884</v>
      </c>
      <c r="AV34" s="37" t="n">
        <f aca="false">AV27*Assumptions!$G$35+AV28*Assumptions!$G$36+AV29*Assumptions!$G$37+AV30*Assumptions!$G$38+AV31*Assumptions!$G$39</f>
        <v>104.199356637976</v>
      </c>
      <c r="AW34" s="37" t="n">
        <f aca="false">AW27*Assumptions!$G$35+AW28*Assumptions!$G$36+AW29*Assumptions!$G$37+AW30*Assumptions!$G$38+AW31*Assumptions!$G$39</f>
        <v>109.392966228112</v>
      </c>
      <c r="AX34" s="37" t="n">
        <f aca="false">AX27*Assumptions!$G$35+AX28*Assumptions!$G$36+AX29*Assumptions!$G$37+AX30*Assumptions!$G$38+AX31*Assumptions!$G$39</f>
        <v>114.638095753102</v>
      </c>
      <c r="AY34" s="37" t="n">
        <f aca="false">AY27*Assumptions!$G$35+AY28*Assumptions!$G$36+AY29*Assumptions!$G$37+AY30*Assumptions!$G$38+AY31*Assumptions!$G$39</f>
        <v>119.929871322203</v>
      </c>
      <c r="AZ34" s="37" t="n">
        <f aca="false">AZ27*Assumptions!$G$35+AZ28*Assumptions!$G$36+AZ29*Assumptions!$G$37+AZ30*Assumptions!$G$38+AZ31*Assumptions!$G$39</f>
        <v>125.261005895724</v>
      </c>
      <c r="BA34" s="37" t="n">
        <f aca="false">BA27*Assumptions!$G$35+BA28*Assumptions!$G$36+BA29*Assumptions!$G$37+BA30*Assumptions!$G$38+BA31*Assumptions!$G$39</f>
        <v>130.624776396201</v>
      </c>
      <c r="BB34" s="37" t="n">
        <f aca="false">BB27*Assumptions!$G$35+BB28*Assumptions!$G$36+BB29*Assumptions!$G$37+BB30*Assumptions!$G$38+BB31*Assumptions!$G$39</f>
        <v>136.017756416917</v>
      </c>
      <c r="BC34" s="37" t="n">
        <f aca="false">BC27*Assumptions!$G$35+BC28*Assumptions!$G$36+BC29*Assumptions!$G$37+BC30*Assumptions!$G$38+BC31*Assumptions!$G$39</f>
        <v>141.43399888177</v>
      </c>
      <c r="BD34" s="37" t="n">
        <f aca="false">BD27*Assumptions!$G$35+BD28*Assumptions!$G$36+BD29*Assumptions!$G$37+BD30*Assumptions!$G$38+BD31*Assumptions!$G$39</f>
        <v>146.868021222035</v>
      </c>
      <c r="BE34" s="37" t="n">
        <f aca="false">BE27*Assumptions!$G$35+BE28*Assumptions!$G$36+BE29*Assumptions!$G$37+BE30*Assumptions!$G$38+BE31*Assumptions!$G$39</f>
        <v>152.31754553985</v>
      </c>
      <c r="BF34" s="37" t="n">
        <f aca="false">BF27*Assumptions!$G$35+BF28*Assumptions!$G$36+BF29*Assumptions!$G$37+BF30*Assumptions!$G$38+BF31*Assumptions!$G$39</f>
        <v>157.77768815892</v>
      </c>
      <c r="BG34" s="37" t="n">
        <f aca="false">BG27*Assumptions!$G$35+BG28*Assumptions!$G$36+BG29*Assumptions!$G$37+BG30*Assumptions!$G$38+BG31*Assumptions!$G$39</f>
        <v>163.243951170918</v>
      </c>
      <c r="BH34" s="37" t="n">
        <f aca="false">BH27*Assumptions!$G$35+BH28*Assumptions!$G$36+BH29*Assumptions!$G$37+BH30*Assumptions!$G$38+BH31*Assumptions!$G$39</f>
        <v>168.712193800332</v>
      </c>
      <c r="BI34" s="37" t="n">
        <f aca="false">BI27*Assumptions!$G$35+BI28*Assumptions!$G$36+BI29*Assumptions!$G$37+BI30*Assumptions!$G$38+BI31*Assumptions!$G$39</f>
        <v>174.178605911618</v>
      </c>
      <c r="BJ34" s="37" t="n">
        <f aca="false">BJ27*Assumptions!$G$35+BJ28*Assumptions!$G$36+BJ29*Assumptions!$G$37+BJ30*Assumptions!$G$38+BJ31*Assumptions!$G$39</f>
        <v>179.639683496744</v>
      </c>
      <c r="BK34" s="37" t="n">
        <f aca="false">BK27*Assumptions!$G$35+BK28*Assumptions!$G$36+BK29*Assumptions!$G$37+BK30*Assumptions!$G$38+BK31*Assumptions!$G$39</f>
        <v>185.092205993568</v>
      </c>
    </row>
    <row r="35" customFormat="false" ht="15" hidden="false" customHeight="false" outlineLevel="0" collapsed="false">
      <c r="A35" s="28" t="s">
        <v>586</v>
      </c>
      <c r="B35" s="6" t="s">
        <v>587</v>
      </c>
      <c r="C35" s="42"/>
      <c r="D35" s="26" t="n">
        <f aca="false">MAX(0,D32-C32*(1-Assumptions!$G$41))</f>
        <v>0</v>
      </c>
      <c r="E35" s="26" t="n">
        <f aca="false">MAX(0,E32-D32*(1-Assumptions!$G$41))</f>
        <v>0</v>
      </c>
      <c r="F35" s="26" t="n">
        <f aca="false">MAX(0,F32-E32*(1-Assumptions!$G$41))</f>
        <v>0</v>
      </c>
      <c r="G35" s="26" t="n">
        <f aca="false">MAX(0,G32-F32*(1-Assumptions!$G$41))</f>
        <v>0</v>
      </c>
      <c r="H35" s="26" t="n">
        <f aca="false">MAX(0,H32-G32*(1-Assumptions!$G$41))</f>
        <v>0</v>
      </c>
      <c r="I35" s="26" t="n">
        <f aca="false">MAX(0,I32-H32*(1-Assumptions!$G$41))</f>
        <v>0</v>
      </c>
      <c r="J35" s="26" t="n">
        <f aca="false">MAX(0,J32-I32*(1-Assumptions!$G$41))</f>
        <v>0</v>
      </c>
      <c r="K35" s="26" t="n">
        <f aca="false">MAX(0,K32-J32*(1-Assumptions!$G$41))</f>
        <v>0</v>
      </c>
      <c r="L35" s="26" t="n">
        <f aca="false">MAX(0,L32-K32*(1-Assumptions!$G$41))</f>
        <v>0</v>
      </c>
      <c r="M35" s="26" t="n">
        <f aca="false">MAX(0,M32-L32*(1-Assumptions!$G$41))</f>
        <v>0</v>
      </c>
      <c r="N35" s="26" t="n">
        <f aca="false">MAX(0,N32-M32*(1-Assumptions!$G$41))</f>
        <v>0</v>
      </c>
      <c r="O35" s="26" t="n">
        <f aca="false">MAX(0,O32-N32*(1-Assumptions!$G$41))</f>
        <v>0</v>
      </c>
      <c r="P35" s="26" t="n">
        <f aca="false">MAX(0,P32-O32*(1-Assumptions!$G$41))</f>
        <v>0</v>
      </c>
      <c r="Q35" s="26" t="n">
        <f aca="false">MAX(0,Q32-P32*(1-Assumptions!$G$41))</f>
        <v>0</v>
      </c>
      <c r="R35" s="26" t="n">
        <f aca="false">MAX(0,R32-Q32*(1-Assumptions!$G$41))</f>
        <v>0</v>
      </c>
      <c r="S35" s="26" t="n">
        <f aca="false">MAX(0,S32-R32*(1-Assumptions!$G$41))</f>
        <v>4.040145041831</v>
      </c>
      <c r="T35" s="26" t="n">
        <f aca="false">MAX(0,T32-S32*(1-Assumptions!$G$41))</f>
        <v>4.44285224592626</v>
      </c>
      <c r="U35" s="26" t="n">
        <f aca="false">MAX(0,U32-T32*(1-Assumptions!$G$41))</f>
        <v>4.83723353828202</v>
      </c>
      <c r="V35" s="26" t="n">
        <f aca="false">MAX(0,V32-U32*(1-Assumptions!$G$41))</f>
        <v>5.22383005709032</v>
      </c>
      <c r="W35" s="26" t="n">
        <f aca="false">MAX(0,W32-V32*(1-Assumptions!$G$41))</f>
        <v>5.77075427358238</v>
      </c>
      <c r="X35" s="26" t="n">
        <f aca="false">MAX(0,X32-W32*(1-Assumptions!$G$41))</f>
        <v>6.28326533682508</v>
      </c>
      <c r="Y35" s="26" t="n">
        <f aca="false">MAX(0,Y32-X32*(1-Assumptions!$G$41))</f>
        <v>6.73634217205621</v>
      </c>
      <c r="Z35" s="26" t="n">
        <f aca="false">MAX(0,Z32-Y32*(1-Assumptions!$G$41))</f>
        <v>7.31388042502059</v>
      </c>
      <c r="AA35" s="26" t="n">
        <f aca="false">MAX(0,AA32-Z32*(1-Assumptions!$G$41))</f>
        <v>7.82947199544176</v>
      </c>
      <c r="AB35" s="26" t="n">
        <f aca="false">MAX(0,AB32-AA32*(1-Assumptions!$G$41))</f>
        <v>8.27943740949812</v>
      </c>
      <c r="AC35" s="26" t="n">
        <f aca="false">MAX(0,AC32-AB32*(1-Assumptions!$G$41))</f>
        <v>8.82781416260079</v>
      </c>
      <c r="AD35" s="26" t="n">
        <f aca="false">MAX(0,AD32-AC32*(1-Assumptions!$G$41))</f>
        <v>9.48375795952618</v>
      </c>
      <c r="AE35" s="26" t="n">
        <f aca="false">MAX(0,AE32-AD32*(1-Assumptions!$G$41))</f>
        <v>10.0415447055847</v>
      </c>
      <c r="AF35" s="26" t="n">
        <f aca="false">MAX(0,AF32-AE32*(1-Assumptions!$G$41))</f>
        <v>10.64663587781</v>
      </c>
      <c r="AG35" s="26" t="n">
        <f aca="false">MAX(0,AG32-AF32*(1-Assumptions!$G$41))</f>
        <v>11.323935540958</v>
      </c>
      <c r="AH35" s="26" t="n">
        <f aca="false">MAX(0,AH32-AG32*(1-Assumptions!$G$41))</f>
        <v>11.8760199515511</v>
      </c>
      <c r="AI35" s="26" t="n">
        <f aca="false">MAX(0,AI32-AH32*(1-Assumptions!$G$41))</f>
        <v>12.4629577177363</v>
      </c>
      <c r="AJ35" s="26" t="n">
        <f aca="false">MAX(0,AJ32-AI32*(1-Assumptions!$G$41))</f>
        <v>13.0967706236712</v>
      </c>
      <c r="AK35" s="26" t="n">
        <f aca="false">MAX(0,AK32-AJ32*(1-Assumptions!$G$41))</f>
        <v>13.7755542633311</v>
      </c>
      <c r="AL35" s="26" t="n">
        <f aca="false">MAX(0,AL32-AK32*(1-Assumptions!$G$41))</f>
        <v>14.4639955075057</v>
      </c>
      <c r="AM35" s="26" t="n">
        <f aca="false">MAX(0,AM32-AL32*(1-Assumptions!$G$41))</f>
        <v>15.1417932562456</v>
      </c>
      <c r="AN35" s="37" t="n">
        <f aca="false">MAX(0,AN32-AM32*(1-Assumptions!$G$41))</f>
        <v>15.8297777455139</v>
      </c>
      <c r="AO35" s="37" t="n">
        <f aca="false">MAX(0,AO32-AN32*(1-Assumptions!$G$41))</f>
        <v>16.5009013967963</v>
      </c>
      <c r="AP35" s="37" t="n">
        <f aca="false">MAX(0,AP32-AO32*(1-Assumptions!$G$41))</f>
        <v>17.1561421014896</v>
      </c>
      <c r="AQ35" s="37" t="n">
        <f aca="false">MAX(0,AQ32-AP32*(1-Assumptions!$G$41))</f>
        <v>17.7964135973151</v>
      </c>
      <c r="AR35" s="37" t="n">
        <f aca="false">MAX(0,AR32-AQ32*(1-Assumptions!$G$41))</f>
        <v>18.422569945125</v>
      </c>
      <c r="AS35" s="37" t="n">
        <f aca="false">MAX(0,AS32-AR32*(1-Assumptions!$G$41))</f>
        <v>19.0354096815426</v>
      </c>
      <c r="AT35" s="37" t="n">
        <f aca="false">MAX(0,AT32-AS32*(1-Assumptions!$G$41))</f>
        <v>19.6289753604518</v>
      </c>
      <c r="AU35" s="37" t="n">
        <f aca="false">MAX(0,AU32-AT32*(1-Assumptions!$G$41))</f>
        <v>20.2109696990511</v>
      </c>
      <c r="AV35" s="37" t="n">
        <f aca="false">MAX(0,AV32-AU32*(1-Assumptions!$G$41))</f>
        <v>20.7820283677267</v>
      </c>
      <c r="AW35" s="37" t="n">
        <f aca="false">MAX(0,AW32-AV32*(1-Assumptions!$G$41))</f>
        <v>21.3360422738298</v>
      </c>
      <c r="AX35" s="37" t="n">
        <f aca="false">MAX(0,AX32-AW32*(1-Assumptions!$G$41))</f>
        <v>21.8805729016328</v>
      </c>
      <c r="AY35" s="37" t="n">
        <f aca="false">MAX(0,AY32-AX32*(1-Assumptions!$G$41))</f>
        <v>22.4161243555348</v>
      </c>
      <c r="AZ35" s="37" t="n">
        <f aca="false">MAX(0,AZ32-AY32*(1-Assumptions!$G$41))</f>
        <v>22.9364649521493</v>
      </c>
      <c r="BA35" s="37" t="n">
        <f aca="false">MAX(0,BA32-AZ32*(1-Assumptions!$G$41))</f>
        <v>23.442337608438</v>
      </c>
      <c r="BB35" s="37" t="n">
        <f aca="false">MAX(0,BB32-BA32*(1-Assumptions!$G$41))</f>
        <v>23.9411438626586</v>
      </c>
      <c r="BC35" s="37" t="n">
        <f aca="false">MAX(0,BC32-BB32*(1-Assumptions!$G$41))</f>
        <v>24.4265343889579</v>
      </c>
      <c r="BD35" s="37" t="n">
        <f aca="false">MAX(0,BD32-BC32*(1-Assumptions!$G$41))</f>
        <v>24.8991423916014</v>
      </c>
      <c r="BE35" s="37" t="n">
        <f aca="false">MAX(0,BE32-BD32*(1-Assumptions!$G$41))</f>
        <v>25.3662670637982</v>
      </c>
      <c r="BF35" s="37" t="n">
        <f aca="false">MAX(0,BF32-BE32*(1-Assumptions!$G$41))</f>
        <v>25.8214635812669</v>
      </c>
      <c r="BG35" s="37" t="n">
        <f aca="false">MAX(0,BG32-BF32*(1-Assumptions!$G$41))</f>
        <v>26.2652760134756</v>
      </c>
      <c r="BH35" s="37" t="n">
        <f aca="false">MAX(0,BH32-BG32*(1-Assumptions!$G$41))</f>
        <v>26.69821602368</v>
      </c>
      <c r="BI35" s="37" t="n">
        <f aca="false">MAX(0,BI32-BH32*(1-Assumptions!$G$41))</f>
        <v>27.120765018797</v>
      </c>
      <c r="BJ35" s="37" t="n">
        <f aca="false">MAX(0,BJ32-BI32*(1-Assumptions!$G$41))</f>
        <v>27.5333761483307</v>
      </c>
      <c r="BK35" s="37" t="n">
        <f aca="false">MAX(0,BK32-BJ32*(1-Assumptions!$G$41))</f>
        <v>27.9364761633227</v>
      </c>
    </row>
    <row r="36" customFormat="false" ht="15" hidden="false" customHeight="false" outlineLevel="0" collapsed="false">
      <c r="B36" s="5" t="s">
        <v>588</v>
      </c>
    </row>
    <row r="37" customFormat="false" ht="15" hidden="false" customHeight="false" outlineLevel="0" collapsed="false">
      <c r="A37" s="28" t="s">
        <v>589</v>
      </c>
      <c r="B37" s="6" t="s">
        <v>590</v>
      </c>
      <c r="C37" s="43"/>
      <c r="D37" s="17" t="n">
        <f aca="false">D33*Assumptions!$G$42</f>
        <v>0</v>
      </c>
      <c r="E37" s="17" t="n">
        <f aca="false">E33*Assumptions!$G$42</f>
        <v>0</v>
      </c>
      <c r="F37" s="17" t="n">
        <f aca="false">F33*Assumptions!$G$42</f>
        <v>0</v>
      </c>
      <c r="G37" s="17" t="n">
        <f aca="false">G33*Assumptions!$G$42</f>
        <v>0</v>
      </c>
      <c r="H37" s="17" t="n">
        <f aca="false">H33*Assumptions!$G$42</f>
        <v>0</v>
      </c>
      <c r="I37" s="17" t="n">
        <f aca="false">I33*Assumptions!$G$42</f>
        <v>0</v>
      </c>
      <c r="J37" s="17" t="n">
        <f aca="false">J33*Assumptions!$G$42</f>
        <v>0</v>
      </c>
      <c r="K37" s="17" t="n">
        <f aca="false">K33*Assumptions!$G$42</f>
        <v>0</v>
      </c>
      <c r="L37" s="17" t="n">
        <f aca="false">L33*Assumptions!$G$42</f>
        <v>0</v>
      </c>
      <c r="M37" s="17" t="n">
        <f aca="false">M33*Assumptions!$G$42</f>
        <v>0</v>
      </c>
      <c r="N37" s="17" t="n">
        <f aca="false">N33*Assumptions!$G$42</f>
        <v>0</v>
      </c>
      <c r="O37" s="17" t="n">
        <f aca="false">O33*Assumptions!$G$42</f>
        <v>0</v>
      </c>
      <c r="P37" s="17" t="n">
        <f aca="false">P33*Assumptions!$G$42</f>
        <v>0</v>
      </c>
      <c r="Q37" s="17" t="n">
        <f aca="false">Q33*Assumptions!$G$42</f>
        <v>0</v>
      </c>
      <c r="R37" s="17" t="n">
        <f aca="false">R33*Assumptions!$G$42</f>
        <v>0</v>
      </c>
      <c r="S37" s="17" t="n">
        <f aca="false">S33*Assumptions!$G$42</f>
        <v>92.3545800395405</v>
      </c>
      <c r="T37" s="17" t="n">
        <f aca="false">T33*Assumptions!$G$42</f>
        <v>192.840276665643</v>
      </c>
      <c r="U37" s="17" t="n">
        <f aca="false">U33*Assumptions!$G$42</f>
        <v>301.122277994315</v>
      </c>
      <c r="V37" s="17" t="n">
        <f aca="false">V33*Assumptions!$G$42</f>
        <v>416.881278277278</v>
      </c>
      <c r="W37" s="17" t="n">
        <f aca="false">W33*Assumptions!$G$42</f>
        <v>543.644083924566</v>
      </c>
      <c r="X37" s="17" t="n">
        <f aca="false">X33*Assumptions!$G$42</f>
        <v>680.444532585549</v>
      </c>
      <c r="Y37" s="17" t="n">
        <f aca="false">Y33*Assumptions!$G$42</f>
        <v>825.753544196559</v>
      </c>
      <c r="Z37" s="17" t="n">
        <f aca="false">Z33*Assumptions!$G$42</f>
        <v>982.262025592851</v>
      </c>
      <c r="AA37" s="17" t="n">
        <f aca="false">AA33*Assumptions!$G$42</f>
        <v>1148.36785471194</v>
      </c>
      <c r="AB37" s="17" t="n">
        <f aca="false">AB33*Assumptions!$G$42</f>
        <v>1322.40144863146</v>
      </c>
      <c r="AC37" s="17" t="n">
        <f aca="false">AC33*Assumptions!$G$42</f>
        <v>1506.4614382502</v>
      </c>
      <c r="AD37" s="17" t="n">
        <f aca="false">AD33*Assumptions!$G$42</f>
        <v>1702.83132414935</v>
      </c>
      <c r="AE37" s="17" t="n">
        <f aca="false">AE33*Assumptions!$G$42</f>
        <v>1909.06420687842</v>
      </c>
      <c r="AF37" s="17" t="n">
        <f aca="false">AF33*Assumptions!$G$42</f>
        <v>2126.06449946773</v>
      </c>
      <c r="AG37" s="17" t="n">
        <f aca="false">AG33*Assumptions!$G$42</f>
        <v>2355.2945776156</v>
      </c>
      <c r="AH37" s="17" t="n">
        <f aca="false">AH33*Assumptions!$G$42</f>
        <v>2593.68561678368</v>
      </c>
      <c r="AI37" s="17" t="n">
        <f aca="false">AI33*Assumptions!$G$42</f>
        <v>2841.86160563832</v>
      </c>
      <c r="AJ37" s="17" t="n">
        <f aca="false">AJ33*Assumptions!$G$42</f>
        <v>3100.71394651449</v>
      </c>
      <c r="AK37" s="17" t="n">
        <f aca="false">AK33*Assumptions!$G$42</f>
        <v>3371.07967489753</v>
      </c>
      <c r="AL37" s="17" t="n">
        <f aca="false">AL33*Assumptions!$G$42</f>
        <v>3652.97794633504</v>
      </c>
      <c r="AM37" s="17" t="n">
        <f aca="false">AM33*Assumptions!$G$42</f>
        <v>3945.9623289279</v>
      </c>
      <c r="AN37" s="44" t="n">
        <f aca="false">AN33*Assumptions!$G$42</f>
        <v>4250.06653425583</v>
      </c>
      <c r="AO37" s="44" t="n">
        <f aca="false">AO33*Assumptions!$G$42</f>
        <v>4564.70471093446</v>
      </c>
      <c r="AP37" s="44" t="n">
        <f aca="false">AP33*Assumptions!$G$42</f>
        <v>4889.31933902885</v>
      </c>
      <c r="AQ37" s="44" t="n">
        <f aca="false">AQ33*Assumptions!$G$42</f>
        <v>5223.3798111892</v>
      </c>
      <c r="AR37" s="44" t="n">
        <f aca="false">AR33*Assumptions!$G$42</f>
        <v>5566.38108985498</v>
      </c>
      <c r="AS37" s="44" t="n">
        <f aca="false">AS33*Assumptions!$G$42</f>
        <v>5917.84243611674</v>
      </c>
      <c r="AT37" s="44" t="n">
        <f aca="false">AT33*Assumptions!$G$42</f>
        <v>6277.15295075411</v>
      </c>
      <c r="AU37" s="44" t="n">
        <f aca="false">AU33*Assumptions!$G$42</f>
        <v>6643.88557744081</v>
      </c>
      <c r="AV37" s="44" t="n">
        <f aca="false">AV33*Assumptions!$G$42</f>
        <v>7017.63369859129</v>
      </c>
      <c r="AW37" s="44" t="n">
        <f aca="false">AW33*Assumptions!$G$42</f>
        <v>7397.85687958722</v>
      </c>
      <c r="AX37" s="44" t="n">
        <f aca="false">AX33*Assumptions!$G$42</f>
        <v>7784.19506362041</v>
      </c>
      <c r="AY37" s="44" t="n">
        <f aca="false">AY33*Assumptions!$G$42</f>
        <v>8176.30534833652</v>
      </c>
      <c r="AZ37" s="44" t="n">
        <f aca="false">AZ33*Assumptions!$G$42</f>
        <v>8573.70790068022</v>
      </c>
      <c r="BA37" s="44" t="n">
        <f aca="false">BA33*Assumptions!$G$42</f>
        <v>8975.9470574519</v>
      </c>
      <c r="BB37" s="44" t="n">
        <f aca="false">BB33*Assumptions!$G$42</f>
        <v>9382.74339720733</v>
      </c>
      <c r="BC37" s="44" t="n">
        <f aca="false">BC33*Assumptions!$G$42</f>
        <v>9793.67747455441</v>
      </c>
      <c r="BD37" s="44" t="n">
        <f aca="false">BD33*Assumptions!$G$42</f>
        <v>10208.3510793603</v>
      </c>
      <c r="BE37" s="44" t="n">
        <f aca="false">BE33*Assumptions!$G$42</f>
        <v>10626.5394585457</v>
      </c>
      <c r="BF37" s="44" t="n">
        <f aca="false">BF33*Assumptions!$G$42</f>
        <v>11047.8751920429</v>
      </c>
      <c r="BG37" s="44" t="n">
        <f aca="false">BG33*Assumptions!$G$42</f>
        <v>11472.0095859201</v>
      </c>
      <c r="BH37" s="44" t="n">
        <f aca="false">BH33*Assumptions!$G$42</f>
        <v>11898.6117654608</v>
      </c>
      <c r="BI37" s="44" t="n">
        <f aca="false">BI33*Assumptions!$G$42</f>
        <v>12327.3678140711</v>
      </c>
      <c r="BJ37" s="44" t="n">
        <f aca="false">BJ33*Assumptions!$G$42</f>
        <v>12757.979955532</v>
      </c>
      <c r="BK37" s="44" t="n">
        <f aca="false">BK33*Assumptions!$G$42</f>
        <v>13190.1657772576</v>
      </c>
    </row>
    <row r="38" customFormat="false" ht="15" hidden="false" customHeight="false" outlineLevel="0" collapsed="false">
      <c r="A38" s="28" t="s">
        <v>591</v>
      </c>
      <c r="B38" s="6" t="s">
        <v>592</v>
      </c>
      <c r="C38" s="43"/>
      <c r="D38" s="17" t="n">
        <f aca="false">D34*Assumptions!$G$43</f>
        <v>0</v>
      </c>
      <c r="E38" s="17" t="n">
        <f aca="false">E34*Assumptions!$G$43</f>
        <v>0</v>
      </c>
      <c r="F38" s="17" t="n">
        <f aca="false">F34*Assumptions!$G$43</f>
        <v>0</v>
      </c>
      <c r="G38" s="17" t="n">
        <f aca="false">G34*Assumptions!$G$43</f>
        <v>0</v>
      </c>
      <c r="H38" s="17" t="n">
        <f aca="false">H34*Assumptions!$G$43</f>
        <v>0</v>
      </c>
      <c r="I38" s="17" t="n">
        <f aca="false">I34*Assumptions!$G$43</f>
        <v>0</v>
      </c>
      <c r="J38" s="17" t="n">
        <f aca="false">J34*Assumptions!$G$43</f>
        <v>0</v>
      </c>
      <c r="K38" s="17" t="n">
        <f aca="false">K34*Assumptions!$G$43</f>
        <v>0</v>
      </c>
      <c r="L38" s="17" t="n">
        <f aca="false">L34*Assumptions!$G$43</f>
        <v>0</v>
      </c>
      <c r="M38" s="17" t="n">
        <f aca="false">M34*Assumptions!$G$43</f>
        <v>0</v>
      </c>
      <c r="N38" s="17" t="n">
        <f aca="false">N34*Assumptions!$G$43</f>
        <v>0</v>
      </c>
      <c r="O38" s="17" t="n">
        <f aca="false">O34*Assumptions!$G$43</f>
        <v>0</v>
      </c>
      <c r="P38" s="17" t="n">
        <f aca="false">P34*Assumptions!$G$43</f>
        <v>0</v>
      </c>
      <c r="Q38" s="17" t="n">
        <f aca="false">Q34*Assumptions!$G$43</f>
        <v>0</v>
      </c>
      <c r="R38" s="17" t="n">
        <f aca="false">R34*Assumptions!$G$43</f>
        <v>0</v>
      </c>
      <c r="S38" s="17" t="n">
        <f aca="false">S34*Assumptions!$G$43</f>
        <v>132.094232070708</v>
      </c>
      <c r="T38" s="17" t="n">
        <f aca="false">T34*Assumptions!$G$43</f>
        <v>272.350252111076</v>
      </c>
      <c r="U38" s="17" t="n">
        <f aca="false">U34*Assumptions!$G$43</f>
        <v>420.23429027726</v>
      </c>
      <c r="V38" s="17" t="n">
        <f aca="false">V34*Assumptions!$G$43</f>
        <v>575.251186294901</v>
      </c>
      <c r="W38" s="17" t="n">
        <f aca="false">W34*Assumptions!$G$43</f>
        <v>742.421516619515</v>
      </c>
      <c r="X38" s="17" t="n">
        <f aca="false">X34*Assumptions!$G$43</f>
        <v>920.208768376718</v>
      </c>
      <c r="Y38" s="17" t="n">
        <f aca="false">Y34*Assumptions!$G$43</f>
        <v>1106.31863924631</v>
      </c>
      <c r="Z38" s="17" t="n">
        <f aca="false">Z34*Assumptions!$G$43</f>
        <v>1304.55771689845</v>
      </c>
      <c r="AA38" s="17" t="n">
        <f aca="false">AA34*Assumptions!$G$43</f>
        <v>1512.49419306456</v>
      </c>
      <c r="AB38" s="17" t="n">
        <f aca="false">AB34*Assumptions!$G$43</f>
        <v>1727.66996800961</v>
      </c>
      <c r="AC38" s="17" t="n">
        <f aca="false">AC34*Assumptions!$G$43</f>
        <v>1953.084257323</v>
      </c>
      <c r="AD38" s="17" t="n">
        <f aca="false">AD34*Assumptions!$G$43</f>
        <v>2191.92196616854</v>
      </c>
      <c r="AE38" s="17" t="n">
        <f aca="false">AE34*Assumptions!$G$43</f>
        <v>2440.52215330499</v>
      </c>
      <c r="AF38" s="17" t="n">
        <f aca="false">AF34*Assumptions!$G$43</f>
        <v>2700.1206714518</v>
      </c>
      <c r="AG38" s="17" t="n">
        <f aca="false">AG34*Assumptions!$G$43</f>
        <v>2972.72153532378</v>
      </c>
      <c r="AH38" s="17" t="n">
        <f aca="false">AH34*Assumptions!$G$43</f>
        <v>3253.79912807998</v>
      </c>
      <c r="AI38" s="17" t="n">
        <f aca="false">AI34*Assumptions!$G$43</f>
        <v>3544.23463295449</v>
      </c>
      <c r="AJ38" s="17" t="n">
        <f aca="false">AJ34*Assumptions!$G$43</f>
        <v>3845.26900392562</v>
      </c>
      <c r="AK38" s="17" t="n">
        <f aca="false">AK34*Assumptions!$G$43</f>
        <v>4158.0343257766</v>
      </c>
      <c r="AL38" s="17" t="n">
        <f aca="false">AL34*Assumptions!$G$43</f>
        <v>4482.46605582949</v>
      </c>
      <c r="AM38" s="17" t="n">
        <f aca="false">AM34*Assumptions!$G$43</f>
        <v>4817.83955670271</v>
      </c>
      <c r="AN38" s="44" t="n">
        <f aca="false">AN34*Assumptions!$G$43</f>
        <v>5164.13983266029</v>
      </c>
      <c r="AO38" s="44" t="n">
        <f aca="false">AO34*Assumptions!$G$43</f>
        <v>5520.46894235566</v>
      </c>
      <c r="AP38" s="44" t="n">
        <f aca="false">AP34*Assumptions!$G$43</f>
        <v>5885.99571349999</v>
      </c>
      <c r="AQ38" s="44" t="n">
        <f aca="false">AQ34*Assumptions!$G$43</f>
        <v>6259.95075526769</v>
      </c>
      <c r="AR38" s="44" t="n">
        <f aca="false">AR34*Assumptions!$G$43</f>
        <v>6641.62184717018</v>
      </c>
      <c r="AS38" s="44" t="n">
        <f aca="false">AS34*Assumptions!$G$43</f>
        <v>7030.34967578672</v>
      </c>
      <c r="AT38" s="44" t="n">
        <f aca="false">AT34*Assumptions!$G$43</f>
        <v>7425.30469267132</v>
      </c>
      <c r="AU38" s="44" t="n">
        <f aca="false">AU34*Assumptions!$G$43</f>
        <v>7825.93997207498</v>
      </c>
      <c r="AV38" s="44" t="n">
        <f aca="false">AV34*Assumptions!$G$43</f>
        <v>8231.74917440013</v>
      </c>
      <c r="AW38" s="44" t="n">
        <f aca="false">AW34*Assumptions!$G$43</f>
        <v>8642.04433202087</v>
      </c>
      <c r="AX38" s="44" t="n">
        <f aca="false">AX34*Assumptions!$G$43</f>
        <v>9056.40956449508</v>
      </c>
      <c r="AY38" s="44" t="n">
        <f aca="false">AY34*Assumptions!$G$43</f>
        <v>9474.45983445406</v>
      </c>
      <c r="AZ38" s="44" t="n">
        <f aca="false">AZ34*Assumptions!$G$43</f>
        <v>9895.61946576222</v>
      </c>
      <c r="BA38" s="44" t="n">
        <f aca="false">BA34*Assumptions!$G$43</f>
        <v>10319.3573352999</v>
      </c>
      <c r="BB38" s="44" t="n">
        <f aca="false">BB34*Assumptions!$G$43</f>
        <v>10745.4027569365</v>
      </c>
      <c r="BC38" s="44" t="n">
        <f aca="false">BC34*Assumptions!$G$43</f>
        <v>11173.2859116598</v>
      </c>
      <c r="BD38" s="44" t="n">
        <f aca="false">BD34*Assumptions!$G$43</f>
        <v>11602.5736765407</v>
      </c>
      <c r="BE38" s="44" t="n">
        <f aca="false">BE34*Assumptions!$G$43</f>
        <v>12033.0860976481</v>
      </c>
      <c r="BF38" s="44" t="n">
        <f aca="false">BF34*Assumptions!$G$43</f>
        <v>12464.4373645547</v>
      </c>
      <c r="BG38" s="44" t="n">
        <f aca="false">BG34*Assumptions!$G$43</f>
        <v>12896.2721425025</v>
      </c>
      <c r="BH38" s="44" t="n">
        <f aca="false">BH34*Assumptions!$G$43</f>
        <v>13328.2633102262</v>
      </c>
      <c r="BI38" s="44" t="n">
        <f aca="false">BI34*Assumptions!$G$43</f>
        <v>13760.1098670178</v>
      </c>
      <c r="BJ38" s="44" t="n">
        <f aca="false">BJ34*Assumptions!$G$43</f>
        <v>14191.5349962428</v>
      </c>
      <c r="BK38" s="44" t="n">
        <f aca="false">BK34*Assumptions!$G$43</f>
        <v>14622.2842734918</v>
      </c>
    </row>
    <row r="39" customFormat="false" ht="15" hidden="false" customHeight="false" outlineLevel="0" collapsed="false">
      <c r="A39" s="28" t="s">
        <v>593</v>
      </c>
      <c r="B39" s="6" t="s">
        <v>594</v>
      </c>
      <c r="C39" s="43"/>
      <c r="D39" s="17" t="n">
        <f aca="false">(D33*Assumptions!$G$46+D34*Assumptions!$G$47)*Assumptions!$G$45</f>
        <v>0</v>
      </c>
      <c r="E39" s="17" t="n">
        <f aca="false">(E33*Assumptions!$G$46+E34*Assumptions!$G$47)*Assumptions!$G$45</f>
        <v>0</v>
      </c>
      <c r="F39" s="17" t="n">
        <f aca="false">(F33*Assumptions!$G$46+F34*Assumptions!$G$47)*Assumptions!$G$45</f>
        <v>0</v>
      </c>
      <c r="G39" s="17" t="n">
        <f aca="false">(G33*Assumptions!$G$46+G34*Assumptions!$G$47)*Assumptions!$G$45</f>
        <v>0</v>
      </c>
      <c r="H39" s="17" t="n">
        <f aca="false">(H33*Assumptions!$G$46+H34*Assumptions!$G$47)*Assumptions!$G$45</f>
        <v>0</v>
      </c>
      <c r="I39" s="17" t="n">
        <f aca="false">(I33*Assumptions!$G$46+I34*Assumptions!$G$47)*Assumptions!$G$45</f>
        <v>0</v>
      </c>
      <c r="J39" s="17" t="n">
        <f aca="false">(J33*Assumptions!$G$46+J34*Assumptions!$G$47)*Assumptions!$G$45</f>
        <v>0</v>
      </c>
      <c r="K39" s="17" t="n">
        <f aca="false">(K33*Assumptions!$G$46+K34*Assumptions!$G$47)*Assumptions!$G$45</f>
        <v>0</v>
      </c>
      <c r="L39" s="17" t="n">
        <f aca="false">(L33*Assumptions!$G$46+L34*Assumptions!$G$47)*Assumptions!$G$45</f>
        <v>0</v>
      </c>
      <c r="M39" s="17" t="n">
        <f aca="false">(M33*Assumptions!$G$46+M34*Assumptions!$G$47)*Assumptions!$G$45</f>
        <v>0</v>
      </c>
      <c r="N39" s="17" t="n">
        <f aca="false">(N33*Assumptions!$G$46+N34*Assumptions!$G$47)*Assumptions!$G$45</f>
        <v>0</v>
      </c>
      <c r="O39" s="17" t="n">
        <f aca="false">(O33*Assumptions!$G$46+O34*Assumptions!$G$47)*Assumptions!$G$45</f>
        <v>0</v>
      </c>
      <c r="P39" s="17" t="n">
        <f aca="false">(P33*Assumptions!$G$46+P34*Assumptions!$G$47)*Assumptions!$G$45</f>
        <v>0</v>
      </c>
      <c r="Q39" s="17" t="n">
        <f aca="false">(Q33*Assumptions!$G$46+Q34*Assumptions!$G$47)*Assumptions!$G$45</f>
        <v>0</v>
      </c>
      <c r="R39" s="17" t="n">
        <f aca="false">(R33*Assumptions!$G$46+R34*Assumptions!$G$47)*Assumptions!$G$45</f>
        <v>0</v>
      </c>
      <c r="S39" s="17" t="n">
        <f aca="false">(S33*Assumptions!$G$46+S34*Assumptions!$G$47)*Assumptions!$G$45</f>
        <v>11964.479031732</v>
      </c>
      <c r="T39" s="17" t="n">
        <f aca="false">(T33*Assumptions!$G$46+T34*Assumptions!$G$47)*Assumptions!$G$45</f>
        <v>24784.7891030809</v>
      </c>
      <c r="U39" s="17" t="n">
        <f aca="false">(U33*Assumptions!$G$46+U34*Assumptions!$G$47)*Assumptions!$G$45</f>
        <v>38414.4288774966</v>
      </c>
      <c r="V39" s="17" t="n">
        <f aca="false">(V33*Assumptions!$G$46+V34*Assumptions!$G$47)*Assumptions!$G$45</f>
        <v>52809.8417849974</v>
      </c>
      <c r="W39" s="17" t="n">
        <f aca="false">(W33*Assumptions!$G$46+W34*Assumptions!$G$47)*Assumptions!$G$45</f>
        <v>68426.5680292279</v>
      </c>
      <c r="X39" s="17" t="n">
        <f aca="false">(X33*Assumptions!$G$46+X34*Assumptions!$G$47)*Assumptions!$G$45</f>
        <v>85130.6346119274</v>
      </c>
      <c r="Y39" s="17" t="n">
        <f aca="false">(Y33*Assumptions!$G$46+Y34*Assumptions!$G$47)*Assumptions!$G$45</f>
        <v>102717.83996165</v>
      </c>
      <c r="Z39" s="17" t="n">
        <f aca="false">(Z33*Assumptions!$G$46+Z34*Assumptions!$G$47)*Assumptions!$G$45</f>
        <v>121534.385542557</v>
      </c>
      <c r="AA39" s="17" t="n">
        <f aca="false">(AA33*Assumptions!$G$46+AA34*Assumptions!$G$47)*Assumptions!$G$45</f>
        <v>141364.725531333</v>
      </c>
      <c r="AB39" s="17" t="n">
        <f aca="false">(AB33*Assumptions!$G$46+AB34*Assumptions!$G$47)*Assumptions!$G$45</f>
        <v>161988.57317891</v>
      </c>
      <c r="AC39" s="17" t="n">
        <f aca="false">(AC33*Assumptions!$G$46+AC34*Assumptions!$G$47)*Assumptions!$G$45</f>
        <v>183677.665595909</v>
      </c>
      <c r="AD39" s="17" t="n">
        <f aca="false">(AD33*Assumptions!$G$46+AD34*Assumptions!$G$47)*Assumptions!$G$45</f>
        <v>206723.205112691</v>
      </c>
      <c r="AE39" s="17" t="n">
        <f aca="false">(AE33*Assumptions!$G$46+AE34*Assumptions!$G$47)*Assumptions!$G$45</f>
        <v>230799.017704931</v>
      </c>
      <c r="AF39" s="17" t="n">
        <f aca="false">(AF33*Assumptions!$G$46+AF34*Assumptions!$G$47)*Assumptions!$G$45</f>
        <v>256018.98144221</v>
      </c>
      <c r="AG39" s="17" t="n">
        <f aca="false">(AG33*Assumptions!$G$46+AG34*Assumptions!$G$47)*Assumptions!$G$45</f>
        <v>282567.555585405</v>
      </c>
      <c r="AH39" s="17" t="n">
        <f aca="false">(AH33*Assumptions!$G$46+AH34*Assumptions!$G$47)*Assumptions!$G$45</f>
        <v>310039.412192184</v>
      </c>
      <c r="AI39" s="17" t="n">
        <f aca="false">(AI33*Assumptions!$G$46+AI34*Assumptions!$G$47)*Assumptions!$G$45</f>
        <v>338514.744699347</v>
      </c>
      <c r="AJ39" s="17" t="n">
        <f aca="false">(AJ33*Assumptions!$G$46+AJ34*Assumptions!$G$47)*Assumptions!$G$45</f>
        <v>368107.096240313</v>
      </c>
      <c r="AK39" s="17" t="n">
        <f aca="false">(AK33*Assumptions!$G$46+AK34*Assumptions!$G$47)*Assumptions!$G$45</f>
        <v>398921.194747806</v>
      </c>
      <c r="AL39" s="17" t="n">
        <f aca="false">(AL33*Assumptions!$G$46+AL34*Assumptions!$G$47)*Assumptions!$G$45</f>
        <v>430954.284679959</v>
      </c>
      <c r="AM39" s="17" t="n">
        <f aca="false">(AM33*Assumptions!$G$46+AM34*Assumptions!$G$47)*Assumptions!$G$45</f>
        <v>464143.626151824</v>
      </c>
      <c r="AN39" s="44" t="n">
        <f aca="false">(AN33*Assumptions!$G$46+AN34*Assumptions!$G$47)*Assumptions!$G$45</f>
        <v>498489.985724936</v>
      </c>
      <c r="AO39" s="44" t="n">
        <f aca="false">(AO33*Assumptions!$G$46+AO34*Assumptions!$G$47)*Assumptions!$G$45</f>
        <v>533914.048909635</v>
      </c>
      <c r="AP39" s="44" t="n">
        <f aca="false">(AP33*Assumptions!$G$46+AP34*Assumptions!$G$47)*Assumptions!$G$45</f>
        <v>570341.666605939</v>
      </c>
      <c r="AQ39" s="44" t="n">
        <f aca="false">(AQ33*Assumptions!$G$46+AQ34*Assumptions!$G$47)*Assumptions!$G$45</f>
        <v>607703.50278542</v>
      </c>
      <c r="AR39" s="44" t="n">
        <f aca="false">(AR33*Assumptions!$G$46+AR34*Assumptions!$G$47)*Assumptions!$G$45</f>
        <v>645934.70727463</v>
      </c>
      <c r="AS39" s="44" t="n">
        <f aca="false">(AS33*Assumptions!$G$46+AS34*Assumptions!$G$47)*Assumptions!$G$45</f>
        <v>684974.611798235</v>
      </c>
      <c r="AT39" s="44" t="n">
        <f aca="false">(AT33*Assumptions!$G$46+AT34*Assumptions!$G$47)*Assumptions!$G$45</f>
        <v>724746.593441827</v>
      </c>
      <c r="AU39" s="44" t="n">
        <f aca="false">(AU33*Assumptions!$G$46+AU34*Assumptions!$G$47)*Assumptions!$G$45</f>
        <v>765198.966652898</v>
      </c>
      <c r="AV39" s="44" t="n">
        <f aca="false">(AV33*Assumptions!$G$46+AV34*Assumptions!$G$47)*Assumptions!$G$45</f>
        <v>806283.34038009</v>
      </c>
      <c r="AW39" s="44" t="n">
        <f aca="false">(AW33*Assumptions!$G$46+AW34*Assumptions!$G$47)*Assumptions!$G$45</f>
        <v>847934.544160507</v>
      </c>
      <c r="AX39" s="44" t="n">
        <f aca="false">(AX33*Assumptions!$G$46+AX34*Assumptions!$G$47)*Assumptions!$G$45</f>
        <v>890111.578178403</v>
      </c>
      <c r="AY39" s="44" t="n">
        <f aca="false">(AY33*Assumptions!$G$46+AY34*Assumptions!$G$47)*Assumptions!$G$45</f>
        <v>932776.024235325</v>
      </c>
      <c r="AZ39" s="44" t="n">
        <f aca="false">(AZ33*Assumptions!$G$46+AZ34*Assumptions!$G$47)*Assumptions!$G$45</f>
        <v>975872.02175577</v>
      </c>
      <c r="BA39" s="44" t="n">
        <f aca="false">(BA33*Assumptions!$G$46+BA34*Assumptions!$G$47)*Assumptions!$G$45</f>
        <v>1019347.41000655</v>
      </c>
      <c r="BB39" s="44" t="n">
        <f aca="false">(BB33*Assumptions!$G$46+BB34*Assumptions!$G$47)*Assumptions!$G$45</f>
        <v>1063173.33643417</v>
      </c>
      <c r="BC39" s="44" t="n">
        <f aca="false">(BC33*Assumptions!$G$46+BC34*Assumptions!$G$47)*Assumptions!$G$45</f>
        <v>1107302.87355231</v>
      </c>
      <c r="BD39" s="44" t="n">
        <f aca="false">(BD33*Assumptions!$G$46+BD34*Assumptions!$G$47)*Assumptions!$G$45</f>
        <v>1151692.20508379</v>
      </c>
      <c r="BE39" s="44" t="n">
        <f aca="false">(BE33*Assumptions!$G$46+BE34*Assumptions!$G$47)*Assumptions!$G$45</f>
        <v>1196320.27505171</v>
      </c>
      <c r="BF39" s="44" t="n">
        <f aca="false">(BF33*Assumptions!$G$46+BF34*Assumptions!$G$47)*Assumptions!$G$45</f>
        <v>1241147.44248643</v>
      </c>
      <c r="BG39" s="44" t="n">
        <f aca="false">(BG33*Assumptions!$G$46+BG34*Assumptions!$G$47)*Assumptions!$G$45</f>
        <v>1286136.70266913</v>
      </c>
      <c r="BH39" s="44" t="n">
        <f aca="false">(BH33*Assumptions!$G$46+BH34*Assumptions!$G$47)*Assumptions!$G$45</f>
        <v>1331253.51467173</v>
      </c>
      <c r="BI39" s="44" t="n">
        <f aca="false">(BI33*Assumptions!$G$46+BI34*Assumptions!$G$47)*Assumptions!$G$45</f>
        <v>1376465.64074031</v>
      </c>
      <c r="BJ39" s="44" t="n">
        <f aca="false">(BJ33*Assumptions!$G$46+BJ34*Assumptions!$G$47)*Assumptions!$G$45</f>
        <v>1421742.99667439</v>
      </c>
      <c r="BK39" s="44" t="n">
        <f aca="false">(BK33*Assumptions!$G$46+BK34*Assumptions!$G$47)*Assumptions!$G$45</f>
        <v>1467057.51241613</v>
      </c>
    </row>
    <row r="40" customFormat="false" ht="15" hidden="false" customHeight="false" outlineLevel="0" collapsed="false">
      <c r="A40" s="28" t="s">
        <v>595</v>
      </c>
      <c r="B40" s="6" t="s">
        <v>596</v>
      </c>
      <c r="C40" s="43"/>
      <c r="D40" s="17" t="n">
        <f aca="false">D39*Assumptions!$G$44</f>
        <v>0</v>
      </c>
      <c r="E40" s="17" t="n">
        <f aca="false">E39*Assumptions!$G$44</f>
        <v>0</v>
      </c>
      <c r="F40" s="17" t="n">
        <f aca="false">F39*Assumptions!$G$44</f>
        <v>0</v>
      </c>
      <c r="G40" s="17" t="n">
        <f aca="false">G39*Assumptions!$G$44</f>
        <v>0</v>
      </c>
      <c r="H40" s="17" t="n">
        <f aca="false">H39*Assumptions!$G$44</f>
        <v>0</v>
      </c>
      <c r="I40" s="17" t="n">
        <f aca="false">I39*Assumptions!$G$44</f>
        <v>0</v>
      </c>
      <c r="J40" s="17" t="n">
        <f aca="false">J39*Assumptions!$G$44</f>
        <v>0</v>
      </c>
      <c r="K40" s="17" t="n">
        <f aca="false">K39*Assumptions!$G$44</f>
        <v>0</v>
      </c>
      <c r="L40" s="17" t="n">
        <f aca="false">L39*Assumptions!$G$44</f>
        <v>0</v>
      </c>
      <c r="M40" s="17" t="n">
        <f aca="false">M39*Assumptions!$G$44</f>
        <v>0</v>
      </c>
      <c r="N40" s="17" t="n">
        <f aca="false">N39*Assumptions!$G$44</f>
        <v>0</v>
      </c>
      <c r="O40" s="17" t="n">
        <f aca="false">O39*Assumptions!$G$44</f>
        <v>0</v>
      </c>
      <c r="P40" s="17" t="n">
        <f aca="false">P39*Assumptions!$G$44</f>
        <v>0</v>
      </c>
      <c r="Q40" s="17" t="n">
        <f aca="false">Q39*Assumptions!$G$44</f>
        <v>0</v>
      </c>
      <c r="R40" s="17" t="n">
        <f aca="false">R39*Assumptions!$G$44</f>
        <v>0</v>
      </c>
      <c r="S40" s="17" t="n">
        <f aca="false">S39*Assumptions!$G$44</f>
        <v>89.7335927379897</v>
      </c>
      <c r="T40" s="17" t="n">
        <f aca="false">T39*Assumptions!$G$44</f>
        <v>185.885918273107</v>
      </c>
      <c r="U40" s="17" t="n">
        <f aca="false">U39*Assumptions!$G$44</f>
        <v>288.108216581224</v>
      </c>
      <c r="V40" s="17" t="n">
        <f aca="false">V39*Assumptions!$G$44</f>
        <v>396.07381338748</v>
      </c>
      <c r="W40" s="17" t="n">
        <f aca="false">W39*Assumptions!$G$44</f>
        <v>513.19926021921</v>
      </c>
      <c r="X40" s="17" t="n">
        <f aca="false">X39*Assumptions!$G$44</f>
        <v>638.479759589456</v>
      </c>
      <c r="Y40" s="17" t="n">
        <f aca="false">Y39*Assumptions!$G$44</f>
        <v>770.383799712372</v>
      </c>
      <c r="Z40" s="17" t="n">
        <f aca="false">Z39*Assumptions!$G$44</f>
        <v>911.507891569178</v>
      </c>
      <c r="AA40" s="17" t="n">
        <f aca="false">AA39*Assumptions!$G$44</f>
        <v>1060.235441485</v>
      </c>
      <c r="AB40" s="17" t="n">
        <f aca="false">AB39*Assumptions!$G$44</f>
        <v>1214.91429884182</v>
      </c>
      <c r="AC40" s="17" t="n">
        <f aca="false">AC39*Assumptions!$G$44</f>
        <v>1377.58249196932</v>
      </c>
      <c r="AD40" s="17" t="n">
        <f aca="false">AD39*Assumptions!$G$44</f>
        <v>1550.42403834518</v>
      </c>
      <c r="AE40" s="17" t="n">
        <f aca="false">AE39*Assumptions!$G$44</f>
        <v>1730.99263278698</v>
      </c>
      <c r="AF40" s="17" t="n">
        <f aca="false">AF39*Assumptions!$G$44</f>
        <v>1920.14236081657</v>
      </c>
      <c r="AG40" s="17" t="n">
        <f aca="false">AG39*Assumptions!$G$44</f>
        <v>2119.25666689054</v>
      </c>
      <c r="AH40" s="17" t="n">
        <f aca="false">AH39*Assumptions!$G$44</f>
        <v>2325.29559144138</v>
      </c>
      <c r="AI40" s="17" t="n">
        <f aca="false">AI39*Assumptions!$G$44</f>
        <v>2538.86058524511</v>
      </c>
      <c r="AJ40" s="17" t="n">
        <f aca="false">AJ39*Assumptions!$G$44</f>
        <v>2760.80322180235</v>
      </c>
      <c r="AK40" s="17" t="n">
        <f aca="false">AK39*Assumptions!$G$44</f>
        <v>2991.90896060855</v>
      </c>
      <c r="AL40" s="17" t="n">
        <f aca="false">AL39*Assumptions!$G$44</f>
        <v>3232.15713509969</v>
      </c>
      <c r="AM40" s="17" t="n">
        <f aca="false">AM39*Assumptions!$G$44</f>
        <v>3481.07719613868</v>
      </c>
      <c r="AN40" s="44" t="n">
        <f aca="false">AN39*Assumptions!$G$44</f>
        <v>3738.67489293702</v>
      </c>
      <c r="AO40" s="44" t="n">
        <f aca="false">AO39*Assumptions!$G$44</f>
        <v>4004.35536682226</v>
      </c>
      <c r="AP40" s="44" t="n">
        <f aca="false">AP39*Assumptions!$G$44</f>
        <v>4277.56249954454</v>
      </c>
      <c r="AQ40" s="44" t="n">
        <f aca="false">AQ39*Assumptions!$G$44</f>
        <v>4557.77627089065</v>
      </c>
      <c r="AR40" s="44" t="n">
        <f aca="false">AR39*Assumptions!$G$44</f>
        <v>4844.51030455973</v>
      </c>
      <c r="AS40" s="44" t="n">
        <f aca="false">AS39*Assumptions!$G$44</f>
        <v>5137.30958848676</v>
      </c>
      <c r="AT40" s="44" t="n">
        <f aca="false">AT39*Assumptions!$G$44</f>
        <v>5435.5994508137</v>
      </c>
      <c r="AU40" s="44" t="n">
        <f aca="false">AU39*Assumptions!$G$44</f>
        <v>5738.99224989673</v>
      </c>
      <c r="AV40" s="44" t="n">
        <f aca="false">AV39*Assumptions!$G$44</f>
        <v>6047.12505285068</v>
      </c>
      <c r="AW40" s="44" t="n">
        <f aca="false">AW39*Assumptions!$G$44</f>
        <v>6359.5090812038</v>
      </c>
      <c r="AX40" s="44" t="n">
        <f aca="false">AX39*Assumptions!$G$44</f>
        <v>6675.83683633802</v>
      </c>
      <c r="AY40" s="44" t="n">
        <f aca="false">AY39*Assumptions!$G$44</f>
        <v>6995.82018176493</v>
      </c>
      <c r="AZ40" s="44" t="n">
        <f aca="false">AZ39*Assumptions!$G$44</f>
        <v>7319.04016316828</v>
      </c>
      <c r="BA40" s="44" t="n">
        <f aca="false">BA39*Assumptions!$G$44</f>
        <v>7645.10557504916</v>
      </c>
      <c r="BB40" s="44" t="n">
        <f aca="false">BB39*Assumptions!$G$44</f>
        <v>7973.80002325629</v>
      </c>
      <c r="BC40" s="44" t="n">
        <f aca="false">BC39*Assumptions!$G$44</f>
        <v>8304.77155164234</v>
      </c>
      <c r="BD40" s="44" t="n">
        <f aca="false">BD39*Assumptions!$G$44</f>
        <v>8637.6915381284</v>
      </c>
      <c r="BE40" s="44" t="n">
        <f aca="false">BE39*Assumptions!$G$44</f>
        <v>8972.40206288785</v>
      </c>
      <c r="BF40" s="44" t="n">
        <f aca="false">BF39*Assumptions!$G$44</f>
        <v>9308.60581864824</v>
      </c>
      <c r="BG40" s="44" t="n">
        <f aca="false">BG39*Assumptions!$G$44</f>
        <v>9646.02527001851</v>
      </c>
      <c r="BH40" s="44" t="n">
        <f aca="false">BH39*Assumptions!$G$44</f>
        <v>9984.40136003794</v>
      </c>
      <c r="BI40" s="44" t="n">
        <f aca="false">BI39*Assumptions!$G$44</f>
        <v>10323.4923055523</v>
      </c>
      <c r="BJ40" s="44" t="n">
        <f aca="false">BJ39*Assumptions!$G$44</f>
        <v>10663.0724750579</v>
      </c>
      <c r="BK40" s="44" t="n">
        <f aca="false">BK39*Assumptions!$G$44</f>
        <v>11002.931343121</v>
      </c>
    </row>
    <row r="41" customFormat="false" ht="15" hidden="false" customHeight="false" outlineLevel="0" collapsed="false">
      <c r="A41" s="28" t="s">
        <v>597</v>
      </c>
      <c r="B41" s="6" t="s">
        <v>598</v>
      </c>
      <c r="C41" s="43"/>
      <c r="D41" s="17" t="n">
        <f aca="false">D24*Assumptions!$G$17*Assumptions!$G$68*Assumptions!$G$69*Assumptions!$G$70*Assumptions!$G$71/1000*D21</f>
        <v>0</v>
      </c>
      <c r="E41" s="17" t="n">
        <f aca="false">E24*Assumptions!$G$17*Assumptions!$G$68*Assumptions!$G$69*Assumptions!$G$70*Assumptions!$G$71/1000*E21</f>
        <v>0</v>
      </c>
      <c r="F41" s="17" t="n">
        <f aca="false">F24*Assumptions!$G$17*Assumptions!$G$68*Assumptions!$G$69*Assumptions!$G$70*Assumptions!$G$71/1000*F21</f>
        <v>0</v>
      </c>
      <c r="G41" s="17" t="n">
        <f aca="false">G24*Assumptions!$G$17*Assumptions!$G$68*Assumptions!$G$69*Assumptions!$G$70*Assumptions!$G$71/1000*G21</f>
        <v>0</v>
      </c>
      <c r="H41" s="17" t="n">
        <f aca="false">H24*Assumptions!$G$17*Assumptions!$G$68*Assumptions!$G$69*Assumptions!$G$70*Assumptions!$G$71/1000*H21</f>
        <v>0</v>
      </c>
      <c r="I41" s="17" t="n">
        <f aca="false">I24*Assumptions!$G$17*Assumptions!$G$68*Assumptions!$G$69*Assumptions!$G$70*Assumptions!$G$71/1000*I21</f>
        <v>0</v>
      </c>
      <c r="J41" s="17" t="n">
        <f aca="false">J24*Assumptions!$G$17*Assumptions!$G$68*Assumptions!$G$69*Assumptions!$G$70*Assumptions!$G$71/1000*J21</f>
        <v>0</v>
      </c>
      <c r="K41" s="17" t="n">
        <f aca="false">K24*Assumptions!$G$17*Assumptions!$G$68*Assumptions!$G$69*Assumptions!$G$70*Assumptions!$G$71/1000*K21</f>
        <v>0</v>
      </c>
      <c r="L41" s="17" t="n">
        <f aca="false">L24*Assumptions!$G$17*Assumptions!$G$68*Assumptions!$G$69*Assumptions!$G$70*Assumptions!$G$71/1000*L21</f>
        <v>0</v>
      </c>
      <c r="M41" s="17" t="n">
        <f aca="false">M24*Assumptions!$G$17*Assumptions!$G$68*Assumptions!$G$69*Assumptions!$G$70*Assumptions!$G$71/1000*M21</f>
        <v>0</v>
      </c>
      <c r="N41" s="17" t="n">
        <f aca="false">N24*Assumptions!$G$17*Assumptions!$G$68*Assumptions!$G$69*Assumptions!$G$70*Assumptions!$G$71/1000*N21</f>
        <v>0</v>
      </c>
      <c r="O41" s="17" t="n">
        <f aca="false">O24*Assumptions!$G$17*Assumptions!$G$68*Assumptions!$G$69*Assumptions!$G$70*Assumptions!$G$71/1000*O21</f>
        <v>0</v>
      </c>
      <c r="P41" s="17" t="n">
        <f aca="false">P24*Assumptions!$G$17*Assumptions!$G$68*Assumptions!$G$69*Assumptions!$G$70*Assumptions!$G$71/1000*P21</f>
        <v>0</v>
      </c>
      <c r="Q41" s="17" t="n">
        <f aca="false">Q24*Assumptions!$G$17*Assumptions!$G$68*Assumptions!$G$69*Assumptions!$G$70*Assumptions!$G$71/1000*Q21</f>
        <v>0</v>
      </c>
      <c r="R41" s="17" t="n">
        <f aca="false">R24*Assumptions!$G$17*Assumptions!$G$68*Assumptions!$G$69*Assumptions!$G$70*Assumptions!$G$71/1000*R21</f>
        <v>0</v>
      </c>
      <c r="S41" s="17" t="n">
        <f aca="false">S24*Assumptions!$G$17*Assumptions!$G$68*Assumptions!$G$69*Assumptions!$G$70*Assumptions!$G$71/1000*S21</f>
        <v>0</v>
      </c>
      <c r="T41" s="17" t="n">
        <f aca="false">T24*Assumptions!$G$17*Assumptions!$G$68*Assumptions!$G$69*Assumptions!$G$70*Assumptions!$G$71/1000*T21</f>
        <v>0</v>
      </c>
      <c r="U41" s="17" t="n">
        <f aca="false">U24*Assumptions!$G$17*Assumptions!$G$68*Assumptions!$G$69*Assumptions!$G$70*Assumptions!$G$71/1000*U21</f>
        <v>0</v>
      </c>
      <c r="V41" s="17" t="n">
        <f aca="false">V24*Assumptions!$G$17*Assumptions!$G$68*Assumptions!$G$69*Assumptions!$G$70*Assumptions!$G$71/1000*V21</f>
        <v>0</v>
      </c>
      <c r="W41" s="17" t="n">
        <f aca="false">W24*Assumptions!$G$17*Assumptions!$G$68*Assumptions!$G$69*Assumptions!$G$70*Assumptions!$G$71/1000*W21</f>
        <v>0</v>
      </c>
      <c r="X41" s="17" t="n">
        <f aca="false">X24*Assumptions!$G$17*Assumptions!$G$68*Assumptions!$G$69*Assumptions!$G$70*Assumptions!$G$71/1000*X21</f>
        <v>0</v>
      </c>
      <c r="Y41" s="17" t="n">
        <f aca="false">Y24*Assumptions!$G$17*Assumptions!$G$68*Assumptions!$G$69*Assumptions!$G$70*Assumptions!$G$71/1000*Y21</f>
        <v>0</v>
      </c>
      <c r="Z41" s="17" t="n">
        <f aca="false">Z24*Assumptions!$G$17*Assumptions!$G$68*Assumptions!$G$69*Assumptions!$G$70*Assumptions!$G$71/1000*Z21</f>
        <v>0</v>
      </c>
      <c r="AA41" s="17" t="n">
        <f aca="false">AA24*Assumptions!$G$17*Assumptions!$G$68*Assumptions!$G$69*Assumptions!$G$70*Assumptions!$G$71/1000*AA21</f>
        <v>0</v>
      </c>
      <c r="AB41" s="17" t="n">
        <f aca="false">AB24*Assumptions!$G$17*Assumptions!$G$68*Assumptions!$G$69*Assumptions!$G$70*Assumptions!$G$71/1000*AB21</f>
        <v>0</v>
      </c>
      <c r="AC41" s="17" t="n">
        <f aca="false">AC24*Assumptions!$G$17*Assumptions!$G$68*Assumptions!$G$69*Assumptions!$G$70*Assumptions!$G$71/1000*AC21</f>
        <v>83.528157897686</v>
      </c>
      <c r="AD41" s="17" t="n">
        <f aca="false">AD24*Assumptions!$G$17*Assumptions!$G$68*Assumptions!$G$69*Assumptions!$G$70*Assumptions!$G$71/1000*AD21</f>
        <v>181.140275534815</v>
      </c>
      <c r="AE41" s="17" t="n">
        <f aca="false">AE24*Assumptions!$G$17*Assumptions!$G$68*Assumptions!$G$69*Assumptions!$G$70*Assumptions!$G$71/1000*AE21</f>
        <v>293.151918994162</v>
      </c>
      <c r="AF41" s="17" t="n">
        <f aca="false">AF24*Assumptions!$G$17*Assumptions!$G$68*Assumptions!$G$69*Assumptions!$G$70*Assumptions!$G$71/1000*AF21</f>
        <v>420.466494920594</v>
      </c>
      <c r="AG41" s="17" t="n">
        <f aca="false">AG24*Assumptions!$G$17*Assumptions!$G$68*Assumptions!$G$69*Assumptions!$G$70*Assumptions!$G$71/1000*AG21</f>
        <v>564.727831465979</v>
      </c>
      <c r="AH41" s="17" t="n">
        <f aca="false">AH24*Assumptions!$G$17*Assumptions!$G$68*Assumptions!$G$69*Assumptions!$G$70*Assumptions!$G$71/1000*AH21</f>
        <v>724.256153102943</v>
      </c>
      <c r="AI41" s="17" t="n">
        <f aca="false">AI24*Assumptions!$G$17*Assumptions!$G$68*Assumptions!$G$69*Assumptions!$G$70*Assumptions!$G$71/1000*AI21</f>
        <v>771.429804630798</v>
      </c>
      <c r="AJ41" s="17" t="n">
        <f aca="false">AJ24*Assumptions!$G$17*Assumptions!$G$68*Assumptions!$G$69*Assumptions!$G$70*Assumptions!$G$71/1000*AJ21</f>
        <v>820.075440072765</v>
      </c>
      <c r="AK41" s="17" t="n">
        <f aca="false">AK24*Assumptions!$G$17*Assumptions!$G$68*Assumptions!$G$69*Assumptions!$G$70*Assumptions!$G$71/1000*AK21</f>
        <v>870.754887439416</v>
      </c>
      <c r="AL41" s="17" t="n">
        <f aca="false">AL24*Assumptions!$G$17*Assumptions!$G$68*Assumptions!$G$69*Assumptions!$G$70*Assumptions!$G$71/1000*AL21</f>
        <v>923.194139713817</v>
      </c>
      <c r="AM41" s="17" t="n">
        <f aca="false">AM24*Assumptions!$G$17*Assumptions!$G$68*Assumptions!$G$69*Assumptions!$G$70*Assumptions!$G$71/1000*AM21</f>
        <v>976.833659063397</v>
      </c>
      <c r="AN41" s="44" t="n">
        <f aca="false">AN24*Assumptions!$G$17*Assumptions!$G$68*Assumptions!$G$69*Assumptions!$G$70*Assumptions!$G$71/1000*AN21</f>
        <v>1031.68623695813</v>
      </c>
      <c r="AO41" s="44" t="n">
        <f aca="false">AO24*Assumptions!$G$17*Assumptions!$G$68*Assumptions!$G$69*Assumptions!$G$70*Assumptions!$G$71/1000*AO21</f>
        <v>1087.25311900404</v>
      </c>
      <c r="AP41" s="44" t="n">
        <f aca="false">AP24*Assumptions!$G$17*Assumptions!$G$68*Assumptions!$G$69*Assumptions!$G$70*Assumptions!$G$71/1000*AP21</f>
        <v>1143.21085668406</v>
      </c>
      <c r="AQ41" s="44" t="n">
        <f aca="false">AQ24*Assumptions!$G$17*Assumptions!$G$68*Assumptions!$G$69*Assumptions!$G$70*Assumptions!$G$71/1000*AQ21</f>
        <v>1199.34994288277</v>
      </c>
      <c r="AR41" s="44" t="n">
        <f aca="false">AR24*Assumptions!$G$17*Assumptions!$G$68*Assumptions!$G$69*Assumptions!$G$70*Assumptions!$G$71/1000*AR21</f>
        <v>1255.53492505154</v>
      </c>
      <c r="AS41" s="44" t="n">
        <f aca="false">AS24*Assumptions!$G$17*Assumptions!$G$68*Assumptions!$G$69*Assumptions!$G$70*Assumptions!$G$71/1000*AS21</f>
        <v>1311.67847883947</v>
      </c>
      <c r="AT41" s="44" t="n">
        <f aca="false">AT24*Assumptions!$G$17*Assumptions!$G$68*Assumptions!$G$69*Assumptions!$G$70*Assumptions!$G$71/1000*AT21</f>
        <v>1367.59887102606</v>
      </c>
      <c r="AU41" s="44" t="n">
        <f aca="false">AU24*Assumptions!$G$17*Assumptions!$G$68*Assumptions!$G$69*Assumptions!$G$70*Assumptions!$G$71/1000*AU21</f>
        <v>1423.30562234954</v>
      </c>
      <c r="AV41" s="44" t="n">
        <f aca="false">AV24*Assumptions!$G$17*Assumptions!$G$68*Assumptions!$G$69*Assumptions!$G$70*Assumptions!$G$71/1000*AV21</f>
        <v>1478.80560714798</v>
      </c>
      <c r="AW41" s="44" t="n">
        <f aca="false">AW24*Assumptions!$G$17*Assumptions!$G$68*Assumptions!$G$69*Assumptions!$G$70*Assumptions!$G$71/1000*AW21</f>
        <v>1533.97828774076</v>
      </c>
      <c r="AX41" s="44" t="n">
        <f aca="false">AX24*Assumptions!$G$17*Assumptions!$G$68*Assumptions!$G$69*Assumptions!$G$70*Assumptions!$G$71/1000*AX21</f>
        <v>1588.87292869511</v>
      </c>
      <c r="AY41" s="44" t="n">
        <f aca="false">AY24*Assumptions!$G$17*Assumptions!$G$68*Assumptions!$G$69*Assumptions!$G$70*Assumptions!$G$71/1000*AY21</f>
        <v>1643.52220489881</v>
      </c>
      <c r="AZ41" s="44" t="n">
        <f aca="false">AZ24*Assumptions!$G$17*Assumptions!$G$68*Assumptions!$G$69*Assumptions!$G$70*Assumptions!$G$71/1000*AZ21</f>
        <v>1697.82231641874</v>
      </c>
      <c r="BA41" s="44" t="n">
        <f aca="false">BA24*Assumptions!$G$17*Assumptions!$G$68*Assumptions!$G$69*Assumptions!$G$70*Assumptions!$G$71/1000*BA21</f>
        <v>1751.70769007436</v>
      </c>
      <c r="BB41" s="44" t="n">
        <f aca="false">BB24*Assumptions!$G$17*Assumptions!$G$68*Assumptions!$G$69*Assumptions!$G$70*Assumptions!$G$71/1000*BB21</f>
        <v>1805.26326610648</v>
      </c>
      <c r="BC41" s="44" t="n">
        <f aca="false">BC24*Assumptions!$G$17*Assumptions!$G$68*Assumptions!$G$69*Assumptions!$G$70*Assumptions!$G$71/1000*BC21</f>
        <v>1858.41917285178</v>
      </c>
      <c r="BD41" s="44" t="n">
        <f aca="false">BD24*Assumptions!$G$17*Assumptions!$G$68*Assumptions!$G$69*Assumptions!$G$70*Assumptions!$G$71/1000*BD21</f>
        <v>1911.1318467374</v>
      </c>
      <c r="BE41" s="44" t="n">
        <f aca="false">BE24*Assumptions!$G$17*Assumptions!$G$68*Assumptions!$G$69*Assumptions!$G$70*Assumptions!$G$71/1000*BE21</f>
        <v>1963.50049091922</v>
      </c>
      <c r="BF41" s="44" t="n">
        <f aca="false">BF24*Assumptions!$G$17*Assumptions!$G$68*Assumptions!$G$69*Assumptions!$G$70*Assumptions!$G$71/1000*BF21</f>
        <v>2015.464461732</v>
      </c>
      <c r="BG41" s="44" t="n">
        <f aca="false">BG24*Assumptions!$G$17*Assumptions!$G$68*Assumptions!$G$69*Assumptions!$G$70*Assumptions!$G$71/1000*BG21</f>
        <v>2066.98615133396</v>
      </c>
      <c r="BH41" s="44" t="n">
        <f aca="false">BH24*Assumptions!$G$17*Assumptions!$G$68*Assumptions!$G$69*Assumptions!$G$70*Assumptions!$G$71/1000*BH21</f>
        <v>2118.04290706315</v>
      </c>
      <c r="BI41" s="44" t="n">
        <f aca="false">BI24*Assumptions!$G$17*Assumptions!$G$68*Assumptions!$G$69*Assumptions!$G$70*Assumptions!$G$71/1000*BI21</f>
        <v>2168.62177920017</v>
      </c>
      <c r="BJ41" s="44" t="n">
        <f aca="false">BJ24*Assumptions!$G$17*Assumptions!$G$68*Assumptions!$G$69*Assumptions!$G$70*Assumptions!$G$71/1000*BJ21</f>
        <v>2218.71610719314</v>
      </c>
      <c r="BK41" s="44" t="n">
        <f aca="false">BK24*Assumptions!$G$17*Assumptions!$G$68*Assumptions!$G$69*Assumptions!$G$70*Assumptions!$G$71/1000*BK21</f>
        <v>2268.32330088144</v>
      </c>
    </row>
    <row r="42" customFormat="false" ht="15" hidden="false" customHeight="false" outlineLevel="0" collapsed="false">
      <c r="A42" s="28" t="s">
        <v>599</v>
      </c>
      <c r="B42" s="6" t="s">
        <v>600</v>
      </c>
      <c r="C42" s="43"/>
      <c r="D42" s="17" t="n">
        <f aca="false">D13*Assumptions!$G$72*Assumptions!$G$73*D21</f>
        <v>0</v>
      </c>
      <c r="E42" s="17" t="n">
        <f aca="false">E13*Assumptions!$G$72*Assumptions!$G$73*E21</f>
        <v>0</v>
      </c>
      <c r="F42" s="17" t="n">
        <f aca="false">F13*Assumptions!$G$72*Assumptions!$G$73*F21</f>
        <v>0</v>
      </c>
      <c r="G42" s="17" t="n">
        <f aca="false">G13*Assumptions!$G$72*Assumptions!$G$73*G21</f>
        <v>0</v>
      </c>
      <c r="H42" s="17" t="n">
        <f aca="false">H13*Assumptions!$G$72*Assumptions!$G$73*H21</f>
        <v>0</v>
      </c>
      <c r="I42" s="17" t="n">
        <f aca="false">I13*Assumptions!$G$72*Assumptions!$G$73*I21</f>
        <v>0</v>
      </c>
      <c r="J42" s="17" t="n">
        <f aca="false">J13*Assumptions!$G$72*Assumptions!$G$73*J21</f>
        <v>0</v>
      </c>
      <c r="K42" s="17" t="n">
        <f aca="false">K13*Assumptions!$G$72*Assumptions!$G$73*K21</f>
        <v>0</v>
      </c>
      <c r="L42" s="17" t="n">
        <f aca="false">L13*Assumptions!$G$72*Assumptions!$G$73*L21</f>
        <v>0</v>
      </c>
      <c r="M42" s="17" t="n">
        <f aca="false">M13*Assumptions!$G$72*Assumptions!$G$73*M21</f>
        <v>0</v>
      </c>
      <c r="N42" s="17" t="n">
        <f aca="false">N13*Assumptions!$G$72*Assumptions!$G$73*N21</f>
        <v>0</v>
      </c>
      <c r="O42" s="17" t="n">
        <f aca="false">O13*Assumptions!$G$72*Assumptions!$G$73*O21</f>
        <v>0</v>
      </c>
      <c r="P42" s="17" t="n">
        <f aca="false">P13*Assumptions!$G$72*Assumptions!$G$73*P21</f>
        <v>0</v>
      </c>
      <c r="Q42" s="17" t="n">
        <f aca="false">Q13*Assumptions!$G$72*Assumptions!$G$73*Q21</f>
        <v>0</v>
      </c>
      <c r="R42" s="17" t="n">
        <f aca="false">R13*Assumptions!$G$72*Assumptions!$G$73*R21</f>
        <v>0</v>
      </c>
      <c r="S42" s="17" t="n">
        <f aca="false">S13*Assumptions!$G$72*Assumptions!$G$73*S21</f>
        <v>0</v>
      </c>
      <c r="T42" s="17" t="n">
        <f aca="false">T13*Assumptions!$G$72*Assumptions!$G$73*T21</f>
        <v>0</v>
      </c>
      <c r="U42" s="17" t="n">
        <f aca="false">U13*Assumptions!$G$72*Assumptions!$G$73*U21</f>
        <v>0</v>
      </c>
      <c r="V42" s="17" t="n">
        <f aca="false">V13*Assumptions!$G$72*Assumptions!$G$73*V21</f>
        <v>0</v>
      </c>
      <c r="W42" s="17" t="n">
        <f aca="false">W13*Assumptions!$G$72*Assumptions!$G$73*W21</f>
        <v>0</v>
      </c>
      <c r="X42" s="17" t="n">
        <f aca="false">X13*Assumptions!$G$72*Assumptions!$G$73*X21</f>
        <v>0</v>
      </c>
      <c r="Y42" s="17" t="n">
        <f aca="false">Y13*Assumptions!$G$72*Assumptions!$G$73*Y21</f>
        <v>0</v>
      </c>
      <c r="Z42" s="17" t="n">
        <f aca="false">Z13*Assumptions!$G$72*Assumptions!$G$73*Z21</f>
        <v>0</v>
      </c>
      <c r="AA42" s="17" t="n">
        <f aca="false">AA13*Assumptions!$G$72*Assumptions!$G$73*AA21</f>
        <v>0</v>
      </c>
      <c r="AB42" s="17" t="n">
        <f aca="false">AB13*Assumptions!$G$72*Assumptions!$G$73*AB21</f>
        <v>0</v>
      </c>
      <c r="AC42" s="17" t="n">
        <f aca="false">AC13*Assumptions!$G$72*Assumptions!$G$73*AC21</f>
        <v>159.277357546472</v>
      </c>
      <c r="AD42" s="17" t="n">
        <f aca="false">AD13*Assumptions!$G$72*Assumptions!$G$73*AD21</f>
        <v>345.493667942015</v>
      </c>
      <c r="AE42" s="17" t="n">
        <f aca="false">AE13*Assumptions!$G$72*Assumptions!$G$73*AE21</f>
        <v>554.953096893892</v>
      </c>
      <c r="AF42" s="17" t="n">
        <f aca="false">AF13*Assumptions!$G$72*Assumptions!$G$73*AF21</f>
        <v>792.388087899938</v>
      </c>
      <c r="AG42" s="17" t="n">
        <f aca="false">AG13*Assumptions!$G$72*Assumptions!$G$73*AG21</f>
        <v>1062.37525877617</v>
      </c>
      <c r="AH42" s="17" t="n">
        <f aca="false">AH13*Assumptions!$G$72*Assumptions!$G$73*AH21</f>
        <v>1351.27830742609</v>
      </c>
      <c r="AI42" s="17" t="n">
        <f aca="false">AI13*Assumptions!$G$72*Assumptions!$G$73*AI21</f>
        <v>1431.73002435183</v>
      </c>
      <c r="AJ42" s="17" t="n">
        <f aca="false">AJ13*Assumptions!$G$72*Assumptions!$G$73*AJ21</f>
        <v>1517.36222410831</v>
      </c>
      <c r="AK42" s="17" t="n">
        <f aca="false">AK13*Assumptions!$G$72*Assumptions!$G$73*AK21</f>
        <v>1608.12310186723</v>
      </c>
      <c r="AL42" s="17" t="n">
        <f aca="false">AL13*Assumptions!$G$72*Assumptions!$G$73*AL21</f>
        <v>1700.96887084856</v>
      </c>
      <c r="AM42" s="17" t="n">
        <f aca="false">AM13*Assumptions!$G$72*Assumptions!$G$73*AM21</f>
        <v>1794.08318214007</v>
      </c>
      <c r="AN42" s="44" t="n">
        <f aca="false">AN13*Assumptions!$G$72*Assumptions!$G$73*AN21</f>
        <v>1889.25885031867</v>
      </c>
      <c r="AO42" s="44" t="n">
        <f aca="false">AO13*Assumptions!$G$72*Assumptions!$G$73*AO21</f>
        <v>1984.08126181549</v>
      </c>
      <c r="AP42" s="44" t="n">
        <f aca="false">AP13*Assumptions!$G$72*Assumptions!$G$73*AP21</f>
        <v>2078.55394919733</v>
      </c>
      <c r="AQ42" s="44" t="n">
        <f aca="false">AQ13*Assumptions!$G$72*Assumptions!$G$73*AQ21</f>
        <v>2172.68040970536</v>
      </c>
      <c r="AR42" s="44" t="n">
        <f aca="false">AR13*Assumptions!$G$72*Assumptions!$G$73*AR21</f>
        <v>2266.4641056083</v>
      </c>
      <c r="AS42" s="44" t="n">
        <f aca="false">AS13*Assumptions!$G$72*Assumptions!$G$73*AS21</f>
        <v>2359.90846455222</v>
      </c>
      <c r="AT42" s="44" t="n">
        <f aca="false">AT13*Assumptions!$G$72*Assumptions!$G$73*AT21</f>
        <v>2452.4183799067</v>
      </c>
      <c r="AU42" s="44" t="n">
        <f aca="false">AU13*Assumptions!$G$72*Assumptions!$G$73*AU21</f>
        <v>2544.60169610763</v>
      </c>
      <c r="AV42" s="44" t="n">
        <f aca="false">AV13*Assumptions!$G$72*Assumptions!$G$73*AV21</f>
        <v>2636.46167914655</v>
      </c>
      <c r="AW42" s="44" t="n">
        <f aca="false">AW13*Assumptions!$G$72*Assumptions!$G$73*AW21</f>
        <v>2727.40306235509</v>
      </c>
      <c r="AX42" s="44" t="n">
        <f aca="false">AX13*Assumptions!$G$72*Assumptions!$G$73*AX21</f>
        <v>2818.03353173154</v>
      </c>
      <c r="AY42" s="44" t="n">
        <f aca="false">AY13*Assumptions!$G$72*Assumptions!$G$73*AY21</f>
        <v>2908.35619641422</v>
      </c>
      <c r="AZ42" s="44" t="n">
        <f aca="false">AZ13*Assumptions!$G$72*Assumptions!$G$73*AZ21</f>
        <v>2997.77563445008</v>
      </c>
      <c r="BA42" s="44" t="n">
        <f aca="false">BA13*Assumptions!$G$72*Assumptions!$G$73*BA21</f>
        <v>3086.30087810558</v>
      </c>
      <c r="BB42" s="44" t="n">
        <f aca="false">BB13*Assumptions!$G$72*Assumptions!$G$73*BB21</f>
        <v>3174.53936932452</v>
      </c>
      <c r="BC42" s="44" t="n">
        <f aca="false">BC13*Assumptions!$G$72*Assumptions!$G$73*BC21</f>
        <v>3261.89547563128</v>
      </c>
      <c r="BD42" s="44" t="n">
        <f aca="false">BD13*Assumptions!$G$72*Assumptions!$G$73*BD21</f>
        <v>3348.37802087497</v>
      </c>
      <c r="BE42" s="44" t="n">
        <f aca="false">BE13*Assumptions!$G$72*Assumptions!$G$73*BE21</f>
        <v>3434.59424066622</v>
      </c>
      <c r="BF42" s="44" t="n">
        <f aca="false">BF13*Assumptions!$G$72*Assumptions!$G$73*BF21</f>
        <v>3519.94829825955</v>
      </c>
      <c r="BG42" s="44" t="n">
        <f aca="false">BG13*Assumptions!$G$72*Assumptions!$G$73*BG21</f>
        <v>3604.44881527696</v>
      </c>
      <c r="BH42" s="44" t="n">
        <f aca="false">BH13*Assumptions!$G$72*Assumptions!$G$73*BH21</f>
        <v>3688.10432712419</v>
      </c>
      <c r="BI42" s="44" t="n">
        <f aca="false">BI13*Assumptions!$G$72*Assumptions!$G$73*BI21</f>
        <v>3770.92328385295</v>
      </c>
      <c r="BJ42" s="44" t="n">
        <f aca="false">BJ13*Assumptions!$G$72*Assumptions!$G$73*BJ21</f>
        <v>3852.91405101442</v>
      </c>
      <c r="BK42" s="44" t="n">
        <f aca="false">BK13*Assumptions!$G$72*Assumptions!$G$73*BK21</f>
        <v>3934.08491050427</v>
      </c>
    </row>
    <row r="43" customFormat="false" ht="15" hidden="false" customHeight="false" outlineLevel="0" collapsed="false">
      <c r="A43" s="28" t="s">
        <v>601</v>
      </c>
      <c r="B43" s="6" t="s">
        <v>602</v>
      </c>
      <c r="C43" s="43"/>
      <c r="D43" s="17" t="n">
        <f aca="false">D13*Assumptions!$G$74*Assumptions!$G$75*Assumptions!$G$76*D21</f>
        <v>0</v>
      </c>
      <c r="E43" s="17" t="n">
        <f aca="false">E13*Assumptions!$G$74*Assumptions!$G$75*Assumptions!$G$76*E21</f>
        <v>0</v>
      </c>
      <c r="F43" s="17" t="n">
        <f aca="false">F13*Assumptions!$G$74*Assumptions!$G$75*Assumptions!$G$76*F21</f>
        <v>0</v>
      </c>
      <c r="G43" s="17" t="n">
        <f aca="false">G13*Assumptions!$G$74*Assumptions!$G$75*Assumptions!$G$76*G21</f>
        <v>0</v>
      </c>
      <c r="H43" s="17" t="n">
        <f aca="false">H13*Assumptions!$G$74*Assumptions!$G$75*Assumptions!$G$76*H21</f>
        <v>0</v>
      </c>
      <c r="I43" s="17" t="n">
        <f aca="false">I13*Assumptions!$G$74*Assumptions!$G$75*Assumptions!$G$76*I21</f>
        <v>0</v>
      </c>
      <c r="J43" s="17" t="n">
        <f aca="false">J13*Assumptions!$G$74*Assumptions!$G$75*Assumptions!$G$76*J21</f>
        <v>0</v>
      </c>
      <c r="K43" s="17" t="n">
        <f aca="false">K13*Assumptions!$G$74*Assumptions!$G$75*Assumptions!$G$76*K21</f>
        <v>0</v>
      </c>
      <c r="L43" s="17" t="n">
        <f aca="false">L13*Assumptions!$G$74*Assumptions!$G$75*Assumptions!$G$76*L21</f>
        <v>0</v>
      </c>
      <c r="M43" s="17" t="n">
        <f aca="false">M13*Assumptions!$G$74*Assumptions!$G$75*Assumptions!$G$76*M21</f>
        <v>0</v>
      </c>
      <c r="N43" s="17" t="n">
        <f aca="false">N13*Assumptions!$G$74*Assumptions!$G$75*Assumptions!$G$76*N21</f>
        <v>0</v>
      </c>
      <c r="O43" s="17" t="n">
        <f aca="false">O13*Assumptions!$G$74*Assumptions!$G$75*Assumptions!$G$76*O21</f>
        <v>0</v>
      </c>
      <c r="P43" s="17" t="n">
        <f aca="false">P13*Assumptions!$G$74*Assumptions!$G$75*Assumptions!$G$76*P21</f>
        <v>0</v>
      </c>
      <c r="Q43" s="17" t="n">
        <f aca="false">Q13*Assumptions!$G$74*Assumptions!$G$75*Assumptions!$G$76*Q21</f>
        <v>0</v>
      </c>
      <c r="R43" s="17" t="n">
        <f aca="false">R13*Assumptions!$G$74*Assumptions!$G$75*Assumptions!$G$76*R21</f>
        <v>0</v>
      </c>
      <c r="S43" s="17" t="n">
        <f aca="false">S13*Assumptions!$G$74*Assumptions!$G$75*Assumptions!$G$76*S21</f>
        <v>0</v>
      </c>
      <c r="T43" s="17" t="n">
        <f aca="false">T13*Assumptions!$G$74*Assumptions!$G$75*Assumptions!$G$76*T21</f>
        <v>0</v>
      </c>
      <c r="U43" s="17" t="n">
        <f aca="false">U13*Assumptions!$G$74*Assumptions!$G$75*Assumptions!$G$76*U21</f>
        <v>0</v>
      </c>
      <c r="V43" s="17" t="n">
        <f aca="false">V13*Assumptions!$G$74*Assumptions!$G$75*Assumptions!$G$76*V21</f>
        <v>0</v>
      </c>
      <c r="W43" s="17" t="n">
        <f aca="false">W13*Assumptions!$G$74*Assumptions!$G$75*Assumptions!$G$76*W21</f>
        <v>0</v>
      </c>
      <c r="X43" s="17" t="n">
        <f aca="false">X13*Assumptions!$G$74*Assumptions!$G$75*Assumptions!$G$76*X21</f>
        <v>0</v>
      </c>
      <c r="Y43" s="17" t="n">
        <f aca="false">Y13*Assumptions!$G$74*Assumptions!$G$75*Assumptions!$G$76*Y21</f>
        <v>0</v>
      </c>
      <c r="Z43" s="17" t="n">
        <f aca="false">Z13*Assumptions!$G$74*Assumptions!$G$75*Assumptions!$G$76*Z21</f>
        <v>0</v>
      </c>
      <c r="AA43" s="17" t="n">
        <f aca="false">AA13*Assumptions!$G$74*Assumptions!$G$75*Assumptions!$G$76*AA21</f>
        <v>0</v>
      </c>
      <c r="AB43" s="17" t="n">
        <f aca="false">AB13*Assumptions!$G$74*Assumptions!$G$75*Assumptions!$G$76*AB21</f>
        <v>0</v>
      </c>
      <c r="AC43" s="17" t="n">
        <f aca="false">AC13*Assumptions!$G$74*Assumptions!$G$75*Assumptions!$G$76*AC21</f>
        <v>141.579873374642</v>
      </c>
      <c r="AD43" s="17" t="n">
        <f aca="false">AD13*Assumptions!$G$74*Assumptions!$G$75*Assumptions!$G$76*AD21</f>
        <v>307.105482615125</v>
      </c>
      <c r="AE43" s="17" t="n">
        <f aca="false">AE13*Assumptions!$G$74*Assumptions!$G$75*Assumptions!$G$76*AE21</f>
        <v>493.29164168346</v>
      </c>
      <c r="AF43" s="17" t="n">
        <f aca="false">AF13*Assumptions!$G$74*Assumptions!$G$75*Assumptions!$G$76*AF21</f>
        <v>704.344967022167</v>
      </c>
      <c r="AG43" s="17" t="n">
        <f aca="false">AG13*Assumptions!$G$74*Assumptions!$G$75*Assumptions!$G$76*AG21</f>
        <v>944.333563356598</v>
      </c>
      <c r="AH43" s="17" t="n">
        <f aca="false">AH13*Assumptions!$G$74*Assumptions!$G$75*Assumptions!$G$76*AH21</f>
        <v>1201.13627326764</v>
      </c>
      <c r="AI43" s="17" t="n">
        <f aca="false">AI13*Assumptions!$G$74*Assumptions!$G$75*Assumptions!$G$76*AI21</f>
        <v>1272.64891053496</v>
      </c>
      <c r="AJ43" s="17" t="n">
        <f aca="false">AJ13*Assumptions!$G$74*Assumptions!$G$75*Assumptions!$G$76*AJ21</f>
        <v>1348.76642142961</v>
      </c>
      <c r="AK43" s="17" t="n">
        <f aca="false">AK13*Assumptions!$G$74*Assumptions!$G$75*Assumptions!$G$76*AK21</f>
        <v>1429.44275721532</v>
      </c>
      <c r="AL43" s="17" t="n">
        <f aca="false">AL13*Assumptions!$G$74*Assumptions!$G$75*Assumptions!$G$76*AL21</f>
        <v>1511.97232964316</v>
      </c>
      <c r="AM43" s="17" t="n">
        <f aca="false">AM13*Assumptions!$G$74*Assumptions!$G$75*Assumptions!$G$76*AM21</f>
        <v>1594.74060634673</v>
      </c>
      <c r="AN43" s="44" t="n">
        <f aca="false">AN13*Assumptions!$G$74*Assumptions!$G$75*Assumptions!$G$76*AN21</f>
        <v>1679.34120028326</v>
      </c>
      <c r="AO43" s="44" t="n">
        <f aca="false">AO13*Assumptions!$G$74*Assumptions!$G$75*Assumptions!$G$76*AO21</f>
        <v>1763.62778828043</v>
      </c>
      <c r="AP43" s="44" t="n">
        <f aca="false">AP13*Assumptions!$G$74*Assumptions!$G$75*Assumptions!$G$76*AP21</f>
        <v>1847.60351039763</v>
      </c>
      <c r="AQ43" s="44" t="n">
        <f aca="false">AQ13*Assumptions!$G$74*Assumptions!$G$75*Assumptions!$G$76*AQ21</f>
        <v>1931.27147529365</v>
      </c>
      <c r="AR43" s="44" t="n">
        <f aca="false">AR13*Assumptions!$G$74*Assumptions!$G$75*Assumptions!$G$76*AR21</f>
        <v>2014.63476054071</v>
      </c>
      <c r="AS43" s="44" t="n">
        <f aca="false">AS13*Assumptions!$G$74*Assumptions!$G$75*Assumptions!$G$76*AS21</f>
        <v>2097.69641293531</v>
      </c>
      <c r="AT43" s="44" t="n">
        <f aca="false">AT13*Assumptions!$G$74*Assumptions!$G$75*Assumptions!$G$76*AT21</f>
        <v>2179.92744880595</v>
      </c>
      <c r="AU43" s="44" t="n">
        <f aca="false">AU13*Assumptions!$G$74*Assumptions!$G$75*Assumptions!$G$76*AU21</f>
        <v>2261.86817431789</v>
      </c>
      <c r="AV43" s="44" t="n">
        <f aca="false">AV13*Assumptions!$G$74*Assumptions!$G$75*Assumptions!$G$76*AV21</f>
        <v>2343.52149257472</v>
      </c>
      <c r="AW43" s="44" t="n">
        <f aca="false">AW13*Assumptions!$G$74*Assumptions!$G$75*Assumptions!$G$76*AW21</f>
        <v>2424.35827764897</v>
      </c>
      <c r="AX43" s="44" t="n">
        <f aca="false">AX13*Assumptions!$G$74*Assumptions!$G$75*Assumptions!$G$76*AX21</f>
        <v>2504.91869487248</v>
      </c>
      <c r="AY43" s="44" t="n">
        <f aca="false">AY13*Assumptions!$G$74*Assumptions!$G$75*Assumptions!$G$76*AY21</f>
        <v>2585.20550792375</v>
      </c>
      <c r="AZ43" s="44" t="n">
        <f aca="false">AZ13*Assumptions!$G$74*Assumptions!$G$75*Assumptions!$G$76*AZ21</f>
        <v>2664.68945284452</v>
      </c>
      <c r="BA43" s="44" t="n">
        <f aca="false">BA13*Assumptions!$G$74*Assumptions!$G$75*Assumptions!$G$76*BA21</f>
        <v>2743.37855831607</v>
      </c>
      <c r="BB43" s="44" t="n">
        <f aca="false">BB13*Assumptions!$G$74*Assumptions!$G$75*Assumptions!$G$76*BB21</f>
        <v>2821.81277273291</v>
      </c>
      <c r="BC43" s="44" t="n">
        <f aca="false">BC13*Assumptions!$G$74*Assumptions!$G$75*Assumptions!$G$76*BC21</f>
        <v>2899.46264500558</v>
      </c>
      <c r="BD43" s="44" t="n">
        <f aca="false">BD13*Assumptions!$G$74*Assumptions!$G$75*Assumptions!$G$76*BD21</f>
        <v>2976.33601855553</v>
      </c>
      <c r="BE43" s="44" t="n">
        <f aca="false">BE13*Assumptions!$G$74*Assumptions!$G$75*Assumptions!$G$76*BE21</f>
        <v>3052.97265836997</v>
      </c>
      <c r="BF43" s="44" t="n">
        <f aca="false">BF13*Assumptions!$G$74*Assumptions!$G$75*Assumptions!$G$76*BF21</f>
        <v>3128.84293178627</v>
      </c>
      <c r="BG43" s="44" t="n">
        <f aca="false">BG13*Assumptions!$G$74*Assumptions!$G$75*Assumptions!$G$76*BG21</f>
        <v>3203.95450246841</v>
      </c>
      <c r="BH43" s="44" t="n">
        <f aca="false">BH13*Assumptions!$G$74*Assumptions!$G$75*Assumptions!$G$76*BH21</f>
        <v>3278.31495744372</v>
      </c>
      <c r="BI43" s="44" t="n">
        <f aca="false">BI13*Assumptions!$G$74*Assumptions!$G$75*Assumptions!$G$76*BI21</f>
        <v>3351.93180786929</v>
      </c>
      <c r="BJ43" s="44" t="n">
        <f aca="false">BJ13*Assumptions!$G$74*Assumptions!$G$75*Assumptions!$G$76*BJ21</f>
        <v>3424.81248979059</v>
      </c>
      <c r="BK43" s="44" t="n">
        <f aca="false">BK13*Assumptions!$G$74*Assumptions!$G$75*Assumptions!$G$76*BK21</f>
        <v>3496.96436489269</v>
      </c>
    </row>
    <row r="44" customFormat="false" ht="15" hidden="false" customHeight="false" outlineLevel="0" collapsed="false">
      <c r="A44" s="28" t="s">
        <v>603</v>
      </c>
      <c r="B44" s="6" t="s">
        <v>604</v>
      </c>
      <c r="C44" s="42"/>
      <c r="D44" s="26" t="n">
        <f aca="false">D10*Assumptions!$G$80/12*D18</f>
        <v>0</v>
      </c>
      <c r="E44" s="26" t="n">
        <f aca="false">E10*Assumptions!$G$80/12*E18</f>
        <v>0</v>
      </c>
      <c r="F44" s="26" t="n">
        <f aca="false">F10*Assumptions!$G$80/12*F18</f>
        <v>0</v>
      </c>
      <c r="G44" s="26" t="n">
        <f aca="false">G10*Assumptions!$G$80/12*G18</f>
        <v>0</v>
      </c>
      <c r="H44" s="26" t="n">
        <f aca="false">H10*Assumptions!$G$80/12*H18</f>
        <v>0</v>
      </c>
      <c r="I44" s="26" t="n">
        <f aca="false">I10*Assumptions!$G$80/12*I18</f>
        <v>0</v>
      </c>
      <c r="J44" s="26" t="n">
        <f aca="false">J10*Assumptions!$G$80/12*J18</f>
        <v>0</v>
      </c>
      <c r="K44" s="26" t="n">
        <f aca="false">K10*Assumptions!$G$80/12*K18</f>
        <v>0</v>
      </c>
      <c r="L44" s="26" t="n">
        <f aca="false">L10*Assumptions!$G$80/12*L18</f>
        <v>0</v>
      </c>
      <c r="M44" s="26" t="n">
        <f aca="false">M10*Assumptions!$G$80/12*M18</f>
        <v>0</v>
      </c>
      <c r="N44" s="26" t="n">
        <f aca="false">N10*Assumptions!$G$80/12*N18</f>
        <v>0</v>
      </c>
      <c r="O44" s="26" t="n">
        <f aca="false">O10*Assumptions!$G$80/12*O18</f>
        <v>0</v>
      </c>
      <c r="P44" s="26" t="n">
        <f aca="false">P10*Assumptions!$G$80/12*P18</f>
        <v>0</v>
      </c>
      <c r="Q44" s="26" t="n">
        <f aca="false">Q10*Assumptions!$G$80/12*Q18</f>
        <v>0.25</v>
      </c>
      <c r="R44" s="26" t="n">
        <f aca="false">R10*Assumptions!$G$80/12*R18</f>
        <v>0.375</v>
      </c>
      <c r="S44" s="26" t="n">
        <f aca="false">S10*Assumptions!$G$80/12*S18</f>
        <v>0.375</v>
      </c>
      <c r="T44" s="26" t="n">
        <f aca="false">T10*Assumptions!$G$80/12*T18</f>
        <v>0.5</v>
      </c>
      <c r="U44" s="26" t="n">
        <f aca="false">U10*Assumptions!$G$80/12*U18</f>
        <v>0.625</v>
      </c>
      <c r="V44" s="26" t="n">
        <f aca="false">V10*Assumptions!$G$80/12*V18</f>
        <v>0.75</v>
      </c>
      <c r="W44" s="26" t="n">
        <f aca="false">W10*Assumptions!$G$80/12*W18</f>
        <v>0.875</v>
      </c>
      <c r="X44" s="26" t="n">
        <f aca="false">X10*Assumptions!$G$80/12*X18</f>
        <v>1</v>
      </c>
      <c r="Y44" s="26" t="n">
        <f aca="false">Y10*Assumptions!$G$80/12*Y18</f>
        <v>1.125</v>
      </c>
      <c r="Z44" s="26" t="n">
        <f aca="false">Z10*Assumptions!$G$80/12*Z18</f>
        <v>1.25</v>
      </c>
      <c r="AA44" s="26" t="n">
        <f aca="false">AA10*Assumptions!$G$80/12*AA18</f>
        <v>1.375</v>
      </c>
      <c r="AB44" s="26" t="n">
        <f aca="false">AB10*Assumptions!$G$80/12*AB18</f>
        <v>1.5</v>
      </c>
      <c r="AC44" s="26" t="n">
        <f aca="false">AC10*Assumptions!$G$80/12*AC18</f>
        <v>1.75</v>
      </c>
      <c r="AD44" s="26" t="n">
        <f aca="false">AD10*Assumptions!$G$80/12*AD18</f>
        <v>1.875</v>
      </c>
      <c r="AE44" s="26" t="n">
        <f aca="false">AE10*Assumptions!$G$80/12*AE18</f>
        <v>2</v>
      </c>
      <c r="AF44" s="26" t="n">
        <f aca="false">AF10*Assumptions!$G$80/12*AF18</f>
        <v>2.25</v>
      </c>
      <c r="AG44" s="26" t="n">
        <f aca="false">AG10*Assumptions!$G$80/12*AG18</f>
        <v>2.375</v>
      </c>
      <c r="AH44" s="26" t="n">
        <f aca="false">AH10*Assumptions!$G$80/12*AH18</f>
        <v>2.5</v>
      </c>
      <c r="AI44" s="26" t="n">
        <f aca="false">AI10*Assumptions!$G$80/12*AI18</f>
        <v>2.75</v>
      </c>
      <c r="AJ44" s="26" t="n">
        <f aca="false">AJ10*Assumptions!$G$80/12*AJ18</f>
        <v>3</v>
      </c>
      <c r="AK44" s="26" t="n">
        <f aca="false">AK10*Assumptions!$G$80/12*AK18</f>
        <v>3.125</v>
      </c>
      <c r="AL44" s="26" t="n">
        <f aca="false">AL10*Assumptions!$G$80/12*AL18</f>
        <v>3.375</v>
      </c>
      <c r="AM44" s="26" t="n">
        <f aca="false">AM10*Assumptions!$G$80/12*AM18</f>
        <v>3.625</v>
      </c>
      <c r="AN44" s="37" t="n">
        <f aca="false">AN10*Assumptions!$G$80/12*AN18</f>
        <v>3.75</v>
      </c>
      <c r="AO44" s="37" t="n">
        <f aca="false">AO10*Assumptions!$G$80/12*AO18</f>
        <v>4</v>
      </c>
      <c r="AP44" s="37" t="n">
        <f aca="false">AP10*Assumptions!$G$80/12*AP18</f>
        <v>4.25</v>
      </c>
      <c r="AQ44" s="37" t="n">
        <f aca="false">AQ10*Assumptions!$G$80/12*AQ18</f>
        <v>4.5</v>
      </c>
      <c r="AR44" s="37" t="n">
        <f aca="false">AR10*Assumptions!$G$80/12*AR18</f>
        <v>4.75</v>
      </c>
      <c r="AS44" s="37" t="n">
        <f aca="false">AS10*Assumptions!$G$80/12*AS18</f>
        <v>5</v>
      </c>
      <c r="AT44" s="37" t="n">
        <f aca="false">AT10*Assumptions!$G$80/12*AT18</f>
        <v>5.25</v>
      </c>
      <c r="AU44" s="37" t="n">
        <f aca="false">AU10*Assumptions!$G$80/12*AU18</f>
        <v>5.5</v>
      </c>
      <c r="AV44" s="37" t="n">
        <f aca="false">AV10*Assumptions!$G$80/12*AV18</f>
        <v>5.75</v>
      </c>
      <c r="AW44" s="37" t="n">
        <f aca="false">AW10*Assumptions!$G$80/12*AW18</f>
        <v>6</v>
      </c>
      <c r="AX44" s="37" t="n">
        <f aca="false">AX10*Assumptions!$G$80/12*AX18</f>
        <v>6.25</v>
      </c>
      <c r="AY44" s="37" t="n">
        <f aca="false">AY10*Assumptions!$G$80/12*AY18</f>
        <v>6.5</v>
      </c>
      <c r="AZ44" s="37" t="n">
        <f aca="false">AZ10*Assumptions!$G$80/12*AZ18</f>
        <v>6.75</v>
      </c>
      <c r="BA44" s="37" t="n">
        <f aca="false">BA10*Assumptions!$G$80/12*BA18</f>
        <v>7</v>
      </c>
      <c r="BB44" s="37" t="n">
        <f aca="false">BB10*Assumptions!$G$80/12*BB18</f>
        <v>7.25</v>
      </c>
      <c r="BC44" s="37" t="n">
        <f aca="false">BC10*Assumptions!$G$80/12*BC18</f>
        <v>7.5</v>
      </c>
      <c r="BD44" s="37" t="n">
        <f aca="false">BD10*Assumptions!$G$80/12*BD18</f>
        <v>7.75</v>
      </c>
      <c r="BE44" s="37" t="n">
        <f aca="false">BE10*Assumptions!$G$80/12*BE18</f>
        <v>8</v>
      </c>
      <c r="BF44" s="37" t="n">
        <f aca="false">BF10*Assumptions!$G$80/12*BF18</f>
        <v>8.25</v>
      </c>
      <c r="BG44" s="37" t="n">
        <f aca="false">BG10*Assumptions!$G$80/12*BG18</f>
        <v>8.5</v>
      </c>
      <c r="BH44" s="37" t="n">
        <f aca="false">BH10*Assumptions!$G$80/12*BH18</f>
        <v>8.75</v>
      </c>
      <c r="BI44" s="37" t="n">
        <f aca="false">BI10*Assumptions!$G$80/12*BI18</f>
        <v>9</v>
      </c>
      <c r="BJ44" s="37" t="n">
        <f aca="false">BJ10*Assumptions!$G$80/12*BJ18</f>
        <v>9.25</v>
      </c>
      <c r="BK44" s="37" t="n">
        <f aca="false">BK10*Assumptions!$G$80/12*BK18</f>
        <v>9.5</v>
      </c>
    </row>
    <row r="45" customFormat="false" ht="15" hidden="false" customHeight="false" outlineLevel="0" collapsed="false">
      <c r="A45" s="28" t="s">
        <v>605</v>
      </c>
      <c r="B45" s="6" t="s">
        <v>606</v>
      </c>
      <c r="C45" s="43"/>
      <c r="D45" s="17" t="n">
        <f aca="false">D44*Assumptions!$G$81</f>
        <v>0</v>
      </c>
      <c r="E45" s="17" t="n">
        <f aca="false">E44*Assumptions!$G$81</f>
        <v>0</v>
      </c>
      <c r="F45" s="17" t="n">
        <f aca="false">F44*Assumptions!$G$81</f>
        <v>0</v>
      </c>
      <c r="G45" s="17" t="n">
        <f aca="false">G44*Assumptions!$G$81</f>
        <v>0</v>
      </c>
      <c r="H45" s="17" t="n">
        <f aca="false">H44*Assumptions!$G$81</f>
        <v>0</v>
      </c>
      <c r="I45" s="17" t="n">
        <f aca="false">I44*Assumptions!$G$81</f>
        <v>0</v>
      </c>
      <c r="J45" s="17" t="n">
        <f aca="false">J44*Assumptions!$G$81</f>
        <v>0</v>
      </c>
      <c r="K45" s="17" t="n">
        <f aca="false">K44*Assumptions!$G$81</f>
        <v>0</v>
      </c>
      <c r="L45" s="17" t="n">
        <f aca="false">L44*Assumptions!$G$81</f>
        <v>0</v>
      </c>
      <c r="M45" s="17" t="n">
        <f aca="false">M44*Assumptions!$G$81</f>
        <v>0</v>
      </c>
      <c r="N45" s="17" t="n">
        <f aca="false">N44*Assumptions!$G$81</f>
        <v>0</v>
      </c>
      <c r="O45" s="17" t="n">
        <f aca="false">O44*Assumptions!$G$81</f>
        <v>0</v>
      </c>
      <c r="P45" s="17" t="n">
        <f aca="false">P44*Assumptions!$G$81</f>
        <v>0</v>
      </c>
      <c r="Q45" s="17" t="n">
        <f aca="false">Q44*Assumptions!$G$81</f>
        <v>562.5</v>
      </c>
      <c r="R45" s="17" t="n">
        <f aca="false">R44*Assumptions!$G$81</f>
        <v>843.75</v>
      </c>
      <c r="S45" s="17" t="n">
        <f aca="false">S44*Assumptions!$G$81</f>
        <v>843.75</v>
      </c>
      <c r="T45" s="17" t="n">
        <f aca="false">T44*Assumptions!$G$81</f>
        <v>1125</v>
      </c>
      <c r="U45" s="17" t="n">
        <f aca="false">U44*Assumptions!$G$81</f>
        <v>1406.25</v>
      </c>
      <c r="V45" s="17" t="n">
        <f aca="false">V44*Assumptions!$G$81</f>
        <v>1687.5</v>
      </c>
      <c r="W45" s="17" t="n">
        <f aca="false">W44*Assumptions!$G$81</f>
        <v>1968.75</v>
      </c>
      <c r="X45" s="17" t="n">
        <f aca="false">X44*Assumptions!$G$81</f>
        <v>2250</v>
      </c>
      <c r="Y45" s="17" t="n">
        <f aca="false">Y44*Assumptions!$G$81</f>
        <v>2531.25</v>
      </c>
      <c r="Z45" s="17" t="n">
        <f aca="false">Z44*Assumptions!$G$81</f>
        <v>2812.5</v>
      </c>
      <c r="AA45" s="17" t="n">
        <f aca="false">AA44*Assumptions!$G$81</f>
        <v>3093.75</v>
      </c>
      <c r="AB45" s="17" t="n">
        <f aca="false">AB44*Assumptions!$G$81</f>
        <v>3375</v>
      </c>
      <c r="AC45" s="17" t="n">
        <f aca="false">AC44*Assumptions!$G$81</f>
        <v>3937.5</v>
      </c>
      <c r="AD45" s="17" t="n">
        <f aca="false">AD44*Assumptions!$G$81</f>
        <v>4218.75</v>
      </c>
      <c r="AE45" s="17" t="n">
        <f aca="false">AE44*Assumptions!$G$81</f>
        <v>4500</v>
      </c>
      <c r="AF45" s="17" t="n">
        <f aca="false">AF44*Assumptions!$G$81</f>
        <v>5062.5</v>
      </c>
      <c r="AG45" s="17" t="n">
        <f aca="false">AG44*Assumptions!$G$81</f>
        <v>5343.75</v>
      </c>
      <c r="AH45" s="17" t="n">
        <f aca="false">AH44*Assumptions!$G$81</f>
        <v>5625</v>
      </c>
      <c r="AI45" s="17" t="n">
        <f aca="false">AI44*Assumptions!$G$81</f>
        <v>6187.5</v>
      </c>
      <c r="AJ45" s="17" t="n">
        <f aca="false">AJ44*Assumptions!$G$81</f>
        <v>6750</v>
      </c>
      <c r="AK45" s="17" t="n">
        <f aca="false">AK44*Assumptions!$G$81</f>
        <v>7031.25</v>
      </c>
      <c r="AL45" s="17" t="n">
        <f aca="false">AL44*Assumptions!$G$81</f>
        <v>7593.75</v>
      </c>
      <c r="AM45" s="17" t="n">
        <f aca="false">AM44*Assumptions!$G$81</f>
        <v>8156.25</v>
      </c>
      <c r="AN45" s="44" t="n">
        <f aca="false">AN44*Assumptions!$G$81</f>
        <v>8437.5</v>
      </c>
      <c r="AO45" s="44" t="n">
        <f aca="false">AO44*Assumptions!$G$81</f>
        <v>9000</v>
      </c>
      <c r="AP45" s="44" t="n">
        <f aca="false">AP44*Assumptions!$G$81</f>
        <v>9562.5</v>
      </c>
      <c r="AQ45" s="44" t="n">
        <f aca="false">AQ44*Assumptions!$G$81</f>
        <v>10125</v>
      </c>
      <c r="AR45" s="44" t="n">
        <f aca="false">AR44*Assumptions!$G$81</f>
        <v>10687.5</v>
      </c>
      <c r="AS45" s="44" t="n">
        <f aca="false">AS44*Assumptions!$G$81</f>
        <v>11250</v>
      </c>
      <c r="AT45" s="44" t="n">
        <f aca="false">AT44*Assumptions!$G$81</f>
        <v>11812.5</v>
      </c>
      <c r="AU45" s="44" t="n">
        <f aca="false">AU44*Assumptions!$G$81</f>
        <v>12375</v>
      </c>
      <c r="AV45" s="44" t="n">
        <f aca="false">AV44*Assumptions!$G$81</f>
        <v>12937.5</v>
      </c>
      <c r="AW45" s="44" t="n">
        <f aca="false">AW44*Assumptions!$G$81</f>
        <v>13500</v>
      </c>
      <c r="AX45" s="44" t="n">
        <f aca="false">AX44*Assumptions!$G$81</f>
        <v>14062.5</v>
      </c>
      <c r="AY45" s="44" t="n">
        <f aca="false">AY44*Assumptions!$G$81</f>
        <v>14625</v>
      </c>
      <c r="AZ45" s="44" t="n">
        <f aca="false">AZ44*Assumptions!$G$81</f>
        <v>15187.5</v>
      </c>
      <c r="BA45" s="44" t="n">
        <f aca="false">BA44*Assumptions!$G$81</f>
        <v>15750</v>
      </c>
      <c r="BB45" s="44" t="n">
        <f aca="false">BB44*Assumptions!$G$81</f>
        <v>16312.5</v>
      </c>
      <c r="BC45" s="44" t="n">
        <f aca="false">BC44*Assumptions!$G$81</f>
        <v>16875</v>
      </c>
      <c r="BD45" s="44" t="n">
        <f aca="false">BD44*Assumptions!$G$81</f>
        <v>17437.5</v>
      </c>
      <c r="BE45" s="44" t="n">
        <f aca="false">BE44*Assumptions!$G$81</f>
        <v>18000</v>
      </c>
      <c r="BF45" s="44" t="n">
        <f aca="false">BF44*Assumptions!$G$81</f>
        <v>18562.5</v>
      </c>
      <c r="BG45" s="44" t="n">
        <f aca="false">BG44*Assumptions!$G$81</f>
        <v>19125</v>
      </c>
      <c r="BH45" s="44" t="n">
        <f aca="false">BH44*Assumptions!$G$81</f>
        <v>19687.5</v>
      </c>
      <c r="BI45" s="44" t="n">
        <f aca="false">BI44*Assumptions!$G$81</f>
        <v>20250</v>
      </c>
      <c r="BJ45" s="44" t="n">
        <f aca="false">BJ44*Assumptions!$G$81</f>
        <v>20812.5</v>
      </c>
      <c r="BK45" s="44" t="n">
        <f aca="false">BK44*Assumptions!$G$81</f>
        <v>21375</v>
      </c>
    </row>
    <row r="46" customFormat="false" ht="15" hidden="false" customHeight="false" outlineLevel="0" collapsed="false">
      <c r="A46" s="28" t="s">
        <v>607</v>
      </c>
      <c r="B46" s="5" t="s">
        <v>608</v>
      </c>
      <c r="C46" s="43"/>
      <c r="D46" s="45" t="n">
        <f aca="false">D37+D38+D40+D41+D42+D43+D45</f>
        <v>0</v>
      </c>
      <c r="E46" s="45" t="n">
        <f aca="false">E37+E38+E40+E41+E42+E43+E45</f>
        <v>0</v>
      </c>
      <c r="F46" s="45" t="n">
        <f aca="false">F37+F38+F40+F41+F42+F43+F45</f>
        <v>0</v>
      </c>
      <c r="G46" s="45" t="n">
        <f aca="false">G37+G38+G40+G41+G42+G43+G45</f>
        <v>0</v>
      </c>
      <c r="H46" s="45" t="n">
        <f aca="false">H37+H38+H40+H41+H42+H43+H45</f>
        <v>0</v>
      </c>
      <c r="I46" s="45" t="n">
        <f aca="false">I37+I38+I40+I41+I42+I43+I45</f>
        <v>0</v>
      </c>
      <c r="J46" s="45" t="n">
        <f aca="false">J37+J38+J40+J41+J42+J43+J45</f>
        <v>0</v>
      </c>
      <c r="K46" s="45" t="n">
        <f aca="false">K37+K38+K40+K41+K42+K43+K45</f>
        <v>0</v>
      </c>
      <c r="L46" s="45" t="n">
        <f aca="false">L37+L38+L40+L41+L42+L43+L45</f>
        <v>0</v>
      </c>
      <c r="M46" s="45" t="n">
        <f aca="false">M37+M38+M40+M41+M42+M43+M45</f>
        <v>0</v>
      </c>
      <c r="N46" s="45" t="n">
        <f aca="false">N37+N38+N40+N41+N42+N43+N45</f>
        <v>0</v>
      </c>
      <c r="O46" s="45" t="n">
        <f aca="false">O37+O38+O40+O41+O42+O43+O45</f>
        <v>0</v>
      </c>
      <c r="P46" s="45" t="n">
        <f aca="false">P37+P38+P40+P41+P42+P43+P45</f>
        <v>0</v>
      </c>
      <c r="Q46" s="45" t="n">
        <f aca="false">Q37+Q38+Q40+Q41+Q42+Q43+Q45</f>
        <v>562.5</v>
      </c>
      <c r="R46" s="45" t="n">
        <f aca="false">R37+R38+R40+R41+R42+R43+R45</f>
        <v>843.75</v>
      </c>
      <c r="S46" s="45" t="n">
        <f aca="false">S37+S38+S40+S41+S42+S43+S45</f>
        <v>1157.93240484824</v>
      </c>
      <c r="T46" s="45" t="n">
        <f aca="false">T37+T38+T40+T41+T42+T43+T45</f>
        <v>1776.07644704983</v>
      </c>
      <c r="U46" s="45" t="n">
        <f aca="false">U37+U38+U40+U41+U42+U43+U45</f>
        <v>2415.7147848528</v>
      </c>
      <c r="V46" s="45" t="n">
        <f aca="false">V37+V38+V40+V41+V42+V43+V45</f>
        <v>3075.70627795966</v>
      </c>
      <c r="W46" s="45" t="n">
        <f aca="false">W37+W38+W40+W41+W42+W43+W45</f>
        <v>3768.01486076329</v>
      </c>
      <c r="X46" s="45" t="n">
        <f aca="false">X37+X38+X40+X41+X42+X43+X45</f>
        <v>4489.13306055172</v>
      </c>
      <c r="Y46" s="45" t="n">
        <f aca="false">Y37+Y38+Y40+Y41+Y42+Y43+Y45</f>
        <v>5233.70598315524</v>
      </c>
      <c r="Z46" s="45" t="n">
        <f aca="false">Z37+Z38+Z40+Z41+Z42+Z43+Z45</f>
        <v>6010.82763406048</v>
      </c>
      <c r="AA46" s="45" t="n">
        <f aca="false">AA37+AA38+AA40+AA41+AA42+AA43+AA45</f>
        <v>6814.8474892615</v>
      </c>
      <c r="AB46" s="45" t="n">
        <f aca="false">AB37+AB38+AB40+AB41+AB42+AB43+AB45</f>
        <v>7639.98571548289</v>
      </c>
      <c r="AC46" s="45" t="n">
        <f aca="false">AC37+AC38+AC40+AC41+AC42+AC43+AC45</f>
        <v>9159.01357636131</v>
      </c>
      <c r="AD46" s="45" t="n">
        <f aca="false">AD37+AD38+AD40+AD41+AD42+AD43+AD45</f>
        <v>10497.666754755</v>
      </c>
      <c r="AE46" s="45" t="n">
        <f aca="false">AE37+AE38+AE40+AE41+AE42+AE43+AE45</f>
        <v>11921.9756505419</v>
      </c>
      <c r="AF46" s="45" t="n">
        <f aca="false">AF37+AF38+AF40+AF41+AF42+AF43+AF45</f>
        <v>13726.0270815788</v>
      </c>
      <c r="AG46" s="45" t="n">
        <f aca="false">AG37+AG38+AG40+AG41+AG42+AG43+AG45</f>
        <v>15362.4594334287</v>
      </c>
      <c r="AH46" s="45" t="n">
        <f aca="false">AH37+AH38+AH40+AH41+AH42+AH43+AH45</f>
        <v>17074.4510701017</v>
      </c>
      <c r="AI46" s="45" t="n">
        <f aca="false">AI37+AI38+AI40+AI41+AI42+AI43+AI45</f>
        <v>18588.2655633555</v>
      </c>
      <c r="AJ46" s="45" t="n">
        <f aca="false">AJ37+AJ38+AJ40+AJ41+AJ42+AJ43+AJ45</f>
        <v>20142.9902578531</v>
      </c>
      <c r="AK46" s="45" t="n">
        <f aca="false">AK37+AK38+AK40+AK41+AK42+AK43+AK45</f>
        <v>21460.5937078046</v>
      </c>
      <c r="AL46" s="45" t="n">
        <f aca="false">AL37+AL38+AL40+AL41+AL42+AL43+AL45</f>
        <v>23097.4864774698</v>
      </c>
      <c r="AM46" s="45" t="n">
        <f aca="false">AM37+AM38+AM40+AM41+AM42+AM43+AM45</f>
        <v>24766.7865293195</v>
      </c>
      <c r="AN46" s="46" t="n">
        <f aca="false">AN37+AN38+AN40+AN41+AN42+AN43+AN45</f>
        <v>26190.6675474132</v>
      </c>
      <c r="AO46" s="46" t="n">
        <f aca="false">AO37+AO38+AO40+AO41+AO42+AO43+AO45</f>
        <v>27924.4911892123</v>
      </c>
      <c r="AP46" s="46" t="n">
        <f aca="false">AP37+AP38+AP40+AP41+AP42+AP43+AP45</f>
        <v>29684.7458683524</v>
      </c>
      <c r="AQ46" s="46" t="n">
        <f aca="false">AQ37+AQ38+AQ40+AQ41+AQ42+AQ43+AQ45</f>
        <v>31469.4086652293</v>
      </c>
      <c r="AR46" s="46" t="n">
        <f aca="false">AR37+AR38+AR40+AR41+AR42+AR43+AR45</f>
        <v>33276.6470327855</v>
      </c>
      <c r="AS46" s="46" t="n">
        <f aca="false">AS37+AS38+AS40+AS41+AS42+AS43+AS45</f>
        <v>35104.7850567172</v>
      </c>
      <c r="AT46" s="46" t="n">
        <f aca="false">AT37+AT38+AT40+AT41+AT42+AT43+AT45</f>
        <v>36950.5017939779</v>
      </c>
      <c r="AU46" s="46" t="n">
        <f aca="false">AU37+AU38+AU40+AU41+AU42+AU43+AU45</f>
        <v>38813.5932921876</v>
      </c>
      <c r="AV46" s="46" t="n">
        <f aca="false">AV37+AV38+AV40+AV41+AV42+AV43+AV45</f>
        <v>40692.7967047114</v>
      </c>
      <c r="AW46" s="46" t="n">
        <f aca="false">AW37+AW38+AW40+AW41+AW42+AW43+AW45</f>
        <v>42585.1499205567</v>
      </c>
      <c r="AX46" s="46" t="n">
        <f aca="false">AX37+AX38+AX40+AX41+AX42+AX43+AX45</f>
        <v>44490.7666197526</v>
      </c>
      <c r="AY46" s="46" t="n">
        <f aca="false">AY37+AY38+AY40+AY41+AY42+AY43+AY45</f>
        <v>46408.6692737923</v>
      </c>
      <c r="AZ46" s="46" t="n">
        <f aca="false">AZ37+AZ38+AZ40+AZ41+AZ42+AZ43+AZ45</f>
        <v>48336.1549333241</v>
      </c>
      <c r="BA46" s="46" t="n">
        <f aca="false">BA37+BA38+BA40+BA41+BA42+BA43+BA45</f>
        <v>50271.797094297</v>
      </c>
      <c r="BB46" s="46" t="n">
        <f aca="false">BB37+BB38+BB40+BB41+BB42+BB43+BB45</f>
        <v>52216.061585564</v>
      </c>
      <c r="BC46" s="46" t="n">
        <f aca="false">BC37+BC38+BC40+BC41+BC42+BC43+BC45</f>
        <v>54166.5122313452</v>
      </c>
      <c r="BD46" s="46" t="n">
        <f aca="false">BD37+BD38+BD40+BD41+BD42+BD43+BD45</f>
        <v>56121.9621801974</v>
      </c>
      <c r="BE46" s="46" t="n">
        <f aca="false">BE37+BE38+BE40+BE41+BE42+BE43+BE45</f>
        <v>58083.0950090371</v>
      </c>
      <c r="BF46" s="46" t="n">
        <f aca="false">BF37+BF38+BF40+BF41+BF42+BF43+BF45</f>
        <v>60047.6740670236</v>
      </c>
      <c r="BG46" s="46" t="n">
        <f aca="false">BG37+BG38+BG40+BG41+BG42+BG43+BG45</f>
        <v>62014.6964675204</v>
      </c>
      <c r="BH46" s="46" t="n">
        <f aca="false">BH37+BH38+BH40+BH41+BH42+BH43+BH45</f>
        <v>63983.238627356</v>
      </c>
      <c r="BI46" s="46" t="n">
        <f aca="false">BI37+BI38+BI40+BI41+BI42+BI43+BI45</f>
        <v>65952.4468575636</v>
      </c>
      <c r="BJ46" s="46" t="n">
        <f aca="false">BJ37+BJ38+BJ40+BJ41+BJ42+BJ43+BJ45</f>
        <v>67921.5300748308</v>
      </c>
      <c r="BK46" s="46" t="n">
        <f aca="false">BK37+BK38+BK40+BK41+BK42+BK43+BK45</f>
        <v>69889.7539701488</v>
      </c>
    </row>
    <row r="47" customFormat="false" ht="15" hidden="false" customHeight="false" outlineLevel="0" collapsed="false">
      <c r="A47" s="28" t="s">
        <v>609</v>
      </c>
      <c r="B47" s="6" t="s">
        <v>610</v>
      </c>
      <c r="C47" s="43"/>
      <c r="D47" s="17" t="n">
        <f aca="false">D37+D38</f>
        <v>0</v>
      </c>
      <c r="E47" s="17" t="n">
        <f aca="false">E37+E38</f>
        <v>0</v>
      </c>
      <c r="F47" s="17" t="n">
        <f aca="false">F37+F38</f>
        <v>0</v>
      </c>
      <c r="G47" s="17" t="n">
        <f aca="false">G37+G38</f>
        <v>0</v>
      </c>
      <c r="H47" s="17" t="n">
        <f aca="false">H37+H38</f>
        <v>0</v>
      </c>
      <c r="I47" s="17" t="n">
        <f aca="false">I37+I38</f>
        <v>0</v>
      </c>
      <c r="J47" s="17" t="n">
        <f aca="false">J37+J38</f>
        <v>0</v>
      </c>
      <c r="K47" s="17" t="n">
        <f aca="false">K37+K38</f>
        <v>0</v>
      </c>
      <c r="L47" s="17" t="n">
        <f aca="false">L37+L38</f>
        <v>0</v>
      </c>
      <c r="M47" s="17" t="n">
        <f aca="false">M37+M38</f>
        <v>0</v>
      </c>
      <c r="N47" s="17" t="n">
        <f aca="false">N37+N38</f>
        <v>0</v>
      </c>
      <c r="O47" s="17" t="n">
        <f aca="false">O37+O38</f>
        <v>0</v>
      </c>
      <c r="P47" s="17" t="n">
        <f aca="false">P37+P38</f>
        <v>0</v>
      </c>
      <c r="Q47" s="17" t="n">
        <f aca="false">Q37+Q38</f>
        <v>0</v>
      </c>
      <c r="R47" s="17" t="n">
        <f aca="false">R37+R38</f>
        <v>0</v>
      </c>
      <c r="S47" s="17" t="n">
        <f aca="false">S37+S38</f>
        <v>224.448812110248</v>
      </c>
      <c r="T47" s="17" t="n">
        <f aca="false">T37+T38</f>
        <v>465.19052877672</v>
      </c>
      <c r="U47" s="17" t="n">
        <f aca="false">U37+U38</f>
        <v>721.356568271575</v>
      </c>
      <c r="V47" s="17" t="n">
        <f aca="false">V37+V38</f>
        <v>992.132464572179</v>
      </c>
      <c r="W47" s="17" t="n">
        <f aca="false">W37+W38</f>
        <v>1286.06560054408</v>
      </c>
      <c r="X47" s="17" t="n">
        <f aca="false">X37+X38</f>
        <v>1600.65330096227</v>
      </c>
      <c r="Y47" s="17" t="n">
        <f aca="false">Y37+Y38</f>
        <v>1932.07218344287</v>
      </c>
      <c r="Z47" s="17" t="n">
        <f aca="false">Z37+Z38</f>
        <v>2286.8197424913</v>
      </c>
      <c r="AA47" s="17" t="n">
        <f aca="false">AA37+AA38</f>
        <v>2660.8620477765</v>
      </c>
      <c r="AB47" s="17" t="n">
        <f aca="false">AB37+AB38</f>
        <v>3050.07141664107</v>
      </c>
      <c r="AC47" s="17" t="n">
        <f aca="false">AC37+AC38</f>
        <v>3459.54569557319</v>
      </c>
      <c r="AD47" s="17" t="n">
        <f aca="false">AD37+AD38</f>
        <v>3894.75329031789</v>
      </c>
      <c r="AE47" s="17" t="n">
        <f aca="false">AE37+AE38</f>
        <v>4349.58636018341</v>
      </c>
      <c r="AF47" s="17" t="n">
        <f aca="false">AF37+AF38</f>
        <v>4826.18517091953</v>
      </c>
      <c r="AG47" s="17" t="n">
        <f aca="false">AG37+AG38</f>
        <v>5328.01611293938</v>
      </c>
      <c r="AH47" s="17" t="n">
        <f aca="false">AH37+AH38</f>
        <v>5847.48474486366</v>
      </c>
      <c r="AI47" s="17" t="n">
        <f aca="false">AI37+AI38</f>
        <v>6386.09623859281</v>
      </c>
      <c r="AJ47" s="17" t="n">
        <f aca="false">AJ37+AJ38</f>
        <v>6945.98295044011</v>
      </c>
      <c r="AK47" s="17" t="n">
        <f aca="false">AK37+AK38</f>
        <v>7529.11400067414</v>
      </c>
      <c r="AL47" s="17" t="n">
        <f aca="false">AL37+AL38</f>
        <v>8135.44400216453</v>
      </c>
      <c r="AM47" s="17" t="n">
        <f aca="false">AM37+AM38</f>
        <v>8763.80188563061</v>
      </c>
      <c r="AN47" s="44" t="n">
        <f aca="false">AN37+AN38</f>
        <v>9414.20636691613</v>
      </c>
      <c r="AO47" s="44" t="n">
        <f aca="false">AO37+AO38</f>
        <v>10085.1736532901</v>
      </c>
      <c r="AP47" s="44" t="n">
        <f aca="false">AP37+AP38</f>
        <v>10775.3150525288</v>
      </c>
      <c r="AQ47" s="44" t="n">
        <f aca="false">AQ37+AQ38</f>
        <v>11483.3305664569</v>
      </c>
      <c r="AR47" s="44" t="n">
        <f aca="false">AR37+AR38</f>
        <v>12208.0029370252</v>
      </c>
      <c r="AS47" s="44" t="n">
        <f aca="false">AS37+AS38</f>
        <v>12948.1921119035</v>
      </c>
      <c r="AT47" s="44" t="n">
        <f aca="false">AT37+AT38</f>
        <v>13702.4576434254</v>
      </c>
      <c r="AU47" s="44" t="n">
        <f aca="false">AU37+AU38</f>
        <v>14469.8255495158</v>
      </c>
      <c r="AV47" s="44" t="n">
        <f aca="false">AV37+AV38</f>
        <v>15249.3828729914</v>
      </c>
      <c r="AW47" s="44" t="n">
        <f aca="false">AW37+AW38</f>
        <v>16039.9012116081</v>
      </c>
      <c r="AX47" s="44" t="n">
        <f aca="false">AX37+AX38</f>
        <v>16840.6046281155</v>
      </c>
      <c r="AY47" s="44" t="n">
        <f aca="false">AY37+AY38</f>
        <v>17650.7651827906</v>
      </c>
      <c r="AZ47" s="44" t="n">
        <f aca="false">AZ37+AZ38</f>
        <v>18469.3273664424</v>
      </c>
      <c r="BA47" s="44" t="n">
        <f aca="false">BA37+BA38</f>
        <v>19295.3043927518</v>
      </c>
      <c r="BB47" s="44" t="n">
        <f aca="false">BB37+BB38</f>
        <v>20128.1461541438</v>
      </c>
      <c r="BC47" s="44" t="n">
        <f aca="false">BC37+BC38</f>
        <v>20966.9633862143</v>
      </c>
      <c r="BD47" s="44" t="n">
        <f aca="false">BD37+BD38</f>
        <v>21810.9247559011</v>
      </c>
      <c r="BE47" s="44" t="n">
        <f aca="false">BE37+BE38</f>
        <v>22659.6255561938</v>
      </c>
      <c r="BF47" s="44" t="n">
        <f aca="false">BF37+BF38</f>
        <v>23512.3125565976</v>
      </c>
      <c r="BG47" s="44" t="n">
        <f aca="false">BG37+BG38</f>
        <v>24368.2817284226</v>
      </c>
      <c r="BH47" s="44" t="n">
        <f aca="false">BH37+BH38</f>
        <v>25226.875075687</v>
      </c>
      <c r="BI47" s="44" t="n">
        <f aca="false">BI37+BI38</f>
        <v>26087.4776810889</v>
      </c>
      <c r="BJ47" s="44" t="n">
        <f aca="false">BJ37+BJ38</f>
        <v>26949.5149517748</v>
      </c>
      <c r="BK47" s="44" t="n">
        <f aca="false">BK37+BK38</f>
        <v>27812.4500507495</v>
      </c>
    </row>
    <row r="48" customFormat="false" ht="15" hidden="false" customHeight="false" outlineLevel="0" collapsed="false">
      <c r="B48" s="5" t="s">
        <v>611</v>
      </c>
    </row>
    <row r="49" customFormat="false" ht="15" hidden="false" customHeight="false" outlineLevel="0" collapsed="false">
      <c r="A49" s="28" t="s">
        <v>612</v>
      </c>
      <c r="B49" s="6" t="s">
        <v>613</v>
      </c>
      <c r="C49" s="43"/>
      <c r="D49" s="17" t="n">
        <f aca="false">D12*(Assumptions!$G$60+Assumptions!$G$63/60*Assumptions!$G$62)</f>
        <v>0</v>
      </c>
      <c r="E49" s="17" t="n">
        <f aca="false">E12*(Assumptions!$G$60+Assumptions!$G$63/60*Assumptions!$G$62)</f>
        <v>0</v>
      </c>
      <c r="F49" s="17" t="n">
        <f aca="false">F12*(Assumptions!$G$60+Assumptions!$G$63/60*Assumptions!$G$62)</f>
        <v>0</v>
      </c>
      <c r="G49" s="17" t="n">
        <f aca="false">G12*(Assumptions!$G$60+Assumptions!$G$63/60*Assumptions!$G$62)</f>
        <v>0</v>
      </c>
      <c r="H49" s="17" t="n">
        <f aca="false">H12*(Assumptions!$G$60+Assumptions!$G$63/60*Assumptions!$G$62)</f>
        <v>29.2916666666667</v>
      </c>
      <c r="I49" s="17" t="n">
        <f aca="false">I12*(Assumptions!$G$60+Assumptions!$G$63/60*Assumptions!$G$62)</f>
        <v>54.7754166666667</v>
      </c>
      <c r="J49" s="17" t="n">
        <f aca="false">J12*(Assumptions!$G$60+Assumptions!$G$63/60*Assumptions!$G$62)</f>
        <v>71.8026625</v>
      </c>
      <c r="K49" s="17" t="n">
        <f aca="false">K12*(Assumptions!$G$60+Assumptions!$G$63/60*Assumptions!$G$62)</f>
        <v>112.092969208333</v>
      </c>
      <c r="L49" s="17" t="n">
        <f aca="false">L12*(Assumptions!$G$60+Assumptions!$G$63/60*Assumptions!$G$62)</f>
        <v>173.070372849583</v>
      </c>
      <c r="M49" s="17" t="n">
        <f aca="false">M12*(Assumptions!$G$60+Assumptions!$G$63/60*Assumptions!$G$62)</f>
        <v>220.549669121087</v>
      </c>
      <c r="N49" s="17" t="n">
        <f aca="false">N12*(Assumptions!$G$60+Assumptions!$G$63/60*Assumptions!$G$62)</f>
        <v>278.099172429877</v>
      </c>
      <c r="O49" s="17" t="n">
        <f aca="false">O12*(Assumptions!$G$60+Assumptions!$G$63/60*Assumptions!$G$62)</f>
        <v>350.304847372244</v>
      </c>
      <c r="P49" s="17" t="n">
        <f aca="false">P12*(Assumptions!$G$60+Assumptions!$G$63/60*Assumptions!$G$62)</f>
        <v>433.505132231855</v>
      </c>
      <c r="Q49" s="17" t="n">
        <f aca="false">Q12*(Assumptions!$G$60+Assumptions!$G$63/60*Assumptions!$G$62)</f>
        <v>521.731747576203</v>
      </c>
      <c r="R49" s="17" t="n">
        <f aca="false">R12*(Assumptions!$G$60+Assumptions!$G$63/60*Assumptions!$G$62)</f>
        <v>611.419430100441</v>
      </c>
      <c r="S49" s="17" t="n">
        <f aca="false">S12*(Assumptions!$G$60+Assumptions!$G$63/60*Assumptions!$G$62)</f>
        <v>706.06856913277</v>
      </c>
      <c r="T49" s="17" t="n">
        <f aca="false">T12*(Assumptions!$G$60+Assumptions!$G$63/60*Assumptions!$G$62)</f>
        <v>800.942883441443</v>
      </c>
      <c r="U49" s="17" t="n">
        <f aca="false">U12*(Assumptions!$G$60+Assumptions!$G$63/60*Assumptions!$G$62)</f>
        <v>896.040121273695</v>
      </c>
      <c r="V49" s="17" t="n">
        <f aca="false">V12*(Assumptions!$G$60+Assumptions!$G$63/60*Assumptions!$G$62)</f>
        <v>991.358053394291</v>
      </c>
      <c r="W49" s="17" t="n">
        <f aca="false">W12*(Assumptions!$G$60+Assumptions!$G$63/60*Assumptions!$G$62)</f>
        <v>1116.18613952702</v>
      </c>
      <c r="X49" s="17" t="n">
        <f aca="false">X12*(Assumptions!$G$60+Assumptions!$G$63/60*Assumptions!$G$62)</f>
        <v>1237.42261146508</v>
      </c>
      <c r="Y49" s="17" t="n">
        <f aca="false">Y12*(Assumptions!$G$60+Assumptions!$G$63/60*Assumptions!$G$62)</f>
        <v>1350.41671868376</v>
      </c>
      <c r="Z49" s="17" t="n">
        <f aca="false">Z12*(Assumptions!$G$60+Assumptions!$G$63/60*Assumptions!$G$62)</f>
        <v>1486.88588483026</v>
      </c>
      <c r="AA49" s="17" t="n">
        <f aca="false">AA12*(Assumptions!$G$60+Assumptions!$G$63/60*Assumptions!$G$62)</f>
        <v>1614.96035931529</v>
      </c>
      <c r="AB49" s="17" t="n">
        <f aca="false">AB12*(Assumptions!$G$60+Assumptions!$G$63/60*Assumptions!$G$62)</f>
        <v>1733.5524223888</v>
      </c>
      <c r="AC49" s="17" t="n">
        <f aca="false">AC12*(Assumptions!$G$60+Assumptions!$G$63/60*Assumptions!$G$62)</f>
        <v>1870.87689816491</v>
      </c>
      <c r="AD49" s="17" t="n">
        <f aca="false">AD12*(Assumptions!$G$60+Assumptions!$G$63/60*Assumptions!$G$62)</f>
        <v>2029.08979584993</v>
      </c>
      <c r="AE49" s="17" t="n">
        <f aca="false">AE12*(Assumptions!$G$60+Assumptions!$G$63/60*Assumptions!$G$62)</f>
        <v>2172.83223122476</v>
      </c>
      <c r="AF49" s="17" t="n">
        <f aca="false">AF12*(Assumptions!$G$60+Assumptions!$G$63/60*Assumptions!$G$62)</f>
        <v>2326.85390891252</v>
      </c>
      <c r="AG49" s="17" t="n">
        <f aca="false">AG12*(Assumptions!$G$60+Assumptions!$G$63/60*Assumptions!$G$62)</f>
        <v>2495.73870315672</v>
      </c>
      <c r="AH49" s="17" t="n">
        <f aca="false">AH12*(Assumptions!$G$60+Assumptions!$G$63/60*Assumptions!$G$62)</f>
        <v>2645.35964945849</v>
      </c>
      <c r="AI49" s="17" t="n">
        <f aca="false">AI12*(Assumptions!$G$60+Assumptions!$G$63/60*Assumptions!$G$62)</f>
        <v>2802.85771963057</v>
      </c>
      <c r="AJ49" s="17" t="n">
        <f aca="false">AJ12*(Assumptions!$G$60+Assumptions!$G$63/60*Assumptions!$G$62)</f>
        <v>2970.4974757676</v>
      </c>
      <c r="AK49" s="17" t="n">
        <f aca="false">AK12*(Assumptions!$G$60+Assumptions!$G$63/60*Assumptions!$G$62)</f>
        <v>3148.17750100992</v>
      </c>
      <c r="AL49" s="17" t="n">
        <f aca="false">AL12*(Assumptions!$G$60+Assumptions!$G$63/60*Assumptions!$G$62)</f>
        <v>3329.93905933316</v>
      </c>
      <c r="AM49" s="17" t="n">
        <f aca="false">AM12*(Assumptions!$G$60+Assumptions!$G$63/60*Assumptions!$G$62)</f>
        <v>3512.22633540649</v>
      </c>
      <c r="AN49" s="44" t="n">
        <f aca="false">AN12*(Assumptions!$G$60+Assumptions!$G$63/60*Assumptions!$G$62)</f>
        <v>3698.54907205243</v>
      </c>
      <c r="AO49" s="44" t="n">
        <f aca="false">AO12*(Assumptions!$G$60+Assumptions!$G$63/60*Assumptions!$G$62)</f>
        <v>3884.18024799857</v>
      </c>
      <c r="AP49" s="44" t="n">
        <f aca="false">AP12*(Assumptions!$G$60+Assumptions!$G$63/60*Assumptions!$G$62)</f>
        <v>4069.12677885192</v>
      </c>
      <c r="AQ49" s="44" t="n">
        <f aca="false">AQ12*(Assumptions!$G$60+Assumptions!$G$63/60*Assumptions!$G$62)</f>
        <v>4253.3955110634</v>
      </c>
      <c r="AR49" s="44" t="n">
        <f aca="false">AR12*(Assumptions!$G$60+Assumptions!$G$63/60*Assumptions!$G$62)</f>
        <v>4436.99322261943</v>
      </c>
      <c r="AS49" s="44" t="n">
        <f aca="false">AS12*(Assumptions!$G$60+Assumptions!$G$63/60*Assumptions!$G$62)</f>
        <v>4619.92662372657</v>
      </c>
      <c r="AT49" s="44" t="n">
        <f aca="false">AT12*(Assumptions!$G$60+Assumptions!$G$63/60*Assumptions!$G$62)</f>
        <v>4801.03069082264</v>
      </c>
      <c r="AU49" s="44" t="n">
        <f aca="false">AU12*(Assumptions!$G$60+Assumptions!$G$63/60*Assumptions!$G$62)</f>
        <v>4981.49538391441</v>
      </c>
      <c r="AV49" s="44" t="n">
        <f aca="false">AV12*(Assumptions!$G$60+Assumptions!$G$63/60*Assumptions!$G$62)</f>
        <v>5161.32709674193</v>
      </c>
      <c r="AW49" s="44" t="n">
        <f aca="false">AW12*(Assumptions!$G$60+Assumptions!$G$63/60*Assumptions!$G$62)</f>
        <v>5339.36049244118</v>
      </c>
      <c r="AX49" s="44" t="n">
        <f aca="false">AX12*(Assumptions!$G$60+Assumptions!$G$63/60*Assumptions!$G$62)</f>
        <v>5516.7852208501</v>
      </c>
      <c r="AY49" s="44" t="n">
        <f aca="false">AY12*(Assumptions!$G$60+Assumptions!$G$63/60*Assumptions!$G$62)</f>
        <v>5693.6073686416</v>
      </c>
      <c r="AZ49" s="44" t="n">
        <f aca="false">AZ12*(Assumptions!$G$60+Assumptions!$G$63/60*Assumptions!$G$62)</f>
        <v>5868.66129495518</v>
      </c>
      <c r="BA49" s="44" t="n">
        <f aca="false">BA12*(Assumptions!$G$60+Assumptions!$G$63/60*Assumptions!$G$62)</f>
        <v>6041.96468200563</v>
      </c>
      <c r="BB49" s="44" t="n">
        <f aca="false">BB12*(Assumptions!$G$60+Assumptions!$G$63/60*Assumptions!$G$62)</f>
        <v>6214.70670185224</v>
      </c>
      <c r="BC49" s="44" t="n">
        <f aca="false">BC12*(Assumptions!$G$60+Assumptions!$G$63/60*Assumptions!$G$62)</f>
        <v>6385.72130150039</v>
      </c>
      <c r="BD49" s="44" t="n">
        <f aca="false">BD12*(Assumptions!$G$60+Assumptions!$G$63/60*Assumptions!$G$62)</f>
        <v>6555.02575515205</v>
      </c>
      <c r="BE49" s="44" t="n">
        <f aca="false">BE12*(Assumptions!$G$60+Assumptions!$G$63/60*Assumptions!$G$62)</f>
        <v>6723.80883093386</v>
      </c>
      <c r="BF49" s="44" t="n">
        <f aca="false">BF12*(Assumptions!$G$60+Assumptions!$G$63/60*Assumptions!$G$62)</f>
        <v>6890.90407595786</v>
      </c>
      <c r="BG49" s="44" t="n">
        <f aca="false">BG12*(Assumptions!$G$60+Assumptions!$G$63/60*Assumptions!$G$62)</f>
        <v>7056.32836853161</v>
      </c>
      <c r="BH49" s="44" t="n">
        <f aca="false">BH12*(Assumptions!$G$60+Assumptions!$G$63/60*Assumptions!$G$62)</f>
        <v>7220.09841817963</v>
      </c>
      <c r="BI49" s="44" t="n">
        <f aca="false">BI12*(Assumptions!$G$60+Assumptions!$G$63/60*Assumptions!$G$62)</f>
        <v>7382.23076733117</v>
      </c>
      <c r="BJ49" s="44" t="n">
        <f aca="false">BJ12*(Assumptions!$G$60+Assumptions!$G$63/60*Assumptions!$G$62)</f>
        <v>7542.74179299119</v>
      </c>
      <c r="BK49" s="44" t="n">
        <f aca="false">BK12*(Assumptions!$G$60+Assumptions!$G$63/60*Assumptions!$G$62)</f>
        <v>7701.64770839461</v>
      </c>
    </row>
    <row r="50" customFormat="false" ht="15" hidden="false" customHeight="false" outlineLevel="0" collapsed="false">
      <c r="A50" s="28" t="s">
        <v>614</v>
      </c>
      <c r="B50" s="6" t="s">
        <v>615</v>
      </c>
      <c r="C50" s="43"/>
      <c r="D50" s="17" t="n">
        <f aca="false">D32*Assumptions!$G$64/60*Assumptions!$G$62</f>
        <v>0</v>
      </c>
      <c r="E50" s="17" t="n">
        <f aca="false">E32*Assumptions!$G$64/60*Assumptions!$G$62</f>
        <v>0</v>
      </c>
      <c r="F50" s="17" t="n">
        <f aca="false">F32*Assumptions!$G$64/60*Assumptions!$G$62</f>
        <v>0</v>
      </c>
      <c r="G50" s="17" t="n">
        <f aca="false">G32*Assumptions!$G$64/60*Assumptions!$G$62</f>
        <v>0</v>
      </c>
      <c r="H50" s="17" t="n">
        <f aca="false">H32*Assumptions!$G$64/60*Assumptions!$G$62</f>
        <v>0</v>
      </c>
      <c r="I50" s="17" t="n">
        <f aca="false">I32*Assumptions!$G$64/60*Assumptions!$G$62</f>
        <v>0</v>
      </c>
      <c r="J50" s="17" t="n">
        <f aca="false">J32*Assumptions!$G$64/60*Assumptions!$G$62</f>
        <v>0</v>
      </c>
      <c r="K50" s="17" t="n">
        <f aca="false">K32*Assumptions!$G$64/60*Assumptions!$G$62</f>
        <v>0</v>
      </c>
      <c r="L50" s="17" t="n">
        <f aca="false">L32*Assumptions!$G$64/60*Assumptions!$G$62</f>
        <v>0</v>
      </c>
      <c r="M50" s="17" t="n">
        <f aca="false">M32*Assumptions!$G$64/60*Assumptions!$G$62</f>
        <v>0</v>
      </c>
      <c r="N50" s="17" t="n">
        <f aca="false">N32*Assumptions!$G$64/60*Assumptions!$G$62</f>
        <v>0</v>
      </c>
      <c r="O50" s="17" t="n">
        <f aca="false">O32*Assumptions!$G$64/60*Assumptions!$G$62</f>
        <v>0</v>
      </c>
      <c r="P50" s="17" t="n">
        <f aca="false">P32*Assumptions!$G$64/60*Assumptions!$G$62</f>
        <v>0</v>
      </c>
      <c r="Q50" s="17" t="n">
        <f aca="false">Q32*Assumptions!$G$64/60*Assumptions!$G$62</f>
        <v>0</v>
      </c>
      <c r="R50" s="17" t="n">
        <f aca="false">R32*Assumptions!$G$64/60*Assumptions!$G$62</f>
        <v>0</v>
      </c>
      <c r="S50" s="17" t="n">
        <f aca="false">S32*Assumptions!$G$64/60*Assumptions!$G$62</f>
        <v>25.2509065114437</v>
      </c>
      <c r="T50" s="17" t="n">
        <f aca="false">T32*Assumptions!$G$64/60*Assumptions!$G$62</f>
        <v>52.4505876519754</v>
      </c>
      <c r="U50" s="17" t="n">
        <f aca="false">U32*Assumptions!$G$64/60*Assumptions!$G$62</f>
        <v>81.5031590440686</v>
      </c>
      <c r="V50" s="17" t="n">
        <f aca="false">V32*Assumptions!$G$64/60*Assumptions!$G$62</f>
        <v>112.318275822392</v>
      </c>
      <c r="W50" s="17" t="n">
        <f aca="false">W32*Assumptions!$G$64/60*Assumptions!$G$62</f>
        <v>145.858328826278</v>
      </c>
      <c r="X50" s="17" t="n">
        <f aca="false">X32*Assumptions!$G$64/60*Assumptions!$G$62</f>
        <v>181.846924782843</v>
      </c>
      <c r="Y50" s="17" t="n">
        <f aca="false">Y32*Assumptions!$G$64/60*Assumptions!$G$62</f>
        <v>219.857507550581</v>
      </c>
      <c r="Z50" s="17" t="n">
        <f aca="false">Z32*Assumptions!$G$64/60*Assumptions!$G$62</f>
        <v>260.622466287071</v>
      </c>
      <c r="AA50" s="17" t="n">
        <f aca="false">AA32*Assumptions!$G$64/60*Assumptions!$G$62</f>
        <v>303.692660767123</v>
      </c>
      <c r="AB50" s="17" t="n">
        <f aca="false">AB32*Assumptions!$G$64/60*Assumptions!$G$62</f>
        <v>348.606059709226</v>
      </c>
      <c r="AC50" s="17" t="n">
        <f aca="false">AC32*Assumptions!$G$64/60*Assumptions!$G$62</f>
        <v>395.936261882023</v>
      </c>
      <c r="AD50" s="17" t="n">
        <f aca="false">AD32*Assumptions!$G$64/60*Assumptions!$G$62</f>
        <v>446.301183236717</v>
      </c>
      <c r="AE50" s="17" t="n">
        <f aca="false">AE32*Assumptions!$G$64/60*Assumptions!$G$62</f>
        <v>499.019061023795</v>
      </c>
      <c r="AF50" s="17" t="n">
        <f aca="false">AF32*Assumptions!$G$64/60*Assumptions!$G$62</f>
        <v>554.332606387072</v>
      </c>
      <c r="AG50" s="17" t="n">
        <f aca="false">AG32*Assumptions!$G$64/60*Assumptions!$G$62</f>
        <v>612.63471987435</v>
      </c>
      <c r="AH50" s="17" t="n">
        <f aca="false">AH32*Assumptions!$G$64/60*Assumptions!$G$62</f>
        <v>673.075563374371</v>
      </c>
      <c r="AI50" s="17" t="n">
        <f aca="false">AI32*Assumptions!$G$64/60*Assumptions!$G$62</f>
        <v>735.8248489343</v>
      </c>
      <c r="AJ50" s="17" t="n">
        <f aca="false">AJ32*Assumptions!$G$64/60*Assumptions!$G$62</f>
        <v>801.123606231223</v>
      </c>
      <c r="AK50" s="17" t="n">
        <f aca="false">AK32*Assumptions!$G$64/60*Assumptions!$G$62</f>
        <v>869.19553923684</v>
      </c>
      <c r="AL50" s="17" t="n">
        <f aca="false">AL32*Assumptions!$G$64/60*Assumptions!$G$62</f>
        <v>940.038611525922</v>
      </c>
      <c r="AM50" s="17" t="n">
        <f aca="false">AM32*Assumptions!$G$64/60*Assumptions!$G$62</f>
        <v>1013.52395061812</v>
      </c>
      <c r="AN50" s="44" t="n">
        <f aca="false">AN32*Assumptions!$G$64/60*Assumptions!$G$62</f>
        <v>1089.65577263868</v>
      </c>
      <c r="AO50" s="44" t="n">
        <f aca="false">AO32*Assumptions!$G$64/60*Assumptions!$G$62</f>
        <v>1168.26915148428</v>
      </c>
      <c r="AP50" s="44" t="n">
        <f aca="false">AP32*Assumptions!$G$64/60*Assumptions!$G$62</f>
        <v>1249.2089837102</v>
      </c>
      <c r="AQ50" s="44" t="n">
        <f aca="false">AQ32*Assumptions!$G$64/60*Assumptions!$G$62</f>
        <v>1332.32936655994</v>
      </c>
      <c r="AR50" s="44" t="n">
        <f aca="false">AR32*Assumptions!$G$64/60*Assumptions!$G$62</f>
        <v>1417.49301796937</v>
      </c>
      <c r="AS50" s="44" t="n">
        <f aca="false">AS32*Assumptions!$G$64/60*Assumptions!$G$62</f>
        <v>1504.5707355747</v>
      </c>
      <c r="AT50" s="44" t="n">
        <f aca="false">AT32*Assumptions!$G$64/60*Assumptions!$G$62</f>
        <v>1593.39899002709</v>
      </c>
      <c r="AU50" s="44" t="n">
        <f aca="false">AU32*Assumptions!$G$64/60*Assumptions!$G$62</f>
        <v>1683.86607337055</v>
      </c>
      <c r="AV50" s="44" t="n">
        <f aca="false">AV32*Assumptions!$G$64/60*Assumptions!$G$62</f>
        <v>1775.86676401801</v>
      </c>
      <c r="AW50" s="44" t="n">
        <f aca="false">AW32*Assumptions!$G$64/60*Assumptions!$G$62</f>
        <v>1869.26002603904</v>
      </c>
      <c r="AX50" s="44" t="n">
        <f aca="false">AX32*Assumptions!$G$64/60*Assumptions!$G$62</f>
        <v>1963.95525608837</v>
      </c>
      <c r="AY50" s="44" t="n">
        <f aca="false">AY32*Assumptions!$G$64/60*Assumptions!$G$62</f>
        <v>2059.86704004847</v>
      </c>
      <c r="AZ50" s="44" t="n">
        <f aca="false">AZ32*Assumptions!$G$64/60*Assumptions!$G$62</f>
        <v>2156.87293759831</v>
      </c>
      <c r="BA50" s="44" t="n">
        <f aca="false">BA32*Assumptions!$G$64/60*Assumptions!$G$62</f>
        <v>2254.85790655509</v>
      </c>
      <c r="BB50" s="44" t="n">
        <f aca="false">BB32*Assumptions!$G$64/60*Assumptions!$G$62</f>
        <v>2353.75575279921</v>
      </c>
      <c r="BC50" s="44" t="n">
        <f aca="false">BC32*Assumptions!$G$64/60*Assumptions!$G$62</f>
        <v>2453.46208829222</v>
      </c>
      <c r="BD50" s="44" t="n">
        <f aca="false">BD32*Assumptions!$G$64/60*Assumptions!$G$62</f>
        <v>2553.87883125315</v>
      </c>
      <c r="BE50" s="44" t="n">
        <f aca="false">BE32*Assumptions!$G$64/60*Assumptions!$G$62</f>
        <v>2654.9557266987</v>
      </c>
      <c r="BF50" s="44" t="n">
        <f aca="false">BF32*Assumptions!$G$64/60*Assumptions!$G$62</f>
        <v>2756.60337023089</v>
      </c>
      <c r="BG50" s="44" t="n">
        <f aca="false">BG32*Assumptions!$G$64/60*Assumptions!$G$62</f>
        <v>2858.73776948492</v>
      </c>
      <c r="BH50" s="44" t="n">
        <f aca="false">BH32*Assumptions!$G$64/60*Assumptions!$G$62</f>
        <v>2961.28001981951</v>
      </c>
      <c r="BI50" s="44" t="n">
        <f aca="false">BI32*Assumptions!$G$64/60*Assumptions!$G$62</f>
        <v>3064.15600074105</v>
      </c>
      <c r="BJ50" s="44" t="n">
        <f aca="false">BJ32*Assumptions!$G$64/60*Assumptions!$G$62</f>
        <v>3167.29609165145</v>
      </c>
      <c r="BK50" s="44" t="n">
        <f aca="false">BK32*Assumptions!$G$64/60*Assumptions!$G$62</f>
        <v>3270.63490561006</v>
      </c>
    </row>
    <row r="51" customFormat="false" ht="15" hidden="false" customHeight="false" outlineLevel="0" collapsed="false">
      <c r="A51" s="28" t="s">
        <v>616</v>
      </c>
      <c r="B51" s="6" t="s">
        <v>617</v>
      </c>
      <c r="C51" s="43"/>
      <c r="D51" s="17" t="n">
        <f aca="false">D24*Assumptions!$G$61</f>
        <v>0</v>
      </c>
      <c r="E51" s="17" t="n">
        <f aca="false">E24*Assumptions!$G$61</f>
        <v>0</v>
      </c>
      <c r="F51" s="17" t="n">
        <f aca="false">F24*Assumptions!$G$61</f>
        <v>0</v>
      </c>
      <c r="G51" s="17" t="n">
        <f aca="false">G24*Assumptions!$G$61</f>
        <v>0</v>
      </c>
      <c r="H51" s="17" t="n">
        <f aca="false">H24*Assumptions!$G$61</f>
        <v>1.6625</v>
      </c>
      <c r="I51" s="17" t="n">
        <f aca="false">I24*Assumptions!$G$61</f>
        <v>4.1895</v>
      </c>
      <c r="J51" s="17" t="n">
        <f aca="false">J24*Assumptions!$G$61</f>
        <v>6.79846125</v>
      </c>
      <c r="K51" s="17" t="n">
        <f aca="false">K24*Assumptions!$G$61</f>
        <v>10.7810332</v>
      </c>
      <c r="L51" s="17" t="n">
        <f aca="false">L24*Assumptions!$G$61</f>
        <v>16.830584633625</v>
      </c>
      <c r="M51" s="17" t="n">
        <f aca="false">M24*Assumptions!$G$61</f>
        <v>23.457563934945</v>
      </c>
      <c r="N51" s="17" t="n">
        <f aca="false">N24*Assumptions!$G$61</f>
        <v>31.0314236415721</v>
      </c>
      <c r="O51" s="17" t="n">
        <f aca="false">O24*Assumptions!$G$61</f>
        <v>40.0525923800412</v>
      </c>
      <c r="P51" s="17" t="n">
        <f aca="false">P24*Assumptions!$G$61</f>
        <v>50.6385303899158</v>
      </c>
      <c r="Q51" s="17" t="n">
        <f aca="false">Q24*Assumptions!$G$61</f>
        <v>62.5268466429055</v>
      </c>
      <c r="R51" s="17" t="n">
        <f aca="false">R24*Assumptions!$G$61</f>
        <v>75.3446341884542</v>
      </c>
      <c r="S51" s="17" t="n">
        <f aca="false">S24*Assumptions!$G$61</f>
        <v>89.0481742543551</v>
      </c>
      <c r="T51" s="17" t="n">
        <f aca="false">T24*Assumptions!$G$61</f>
        <v>103.340233676872</v>
      </c>
      <c r="U51" s="17" t="n">
        <f aca="false">U24*Assumptions!$G$61</f>
        <v>118.027483097393</v>
      </c>
      <c r="V51" s="17" t="n">
        <f aca="false">V24*Assumptions!$G$61</f>
        <v>132.984131908657</v>
      </c>
      <c r="W51" s="17" t="n">
        <f aca="false">W24*Assumptions!$G$61</f>
        <v>149.790790957025</v>
      </c>
      <c r="X51" s="17" t="n">
        <f aca="false">X24*Assumptions!$G$61</f>
        <v>167.596108286301</v>
      </c>
      <c r="Y51" s="17" t="n">
        <f aca="false">Y24*Assumptions!$G$61</f>
        <v>185.582743608687</v>
      </c>
      <c r="Z51" s="17" t="n">
        <f aca="false">Z24*Assumptions!$G$61</f>
        <v>205.019603836013</v>
      </c>
      <c r="AA51" s="17" t="n">
        <f aca="false">AA24*Assumptions!$G$61</f>
        <v>224.92265477887</v>
      </c>
      <c r="AB51" s="17" t="n">
        <f aca="false">AB24*Assumptions!$G$61</f>
        <v>244.590538768873</v>
      </c>
      <c r="AC51" s="17" t="n">
        <f aca="false">AC24*Assumptions!$G$61</f>
        <v>265.168755230749</v>
      </c>
      <c r="AD51" s="17" t="n">
        <f aca="false">AD24*Assumptions!$G$61</f>
        <v>287.524246880659</v>
      </c>
      <c r="AE51" s="17" t="n">
        <f aca="false">AE24*Assumptions!$G$61</f>
        <v>310.213670893293</v>
      </c>
      <c r="AF51" s="17" t="n">
        <f aca="false">AF24*Assumptions!$G$61</f>
        <v>333.703567397297</v>
      </c>
      <c r="AG51" s="17" t="n">
        <f aca="false">AG24*Assumptions!$G$61</f>
        <v>358.557353311733</v>
      </c>
      <c r="AH51" s="17" t="n">
        <f aca="false">AH24*Assumptions!$G$61</f>
        <v>383.204313811081</v>
      </c>
      <c r="AI51" s="17" t="n">
        <f aca="false">AI24*Assumptions!$G$61</f>
        <v>408.163917794073</v>
      </c>
      <c r="AJ51" s="17" t="n">
        <f aca="false">AJ24*Assumptions!$G$61</f>
        <v>433.902349244849</v>
      </c>
      <c r="AK51" s="17" t="n">
        <f aca="false">AK24*Assumptions!$G$61</f>
        <v>460.716871661067</v>
      </c>
      <c r="AL51" s="17" t="n">
        <f aca="false">AL24*Assumptions!$G$61</f>
        <v>488.462507785089</v>
      </c>
      <c r="AM51" s="17" t="n">
        <f aca="false">AM24*Assumptions!$G$61</f>
        <v>516.843205853649</v>
      </c>
      <c r="AN51" s="44" t="n">
        <f aca="false">AN24*Assumptions!$G$61</f>
        <v>545.86573384028</v>
      </c>
      <c r="AO51" s="44" t="n">
        <f aca="false">AO24*Assumptions!$G$61</f>
        <v>575.266200531236</v>
      </c>
      <c r="AP51" s="44" t="n">
        <f aca="false">AP24*Assumptions!$G$61</f>
        <v>604.873469145007</v>
      </c>
      <c r="AQ51" s="44" t="n">
        <f aca="false">AQ24*Assumptions!$G$61</f>
        <v>634.576689355961</v>
      </c>
      <c r="AR51" s="44" t="n">
        <f aca="false">AR24*Assumptions!$G$61</f>
        <v>664.304193148964</v>
      </c>
      <c r="AS51" s="44" t="n">
        <f aca="false">AS24*Assumptions!$G$61</f>
        <v>694.00977716374</v>
      </c>
      <c r="AT51" s="44" t="n">
        <f aca="false">AT24*Assumptions!$G$61</f>
        <v>723.597286257175</v>
      </c>
      <c r="AU51" s="44" t="n">
        <f aca="false">AU24*Assumptions!$G$61</f>
        <v>753.071757856901</v>
      </c>
      <c r="AV51" s="44" t="n">
        <f aca="false">AV24*Assumptions!$G$61</f>
        <v>782.436829178825</v>
      </c>
      <c r="AW51" s="44" t="n">
        <f aca="false">AW24*Assumptions!$G$61</f>
        <v>811.628723672357</v>
      </c>
      <c r="AX51" s="44" t="n">
        <f aca="false">AX24*Assumptions!$G$61</f>
        <v>840.673507246092</v>
      </c>
      <c r="AY51" s="44" t="n">
        <f aca="false">AY24*Assumptions!$G$61</f>
        <v>869.588468200429</v>
      </c>
      <c r="AZ51" s="44" t="n">
        <f aca="false">AZ24*Assumptions!$G$61</f>
        <v>898.318685935843</v>
      </c>
      <c r="BA51" s="44" t="n">
        <f aca="false">BA24*Assumptions!$G$61</f>
        <v>926.829465647807</v>
      </c>
      <c r="BB51" s="44" t="n">
        <f aca="false">BB24*Assumptions!$G$61</f>
        <v>955.165749262688</v>
      </c>
      <c r="BC51" s="44" t="n">
        <f aca="false">BC24*Assumptions!$G$61</f>
        <v>983.290567646445</v>
      </c>
      <c r="BD51" s="44" t="n">
        <f aca="false">BD24*Assumptions!$G$61</f>
        <v>1011.18087128963</v>
      </c>
      <c r="BE51" s="44" t="n">
        <f aca="false">BE24*Assumptions!$G$61</f>
        <v>1038.88914863451</v>
      </c>
      <c r="BF51" s="44" t="n">
        <f aca="false">BF24*Assumptions!$G$61</f>
        <v>1066.38331308571</v>
      </c>
      <c r="BG51" s="44" t="n">
        <f aca="false">BG24*Assumptions!$G$61</f>
        <v>1093.64346631426</v>
      </c>
      <c r="BH51" s="44" t="n">
        <f aca="false">BH24*Assumptions!$G$61</f>
        <v>1120.65762278474</v>
      </c>
      <c r="BI51" s="44" t="n">
        <f aca="false">BI24*Assumptions!$G$61</f>
        <v>1147.41893079374</v>
      </c>
      <c r="BJ51" s="44" t="n">
        <f aca="false">BJ24*Assumptions!$G$61</f>
        <v>1173.92386623976</v>
      </c>
      <c r="BK51" s="44" t="n">
        <f aca="false">BK24*Assumptions!$G$61</f>
        <v>1200.17105866743</v>
      </c>
    </row>
    <row r="52" customFormat="false" ht="15" hidden="false" customHeight="false" outlineLevel="0" collapsed="false">
      <c r="A52" s="28" t="s">
        <v>618</v>
      </c>
      <c r="B52" s="6" t="s">
        <v>619</v>
      </c>
      <c r="C52" s="43"/>
      <c r="D52" s="17" t="n">
        <f aca="false">(D33*Assumptions!$G$56+D34*Assumptions!$G$57+D25*Assumptions!$G$58+D24*Assumptions!$G$59)*Assumptions!$G$55</f>
        <v>0</v>
      </c>
      <c r="E52" s="17" t="n">
        <f aca="false">(E33*Assumptions!$G$56+E34*Assumptions!$G$57+E25*Assumptions!$G$58+E24*Assumptions!$G$59)*Assumptions!$G$55</f>
        <v>0</v>
      </c>
      <c r="F52" s="17" t="n">
        <f aca="false">(F33*Assumptions!$G$56+F34*Assumptions!$G$57+F25*Assumptions!$G$58+F24*Assumptions!$G$59)*Assumptions!$G$55</f>
        <v>0</v>
      </c>
      <c r="G52" s="17" t="n">
        <f aca="false">(G33*Assumptions!$G$56+G34*Assumptions!$G$57+G25*Assumptions!$G$58+G24*Assumptions!$G$59)*Assumptions!$G$55</f>
        <v>0</v>
      </c>
      <c r="H52" s="17" t="n">
        <f aca="false">(H33*Assumptions!$G$56+H34*Assumptions!$G$57+H25*Assumptions!$G$58+H24*Assumptions!$G$59)*Assumptions!$G$55</f>
        <v>6.5835</v>
      </c>
      <c r="I52" s="17" t="n">
        <f aca="false">(I33*Assumptions!$G$56+I34*Assumptions!$G$57+I25*Assumptions!$G$58+I24*Assumptions!$G$59)*Assumptions!$G$55</f>
        <v>11.32362</v>
      </c>
      <c r="J52" s="17" t="n">
        <f aca="false">(J33*Assumptions!$G$56+J34*Assumptions!$G$57+J25*Assumptions!$G$58+J24*Assumptions!$G$59)*Assumptions!$G$55</f>
        <v>13.64957055</v>
      </c>
      <c r="K52" s="17" t="n">
        <f aca="false">(K33*Assumptions!$G$56+K34*Assumptions!$G$57+K25*Assumptions!$G$58+K24*Assumptions!$G$59)*Assumptions!$G$55</f>
        <v>21.155366232</v>
      </c>
      <c r="L52" s="17" t="n">
        <f aca="false">(L33*Assumptions!$G$56+L34*Assumptions!$G$57+L25*Assumptions!$G$58+L24*Assumptions!$G$59)*Assumptions!$G$55</f>
        <v>32.494801971555</v>
      </c>
      <c r="M52" s="17" t="n">
        <f aca="false">(M33*Assumptions!$G$56+M34*Assumptions!$G$57+M25*Assumptions!$G$58+M24*Assumptions!$G$59)*Assumptions!$G$55</f>
        <v>39.5726610630582</v>
      </c>
      <c r="N52" s="17" t="n">
        <f aca="false">(N33*Assumptions!$G$56+N34*Assumptions!$G$57+N25*Assumptions!$G$58+N24*Assumptions!$G$59)*Assumptions!$G$55</f>
        <v>48.5708750747198</v>
      </c>
      <c r="O52" s="17" t="n">
        <f aca="false">(O33*Assumptions!$G$56+O34*Assumptions!$G$57+O25*Assumptions!$G$58+O24*Assumptions!$G$59)*Assumptions!$G$55</f>
        <v>60.3007157284625</v>
      </c>
      <c r="P52" s="17" t="n">
        <f aca="false">(P33*Assumptions!$G$56+P34*Assumptions!$G$57+P25*Assumptions!$G$58+P24*Assumptions!$G$59)*Assumptions!$G$55</f>
        <v>73.6419676840963</v>
      </c>
      <c r="Q52" s="17" t="n">
        <f aca="false">(Q33*Assumptions!$G$56+Q34*Assumptions!$G$57+Q25*Assumptions!$G$58+Q24*Assumptions!$G$59)*Assumptions!$G$55</f>
        <v>87.1834484306524</v>
      </c>
      <c r="R52" s="17" t="n">
        <f aca="false">(R33*Assumptions!$G$56+R34*Assumptions!$G$57+R25*Assumptions!$G$58+R24*Assumptions!$G$59)*Assumptions!$G$55</f>
        <v>100.279701221554</v>
      </c>
      <c r="S52" s="17" t="n">
        <f aca="false">(S33*Assumptions!$G$56+S34*Assumptions!$G$57+S25*Assumptions!$G$58+S24*Assumptions!$G$59)*Assumptions!$G$55</f>
        <v>162.675367522325</v>
      </c>
      <c r="T52" s="17" t="n">
        <f aca="false">(T33*Assumptions!$G$56+T34*Assumptions!$G$57+T25*Assumptions!$G$58+T24*Assumptions!$G$59)*Assumptions!$G$55</f>
        <v>228.017154286472</v>
      </c>
      <c r="U52" s="17" t="n">
        <f aca="false">(U33*Assumptions!$G$56+U34*Assumptions!$G$57+U25*Assumptions!$G$58+U24*Assumptions!$G$59)*Assumptions!$G$55</f>
        <v>296.290671153955</v>
      </c>
      <c r="V52" s="17" t="n">
        <f aca="false">(V33*Assumptions!$G$56+V34*Assumptions!$G$57+V25*Assumptions!$G$58+V24*Assumptions!$G$59)*Assumptions!$G$55</f>
        <v>367.432114909537</v>
      </c>
      <c r="W52" s="17" t="n">
        <f aca="false">(W33*Assumptions!$G$56+W34*Assumptions!$G$57+W25*Assumptions!$G$58+W24*Assumptions!$G$59)*Assumptions!$G$55</f>
        <v>449.954375004219</v>
      </c>
      <c r="X52" s="17" t="n">
        <f aca="false">(X33*Assumptions!$G$56+X34*Assumptions!$G$57+X25*Assumptions!$G$58+X24*Assumptions!$G$59)*Assumptions!$G$55</f>
        <v>534.930117437294</v>
      </c>
      <c r="Y52" s="17" t="n">
        <f aca="false">(Y33*Assumptions!$G$56+Y34*Assumptions!$G$57+Y25*Assumptions!$G$58+Y24*Assumptions!$G$59)*Assumptions!$G$55</f>
        <v>620.985962600805</v>
      </c>
      <c r="Z52" s="17" t="n">
        <f aca="false">(Z33*Assumptions!$G$56+Z34*Assumptions!$G$57+Z25*Assumptions!$G$58+Z24*Assumptions!$G$59)*Assumptions!$G$55</f>
        <v>717.145556281227</v>
      </c>
      <c r="AA52" s="17" t="n">
        <f aca="false">(AA33*Assumptions!$G$56+AA34*Assumptions!$G$57+AA25*Assumptions!$G$58+AA24*Assumptions!$G$59)*Assumptions!$G$55</f>
        <v>814.611606456506</v>
      </c>
      <c r="AB52" s="17" t="n">
        <f aca="false">(AB33*Assumptions!$G$56+AB34*Assumptions!$G$57+AB25*Assumptions!$G$58+AB24*Assumptions!$G$59)*Assumptions!$G$55</f>
        <v>912.825531576534</v>
      </c>
      <c r="AC52" s="17" t="n">
        <f aca="false">(AC33*Assumptions!$G$56+AC34*Assumptions!$G$57+AC25*Assumptions!$G$58+AC24*Assumptions!$G$59)*Assumptions!$G$55</f>
        <v>1019.65226551308</v>
      </c>
      <c r="AD52" s="17" t="n">
        <f aca="false">(AD33*Assumptions!$G$56+AD34*Assumptions!$G$57+AD25*Assumptions!$G$58+AD24*Assumptions!$G$59)*Assumptions!$G$55</f>
        <v>1136.08063985822</v>
      </c>
      <c r="AE52" s="17" t="n">
        <f aca="false">(AE33*Assumptions!$G$56+AE34*Assumptions!$G$57+AE25*Assumptions!$G$58+AE24*Assumptions!$G$59)*Assumptions!$G$55</f>
        <v>1252.31689946097</v>
      </c>
      <c r="AF52" s="17" t="n">
        <f aca="false">(AF33*Assumptions!$G$56+AF34*Assumptions!$G$57+AF25*Assumptions!$G$58+AF24*Assumptions!$G$59)*Assumptions!$G$55</f>
        <v>1375.24385317928</v>
      </c>
      <c r="AG52" s="17" t="n">
        <f aca="false">(AG33*Assumptions!$G$56+AG34*Assumptions!$G$57+AG25*Assumptions!$G$58+AG24*Assumptions!$G$59)*Assumptions!$G$55</f>
        <v>1506.36438389187</v>
      </c>
      <c r="AH52" s="17" t="n">
        <f aca="false">(AH33*Assumptions!$G$56+AH34*Assumptions!$G$57+AH25*Assumptions!$G$58+AH24*Assumptions!$G$59)*Assumptions!$G$55</f>
        <v>1636.01994802815</v>
      </c>
      <c r="AI52" s="17" t="n">
        <f aca="false">(AI33*Assumptions!$G$56+AI34*Assumptions!$G$57+AI25*Assumptions!$G$58+AI24*Assumptions!$G$59)*Assumptions!$G$55</f>
        <v>1771.57011859576</v>
      </c>
      <c r="AJ52" s="17" t="n">
        <f aca="false">(AJ33*Assumptions!$G$56+AJ34*Assumptions!$G$57+AJ25*Assumptions!$G$58+AJ24*Assumptions!$G$59)*Assumptions!$G$55</f>
        <v>1913.67718331205</v>
      </c>
      <c r="AK52" s="17" t="n">
        <f aca="false">(AK33*Assumptions!$G$56+AK34*Assumptions!$G$57+AK25*Assumptions!$G$58+AK24*Assumptions!$G$59)*Assumptions!$G$55</f>
        <v>2062.46682463021</v>
      </c>
      <c r="AL52" s="17" t="n">
        <f aca="false">(AL33*Assumptions!$G$56+AL34*Assumptions!$G$57+AL25*Assumptions!$G$58+AL24*Assumptions!$G$59)*Assumptions!$G$55</f>
        <v>2216.41026703818</v>
      </c>
      <c r="AM52" s="17" t="n">
        <f aca="false">(AM33*Assumptions!$G$56+AM34*Assumptions!$G$57+AM25*Assumptions!$G$58+AM24*Assumptions!$G$59)*Assumptions!$G$55</f>
        <v>2374.53726551529</v>
      </c>
      <c r="AN52" s="44" t="n">
        <f aca="false">(AN33*Assumptions!$G$56+AN34*Assumptions!$G$57+AN25*Assumptions!$G$58+AN24*Assumptions!$G$59)*Assumptions!$G$55</f>
        <v>2537.81445983435</v>
      </c>
      <c r="AO52" s="44" t="n">
        <f aca="false">(AO33*Assumptions!$G$56+AO34*Assumptions!$G$57+AO25*Assumptions!$G$58+AO24*Assumptions!$G$59)*Assumptions!$G$55</f>
        <v>2704.85120211439</v>
      </c>
      <c r="AP52" s="44" t="n">
        <f aca="false">(AP33*Assumptions!$G$56+AP34*Assumptions!$G$57+AP25*Assumptions!$G$58+AP24*Assumptions!$G$59)*Assumptions!$G$55</f>
        <v>2875.50312940772</v>
      </c>
      <c r="AQ52" s="44" t="n">
        <f aca="false">(AQ33*Assumptions!$G$56+AQ34*Assumptions!$G$57+AQ25*Assumptions!$G$58+AQ24*Assumptions!$G$59)*Assumptions!$G$55</f>
        <v>3049.59080599607</v>
      </c>
      <c r="AR52" s="44" t="n">
        <f aca="false">(AR33*Assumptions!$G$56+AR34*Assumptions!$G$57+AR25*Assumptions!$G$58+AR24*Assumptions!$G$59)*Assumptions!$G$55</f>
        <v>3226.91762658164</v>
      </c>
      <c r="AS52" s="44" t="n">
        <f aca="false">(AS33*Assumptions!$G$56+AS34*Assumptions!$G$57+AS25*Assumptions!$G$58+AS24*Assumptions!$G$59)*Assumptions!$G$55</f>
        <v>3407.28106867209</v>
      </c>
      <c r="AT52" s="44" t="n">
        <f aca="false">(AT33*Assumptions!$G$56+AT34*Assumptions!$G$57+AT25*Assumptions!$G$58+AT24*Assumptions!$G$59)*Assumptions!$G$55</f>
        <v>3590.1354350589</v>
      </c>
      <c r="AU52" s="44" t="n">
        <f aca="false">(AU33*Assumptions!$G$56+AU34*Assumptions!$G$57+AU25*Assumptions!$G$58+AU24*Assumptions!$G$59)*Assumptions!$G$55</f>
        <v>3775.59594478547</v>
      </c>
      <c r="AV52" s="44" t="n">
        <f aca="false">(AV33*Assumptions!$G$56+AV34*Assumptions!$G$57+AV25*Assumptions!$G$58+AV24*Assumptions!$G$59)*Assumptions!$G$55</f>
        <v>3963.46532508179</v>
      </c>
      <c r="AW52" s="44" t="n">
        <f aca="false">(AW33*Assumptions!$G$56+AW34*Assumptions!$G$57+AW25*Assumptions!$G$58+AW24*Assumptions!$G$59)*Assumptions!$G$55</f>
        <v>4153.21561261233</v>
      </c>
      <c r="AX52" s="44" t="n">
        <f aca="false">(AX33*Assumptions!$G$56+AX34*Assumptions!$G$57+AX25*Assumptions!$G$58+AX24*Assumptions!$G$59)*Assumptions!$G$55</f>
        <v>4344.98690647076</v>
      </c>
      <c r="AY52" s="44" t="n">
        <f aca="false">(AY33*Assumptions!$G$56+AY34*Assumptions!$G$57+AY25*Assumptions!$G$58+AY24*Assumptions!$G$59)*Assumptions!$G$55</f>
        <v>4538.61055886235</v>
      </c>
      <c r="AZ52" s="44" t="n">
        <f aca="false">(AZ33*Assumptions!$G$56+AZ34*Assumptions!$G$57+AZ25*Assumptions!$G$58+AZ24*Assumptions!$G$59)*Assumptions!$G$55</f>
        <v>4733.58882897436</v>
      </c>
      <c r="BA52" s="44" t="n">
        <f aca="false">(BA33*Assumptions!$G$56+BA34*Assumptions!$G$57+BA25*Assumptions!$G$58+BA24*Assumptions!$G$59)*Assumptions!$G$55</f>
        <v>4929.74808467259</v>
      </c>
      <c r="BB52" s="44" t="n">
        <f aca="false">(BB33*Assumptions!$G$56+BB34*Assumptions!$G$57+BB25*Assumptions!$G$58+BB24*Assumptions!$G$59)*Assumptions!$G$55</f>
        <v>5127.26107956727</v>
      </c>
      <c r="BC52" s="44" t="n">
        <f aca="false">(BC33*Assumptions!$G$56+BC34*Assumptions!$G$57+BC25*Assumptions!$G$58+BC24*Assumptions!$G$59)*Assumptions!$G$55</f>
        <v>5325.65030469168</v>
      </c>
      <c r="BD52" s="44" t="n">
        <f aca="false">(BD33*Assumptions!$G$56+BD34*Assumptions!$G$57+BD25*Assumptions!$G$58+BD24*Assumptions!$G$59)*Assumptions!$G$55</f>
        <v>5524.76565793718</v>
      </c>
      <c r="BE52" s="44" t="n">
        <f aca="false">(BE33*Assumptions!$G$56+BE34*Assumptions!$G$57+BE25*Assumptions!$G$58+BE24*Assumptions!$G$59)*Assumptions!$G$55</f>
        <v>5724.80487686693</v>
      </c>
      <c r="BF52" s="44" t="n">
        <f aca="false">(BF33*Assumptions!$G$56+BF34*Assumptions!$G$57+BF25*Assumptions!$G$58+BF24*Assumptions!$G$59)*Assumptions!$G$55</f>
        <v>5925.31573960687</v>
      </c>
      <c r="BG52" s="44" t="n">
        <f aca="false">(BG33*Assumptions!$G$56+BG34*Assumptions!$G$57+BG25*Assumptions!$G$58+BG24*Assumptions!$G$59)*Assumptions!$G$55</f>
        <v>6126.17303078114</v>
      </c>
      <c r="BH52" s="44" t="n">
        <f aca="false">(BH33*Assumptions!$G$56+BH34*Assumptions!$G$57+BH25*Assumptions!$G$58+BH24*Assumptions!$G$59)*Assumptions!$G$55</f>
        <v>6327.25434403776</v>
      </c>
      <c r="BI52" s="44" t="n">
        <f aca="false">(BI33*Assumptions!$G$56+BI34*Assumptions!$G$57+BI25*Assumptions!$G$58+BI24*Assumptions!$G$59)*Assumptions!$G$55</f>
        <v>6528.44195177707</v>
      </c>
      <c r="BJ52" s="44" t="n">
        <f aca="false">(BJ33*Assumptions!$G$56+BJ34*Assumptions!$G$57+BJ25*Assumptions!$G$58+BJ24*Assumptions!$G$59)*Assumptions!$G$55</f>
        <v>6729.62383249581</v>
      </c>
      <c r="BK52" s="44" t="n">
        <f aca="false">(BK33*Assumptions!$G$56+BK34*Assumptions!$G$57+BK25*Assumptions!$G$58+BK24*Assumptions!$G$59)*Assumptions!$G$55</f>
        <v>6930.69416351478</v>
      </c>
    </row>
    <row r="53" customFormat="false" ht="15" hidden="false" customHeight="false" outlineLevel="0" collapsed="false">
      <c r="A53" s="28" t="s">
        <v>620</v>
      </c>
      <c r="B53" s="6" t="s">
        <v>621</v>
      </c>
      <c r="C53" s="43"/>
      <c r="D53" s="17" t="n">
        <f aca="false">D39*Assumptions!$G$51+D32*Assumptions!$G$45*Assumptions!$G$52</f>
        <v>0</v>
      </c>
      <c r="E53" s="17" t="n">
        <f aca="false">E39*Assumptions!$G$51+E32*Assumptions!$G$45*Assumptions!$G$52</f>
        <v>0</v>
      </c>
      <c r="F53" s="17" t="n">
        <f aca="false">F39*Assumptions!$G$51+F32*Assumptions!$G$45*Assumptions!$G$52</f>
        <v>0</v>
      </c>
      <c r="G53" s="17" t="n">
        <f aca="false">G39*Assumptions!$G$51+G32*Assumptions!$G$45*Assumptions!$G$52</f>
        <v>0</v>
      </c>
      <c r="H53" s="17" t="n">
        <f aca="false">H39*Assumptions!$G$51+H32*Assumptions!$G$45*Assumptions!$G$52</f>
        <v>0</v>
      </c>
      <c r="I53" s="17" t="n">
        <f aca="false">I39*Assumptions!$G$51+I32*Assumptions!$G$45*Assumptions!$G$52</f>
        <v>0</v>
      </c>
      <c r="J53" s="17" t="n">
        <f aca="false">J39*Assumptions!$G$51+J32*Assumptions!$G$45*Assumptions!$G$52</f>
        <v>0</v>
      </c>
      <c r="K53" s="17" t="n">
        <f aca="false">K39*Assumptions!$G$51+K32*Assumptions!$G$45*Assumptions!$G$52</f>
        <v>0</v>
      </c>
      <c r="L53" s="17" t="n">
        <f aca="false">L39*Assumptions!$G$51+L32*Assumptions!$G$45*Assumptions!$G$52</f>
        <v>0</v>
      </c>
      <c r="M53" s="17" t="n">
        <f aca="false">M39*Assumptions!$G$51+M32*Assumptions!$G$45*Assumptions!$G$52</f>
        <v>0</v>
      </c>
      <c r="N53" s="17" t="n">
        <f aca="false">N39*Assumptions!$G$51+N32*Assumptions!$G$45*Assumptions!$G$52</f>
        <v>0</v>
      </c>
      <c r="O53" s="17" t="n">
        <f aca="false">O39*Assumptions!$G$51+O32*Assumptions!$G$45*Assumptions!$G$52</f>
        <v>0</v>
      </c>
      <c r="P53" s="17" t="n">
        <f aca="false">P39*Assumptions!$G$51+P32*Assumptions!$G$45*Assumptions!$G$52</f>
        <v>0</v>
      </c>
      <c r="Q53" s="17" t="n">
        <f aca="false">Q39*Assumptions!$G$51+Q32*Assumptions!$G$45*Assumptions!$G$52</f>
        <v>0</v>
      </c>
      <c r="R53" s="17" t="n">
        <f aca="false">R39*Assumptions!$G$51+R32*Assumptions!$G$45*Assumptions!$G$52</f>
        <v>0</v>
      </c>
      <c r="S53" s="17" t="n">
        <f aca="false">S39*Assumptions!$G$51+S32*Assumptions!$G$45*Assumptions!$G$52</f>
        <v>35.9714151420764</v>
      </c>
      <c r="T53" s="17" t="n">
        <f aca="false">T39*Assumptions!$G$51+T32*Assumptions!$G$45*Assumptions!$G$52</f>
        <v>74.5501137941764</v>
      </c>
      <c r="U53" s="17" t="n">
        <f aca="false">U39*Assumptions!$G$51+U32*Assumptions!$G$45*Assumptions!$G$52</f>
        <v>115.596830364318</v>
      </c>
      <c r="V53" s="17" t="n">
        <f aca="false">V39*Assumptions!$G$51+V32*Assumptions!$G$45*Assumptions!$G$52</f>
        <v>158.980990659867</v>
      </c>
      <c r="W53" s="17" t="n">
        <f aca="false">W39*Assumptions!$G$51+W32*Assumptions!$G$45*Assumptions!$G$52</f>
        <v>206.072418991376</v>
      </c>
      <c r="X53" s="17" t="n">
        <f aca="false">X39*Assumptions!$G$51+X32*Assumptions!$G$45*Assumptions!$G$52</f>
        <v>256.469848477701</v>
      </c>
      <c r="Y53" s="17" t="n">
        <f aca="false">Y39*Assumptions!$G$51+Y32*Assumptions!$G$45*Assumptions!$G$52</f>
        <v>309.560401716263</v>
      </c>
      <c r="Z53" s="17" t="n">
        <f aca="false">Z39*Assumptions!$G$51+Z32*Assumptions!$G$45*Assumptions!$G$52</f>
        <v>366.38535576529</v>
      </c>
      <c r="AA53" s="17" t="n">
        <f aca="false">AA39*Assumptions!$G$51+AA32*Assumptions!$G$45*Assumptions!$G$52</f>
        <v>426.298052412442</v>
      </c>
      <c r="AB53" s="17" t="n">
        <f aca="false">AB39*Assumptions!$G$51+AB32*Assumptions!$G$45*Assumptions!$G$52</f>
        <v>488.636887277489</v>
      </c>
      <c r="AC53" s="17" t="n">
        <f aca="false">AC39*Assumptions!$G$51+AC32*Assumptions!$G$45*Assumptions!$G$52</f>
        <v>554.218866841458</v>
      </c>
      <c r="AD53" s="17" t="n">
        <f aca="false">AD39*Assumptions!$G$51+AD32*Assumptions!$G$45*Assumptions!$G$52</f>
        <v>623.92029675854</v>
      </c>
      <c r="AE53" s="17" t="n">
        <f aca="false">AE39*Assumptions!$G$51+AE32*Assumptions!$G$45*Assumptions!$G$52</f>
        <v>696.762118908037</v>
      </c>
      <c r="AF53" s="17" t="n">
        <f aca="false">AF39*Assumptions!$G$51+AF32*Assumptions!$G$45*Assumptions!$G$52</f>
        <v>773.087279138421</v>
      </c>
      <c r="AG53" s="17" t="n">
        <f aca="false">AG39*Assumptions!$G$51+AG32*Assumptions!$G$45*Assumptions!$G$52</f>
        <v>853.451221733357</v>
      </c>
      <c r="AH53" s="17" t="n">
        <f aca="false">AH39*Assumptions!$G$51+AH32*Assumptions!$G$45*Assumptions!$G$52</f>
        <v>936.63666569031</v>
      </c>
      <c r="AI53" s="17" t="n">
        <f aca="false">AI39*Assumptions!$G$51+AI32*Assumptions!$G$45*Assumptions!$G$52</f>
        <v>1022.8848254926</v>
      </c>
      <c r="AJ53" s="17" t="n">
        <f aca="false">AJ39*Assumptions!$G$51+AJ32*Assumptions!$G$45*Assumptions!$G$52</f>
        <v>1112.53740609628</v>
      </c>
      <c r="AK53" s="17" t="n">
        <f aca="false">AK39*Assumptions!$G$51+AK32*Assumptions!$G$45*Assumptions!$G$52</f>
        <v>1205.90991628636</v>
      </c>
      <c r="AL53" s="17" t="n">
        <f aca="false">AL39*Assumptions!$G$51+AL32*Assumptions!$G$45*Assumptions!$G$52</f>
        <v>1302.99497846612</v>
      </c>
      <c r="AM53" s="17" t="n">
        <f aca="false">AM39*Assumptions!$G$51+AM32*Assumptions!$G$45*Assumptions!$G$52</f>
        <v>1403.60481352791</v>
      </c>
      <c r="AN53" s="44" t="n">
        <f aca="false">AN39*Assumptions!$G$51+AN32*Assumptions!$G$45*Assumptions!$G$52</f>
        <v>1507.74234974562</v>
      </c>
      <c r="AO53" s="44" t="n">
        <f aca="false">AO39*Assumptions!$G$51+AO32*Assumptions!$G$45*Assumptions!$G$52</f>
        <v>1615.16971863031</v>
      </c>
      <c r="AP53" s="44" t="n">
        <f aca="false">AP39*Assumptions!$G$51+AP32*Assumptions!$G$45*Assumptions!$G$52</f>
        <v>1725.66432260529</v>
      </c>
      <c r="AQ53" s="44" t="n">
        <f aca="false">AQ39*Assumptions!$G$51+AQ32*Assumptions!$G$45*Assumptions!$G$52</f>
        <v>1839.01780493794</v>
      </c>
      <c r="AR53" s="44" t="n">
        <f aca="false">AR39*Assumptions!$G$51+AR32*Assumptions!$G$45*Assumptions!$G$52</f>
        <v>1955.03509249922</v>
      </c>
      <c r="AS53" s="44" t="n">
        <f aca="false">AS39*Assumptions!$G$51+AS32*Assumptions!$G$45*Assumptions!$G$52</f>
        <v>2073.53350603351</v>
      </c>
      <c r="AT53" s="44" t="n">
        <f aca="false">AT39*Assumptions!$G$51+AT32*Assumptions!$G$45*Assumptions!$G$52</f>
        <v>2194.28224121107</v>
      </c>
      <c r="AU53" s="44" t="n">
        <f aca="false">AU39*Assumptions!$G$51+AU32*Assumptions!$G$45*Assumptions!$G$52</f>
        <v>2317.12527424118</v>
      </c>
      <c r="AV53" s="44" t="n">
        <f aca="false">AV39*Assumptions!$G$51+AV32*Assumptions!$G$45*Assumptions!$G$52</f>
        <v>2441.91637431455</v>
      </c>
      <c r="AW53" s="44" t="n">
        <f aca="false">AW39*Assumptions!$G$51+AW32*Assumptions!$G$45*Assumptions!$G$52</f>
        <v>2568.45876665064</v>
      </c>
      <c r="AX53" s="44" t="n">
        <f aca="false">AX39*Assumptions!$G$51+AX32*Assumptions!$G$45*Assumptions!$G$52</f>
        <v>2696.62820690722</v>
      </c>
      <c r="AY53" s="44" t="n">
        <f aca="false">AY39*Assumptions!$G$51+AY32*Assumptions!$G$45*Assumptions!$G$52</f>
        <v>2826.30815019994</v>
      </c>
      <c r="AZ53" s="44" t="n">
        <f aca="false">AZ39*Assumptions!$G$51+AZ32*Assumptions!$G$45*Assumptions!$G$52</f>
        <v>2957.32955941302</v>
      </c>
      <c r="BA53" s="44" t="n">
        <f aca="false">BA39*Assumptions!$G$51+BA32*Assumptions!$G$45*Assumptions!$G$52</f>
        <v>3089.53442258961</v>
      </c>
      <c r="BB53" s="44" t="n">
        <f aca="false">BB39*Assumptions!$G$51+BB32*Assumptions!$G$45*Assumptions!$G$52</f>
        <v>3222.83472175724</v>
      </c>
      <c r="BC53" s="44" t="n">
        <f aca="false">BC39*Assumptions!$G$51+BC32*Assumptions!$G$45*Assumptions!$G$52</f>
        <v>3357.08808507091</v>
      </c>
      <c r="BD53" s="44" t="n">
        <f aca="false">BD39*Assumptions!$G$51+BD32*Assumptions!$G$45*Assumptions!$G$52</f>
        <v>3492.16143221022</v>
      </c>
      <c r="BE53" s="44" t="n">
        <f aca="false">BE39*Assumptions!$G$51+BE32*Assumptions!$G$45*Assumptions!$G$52</f>
        <v>3627.99006203697</v>
      </c>
      <c r="BF53" s="44" t="n">
        <f aca="false">BF39*Assumptions!$G$51+BF32*Assumptions!$G$45*Assumptions!$G$52</f>
        <v>3764.4534150715</v>
      </c>
      <c r="BG53" s="44" t="n">
        <f aca="false">BG39*Assumptions!$G$51+BG32*Assumptions!$G$45*Assumptions!$G$52</f>
        <v>3901.43882134922</v>
      </c>
      <c r="BH53" s="44" t="n">
        <f aca="false">BH39*Assumptions!$G$51+BH32*Assumptions!$G$45*Assumptions!$G$52</f>
        <v>4038.840991436</v>
      </c>
      <c r="BI53" s="44" t="n">
        <f aca="false">BI39*Assumptions!$G$51+BI32*Assumptions!$G$45*Assumptions!$G$52</f>
        <v>4176.56154202864</v>
      </c>
      <c r="BJ53" s="44" t="n">
        <f aca="false">BJ39*Assumptions!$G$51+BJ32*Assumptions!$G$45*Assumptions!$G$52</f>
        <v>4314.50855368232</v>
      </c>
      <c r="BK53" s="44" t="n">
        <f aca="false">BK39*Assumptions!$G$51+BK32*Assumptions!$G$45*Assumptions!$G$52</f>
        <v>4452.59615838674</v>
      </c>
    </row>
    <row r="54" customFormat="false" ht="15" hidden="false" customHeight="false" outlineLevel="0" collapsed="false">
      <c r="A54" s="28" t="s">
        <v>622</v>
      </c>
      <c r="B54" s="6" t="s">
        <v>516</v>
      </c>
      <c r="C54" s="43"/>
      <c r="D54" s="17" t="n">
        <f aca="false">(D37+D38)*Assumptions!$G$53+D32*Assumptions!$G$54</f>
        <v>0</v>
      </c>
      <c r="E54" s="17" t="n">
        <f aca="false">(E37+E38)*Assumptions!$G$53+E32*Assumptions!$G$54</f>
        <v>0</v>
      </c>
      <c r="F54" s="17" t="n">
        <f aca="false">(F37+F38)*Assumptions!$G$53+F32*Assumptions!$G$54</f>
        <v>0</v>
      </c>
      <c r="G54" s="17" t="n">
        <f aca="false">(G37+G38)*Assumptions!$G$53+G32*Assumptions!$G$54</f>
        <v>0</v>
      </c>
      <c r="H54" s="17" t="n">
        <f aca="false">(H37+H38)*Assumptions!$G$53+H32*Assumptions!$G$54</f>
        <v>0</v>
      </c>
      <c r="I54" s="17" t="n">
        <f aca="false">(I37+I38)*Assumptions!$G$53+I32*Assumptions!$G$54</f>
        <v>0</v>
      </c>
      <c r="J54" s="17" t="n">
        <f aca="false">(J37+J38)*Assumptions!$G$53+J32*Assumptions!$G$54</f>
        <v>0</v>
      </c>
      <c r="K54" s="17" t="n">
        <f aca="false">(K37+K38)*Assumptions!$G$53+K32*Assumptions!$G$54</f>
        <v>0</v>
      </c>
      <c r="L54" s="17" t="n">
        <f aca="false">(L37+L38)*Assumptions!$G$53+L32*Assumptions!$G$54</f>
        <v>0</v>
      </c>
      <c r="M54" s="17" t="n">
        <f aca="false">(M37+M38)*Assumptions!$G$53+M32*Assumptions!$G$54</f>
        <v>0</v>
      </c>
      <c r="N54" s="17" t="n">
        <f aca="false">(N37+N38)*Assumptions!$G$53+N32*Assumptions!$G$54</f>
        <v>0</v>
      </c>
      <c r="O54" s="17" t="n">
        <f aca="false">(O37+O38)*Assumptions!$G$53+O32*Assumptions!$G$54</f>
        <v>0</v>
      </c>
      <c r="P54" s="17" t="n">
        <f aca="false">(P37+P38)*Assumptions!$G$53+P32*Assumptions!$G$54</f>
        <v>0</v>
      </c>
      <c r="Q54" s="17" t="n">
        <f aca="false">(Q37+Q38)*Assumptions!$G$53+Q32*Assumptions!$G$54</f>
        <v>0</v>
      </c>
      <c r="R54" s="17" t="n">
        <f aca="false">(R37+R38)*Assumptions!$G$53+R32*Assumptions!$G$54</f>
        <v>0</v>
      </c>
      <c r="S54" s="17" t="n">
        <f aca="false">(S37+S38)*Assumptions!$G$53+S32*Assumptions!$G$54</f>
        <v>8.84330312429774</v>
      </c>
      <c r="T54" s="17" t="n">
        <f aca="false">(T37+T38)*Assumptions!$G$53+T32*Assumptions!$G$54</f>
        <v>18.3341061857033</v>
      </c>
      <c r="U54" s="17" t="n">
        <f aca="false">(U37+U38)*Assumptions!$G$53+U32*Assumptions!$G$54</f>
        <v>28.4382749553488</v>
      </c>
      <c r="V54" s="17" t="n">
        <f aca="false">(V37+V38)*Assumptions!$G$53+V32*Assumptions!$G$54</f>
        <v>39.1237810349289</v>
      </c>
      <c r="W54" s="17" t="n">
        <f aca="false">(W37+W38)*Assumptions!$G$53+W32*Assumptions!$G$54</f>
        <v>50.7274302021601</v>
      </c>
      <c r="X54" s="17" t="n">
        <f aca="false">(X37+X38)*Assumptions!$G$53+X32*Assumptions!$G$54</f>
        <v>63.1508646222935</v>
      </c>
      <c r="Y54" s="17" t="n">
        <f aca="false">(Y37+Y38)*Assumptions!$G$53+Y32*Assumptions!$G$54</f>
        <v>76.2436145994854</v>
      </c>
      <c r="Z54" s="17" t="n">
        <f aca="false">(Z37+Z38)*Assumptions!$G$53+Z32*Assumptions!$G$54</f>
        <v>90.2617496264835</v>
      </c>
      <c r="AA54" s="17" t="n">
        <f aca="false">(AA37+AA38)*Assumptions!$G$53+AA32*Assumptions!$G$54</f>
        <v>105.046557341223</v>
      </c>
      <c r="AB54" s="17" t="n">
        <f aca="false">(AB37+AB38)*Assumptions!$G$53+AB32*Assumptions!$G$54</f>
        <v>120.435519031839</v>
      </c>
      <c r="AC54" s="17" t="n">
        <f aca="false">(AC37+AC38)*Assumptions!$G$53+AC32*Assumptions!$G$54</f>
        <v>136.629494219826</v>
      </c>
      <c r="AD54" s="17" t="n">
        <f aca="false">(AD37+AD38)*Assumptions!$G$53+AD32*Assumptions!$G$54</f>
        <v>153.844068666171</v>
      </c>
      <c r="AE54" s="17" t="n">
        <f aca="false">(AE37+AE38)*Assumptions!$G$53+AE32*Assumptions!$G$54</f>
        <v>171.838851175378</v>
      </c>
      <c r="AF54" s="17" t="n">
        <f aca="false">(AF37+AF38)*Assumptions!$G$53+AF32*Assumptions!$G$54</f>
        <v>190.698260917843</v>
      </c>
      <c r="AG54" s="17" t="n">
        <f aca="false">(AG37+AG38)*Assumptions!$G$53+AG32*Assumptions!$G$54</f>
        <v>210.559014393908</v>
      </c>
      <c r="AH54" s="17" t="n">
        <f aca="false">(AH37+AH38)*Assumptions!$G$53+AH32*Assumptions!$G$54</f>
        <v>231.122108367334</v>
      </c>
      <c r="AI54" s="17" t="n">
        <f aca="false">(AI37+AI38)*Assumptions!$G$53+AI32*Assumptions!$G$54</f>
        <v>252.446864861002</v>
      </c>
      <c r="AJ54" s="17" t="n">
        <f aca="false">(AJ37+AJ38)*Assumptions!$G$53+AJ32*Assumptions!$G$54</f>
        <v>274.617353414062</v>
      </c>
      <c r="AK54" s="17" t="n">
        <f aca="false">(AK37+AK38)*Assumptions!$G$53+AK32*Assumptions!$G$54</f>
        <v>297.711261906289</v>
      </c>
      <c r="AL54" s="17" t="n">
        <f aca="false">(AL37+AL38)*Assumptions!$G$53+AL32*Assumptions!$G$54</f>
        <v>321.726949426838</v>
      </c>
      <c r="AM54" s="17" t="n">
        <f aca="false">(AM37+AM38)*Assumptions!$G$53+AM32*Assumptions!$G$54</f>
        <v>346.618413741111</v>
      </c>
      <c r="AN54" s="44" t="n">
        <f aca="false">(AN37+AN38)*Assumptions!$G$53+AN32*Assumptions!$G$54</f>
        <v>372.386493561805</v>
      </c>
      <c r="AO54" s="44" t="n">
        <f aca="false">(AO37+AO38)*Assumptions!$G$53+AO32*Assumptions!$G$54</f>
        <v>398.97282348311</v>
      </c>
      <c r="AP54" s="44" t="n">
        <f aca="false">(AP37+AP38)*Assumptions!$G$53+AP32*Assumptions!$G$54</f>
        <v>426.32274300407</v>
      </c>
      <c r="AQ54" s="44" t="n">
        <f aca="false">(AQ37+AQ38)*Assumptions!$G$53+AQ32*Assumptions!$G$54</f>
        <v>454.385048854411</v>
      </c>
      <c r="AR54" s="44" t="n">
        <f aca="false">(AR37+AR38)*Assumptions!$G$53+AR32*Assumptions!$G$54</f>
        <v>483.111764721385</v>
      </c>
      <c r="AS54" s="44" t="n">
        <f aca="false">(AS37+AS38)*Assumptions!$G$53+AS32*Assumptions!$G$54</f>
        <v>512.457927112303</v>
      </c>
      <c r="AT54" s="44" t="n">
        <f aca="false">(AT37+AT38)*Assumptions!$G$53+AT32*Assumptions!$G$54</f>
        <v>542.366711397765</v>
      </c>
      <c r="AU54" s="44" t="n">
        <f aca="false">(AU37+AU38)*Assumptions!$G$53+AU32*Assumptions!$G$54</f>
        <v>572.799640205323</v>
      </c>
      <c r="AV54" s="44" t="n">
        <f aca="false">(AV37+AV38)*Assumptions!$G$53+AV32*Assumptions!$G$54</f>
        <v>603.720622354573</v>
      </c>
      <c r="AW54" s="44" t="n">
        <f aca="false">(AW37+AW38)*Assumptions!$G$53+AW32*Assumptions!$G$54</f>
        <v>635.081122444549</v>
      </c>
      <c r="AX54" s="44" t="n">
        <f aca="false">(AX37+AX38)*Assumptions!$G$53+AX32*Assumptions!$G$54</f>
        <v>666.850409648168</v>
      </c>
      <c r="AY54" s="44" t="n">
        <f aca="false">(AY37+AY38)*Assumptions!$G$53+AY32*Assumptions!$G$54</f>
        <v>698.999634137206</v>
      </c>
      <c r="AZ54" s="44" t="n">
        <f aca="false">(AZ37+AZ38)*Assumptions!$G$53+AZ32*Assumptions!$G$54</f>
        <v>731.487031463762</v>
      </c>
      <c r="BA54" s="44" t="n">
        <f aca="false">(BA37+BA38)*Assumptions!$G$53+BA32*Assumptions!$G$54</f>
        <v>764.273528868206</v>
      </c>
      <c r="BB54" s="44" t="n">
        <f aca="false">(BB37+BB38)*Assumptions!$G$53+BB32*Assumptions!$G$54</f>
        <v>797.337245375251</v>
      </c>
      <c r="BC54" s="44" t="n">
        <f aca="false">(BC37+BC38)*Assumptions!$G$53+BC32*Assumptions!$G$54</f>
        <v>830.642935369311</v>
      </c>
      <c r="BD54" s="44" t="n">
        <f aca="false">(BD37+BD38)*Assumptions!$G$53+BD32*Assumptions!$G$54</f>
        <v>864.157625600787</v>
      </c>
      <c r="BE54" s="44" t="n">
        <f aca="false">(BE37+BE38)*Assumptions!$G$53+BE32*Assumptions!$G$54</f>
        <v>897.865143792128</v>
      </c>
      <c r="BF54" s="44" t="n">
        <f aca="false">(BF37+BF38)*Assumptions!$G$53+BF32*Assumptions!$G$54</f>
        <v>931.7355886954</v>
      </c>
      <c r="BG54" s="44" t="n">
        <f aca="false">(BG37+BG38)*Assumptions!$G$53+BG32*Assumptions!$G$54</f>
        <v>965.740991701645</v>
      </c>
      <c r="BH54" s="44" t="n">
        <f aca="false">(BH37+BH38)*Assumptions!$G$53+BH32*Assumptions!$G$54</f>
        <v>999.855193524696</v>
      </c>
      <c r="BI54" s="44" t="n">
        <f aca="false">(BI37+BI38)*Assumptions!$G$53+BI32*Assumptions!$G$54</f>
        <v>1034.05372919259</v>
      </c>
      <c r="BJ54" s="44" t="n">
        <f aca="false">(BJ37+BJ38)*Assumptions!$G$53+BJ32*Assumptions!$G$54</f>
        <v>1068.31372075961</v>
      </c>
      <c r="BK54" s="44" t="n">
        <f aca="false">(BK37+BK38)*Assumptions!$G$53+BK32*Assumptions!$G$54</f>
        <v>1102.61377719476</v>
      </c>
    </row>
    <row r="55" customFormat="false" ht="15" hidden="false" customHeight="false" outlineLevel="0" collapsed="false">
      <c r="A55" s="28" t="s">
        <v>623</v>
      </c>
      <c r="B55" s="6" t="s">
        <v>624</v>
      </c>
      <c r="C55" s="43"/>
      <c r="D55" s="17" t="n">
        <f aca="false">D25*Assumptions!$G$65*Assumptions!$G$66*Assumptions!$G$67</f>
        <v>0</v>
      </c>
      <c r="E55" s="17" t="n">
        <f aca="false">E25*Assumptions!$G$65*Assumptions!$G$66*Assumptions!$G$67</f>
        <v>0</v>
      </c>
      <c r="F55" s="17" t="n">
        <f aca="false">F25*Assumptions!$G$65*Assumptions!$G$66*Assumptions!$G$67</f>
        <v>0</v>
      </c>
      <c r="G55" s="17" t="n">
        <f aca="false">G25*Assumptions!$G$65*Assumptions!$G$66*Assumptions!$G$67</f>
        <v>0</v>
      </c>
      <c r="H55" s="17" t="n">
        <f aca="false">H25*Assumptions!$G$65*Assumptions!$G$66*Assumptions!$G$67</f>
        <v>44.8875</v>
      </c>
      <c r="I55" s="17" t="n">
        <f aca="false">I25*Assumptions!$G$65*Assumptions!$G$66*Assumptions!$G$67</f>
        <v>70.0245</v>
      </c>
      <c r="J55" s="17" t="n">
        <f aca="false">J25*Assumptions!$G$65*Assumptions!$G$66*Assumptions!$G$67</f>
        <v>74.96661375</v>
      </c>
      <c r="K55" s="17" t="n">
        <f aca="false">K25*Assumptions!$G$65*Assumptions!$G$66*Assumptions!$G$67</f>
        <v>114.8717808</v>
      </c>
      <c r="L55" s="17" t="n">
        <f aca="false">L25*Assumptions!$G$65*Assumptions!$G$66*Assumptions!$G$67</f>
        <v>174.981404563875</v>
      </c>
      <c r="M55" s="17" t="n">
        <f aca="false">M25*Assumptions!$G$65*Assumptions!$G$66*Assumptions!$G$67</f>
        <v>197.105472539955</v>
      </c>
      <c r="N55" s="17" t="n">
        <f aca="false">N25*Assumptions!$G$65*Assumptions!$G$66*Assumptions!$G$67</f>
        <v>229.828381128673</v>
      </c>
      <c r="O55" s="17" t="n">
        <f aca="false">O25*Assumptions!$G$65*Assumptions!$G$66*Assumptions!$G$67</f>
        <v>277.085493471562</v>
      </c>
      <c r="P55" s="17" t="n">
        <f aca="false">P25*Assumptions!$G$65*Assumptions!$G$66*Assumptions!$G$67</f>
        <v>329.077126037061</v>
      </c>
      <c r="Q55" s="17" t="n">
        <f aca="false">Q25*Assumptions!$G$65*Assumptions!$G$66*Assumptions!$G$67</f>
        <v>375.67415165183</v>
      </c>
      <c r="R55" s="17" t="n">
        <f aca="false">R25*Assumptions!$G$65*Assumptions!$G$66*Assumptions!$G$67</f>
        <v>413.609258104152</v>
      </c>
      <c r="S55" s="17" t="n">
        <f aca="false">S25*Assumptions!$G$65*Assumptions!$G$66*Assumptions!$G$67</f>
        <v>451.367786702857</v>
      </c>
      <c r="T55" s="17" t="n">
        <f aca="false">T25*Assumptions!$G$65*Assumptions!$G$66*Assumptions!$G$67</f>
        <v>482.057632602664</v>
      </c>
      <c r="U55" s="17" t="n">
        <f aca="false">U25*Assumptions!$G$65*Assumptions!$G$66*Assumptions!$G$67</f>
        <v>508.16318672508</v>
      </c>
      <c r="V55" s="17" t="n">
        <f aca="false">V25*Assumptions!$G$65*Assumptions!$G$66*Assumptions!$G$67</f>
        <v>531.299199649317</v>
      </c>
      <c r="W55" s="17" t="n">
        <f aca="false">W25*Assumptions!$G$65*Assumptions!$G$66*Assumptions!$G$67</f>
        <v>597.402656767291</v>
      </c>
      <c r="X55" s="17" t="n">
        <f aca="false">X25*Assumptions!$G$65*Assumptions!$G$66*Assumptions!$G$67</f>
        <v>642.517622124022</v>
      </c>
      <c r="Y55" s="17" t="n">
        <f aca="false">Y25*Assumptions!$G$65*Assumptions!$G$66*Assumptions!$G$67</f>
        <v>666.642950653644</v>
      </c>
      <c r="Z55" s="17" t="n">
        <f aca="false">Z25*Assumptions!$G$65*Assumptions!$G$66*Assumptions!$G$67</f>
        <v>725.224589235168</v>
      </c>
      <c r="AA55" s="17" t="n">
        <f aca="false">AA25*Assumptions!$G$65*Assumptions!$G$66*Assumptions!$G$67</f>
        <v>758.803547600054</v>
      </c>
      <c r="AB55" s="17" t="n">
        <f aca="false">AB25*Assumptions!$G$65*Assumptions!$G$66*Assumptions!$G$67</f>
        <v>773.94933489126</v>
      </c>
      <c r="AC55" s="17" t="n">
        <f aca="false">AC25*Assumptions!$G$65*Assumptions!$G$66*Assumptions!$G$67</f>
        <v>819.769626341031</v>
      </c>
      <c r="AD55" s="17" t="n">
        <f aca="false">AD25*Assumptions!$G$65*Assumptions!$G$66*Assumptions!$G$67</f>
        <v>889.980530196765</v>
      </c>
      <c r="AE55" s="17" t="n">
        <f aca="false">AE25*Assumptions!$G$65*Assumptions!$G$66*Assumptions!$G$67</f>
        <v>923.140634972241</v>
      </c>
      <c r="AF55" s="17" t="n">
        <f aca="false">AF25*Assumptions!$G$65*Assumptions!$G$66*Assumptions!$G$67</f>
        <v>969.257970172856</v>
      </c>
      <c r="AG55" s="17" t="n">
        <f aca="false">AG25*Assumptions!$G$65*Assumptions!$G$66*Assumptions!$G$67</f>
        <v>1031.45207247885</v>
      </c>
      <c r="AH55" s="17" t="n">
        <f aca="false">AH25*Assumptions!$G$65*Assumptions!$G$66*Assumptions!$G$67</f>
        <v>1052.70987505908</v>
      </c>
      <c r="AI55" s="17" t="n">
        <f aca="false">AI25*Assumptions!$G$65*Assumptions!$G$66*Assumptions!$G$67</f>
        <v>1087.76996645675</v>
      </c>
      <c r="AJ55" s="17" t="n">
        <f aca="false">AJ25*Assumptions!$G$65*Assumptions!$G$66*Assumptions!$G$67</f>
        <v>1135.75468038855</v>
      </c>
      <c r="AK55" s="17" t="n">
        <f aca="false">AK25*Assumptions!$G$65*Assumptions!$G$66*Assumptions!$G$67</f>
        <v>1192.60664242231</v>
      </c>
      <c r="AL55" s="17" t="n">
        <f aca="false">AL25*Assumptions!$G$65*Assumptions!$G$66*Assumptions!$G$67</f>
        <v>1246.70639674255</v>
      </c>
      <c r="AM55" s="17" t="n">
        <f aca="false">AM25*Assumptions!$G$65*Assumptions!$G$66*Assumptions!$G$67</f>
        <v>1293.81835625903</v>
      </c>
      <c r="AN55" s="44" t="n">
        <f aca="false">AN25*Assumptions!$G$65*Assumptions!$G$66*Assumptions!$G$67</f>
        <v>1341.79891796098</v>
      </c>
      <c r="AO55" s="44" t="n">
        <f aca="false">AO25*Assumptions!$G$65*Assumptions!$G$66*Assumptions!$G$67</f>
        <v>1383.34759320331</v>
      </c>
      <c r="AP55" s="44" t="n">
        <f aca="false">AP25*Assumptions!$G$65*Assumptions!$G$66*Assumptions!$G$67</f>
        <v>1420.68374914555</v>
      </c>
      <c r="AQ55" s="44" t="n">
        <f aca="false">AQ25*Assumptions!$G$65*Assumptions!$G$66*Assumptions!$G$67</f>
        <v>1455.25029237236</v>
      </c>
      <c r="AR55" s="44" t="n">
        <f aca="false">AR25*Assumptions!$G$65*Assumptions!$G$66*Assumptions!$G$67</f>
        <v>1487.98542691552</v>
      </c>
      <c r="AS55" s="44" t="n">
        <f aca="false">AS25*Assumptions!$G$65*Assumptions!$G$66*Assumptions!$G$67</f>
        <v>1519.49929699983</v>
      </c>
      <c r="AT55" s="44" t="n">
        <f aca="false">AT25*Assumptions!$G$65*Assumptions!$G$66*Assumptions!$G$67</f>
        <v>1548.39330485959</v>
      </c>
      <c r="AU55" s="44" t="n">
        <f aca="false">AU25*Assumptions!$G$65*Assumptions!$G$66*Assumptions!$G$67</f>
        <v>1577.29580235034</v>
      </c>
      <c r="AV55" s="44" t="n">
        <f aca="false">AV25*Assumptions!$G$65*Assumptions!$G$66*Assumptions!$G$67</f>
        <v>1606.17442417741</v>
      </c>
      <c r="AW55" s="44" t="n">
        <f aca="false">AW25*Assumptions!$G$65*Assumptions!$G$66*Assumptions!$G$67</f>
        <v>1633.2129268385</v>
      </c>
      <c r="AX55" s="44" t="n">
        <f aca="false">AX25*Assumptions!$G$65*Assumptions!$G$66*Assumptions!$G$67</f>
        <v>1660.76817805698</v>
      </c>
      <c r="AY55" s="44" t="n">
        <f aca="false">AY25*Assumptions!$G$65*Assumptions!$G$66*Assumptions!$G$67</f>
        <v>1688.63133359288</v>
      </c>
      <c r="AZ55" s="44" t="n">
        <f aca="false">AZ25*Assumptions!$G$65*Assumptions!$G$66*Assumptions!$G$67</f>
        <v>1714.87142451265</v>
      </c>
      <c r="BA55" s="44" t="n">
        <f aca="false">BA25*Assumptions!$G$65*Assumptions!$G$66*Assumptions!$G$67</f>
        <v>1739.97523303373</v>
      </c>
      <c r="BB55" s="44" t="n">
        <f aca="false">BB25*Assumptions!$G$65*Assumptions!$G$66*Assumptions!$G$67</f>
        <v>1766.05548050143</v>
      </c>
      <c r="BC55" s="44" t="n">
        <f aca="false">BC25*Assumptions!$G$65*Assumptions!$G$66*Assumptions!$G$67</f>
        <v>1790.94910556514</v>
      </c>
      <c r="BD55" s="44" t="n">
        <f aca="false">BD25*Assumptions!$G$65*Assumptions!$G$66*Assumptions!$G$67</f>
        <v>1814.99201142415</v>
      </c>
      <c r="BE55" s="44" t="n">
        <f aca="false">BE25*Assumptions!$G$65*Assumptions!$G$66*Assumptions!$G$67</f>
        <v>1840.19882930445</v>
      </c>
      <c r="BF55" s="44" t="n">
        <f aca="false">BF25*Assumptions!$G$65*Assumptions!$G$66*Assumptions!$G$67</f>
        <v>1864.34272070785</v>
      </c>
      <c r="BG55" s="44" t="n">
        <f aca="false">BG25*Assumptions!$G$65*Assumptions!$G$66*Assumptions!$G$67</f>
        <v>1887.71811530346</v>
      </c>
      <c r="BH55" s="44" t="n">
        <f aca="false">BH25*Assumptions!$G$65*Assumptions!$G$66*Assumptions!$G$67</f>
        <v>1910.51716832217</v>
      </c>
      <c r="BI55" s="44" t="n">
        <f aca="false">BI25*Assumptions!$G$65*Assumptions!$G$66*Assumptions!$G$67</f>
        <v>1932.8655488506</v>
      </c>
      <c r="BJ55" s="44" t="n">
        <f aca="false">BJ25*Assumptions!$G$65*Assumptions!$G$66*Assumptions!$G$67</f>
        <v>1954.84570229965</v>
      </c>
      <c r="BK55" s="44" t="n">
        <f aca="false">BK25*Assumptions!$G$65*Assumptions!$G$66*Assumptions!$G$67</f>
        <v>1976.51197108607</v>
      </c>
    </row>
    <row r="56" customFormat="false" ht="15" hidden="false" customHeight="false" outlineLevel="0" collapsed="false">
      <c r="A56" s="28" t="s">
        <v>625</v>
      </c>
      <c r="B56" s="6" t="s">
        <v>626</v>
      </c>
      <c r="C56" s="43"/>
      <c r="D56" s="17" t="n">
        <f aca="false">(D41+D42+D43)*Assumptions!$G$78</f>
        <v>0</v>
      </c>
      <c r="E56" s="17" t="n">
        <f aca="false">(E41+E42+E43)*Assumptions!$G$78</f>
        <v>0</v>
      </c>
      <c r="F56" s="17" t="n">
        <f aca="false">(F41+F42+F43)*Assumptions!$G$78</f>
        <v>0</v>
      </c>
      <c r="G56" s="17" t="n">
        <f aca="false">(G41+G42+G43)*Assumptions!$G$78</f>
        <v>0</v>
      </c>
      <c r="H56" s="17" t="n">
        <f aca="false">(H41+H42+H43)*Assumptions!$G$78</f>
        <v>0</v>
      </c>
      <c r="I56" s="17" t="n">
        <f aca="false">(I41+I42+I43)*Assumptions!$G$78</f>
        <v>0</v>
      </c>
      <c r="J56" s="17" t="n">
        <f aca="false">(J41+J42+J43)*Assumptions!$G$78</f>
        <v>0</v>
      </c>
      <c r="K56" s="17" t="n">
        <f aca="false">(K41+K42+K43)*Assumptions!$G$78</f>
        <v>0</v>
      </c>
      <c r="L56" s="17" t="n">
        <f aca="false">(L41+L42+L43)*Assumptions!$G$78</f>
        <v>0</v>
      </c>
      <c r="M56" s="17" t="n">
        <f aca="false">(M41+M42+M43)*Assumptions!$G$78</f>
        <v>0</v>
      </c>
      <c r="N56" s="17" t="n">
        <f aca="false">(N41+N42+N43)*Assumptions!$G$78</f>
        <v>0</v>
      </c>
      <c r="O56" s="17" t="n">
        <f aca="false">(O41+O42+O43)*Assumptions!$G$78</f>
        <v>0</v>
      </c>
      <c r="P56" s="17" t="n">
        <f aca="false">(P41+P42+P43)*Assumptions!$G$78</f>
        <v>0</v>
      </c>
      <c r="Q56" s="17" t="n">
        <f aca="false">(Q41+Q42+Q43)*Assumptions!$G$78</f>
        <v>0</v>
      </c>
      <c r="R56" s="17" t="n">
        <f aca="false">(R41+R42+R43)*Assumptions!$G$78</f>
        <v>0</v>
      </c>
      <c r="S56" s="17" t="n">
        <f aca="false">(S41+S42+S43)*Assumptions!$G$78</f>
        <v>0</v>
      </c>
      <c r="T56" s="17" t="n">
        <f aca="false">(T41+T42+T43)*Assumptions!$G$78</f>
        <v>0</v>
      </c>
      <c r="U56" s="17" t="n">
        <f aca="false">(U41+U42+U43)*Assumptions!$G$78</f>
        <v>0</v>
      </c>
      <c r="V56" s="17" t="n">
        <f aca="false">(V41+V42+V43)*Assumptions!$G$78</f>
        <v>0</v>
      </c>
      <c r="W56" s="17" t="n">
        <f aca="false">(W41+W42+W43)*Assumptions!$G$78</f>
        <v>0</v>
      </c>
      <c r="X56" s="17" t="n">
        <f aca="false">(X41+X42+X43)*Assumptions!$G$78</f>
        <v>0</v>
      </c>
      <c r="Y56" s="17" t="n">
        <f aca="false">(Y41+Y42+Y43)*Assumptions!$G$78</f>
        <v>0</v>
      </c>
      <c r="Z56" s="17" t="n">
        <f aca="false">(Z41+Z42+Z43)*Assumptions!$G$78</f>
        <v>0</v>
      </c>
      <c r="AA56" s="17" t="n">
        <f aca="false">(AA41+AA42+AA43)*Assumptions!$G$78</f>
        <v>0</v>
      </c>
      <c r="AB56" s="17" t="n">
        <f aca="false">(AB41+AB42+AB43)*Assumptions!$G$78</f>
        <v>0</v>
      </c>
      <c r="AC56" s="17" t="n">
        <f aca="false">(AC41+AC42+AC43)*Assumptions!$G$78</f>
        <v>38.43853888188</v>
      </c>
      <c r="AD56" s="17" t="n">
        <f aca="false">(AD41+AD42+AD43)*Assumptions!$G$78</f>
        <v>83.3739426091955</v>
      </c>
      <c r="AE56" s="17" t="n">
        <f aca="false">(AE41+AE42+AE43)*Assumptions!$G$78</f>
        <v>134.139665757151</v>
      </c>
      <c r="AF56" s="17" t="n">
        <f aca="false">(AF41+AF42+AF43)*Assumptions!$G$78</f>
        <v>191.71995498427</v>
      </c>
      <c r="AG56" s="17" t="n">
        <f aca="false">(AG41+AG42+AG43)*Assumptions!$G$78</f>
        <v>257.143665359875</v>
      </c>
      <c r="AH56" s="17" t="n">
        <f aca="false">(AH41+AH42+AH43)*Assumptions!$G$78</f>
        <v>327.667073379668</v>
      </c>
      <c r="AI56" s="17" t="n">
        <f aca="false">(AI41+AI42+AI43)*Assumptions!$G$78</f>
        <v>347.580873951759</v>
      </c>
      <c r="AJ56" s="17" t="n">
        <f aca="false">(AJ41+AJ42+AJ43)*Assumptions!$G$78</f>
        <v>368.620408561069</v>
      </c>
      <c r="AK56" s="17" t="n">
        <f aca="false">(AK41+AK42+AK43)*Assumptions!$G$78</f>
        <v>390.832074652196</v>
      </c>
      <c r="AL56" s="17" t="n">
        <f aca="false">(AL41+AL42+AL43)*Assumptions!$G$78</f>
        <v>413.613534020554</v>
      </c>
      <c r="AM56" s="17" t="n">
        <f aca="false">(AM41+AM42+AM43)*Assumptions!$G$78</f>
        <v>436.56574475502</v>
      </c>
      <c r="AN56" s="44" t="n">
        <f aca="false">(AN41+AN42+AN43)*Assumptions!$G$78</f>
        <v>460.028628756007</v>
      </c>
      <c r="AO56" s="44" t="n">
        <f aca="false">(AO41+AO42+AO43)*Assumptions!$G$78</f>
        <v>483.496216909995</v>
      </c>
      <c r="AP56" s="44" t="n">
        <f aca="false">(AP41+AP42+AP43)*Assumptions!$G$78</f>
        <v>506.936831627902</v>
      </c>
      <c r="AQ56" s="44" t="n">
        <f aca="false">(AQ41+AQ42+AQ43)*Assumptions!$G$78</f>
        <v>530.330182788177</v>
      </c>
      <c r="AR56" s="44" t="n">
        <f aca="false">(AR41+AR42+AR43)*Assumptions!$G$78</f>
        <v>553.663379120056</v>
      </c>
      <c r="AS56" s="44" t="n">
        <f aca="false">(AS41+AS42+AS43)*Assumptions!$G$78</f>
        <v>576.9283356327</v>
      </c>
      <c r="AT56" s="44" t="n">
        <f aca="false">(AT41+AT42+AT43)*Assumptions!$G$78</f>
        <v>599.994469973871</v>
      </c>
      <c r="AU56" s="44" t="n">
        <f aca="false">(AU41+AU42+AU43)*Assumptions!$G$78</f>
        <v>622.977549277507</v>
      </c>
      <c r="AV56" s="44" t="n">
        <f aca="false">(AV41+AV42+AV43)*Assumptions!$G$78</f>
        <v>645.878877886925</v>
      </c>
      <c r="AW56" s="44" t="n">
        <f aca="false">(AW41+AW42+AW43)*Assumptions!$G$78</f>
        <v>668.573962774481</v>
      </c>
      <c r="AX56" s="44" t="n">
        <f aca="false">(AX41+AX42+AX43)*Assumptions!$G$78</f>
        <v>691.182515529913</v>
      </c>
      <c r="AY56" s="44" t="n">
        <f aca="false">(AY41+AY42+AY43)*Assumptions!$G$78</f>
        <v>713.708390923679</v>
      </c>
      <c r="AZ56" s="44" t="n">
        <f aca="false">(AZ41+AZ42+AZ43)*Assumptions!$G$78</f>
        <v>736.028740371334</v>
      </c>
      <c r="BA56" s="44" t="n">
        <f aca="false">(BA41+BA42+BA43)*Assumptions!$G$78</f>
        <v>758.138712649601</v>
      </c>
      <c r="BB56" s="44" t="n">
        <f aca="false">(BB41+BB42+BB43)*Assumptions!$G$78</f>
        <v>780.161540816392</v>
      </c>
      <c r="BC56" s="44" t="n">
        <f aca="false">(BC41+BC42+BC43)*Assumptions!$G$78</f>
        <v>801.977729348864</v>
      </c>
      <c r="BD56" s="44" t="n">
        <f aca="false">(BD41+BD42+BD43)*Assumptions!$G$78</f>
        <v>823.584588616789</v>
      </c>
      <c r="BE56" s="44" t="n">
        <f aca="false">(BE41+BE42+BE43)*Assumptions!$G$78</f>
        <v>845.10673899554</v>
      </c>
      <c r="BF56" s="44" t="n">
        <f aca="false">(BF41+BF42+BF43)*Assumptions!$G$78</f>
        <v>866.425569177782</v>
      </c>
      <c r="BG56" s="44" t="n">
        <f aca="false">(BG41+BG42+BG43)*Assumptions!$G$78</f>
        <v>887.538946907932</v>
      </c>
      <c r="BH56" s="44" t="n">
        <f aca="false">(BH41+BH42+BH43)*Assumptions!$G$78</f>
        <v>908.446219163106</v>
      </c>
      <c r="BI56" s="44" t="n">
        <f aca="false">(BI41+BI42+BI43)*Assumptions!$G$78</f>
        <v>929.14768709224</v>
      </c>
      <c r="BJ56" s="44" t="n">
        <f aca="false">(BJ41+BJ42+BJ43)*Assumptions!$G$78</f>
        <v>949.644264799815</v>
      </c>
      <c r="BK56" s="44" t="n">
        <f aca="false">(BK41+BK42+BK43)*Assumptions!$G$78</f>
        <v>969.93725762784</v>
      </c>
    </row>
    <row r="57" customFormat="false" ht="15" hidden="false" customHeight="false" outlineLevel="0" collapsed="false">
      <c r="A57" s="28" t="s">
        <v>627</v>
      </c>
      <c r="B57" s="6" t="s">
        <v>628</v>
      </c>
      <c r="C57" s="43"/>
      <c r="D57" s="17" t="n">
        <f aca="false">D45*Assumptions!$G$82</f>
        <v>0</v>
      </c>
      <c r="E57" s="17" t="n">
        <f aca="false">E45*Assumptions!$G$82</f>
        <v>0</v>
      </c>
      <c r="F57" s="17" t="n">
        <f aca="false">F45*Assumptions!$G$82</f>
        <v>0</v>
      </c>
      <c r="G57" s="17" t="n">
        <f aca="false">G45*Assumptions!$G$82</f>
        <v>0</v>
      </c>
      <c r="H57" s="17" t="n">
        <f aca="false">H45*Assumptions!$G$82</f>
        <v>0</v>
      </c>
      <c r="I57" s="17" t="n">
        <f aca="false">I45*Assumptions!$G$82</f>
        <v>0</v>
      </c>
      <c r="J57" s="17" t="n">
        <f aca="false">J45*Assumptions!$G$82</f>
        <v>0</v>
      </c>
      <c r="K57" s="17" t="n">
        <f aca="false">K45*Assumptions!$G$82</f>
        <v>0</v>
      </c>
      <c r="L57" s="17" t="n">
        <f aca="false">L45*Assumptions!$G$82</f>
        <v>0</v>
      </c>
      <c r="M57" s="17" t="n">
        <f aca="false">M45*Assumptions!$G$82</f>
        <v>0</v>
      </c>
      <c r="N57" s="17" t="n">
        <f aca="false">N45*Assumptions!$G$82</f>
        <v>0</v>
      </c>
      <c r="O57" s="17" t="n">
        <f aca="false">O45*Assumptions!$G$82</f>
        <v>0</v>
      </c>
      <c r="P57" s="17" t="n">
        <f aca="false">P45*Assumptions!$G$82</f>
        <v>0</v>
      </c>
      <c r="Q57" s="17" t="n">
        <f aca="false">Q45*Assumptions!$G$82</f>
        <v>168.75</v>
      </c>
      <c r="R57" s="17" t="n">
        <f aca="false">R45*Assumptions!$G$82</f>
        <v>253.125</v>
      </c>
      <c r="S57" s="17" t="n">
        <f aca="false">S45*Assumptions!$G$82</f>
        <v>253.125</v>
      </c>
      <c r="T57" s="17" t="n">
        <f aca="false">T45*Assumptions!$G$82</f>
        <v>337.5</v>
      </c>
      <c r="U57" s="17" t="n">
        <f aca="false">U45*Assumptions!$G$82</f>
        <v>421.875</v>
      </c>
      <c r="V57" s="17" t="n">
        <f aca="false">V45*Assumptions!$G$82</f>
        <v>506.25</v>
      </c>
      <c r="W57" s="17" t="n">
        <f aca="false">W45*Assumptions!$G$82</f>
        <v>590.625</v>
      </c>
      <c r="X57" s="17" t="n">
        <f aca="false">X45*Assumptions!$G$82</f>
        <v>675</v>
      </c>
      <c r="Y57" s="17" t="n">
        <f aca="false">Y45*Assumptions!$G$82</f>
        <v>759.375</v>
      </c>
      <c r="Z57" s="17" t="n">
        <f aca="false">Z45*Assumptions!$G$82</f>
        <v>843.75</v>
      </c>
      <c r="AA57" s="17" t="n">
        <f aca="false">AA45*Assumptions!$G$82</f>
        <v>928.125</v>
      </c>
      <c r="AB57" s="17" t="n">
        <f aca="false">AB45*Assumptions!$G$82</f>
        <v>1012.5</v>
      </c>
      <c r="AC57" s="17" t="n">
        <f aca="false">AC45*Assumptions!$G$82</f>
        <v>1181.25</v>
      </c>
      <c r="AD57" s="17" t="n">
        <f aca="false">AD45*Assumptions!$G$82</f>
        <v>1265.625</v>
      </c>
      <c r="AE57" s="17" t="n">
        <f aca="false">AE45*Assumptions!$G$82</f>
        <v>1350</v>
      </c>
      <c r="AF57" s="17" t="n">
        <f aca="false">AF45*Assumptions!$G$82</f>
        <v>1518.75</v>
      </c>
      <c r="AG57" s="17" t="n">
        <f aca="false">AG45*Assumptions!$G$82</f>
        <v>1603.125</v>
      </c>
      <c r="AH57" s="17" t="n">
        <f aca="false">AH45*Assumptions!$G$82</f>
        <v>1687.5</v>
      </c>
      <c r="AI57" s="17" t="n">
        <f aca="false">AI45*Assumptions!$G$82</f>
        <v>1856.25</v>
      </c>
      <c r="AJ57" s="17" t="n">
        <f aca="false">AJ45*Assumptions!$G$82</f>
        <v>2025</v>
      </c>
      <c r="AK57" s="17" t="n">
        <f aca="false">AK45*Assumptions!$G$82</f>
        <v>2109.375</v>
      </c>
      <c r="AL57" s="17" t="n">
        <f aca="false">AL45*Assumptions!$G$82</f>
        <v>2278.125</v>
      </c>
      <c r="AM57" s="17" t="n">
        <f aca="false">AM45*Assumptions!$G$82</f>
        <v>2446.875</v>
      </c>
      <c r="AN57" s="44" t="n">
        <f aca="false">AN45*Assumptions!$G$82</f>
        <v>2531.25</v>
      </c>
      <c r="AO57" s="44" t="n">
        <f aca="false">AO45*Assumptions!$G$82</f>
        <v>2700</v>
      </c>
      <c r="AP57" s="44" t="n">
        <f aca="false">AP45*Assumptions!$G$82</f>
        <v>2868.75</v>
      </c>
      <c r="AQ57" s="44" t="n">
        <f aca="false">AQ45*Assumptions!$G$82</f>
        <v>3037.5</v>
      </c>
      <c r="AR57" s="44" t="n">
        <f aca="false">AR45*Assumptions!$G$82</f>
        <v>3206.25</v>
      </c>
      <c r="AS57" s="44" t="n">
        <f aca="false">AS45*Assumptions!$G$82</f>
        <v>3375</v>
      </c>
      <c r="AT57" s="44" t="n">
        <f aca="false">AT45*Assumptions!$G$82</f>
        <v>3543.75</v>
      </c>
      <c r="AU57" s="44" t="n">
        <f aca="false">AU45*Assumptions!$G$82</f>
        <v>3712.5</v>
      </c>
      <c r="AV57" s="44" t="n">
        <f aca="false">AV45*Assumptions!$G$82</f>
        <v>3881.25</v>
      </c>
      <c r="AW57" s="44" t="n">
        <f aca="false">AW45*Assumptions!$G$82</f>
        <v>4050</v>
      </c>
      <c r="AX57" s="44" t="n">
        <f aca="false">AX45*Assumptions!$G$82</f>
        <v>4218.75</v>
      </c>
      <c r="AY57" s="44" t="n">
        <f aca="false">AY45*Assumptions!$G$82</f>
        <v>4387.5</v>
      </c>
      <c r="AZ57" s="44" t="n">
        <f aca="false">AZ45*Assumptions!$G$82</f>
        <v>4556.25</v>
      </c>
      <c r="BA57" s="44" t="n">
        <f aca="false">BA45*Assumptions!$G$82</f>
        <v>4725</v>
      </c>
      <c r="BB57" s="44" t="n">
        <f aca="false">BB45*Assumptions!$G$82</f>
        <v>4893.75</v>
      </c>
      <c r="BC57" s="44" t="n">
        <f aca="false">BC45*Assumptions!$G$82</f>
        <v>5062.5</v>
      </c>
      <c r="BD57" s="44" t="n">
        <f aca="false">BD45*Assumptions!$G$82</f>
        <v>5231.25</v>
      </c>
      <c r="BE57" s="44" t="n">
        <f aca="false">BE45*Assumptions!$G$82</f>
        <v>5400</v>
      </c>
      <c r="BF57" s="44" t="n">
        <f aca="false">BF45*Assumptions!$G$82</f>
        <v>5568.75</v>
      </c>
      <c r="BG57" s="44" t="n">
        <f aca="false">BG45*Assumptions!$G$82</f>
        <v>5737.5</v>
      </c>
      <c r="BH57" s="44" t="n">
        <f aca="false">BH45*Assumptions!$G$82</f>
        <v>5906.25</v>
      </c>
      <c r="BI57" s="44" t="n">
        <f aca="false">BI45*Assumptions!$G$82</f>
        <v>6075</v>
      </c>
      <c r="BJ57" s="44" t="n">
        <f aca="false">BJ45*Assumptions!$G$82</f>
        <v>6243.75</v>
      </c>
      <c r="BK57" s="44" t="n">
        <f aca="false">BK45*Assumptions!$G$82</f>
        <v>6412.5</v>
      </c>
    </row>
    <row r="58" customFormat="false" ht="15" hidden="false" customHeight="false" outlineLevel="0" collapsed="false">
      <c r="A58" s="28" t="s">
        <v>629</v>
      </c>
      <c r="B58" s="5" t="s">
        <v>630</v>
      </c>
      <c r="C58" s="43"/>
      <c r="D58" s="45" t="n">
        <f aca="false">D49+D50+D51+D52+D53+D54+D55+D56+D57</f>
        <v>0</v>
      </c>
      <c r="E58" s="45" t="n">
        <f aca="false">E49+E50+E51+E52+E53+E54+E55+E56+E57</f>
        <v>0</v>
      </c>
      <c r="F58" s="45" t="n">
        <f aca="false">F49+F50+F51+F52+F53+F54+F55+F56+F57</f>
        <v>0</v>
      </c>
      <c r="G58" s="45" t="n">
        <f aca="false">G49+G50+G51+G52+G53+G54+G55+G56+G57</f>
        <v>0</v>
      </c>
      <c r="H58" s="45" t="n">
        <f aca="false">H49+H50+H51+H52+H53+H54+H55+H56+H57</f>
        <v>82.4251666666667</v>
      </c>
      <c r="I58" s="45" t="n">
        <f aca="false">I49+I50+I51+I52+I53+I54+I55+I56+I57</f>
        <v>140.313036666667</v>
      </c>
      <c r="J58" s="45" t="n">
        <f aca="false">J49+J50+J51+J52+J53+J54+J55+J56+J57</f>
        <v>167.21730805</v>
      </c>
      <c r="K58" s="45" t="n">
        <f aca="false">K49+K50+K51+K52+K53+K54+K55+K56+K57</f>
        <v>258.901149440333</v>
      </c>
      <c r="L58" s="45" t="n">
        <f aca="false">L49+L50+L51+L52+L53+L54+L55+L56+L57</f>
        <v>397.377164018638</v>
      </c>
      <c r="M58" s="45" t="n">
        <f aca="false">M49+M50+M51+M52+M53+M54+M55+M56+M57</f>
        <v>480.685366659046</v>
      </c>
      <c r="N58" s="45" t="n">
        <f aca="false">N49+N50+N51+N52+N53+N54+N55+N56+N57</f>
        <v>587.529852274841</v>
      </c>
      <c r="O58" s="45" t="n">
        <f aca="false">O49+O50+O51+O52+O53+O54+O55+O56+O57</f>
        <v>727.74364895231</v>
      </c>
      <c r="P58" s="45" t="n">
        <f aca="false">P49+P50+P51+P52+P53+P54+P55+P56+P57</f>
        <v>886.862756342928</v>
      </c>
      <c r="Q58" s="45" t="n">
        <f aca="false">Q49+Q50+Q51+Q52+Q53+Q54+Q55+Q56+Q57</f>
        <v>1215.86619430159</v>
      </c>
      <c r="R58" s="45" t="n">
        <f aca="false">R49+R50+R51+R52+R53+R54+R55+R56+R57</f>
        <v>1453.7780236146</v>
      </c>
      <c r="S58" s="45" t="n">
        <f aca="false">S49+S50+S51+S52+S53+S54+S55+S56+S57</f>
        <v>1732.35052239013</v>
      </c>
      <c r="T58" s="45" t="n">
        <f aca="false">T49+T50+T51+T52+T53+T54+T55+T56+T57</f>
        <v>2097.19271163931</v>
      </c>
      <c r="U58" s="45" t="n">
        <f aca="false">U49+U50+U51+U52+U53+U54+U55+U56+U57</f>
        <v>2465.93472661386</v>
      </c>
      <c r="V58" s="45" t="n">
        <f aca="false">V49+V50+V51+V52+V53+V54+V55+V56+V57</f>
        <v>2839.74654737899</v>
      </c>
      <c r="W58" s="45" t="n">
        <f aca="false">W49+W50+W51+W52+W53+W54+W55+W56+W57</f>
        <v>3306.61714027536</v>
      </c>
      <c r="X58" s="45" t="n">
        <f aca="false">X49+X50+X51+X52+X53+X54+X55+X56+X57</f>
        <v>3758.93409719553</v>
      </c>
      <c r="Y58" s="45" t="n">
        <f aca="false">Y49+Y50+Y51+Y52+Y53+Y54+Y55+Y56+Y57</f>
        <v>4188.66489941323</v>
      </c>
      <c r="Z58" s="45" t="n">
        <f aca="false">Z49+Z50+Z51+Z52+Z53+Z54+Z55+Z56+Z57</f>
        <v>4695.29520586151</v>
      </c>
      <c r="AA58" s="45" t="n">
        <f aca="false">AA49+AA50+AA51+AA52+AA53+AA54+AA55+AA56+AA57</f>
        <v>5176.46043867151</v>
      </c>
      <c r="AB58" s="45" t="n">
        <f aca="false">AB49+AB50+AB51+AB52+AB53+AB54+AB55+AB56+AB57</f>
        <v>5635.09629364402</v>
      </c>
      <c r="AC58" s="45" t="n">
        <f aca="false">AC49+AC50+AC51+AC52+AC53+AC54+AC55+AC56+AC57</f>
        <v>6281.94070707496</v>
      </c>
      <c r="AD58" s="45" t="n">
        <f aca="false">AD49+AD50+AD51+AD52+AD53+AD54+AD55+AD56+AD57</f>
        <v>6915.7397040562</v>
      </c>
      <c r="AE58" s="45" t="n">
        <f aca="false">AE49+AE50+AE51+AE52+AE53+AE54+AE55+AE56+AE57</f>
        <v>7510.26313341563</v>
      </c>
      <c r="AF58" s="45" t="n">
        <f aca="false">AF49+AF50+AF51+AF52+AF53+AF54+AF55+AF56+AF57</f>
        <v>8233.64740108955</v>
      </c>
      <c r="AG58" s="45" t="n">
        <f aca="false">AG49+AG50+AG51+AG52+AG53+AG54+AG55+AG56+AG57</f>
        <v>8929.02613420067</v>
      </c>
      <c r="AH58" s="45" t="n">
        <f aca="false">AH49+AH50+AH51+AH52+AH53+AH54+AH55+AH56+AH57</f>
        <v>9573.29519716848</v>
      </c>
      <c r="AI58" s="45" t="n">
        <f aca="false">AI49+AI50+AI51+AI52+AI53+AI54+AI55+AI56+AI57</f>
        <v>10285.3491357168</v>
      </c>
      <c r="AJ58" s="45" t="n">
        <f aca="false">AJ49+AJ50+AJ51+AJ52+AJ53+AJ54+AJ55+AJ56+AJ57</f>
        <v>11035.7304630157</v>
      </c>
      <c r="AK58" s="45" t="n">
        <f aca="false">AK49+AK50+AK51+AK52+AK53+AK54+AK55+AK56+AK57</f>
        <v>11736.9916318052</v>
      </c>
      <c r="AL58" s="45" t="n">
        <f aca="false">AL49+AL50+AL51+AL52+AL53+AL54+AL55+AL56+AL57</f>
        <v>12538.0173043384</v>
      </c>
      <c r="AM58" s="45" t="n">
        <f aca="false">AM49+AM50+AM51+AM52+AM53+AM54+AM55+AM56+AM57</f>
        <v>13344.6130856766</v>
      </c>
      <c r="AN58" s="46" t="n">
        <f aca="false">AN49+AN50+AN51+AN52+AN53+AN54+AN55+AN56+AN57</f>
        <v>14085.0914283901</v>
      </c>
      <c r="AO58" s="46" t="n">
        <f aca="false">AO49+AO50+AO51+AO52+AO53+AO54+AO55+AO56+AO57</f>
        <v>14913.5531543552</v>
      </c>
      <c r="AP58" s="46" t="n">
        <f aca="false">AP49+AP50+AP51+AP52+AP53+AP54+AP55+AP56+AP57</f>
        <v>15747.0700074977</v>
      </c>
      <c r="AQ58" s="46" t="n">
        <f aca="false">AQ49+AQ50+AQ51+AQ52+AQ53+AQ54+AQ55+AQ56+AQ57</f>
        <v>16586.3757019283</v>
      </c>
      <c r="AR58" s="46" t="n">
        <f aca="false">AR49+AR50+AR51+AR52+AR53+AR54+AR55+AR56+AR57</f>
        <v>17431.7537235756</v>
      </c>
      <c r="AS58" s="46" t="n">
        <f aca="false">AS49+AS50+AS51+AS52+AS53+AS54+AS55+AS56+AS57</f>
        <v>18283.2072709155</v>
      </c>
      <c r="AT58" s="46" t="n">
        <f aca="false">AT49+AT50+AT51+AT52+AT53+AT54+AT55+AT56+AT57</f>
        <v>19136.9491296081</v>
      </c>
      <c r="AU58" s="46" t="n">
        <f aca="false">AU49+AU50+AU51+AU52+AU53+AU54+AU55+AU56+AU57</f>
        <v>19996.7274260017</v>
      </c>
      <c r="AV58" s="46" t="n">
        <f aca="false">AV49+AV50+AV51+AV52+AV53+AV54+AV55+AV56+AV57</f>
        <v>20862.036313754</v>
      </c>
      <c r="AW58" s="46" t="n">
        <f aca="false">AW49+AW50+AW51+AW52+AW53+AW54+AW55+AW56+AW57</f>
        <v>21728.7916334731</v>
      </c>
      <c r="AX58" s="46" t="n">
        <f aca="false">AX49+AX50+AX51+AX52+AX53+AX54+AX55+AX56+AX57</f>
        <v>22600.5802007976</v>
      </c>
      <c r="AY58" s="46" t="n">
        <f aca="false">AY49+AY50+AY51+AY52+AY53+AY54+AY55+AY56+AY57</f>
        <v>23476.8209446066</v>
      </c>
      <c r="AZ58" s="46" t="n">
        <f aca="false">AZ49+AZ50+AZ51+AZ52+AZ53+AZ54+AZ55+AZ56+AZ57</f>
        <v>24353.4085032245</v>
      </c>
      <c r="BA58" s="46" t="n">
        <f aca="false">BA49+BA50+BA51+BA52+BA53+BA54+BA55+BA56+BA57</f>
        <v>25230.3220360223</v>
      </c>
      <c r="BB58" s="46" t="n">
        <f aca="false">BB49+BB50+BB51+BB52+BB53+BB54+BB55+BB56+BB57</f>
        <v>26111.0282719317</v>
      </c>
      <c r="BC58" s="46" t="n">
        <f aca="false">BC49+BC50+BC51+BC52+BC53+BC54+BC55+BC56+BC57</f>
        <v>26991.282117485</v>
      </c>
      <c r="BD58" s="46" t="n">
        <f aca="false">BD49+BD50+BD51+BD52+BD53+BD54+BD55+BD56+BD57</f>
        <v>27870.996773484</v>
      </c>
      <c r="BE58" s="46" t="n">
        <f aca="false">BE49+BE50+BE51+BE52+BE53+BE54+BE55+BE56+BE57</f>
        <v>28753.6193572631</v>
      </c>
      <c r="BF58" s="46" t="n">
        <f aca="false">BF49+BF50+BF51+BF52+BF53+BF54+BF55+BF56+BF57</f>
        <v>29634.9137925339</v>
      </c>
      <c r="BG58" s="46" t="n">
        <f aca="false">BG49+BG50+BG51+BG52+BG53+BG54+BG55+BG56+BG57</f>
        <v>30514.8195103742</v>
      </c>
      <c r="BH58" s="46" t="n">
        <f aca="false">BH49+BH50+BH51+BH52+BH53+BH54+BH55+BH56+BH57</f>
        <v>31393.1999772676</v>
      </c>
      <c r="BI58" s="46" t="n">
        <f aca="false">BI49+BI50+BI51+BI52+BI53+BI54+BI55+BI56+BI57</f>
        <v>32269.8761578071</v>
      </c>
      <c r="BJ58" s="46" t="n">
        <f aca="false">BJ49+BJ50+BJ51+BJ52+BJ53+BJ54+BJ55+BJ56+BJ57</f>
        <v>33144.6478249196</v>
      </c>
      <c r="BK58" s="46" t="n">
        <f aca="false">BK49+BK50+BK51+BK52+BK53+BK54+BK55+BK56+BK57</f>
        <v>34017.3070004823</v>
      </c>
    </row>
    <row r="59" customFormat="false" ht="15" hidden="false" customHeight="false" outlineLevel="0" collapsed="false">
      <c r="A59" s="28" t="s">
        <v>631</v>
      </c>
      <c r="B59" s="5" t="s">
        <v>632</v>
      </c>
      <c r="C59" s="43"/>
      <c r="D59" s="45" t="n">
        <f aca="false">D46-D58</f>
        <v>0</v>
      </c>
      <c r="E59" s="45" t="n">
        <f aca="false">E46-E58</f>
        <v>0</v>
      </c>
      <c r="F59" s="45" t="n">
        <f aca="false">F46-F58</f>
        <v>0</v>
      </c>
      <c r="G59" s="45" t="n">
        <f aca="false">G46-G58</f>
        <v>0</v>
      </c>
      <c r="H59" s="45" t="n">
        <f aca="false">H46-H58</f>
        <v>-82.4251666666667</v>
      </c>
      <c r="I59" s="45" t="n">
        <f aca="false">I46-I58</f>
        <v>-140.313036666667</v>
      </c>
      <c r="J59" s="45" t="n">
        <f aca="false">J46-J58</f>
        <v>-167.21730805</v>
      </c>
      <c r="K59" s="45" t="n">
        <f aca="false">K46-K58</f>
        <v>-258.901149440333</v>
      </c>
      <c r="L59" s="45" t="n">
        <f aca="false">L46-L58</f>
        <v>-397.377164018638</v>
      </c>
      <c r="M59" s="45" t="n">
        <f aca="false">M46-M58</f>
        <v>-480.685366659046</v>
      </c>
      <c r="N59" s="45" t="n">
        <f aca="false">N46-N58</f>
        <v>-587.529852274841</v>
      </c>
      <c r="O59" s="45" t="n">
        <f aca="false">O46-O58</f>
        <v>-727.74364895231</v>
      </c>
      <c r="P59" s="45" t="n">
        <f aca="false">P46-P58</f>
        <v>-886.862756342928</v>
      </c>
      <c r="Q59" s="45" t="n">
        <f aca="false">Q46-Q58</f>
        <v>-653.366194301591</v>
      </c>
      <c r="R59" s="45" t="n">
        <f aca="false">R46-R58</f>
        <v>-610.028023614601</v>
      </c>
      <c r="S59" s="45" t="n">
        <f aca="false">S46-S58</f>
        <v>-574.418117541887</v>
      </c>
      <c r="T59" s="45" t="n">
        <f aca="false">T46-T58</f>
        <v>-321.11626458948</v>
      </c>
      <c r="U59" s="45" t="n">
        <f aca="false">U46-U58</f>
        <v>-50.2199417610582</v>
      </c>
      <c r="V59" s="45" t="n">
        <f aca="false">V46-V58</f>
        <v>235.95973058067</v>
      </c>
      <c r="W59" s="45" t="n">
        <f aca="false">W46-W58</f>
        <v>461.397720487927</v>
      </c>
      <c r="X59" s="45" t="n">
        <f aca="false">X46-X58</f>
        <v>730.198963356191</v>
      </c>
      <c r="Y59" s="45" t="n">
        <f aca="false">Y46-Y58</f>
        <v>1045.04108374201</v>
      </c>
      <c r="Z59" s="45" t="n">
        <f aca="false">Z46-Z58</f>
        <v>1315.53242819897</v>
      </c>
      <c r="AA59" s="45" t="n">
        <f aca="false">AA46-AA58</f>
        <v>1638.38705058999</v>
      </c>
      <c r="AB59" s="45" t="n">
        <f aca="false">AB46-AB58</f>
        <v>2004.88942183887</v>
      </c>
      <c r="AC59" s="45" t="n">
        <f aca="false">AC46-AC58</f>
        <v>2877.07286928635</v>
      </c>
      <c r="AD59" s="45" t="n">
        <f aca="false">AD46-AD58</f>
        <v>3581.92705069883</v>
      </c>
      <c r="AE59" s="45" t="n">
        <f aca="false">AE46-AE58</f>
        <v>4411.71251712628</v>
      </c>
      <c r="AF59" s="45" t="n">
        <f aca="false">AF46-AF58</f>
        <v>5492.37968048925</v>
      </c>
      <c r="AG59" s="45" t="n">
        <f aca="false">AG46-AG58</f>
        <v>6433.433299228</v>
      </c>
      <c r="AH59" s="45" t="n">
        <f aca="false">AH46-AH58</f>
        <v>7501.15587293324</v>
      </c>
      <c r="AI59" s="45" t="n">
        <f aca="false">AI46-AI58</f>
        <v>8302.9164276387</v>
      </c>
      <c r="AJ59" s="45" t="n">
        <f aca="false">AJ46-AJ58</f>
        <v>9107.25979483746</v>
      </c>
      <c r="AK59" s="45" t="n">
        <f aca="false">AK46-AK58</f>
        <v>9723.60207599946</v>
      </c>
      <c r="AL59" s="45" t="n">
        <f aca="false">AL46-AL58</f>
        <v>10559.4691731314</v>
      </c>
      <c r="AM59" s="45" t="n">
        <f aca="false">AM46-AM58</f>
        <v>11422.1734436429</v>
      </c>
      <c r="AN59" s="46" t="n">
        <f aca="false">AN46-AN58</f>
        <v>12105.5761190231</v>
      </c>
      <c r="AO59" s="46" t="n">
        <f aca="false">AO46-AO58</f>
        <v>13010.9380348571</v>
      </c>
      <c r="AP59" s="46" t="n">
        <f aca="false">AP46-AP58</f>
        <v>13937.6758608548</v>
      </c>
      <c r="AQ59" s="46" t="n">
        <f aca="false">AQ46-AQ58</f>
        <v>14883.0329633011</v>
      </c>
      <c r="AR59" s="46" t="n">
        <f aca="false">AR46-AR58</f>
        <v>15844.8933092099</v>
      </c>
      <c r="AS59" s="46" t="n">
        <f aca="false">AS46-AS58</f>
        <v>16821.5777858018</v>
      </c>
      <c r="AT59" s="46" t="n">
        <f aca="false">AT46-AT58</f>
        <v>17813.5526643697</v>
      </c>
      <c r="AU59" s="46" t="n">
        <f aca="false">AU46-AU58</f>
        <v>18816.8658661859</v>
      </c>
      <c r="AV59" s="46" t="n">
        <f aca="false">AV46-AV58</f>
        <v>19830.7603909573</v>
      </c>
      <c r="AW59" s="46" t="n">
        <f aca="false">AW46-AW58</f>
        <v>20856.3582870836</v>
      </c>
      <c r="AX59" s="46" t="n">
        <f aca="false">AX46-AX58</f>
        <v>21890.186418955</v>
      </c>
      <c r="AY59" s="46" t="n">
        <f aca="false">AY46-AY58</f>
        <v>22931.8483291858</v>
      </c>
      <c r="AZ59" s="46" t="n">
        <f aca="false">AZ46-AZ58</f>
        <v>23982.7464300996</v>
      </c>
      <c r="BA59" s="46" t="n">
        <f aca="false">BA46-BA58</f>
        <v>25041.4750582747</v>
      </c>
      <c r="BB59" s="46" t="n">
        <f aca="false">BB46-BB58</f>
        <v>26105.0333136323</v>
      </c>
      <c r="BC59" s="46" t="n">
        <f aca="false">BC46-BC58</f>
        <v>27175.2301138603</v>
      </c>
      <c r="BD59" s="46" t="n">
        <f aca="false">BD46-BD58</f>
        <v>28250.9654067134</v>
      </c>
      <c r="BE59" s="46" t="n">
        <f aca="false">BE46-BE58</f>
        <v>29329.475651774</v>
      </c>
      <c r="BF59" s="46" t="n">
        <f aca="false">BF46-BF58</f>
        <v>30412.7602744898</v>
      </c>
      <c r="BG59" s="46" t="n">
        <f aca="false">BG46-BG58</f>
        <v>31499.8769571462</v>
      </c>
      <c r="BH59" s="46" t="n">
        <f aca="false">BH46-BH58</f>
        <v>32590.0386500884</v>
      </c>
      <c r="BI59" s="46" t="n">
        <f aca="false">BI46-BI58</f>
        <v>33682.5706997565</v>
      </c>
      <c r="BJ59" s="46" t="n">
        <f aca="false">BJ46-BJ58</f>
        <v>34776.8822499112</v>
      </c>
      <c r="BK59" s="46" t="n">
        <f aca="false">BK46-BK58</f>
        <v>35872.4469696666</v>
      </c>
    </row>
    <row r="60" customFormat="false" ht="15" hidden="false" customHeight="false" outlineLevel="0" collapsed="false">
      <c r="B60" s="5" t="s">
        <v>633</v>
      </c>
    </row>
    <row r="61" customFormat="false" ht="15" hidden="false" customHeight="false" outlineLevel="0" collapsed="false">
      <c r="A61" s="28" t="s">
        <v>267</v>
      </c>
      <c r="B61" s="6" t="s">
        <v>634</v>
      </c>
      <c r="C61" s="47"/>
      <c r="D61" s="9" t="n">
        <f aca="false">Assumptions!$G$83*(1+Assumptions!$G$84)^INT(D7/12)</f>
        <v>17.95</v>
      </c>
      <c r="E61" s="9" t="n">
        <f aca="false">Assumptions!$G$83*(1+Assumptions!$G$84)^INT(E7/12)</f>
        <v>17.95</v>
      </c>
      <c r="F61" s="9" t="n">
        <f aca="false">Assumptions!$G$83*(1+Assumptions!$G$84)^INT(F7/12)</f>
        <v>17.95</v>
      </c>
      <c r="G61" s="9" t="n">
        <f aca="false">Assumptions!$G$83*(1+Assumptions!$G$84)^INT(G7/12)</f>
        <v>17.95</v>
      </c>
      <c r="H61" s="9" t="n">
        <f aca="false">Assumptions!$G$83*(1+Assumptions!$G$84)^INT(H7/12)</f>
        <v>17.95</v>
      </c>
      <c r="I61" s="9" t="n">
        <f aca="false">Assumptions!$G$83*(1+Assumptions!$G$84)^INT(I7/12)</f>
        <v>17.95</v>
      </c>
      <c r="J61" s="9" t="n">
        <f aca="false">Assumptions!$G$83*(1+Assumptions!$G$84)^INT(J7/12)</f>
        <v>17.95</v>
      </c>
      <c r="K61" s="9" t="n">
        <f aca="false">Assumptions!$G$83*(1+Assumptions!$G$84)^INT(K7/12)</f>
        <v>17.95</v>
      </c>
      <c r="L61" s="9" t="n">
        <f aca="false">Assumptions!$G$83*(1+Assumptions!$G$84)^INT(L7/12)</f>
        <v>17.95</v>
      </c>
      <c r="M61" s="9" t="n">
        <f aca="false">Assumptions!$G$83*(1+Assumptions!$G$84)^INT(M7/12)</f>
        <v>17.95</v>
      </c>
      <c r="N61" s="9" t="n">
        <f aca="false">Assumptions!$G$83*(1+Assumptions!$G$84)^INT(N7/12)</f>
        <v>17.95</v>
      </c>
      <c r="O61" s="9" t="n">
        <f aca="false">Assumptions!$G$83*(1+Assumptions!$G$84)^INT(O7/12)</f>
        <v>18.39875</v>
      </c>
      <c r="P61" s="9" t="n">
        <f aca="false">Assumptions!$G$83*(1+Assumptions!$G$84)^INT(P7/12)</f>
        <v>18.39875</v>
      </c>
      <c r="Q61" s="9" t="n">
        <f aca="false">Assumptions!$G$83*(1+Assumptions!$G$84)^INT(Q7/12)</f>
        <v>18.39875</v>
      </c>
      <c r="R61" s="9" t="n">
        <f aca="false">Assumptions!$G$83*(1+Assumptions!$G$84)^INT(R7/12)</f>
        <v>18.39875</v>
      </c>
      <c r="S61" s="9" t="n">
        <f aca="false">Assumptions!$G$83*(1+Assumptions!$G$84)^INT(S7/12)</f>
        <v>18.39875</v>
      </c>
      <c r="T61" s="9" t="n">
        <f aca="false">Assumptions!$G$83*(1+Assumptions!$G$84)^INT(T7/12)</f>
        <v>18.39875</v>
      </c>
      <c r="U61" s="9" t="n">
        <f aca="false">Assumptions!$G$83*(1+Assumptions!$G$84)^INT(U7/12)</f>
        <v>18.39875</v>
      </c>
      <c r="V61" s="9" t="n">
        <f aca="false">Assumptions!$G$83*(1+Assumptions!$G$84)^INT(V7/12)</f>
        <v>18.39875</v>
      </c>
      <c r="W61" s="9" t="n">
        <f aca="false">Assumptions!$G$83*(1+Assumptions!$G$84)^INT(W7/12)</f>
        <v>18.39875</v>
      </c>
      <c r="X61" s="9" t="n">
        <f aca="false">Assumptions!$G$83*(1+Assumptions!$G$84)^INT(X7/12)</f>
        <v>18.39875</v>
      </c>
      <c r="Y61" s="9" t="n">
        <f aca="false">Assumptions!$G$83*(1+Assumptions!$G$84)^INT(Y7/12)</f>
        <v>18.39875</v>
      </c>
      <c r="Z61" s="9" t="n">
        <f aca="false">Assumptions!$G$83*(1+Assumptions!$G$84)^INT(Z7/12)</f>
        <v>18.39875</v>
      </c>
      <c r="AA61" s="9" t="n">
        <f aca="false">Assumptions!$G$83*(1+Assumptions!$G$84)^INT(AA7/12)</f>
        <v>18.85871875</v>
      </c>
      <c r="AB61" s="9" t="n">
        <f aca="false">Assumptions!$G$83*(1+Assumptions!$G$84)^INT(AB7/12)</f>
        <v>18.85871875</v>
      </c>
      <c r="AC61" s="9" t="n">
        <f aca="false">Assumptions!$G$83*(1+Assumptions!$G$84)^INT(AC7/12)</f>
        <v>18.85871875</v>
      </c>
      <c r="AD61" s="9" t="n">
        <f aca="false">Assumptions!$G$83*(1+Assumptions!$G$84)^INT(AD7/12)</f>
        <v>18.85871875</v>
      </c>
      <c r="AE61" s="9" t="n">
        <f aca="false">Assumptions!$G$83*(1+Assumptions!$G$84)^INT(AE7/12)</f>
        <v>18.85871875</v>
      </c>
      <c r="AF61" s="9" t="n">
        <f aca="false">Assumptions!$G$83*(1+Assumptions!$G$84)^INT(AF7/12)</f>
        <v>18.85871875</v>
      </c>
      <c r="AG61" s="9" t="n">
        <f aca="false">Assumptions!$G$83*(1+Assumptions!$G$84)^INT(AG7/12)</f>
        <v>18.85871875</v>
      </c>
      <c r="AH61" s="9" t="n">
        <f aca="false">Assumptions!$G$83*(1+Assumptions!$G$84)^INT(AH7/12)</f>
        <v>18.85871875</v>
      </c>
      <c r="AI61" s="9" t="n">
        <f aca="false">Assumptions!$G$83*(1+Assumptions!$G$84)^INT(AI7/12)</f>
        <v>18.85871875</v>
      </c>
      <c r="AJ61" s="9" t="n">
        <f aca="false">Assumptions!$G$83*(1+Assumptions!$G$84)^INT(AJ7/12)</f>
        <v>18.85871875</v>
      </c>
      <c r="AK61" s="9" t="n">
        <f aca="false">Assumptions!$G$83*(1+Assumptions!$G$84)^INT(AK7/12)</f>
        <v>18.85871875</v>
      </c>
      <c r="AL61" s="9" t="n">
        <f aca="false">Assumptions!$G$83*(1+Assumptions!$G$84)^INT(AL7/12)</f>
        <v>18.85871875</v>
      </c>
      <c r="AM61" s="9" t="n">
        <f aca="false">Assumptions!$G$83*(1+Assumptions!$G$84)^INT(AM7/12)</f>
        <v>19.33018671875</v>
      </c>
      <c r="AN61" s="48" t="n">
        <f aca="false">Assumptions!$G$83*(1+Assumptions!$G$84)^INT(AN7/12)</f>
        <v>19.33018671875</v>
      </c>
      <c r="AO61" s="48" t="n">
        <f aca="false">Assumptions!$G$83*(1+Assumptions!$G$84)^INT(AO7/12)</f>
        <v>19.33018671875</v>
      </c>
      <c r="AP61" s="48" t="n">
        <f aca="false">Assumptions!$G$83*(1+Assumptions!$G$84)^INT(AP7/12)</f>
        <v>19.33018671875</v>
      </c>
      <c r="AQ61" s="48" t="n">
        <f aca="false">Assumptions!$G$83*(1+Assumptions!$G$84)^INT(AQ7/12)</f>
        <v>19.33018671875</v>
      </c>
      <c r="AR61" s="48" t="n">
        <f aca="false">Assumptions!$G$83*(1+Assumptions!$G$84)^INT(AR7/12)</f>
        <v>19.33018671875</v>
      </c>
      <c r="AS61" s="48" t="n">
        <f aca="false">Assumptions!$G$83*(1+Assumptions!$G$84)^INT(AS7/12)</f>
        <v>19.33018671875</v>
      </c>
      <c r="AT61" s="48" t="n">
        <f aca="false">Assumptions!$G$83*(1+Assumptions!$G$84)^INT(AT7/12)</f>
        <v>19.33018671875</v>
      </c>
      <c r="AU61" s="48" t="n">
        <f aca="false">Assumptions!$G$83*(1+Assumptions!$G$84)^INT(AU7/12)</f>
        <v>19.33018671875</v>
      </c>
      <c r="AV61" s="48" t="n">
        <f aca="false">Assumptions!$G$83*(1+Assumptions!$G$84)^INT(AV7/12)</f>
        <v>19.33018671875</v>
      </c>
      <c r="AW61" s="48" t="n">
        <f aca="false">Assumptions!$G$83*(1+Assumptions!$G$84)^INT(AW7/12)</f>
        <v>19.33018671875</v>
      </c>
      <c r="AX61" s="48" t="n">
        <f aca="false">Assumptions!$G$83*(1+Assumptions!$G$84)^INT(AX7/12)</f>
        <v>19.33018671875</v>
      </c>
      <c r="AY61" s="48" t="n">
        <f aca="false">Assumptions!$G$83*(1+Assumptions!$G$84)^INT(AY7/12)</f>
        <v>19.8134413867187</v>
      </c>
      <c r="AZ61" s="48" t="n">
        <f aca="false">Assumptions!$G$83*(1+Assumptions!$G$84)^INT(AZ7/12)</f>
        <v>19.8134413867187</v>
      </c>
      <c r="BA61" s="48" t="n">
        <f aca="false">Assumptions!$G$83*(1+Assumptions!$G$84)^INT(BA7/12)</f>
        <v>19.8134413867187</v>
      </c>
      <c r="BB61" s="48" t="n">
        <f aca="false">Assumptions!$G$83*(1+Assumptions!$G$84)^INT(BB7/12)</f>
        <v>19.8134413867187</v>
      </c>
      <c r="BC61" s="48" t="n">
        <f aca="false">Assumptions!$G$83*(1+Assumptions!$G$84)^INT(BC7/12)</f>
        <v>19.8134413867187</v>
      </c>
      <c r="BD61" s="48" t="n">
        <f aca="false">Assumptions!$G$83*(1+Assumptions!$G$84)^INT(BD7/12)</f>
        <v>19.8134413867187</v>
      </c>
      <c r="BE61" s="48" t="n">
        <f aca="false">Assumptions!$G$83*(1+Assumptions!$G$84)^INT(BE7/12)</f>
        <v>19.8134413867187</v>
      </c>
      <c r="BF61" s="48" t="n">
        <f aca="false">Assumptions!$G$83*(1+Assumptions!$G$84)^INT(BF7/12)</f>
        <v>19.8134413867187</v>
      </c>
      <c r="BG61" s="48" t="n">
        <f aca="false">Assumptions!$G$83*(1+Assumptions!$G$84)^INT(BG7/12)</f>
        <v>19.8134413867187</v>
      </c>
      <c r="BH61" s="48" t="n">
        <f aca="false">Assumptions!$G$83*(1+Assumptions!$G$84)^INT(BH7/12)</f>
        <v>19.8134413867187</v>
      </c>
      <c r="BI61" s="48" t="n">
        <f aca="false">Assumptions!$G$83*(1+Assumptions!$G$84)^INT(BI7/12)</f>
        <v>19.8134413867187</v>
      </c>
      <c r="BJ61" s="48" t="n">
        <f aca="false">Assumptions!$G$83*(1+Assumptions!$G$84)^INT(BJ7/12)</f>
        <v>19.8134413867187</v>
      </c>
      <c r="BK61" s="48" t="n">
        <f aca="false">Assumptions!$G$83*(1+Assumptions!$G$84)^INT(BK7/12)</f>
        <v>20.3087774213867</v>
      </c>
    </row>
    <row r="62" customFormat="false" ht="15" hidden="false" customHeight="false" outlineLevel="0" collapsed="false">
      <c r="A62" s="28" t="s">
        <v>635</v>
      </c>
      <c r="B62" s="6" t="s">
        <v>636</v>
      </c>
      <c r="C62" s="43"/>
      <c r="D62" s="17" t="n">
        <f aca="false">D11*Assumptions!$G$86*D61*(1+Assumptions!$G$85)*Assumptions!$G$91</f>
        <v>0</v>
      </c>
      <c r="E62" s="17" t="n">
        <f aca="false">E11*Assumptions!$G$86*E61*(1+Assumptions!$G$85)*Assumptions!$G$91</f>
        <v>0</v>
      </c>
      <c r="F62" s="17" t="n">
        <f aca="false">F11*Assumptions!$G$86*F61*(1+Assumptions!$G$85)*Assumptions!$G$91</f>
        <v>0</v>
      </c>
      <c r="G62" s="17" t="n">
        <f aca="false">G11*Assumptions!$G$86*G61*(1+Assumptions!$G$85)*Assumptions!$G$91</f>
        <v>0</v>
      </c>
      <c r="H62" s="17" t="n">
        <f aca="false">H11*Assumptions!$G$86*H61*(1+Assumptions!$G$85)*Assumptions!$G$91</f>
        <v>385.3865</v>
      </c>
      <c r="I62" s="17" t="n">
        <f aca="false">I11*Assumptions!$G$86*I61*(1+Assumptions!$G$85)*Assumptions!$G$91</f>
        <v>339.14012</v>
      </c>
      <c r="J62" s="17" t="n">
        <f aca="false">J11*Assumptions!$G$86*J61*(1+Assumptions!$G$85)*Assumptions!$G$91</f>
        <v>231.2319</v>
      </c>
      <c r="K62" s="17" t="n">
        <f aca="false">K11*Assumptions!$G$86*K61*(1+Assumptions!$G$85)*Assumptions!$G$91</f>
        <v>539.5411</v>
      </c>
      <c r="L62" s="17" t="n">
        <f aca="false">L11*Assumptions!$G$86*L61*(1+Assumptions!$G$85)*Assumptions!$G$91</f>
        <v>817.01938</v>
      </c>
      <c r="M62" s="17" t="n">
        <f aca="false">M11*Assumptions!$G$86*M61*(1+Assumptions!$G$85)*Assumptions!$G$91</f>
        <v>647.44932</v>
      </c>
      <c r="N62" s="17" t="n">
        <f aca="false">N11*Assumptions!$G$86*N61*(1+Assumptions!$G$85)*Assumptions!$G$91</f>
        <v>786.18846</v>
      </c>
      <c r="O62" s="17" t="n">
        <f aca="false">O11*Assumptions!$G$86*O61*(1+Assumptions!$G$85)*Assumptions!$G$91</f>
        <v>1011.254176</v>
      </c>
      <c r="P62" s="17" t="n">
        <f aca="false">P11*Assumptions!$G$86*P61*(1+Assumptions!$G$85)*Assumptions!$G$91</f>
        <v>1169.262641</v>
      </c>
      <c r="Q62" s="17" t="n">
        <f aca="false">Q11*Assumptions!$G$86*Q61*(1+Assumptions!$G$85)*Assumptions!$G$91</f>
        <v>1248.2668735</v>
      </c>
      <c r="R62" s="17" t="n">
        <f aca="false">R11*Assumptions!$G$86*R61*(1+Assumptions!$G$85)*Assumptions!$G$91</f>
        <v>1279.8685665</v>
      </c>
      <c r="S62" s="17" t="n">
        <f aca="false">S11*Assumptions!$G$86*S61*(1+Assumptions!$G$85)*Assumptions!$G$91</f>
        <v>1358.872799</v>
      </c>
      <c r="T62" s="17" t="n">
        <f aca="false">T11*Assumptions!$G$86*T61*(1+Assumptions!$G$85)*Assumptions!$G$91</f>
        <v>1374.6736455</v>
      </c>
      <c r="U62" s="17" t="n">
        <f aca="false">U11*Assumptions!$G$86*U61*(1+Assumptions!$G$85)*Assumptions!$G$91</f>
        <v>1390.474492</v>
      </c>
      <c r="V62" s="17" t="n">
        <f aca="false">V11*Assumptions!$G$86*V61*(1+Assumptions!$G$85)*Assumptions!$G$91</f>
        <v>1406.2753385</v>
      </c>
      <c r="W62" s="17" t="n">
        <f aca="false">W11*Assumptions!$G$86*W61*(1+Assumptions!$G$85)*Assumptions!$G$91</f>
        <v>1817.0973475</v>
      </c>
      <c r="X62" s="17" t="n">
        <f aca="false">X11*Assumptions!$G$86*X61*(1+Assumptions!$G$85)*Assumptions!$G$91</f>
        <v>1785.4956545</v>
      </c>
      <c r="Y62" s="17" t="n">
        <f aca="false">Y11*Assumptions!$G$86*Y61*(1+Assumptions!$G$85)*Assumptions!$G$91</f>
        <v>1690.6905755</v>
      </c>
      <c r="Z62" s="17" t="n">
        <f aca="false">Z11*Assumptions!$G$86*Z61*(1+Assumptions!$G$85)*Assumptions!$G$91</f>
        <v>2022.508352</v>
      </c>
      <c r="AA62" s="17" t="n">
        <f aca="false">AA11*Assumptions!$G$86*AA61*(1+Assumptions!$G$85)*Assumptions!$G$91</f>
        <v>1975.895854825</v>
      </c>
      <c r="AB62" s="17" t="n">
        <f aca="false">AB11*Assumptions!$G$86*AB61*(1+Assumptions!$G$85)*Assumptions!$G$91</f>
        <v>1862.5247811875</v>
      </c>
      <c r="AC62" s="17" t="n">
        <f aca="false">AC11*Assumptions!$G$86*AC61*(1+Assumptions!$G$85)*Assumptions!$G$91</f>
        <v>2137.85453145</v>
      </c>
      <c r="AD62" s="17" t="n">
        <f aca="false">AD11*Assumptions!$G$86*AD61*(1+Assumptions!$G$85)*Assumptions!$G$91</f>
        <v>2445.5760170375</v>
      </c>
      <c r="AE62" s="17" t="n">
        <f aca="false">AE11*Assumptions!$G$86*AE61*(1+Assumptions!$G$85)*Assumptions!$G$91</f>
        <v>2267.42147275</v>
      </c>
      <c r="AF62" s="17" t="n">
        <f aca="false">AF11*Assumptions!$G$86*AF61*(1+Assumptions!$G$85)*Assumptions!$G$91</f>
        <v>2429.380149375</v>
      </c>
      <c r="AG62" s="17" t="n">
        <f aca="false">AG11*Assumptions!$G$86*AG61*(1+Assumptions!$G$85)*Assumptions!$G$91</f>
        <v>2656.12229665</v>
      </c>
      <c r="AH62" s="17" t="n">
        <f aca="false">AH11*Assumptions!$G$86*AH61*(1+Assumptions!$G$85)*Assumptions!$G$91</f>
        <v>2413.1842817125</v>
      </c>
      <c r="AI62" s="17" t="n">
        <f aca="false">AI11*Assumptions!$G$86*AI61*(1+Assumptions!$G$85)*Assumptions!$G$91</f>
        <v>2542.7512230125</v>
      </c>
      <c r="AJ62" s="17" t="n">
        <f aca="false">AJ11*Assumptions!$G$86*AJ61*(1+Assumptions!$G$85)*Assumptions!$G$91</f>
        <v>2704.7098996375</v>
      </c>
      <c r="AK62" s="17" t="n">
        <f aca="false">AK11*Assumptions!$G$86*AK61*(1+Assumptions!$G$85)*Assumptions!$G$91</f>
        <v>2866.6685762625</v>
      </c>
      <c r="AL62" s="17" t="n">
        <f aca="false">AL11*Assumptions!$G$86*AL61*(1+Assumptions!$G$85)*Assumptions!$G$91</f>
        <v>2947.647914575</v>
      </c>
      <c r="AM62" s="17" t="n">
        <f aca="false">AM11*Assumptions!$G$86*AM61*(1+Assumptions!$G$85)*Assumptions!$G$91</f>
        <v>3054.5406411475</v>
      </c>
      <c r="AN62" s="44" t="n">
        <f aca="false">AN11*Assumptions!$G$86*AN61*(1+Assumptions!$G$85)*Assumptions!$G$91</f>
        <v>3137.54446291781</v>
      </c>
      <c r="AO62" s="44" t="n">
        <f aca="false">AO11*Assumptions!$G$86*AO61*(1+Assumptions!$G$85)*Assumptions!$G$91</f>
        <v>3154.14522727187</v>
      </c>
      <c r="AP62" s="44" t="n">
        <f aca="false">AP11*Assumptions!$G$86*AP61*(1+Assumptions!$G$85)*Assumptions!$G$91</f>
        <v>3170.74599162594</v>
      </c>
      <c r="AQ62" s="44" t="n">
        <f aca="false">AQ11*Assumptions!$G$86*AQ61*(1+Assumptions!$G$85)*Assumptions!$G$91</f>
        <v>3187.34675598</v>
      </c>
      <c r="AR62" s="44" t="n">
        <f aca="false">AR11*Assumptions!$G$86*AR61*(1+Assumptions!$G$85)*Assumptions!$G$91</f>
        <v>3203.94752033406</v>
      </c>
      <c r="AS62" s="44" t="n">
        <f aca="false">AS11*Assumptions!$G$86*AS61*(1+Assumptions!$G$85)*Assumptions!$G$91</f>
        <v>3220.54828468812</v>
      </c>
      <c r="AT62" s="44" t="n">
        <f aca="false">AT11*Assumptions!$G$86*AT61*(1+Assumptions!$G$85)*Assumptions!$G$91</f>
        <v>3220.54828468812</v>
      </c>
      <c r="AU62" s="44" t="n">
        <f aca="false">AU11*Assumptions!$G$86*AU61*(1+Assumptions!$G$85)*Assumptions!$G$91</f>
        <v>3237.14904904219</v>
      </c>
      <c r="AV62" s="44" t="n">
        <f aca="false">AV11*Assumptions!$G$86*AV61*(1+Assumptions!$G$85)*Assumptions!$G$91</f>
        <v>3253.74981339625</v>
      </c>
      <c r="AW62" s="44" t="n">
        <f aca="false">AW11*Assumptions!$G$86*AW61*(1+Assumptions!$G$85)*Assumptions!$G$91</f>
        <v>3253.74981339625</v>
      </c>
      <c r="AX62" s="44" t="n">
        <f aca="false">AX11*Assumptions!$G$86*AX61*(1+Assumptions!$G$85)*Assumptions!$G$91</f>
        <v>3270.35057775031</v>
      </c>
      <c r="AY62" s="44" t="n">
        <f aca="false">AY11*Assumptions!$G$86*AY61*(1+Assumptions!$G$85)*Assumptions!$G$91</f>
        <v>3369.12512565698</v>
      </c>
      <c r="AZ62" s="44" t="n">
        <f aca="false">AZ11*Assumptions!$G$86*AZ61*(1+Assumptions!$G$85)*Assumptions!$G$91</f>
        <v>3369.12512565698</v>
      </c>
      <c r="BA62" s="44" t="n">
        <f aca="false">BA11*Assumptions!$G$86*BA61*(1+Assumptions!$G$85)*Assumptions!$G$91</f>
        <v>3369.12512565698</v>
      </c>
      <c r="BB62" s="44" t="n">
        <f aca="false">BB11*Assumptions!$G$86*BB61*(1+Assumptions!$G$85)*Assumptions!$G$91</f>
        <v>3386.1409091199</v>
      </c>
      <c r="BC62" s="44" t="n">
        <f aca="false">BC11*Assumptions!$G$86*BC61*(1+Assumptions!$G$85)*Assumptions!$G$91</f>
        <v>3386.1409091199</v>
      </c>
      <c r="BD62" s="44" t="n">
        <f aca="false">BD11*Assumptions!$G$86*BD61*(1+Assumptions!$G$85)*Assumptions!$G$91</f>
        <v>3386.1409091199</v>
      </c>
      <c r="BE62" s="44" t="n">
        <f aca="false">BE11*Assumptions!$G$86*BE61*(1+Assumptions!$G$85)*Assumptions!$G$91</f>
        <v>3403.15669258281</v>
      </c>
      <c r="BF62" s="44" t="n">
        <f aca="false">BF11*Assumptions!$G$86*BF61*(1+Assumptions!$G$85)*Assumptions!$G$91</f>
        <v>3403.15669258281</v>
      </c>
      <c r="BG62" s="44" t="n">
        <f aca="false">BG11*Assumptions!$G$86*BG61*(1+Assumptions!$G$85)*Assumptions!$G$91</f>
        <v>3403.15669258281</v>
      </c>
      <c r="BH62" s="44" t="n">
        <f aca="false">BH11*Assumptions!$G$86*BH61*(1+Assumptions!$G$85)*Assumptions!$G$91</f>
        <v>3403.15669258281</v>
      </c>
      <c r="BI62" s="44" t="n">
        <f aca="false">BI11*Assumptions!$G$86*BI61*(1+Assumptions!$G$85)*Assumptions!$G$91</f>
        <v>3403.15669258281</v>
      </c>
      <c r="BJ62" s="44" t="n">
        <f aca="false">BJ11*Assumptions!$G$86*BJ61*(1+Assumptions!$G$85)*Assumptions!$G$91</f>
        <v>3403.15669258281</v>
      </c>
      <c r="BK62" s="44" t="n">
        <f aca="false">BK11*Assumptions!$G$86*BK61*(1+Assumptions!$G$85)*Assumptions!$G$91</f>
        <v>3488.23560989738</v>
      </c>
    </row>
    <row r="63" customFormat="false" ht="15" hidden="false" customHeight="false" outlineLevel="0" collapsed="false">
      <c r="A63" s="28" t="s">
        <v>637</v>
      </c>
      <c r="B63" s="6" t="s">
        <v>638</v>
      </c>
      <c r="C63" s="43"/>
      <c r="D63" s="17" t="n">
        <f aca="false">D14*Assumptions!$G$87*(1+Assumptions!$G$85)*Assumptions!$G$91</f>
        <v>0</v>
      </c>
      <c r="E63" s="17" t="n">
        <f aca="false">E14*Assumptions!$G$87*(1+Assumptions!$G$85)*Assumptions!$G$91</f>
        <v>0</v>
      </c>
      <c r="F63" s="17" t="n">
        <f aca="false">F14*Assumptions!$G$87*(1+Assumptions!$G$85)*Assumptions!$G$91</f>
        <v>0</v>
      </c>
      <c r="G63" s="17" t="n">
        <f aca="false">G14*Assumptions!$G$87*(1+Assumptions!$G$85)*Assumptions!$G$91</f>
        <v>0</v>
      </c>
      <c r="H63" s="17" t="n">
        <f aca="false">H14*Assumptions!$G$87*(1+Assumptions!$G$85)*Assumptions!$G$91</f>
        <v>187.8625</v>
      </c>
      <c r="I63" s="17" t="n">
        <f aca="false">I14*Assumptions!$G$87*(1+Assumptions!$G$85)*Assumptions!$G$91</f>
        <v>165.319</v>
      </c>
      <c r="J63" s="17" t="n">
        <f aca="false">J14*Assumptions!$G$87*(1+Assumptions!$G$85)*Assumptions!$G$91</f>
        <v>112.7175</v>
      </c>
      <c r="K63" s="17" t="n">
        <f aca="false">K14*Assumptions!$G$87*(1+Assumptions!$G$85)*Assumptions!$G$91</f>
        <v>263.0075</v>
      </c>
      <c r="L63" s="17" t="n">
        <f aca="false">L14*Assumptions!$G$87*(1+Assumptions!$G$85)*Assumptions!$G$91</f>
        <v>398.2685</v>
      </c>
      <c r="M63" s="17" t="n">
        <f aca="false">M14*Assumptions!$G$87*(1+Assumptions!$G$85)*Assumptions!$G$91</f>
        <v>315.609</v>
      </c>
      <c r="N63" s="17" t="n">
        <f aca="false">N14*Assumptions!$G$87*(1+Assumptions!$G$85)*Assumptions!$G$91</f>
        <v>383.2395</v>
      </c>
      <c r="O63" s="17" t="n">
        <f aca="false">O14*Assumptions!$G$87*(1+Assumptions!$G$85)*Assumptions!$G$91</f>
        <v>480.928</v>
      </c>
      <c r="P63" s="17" t="n">
        <f aca="false">P14*Assumptions!$G$87*(1+Assumptions!$G$85)*Assumptions!$G$91</f>
        <v>556.073</v>
      </c>
      <c r="Q63" s="17" t="n">
        <f aca="false">Q14*Assumptions!$G$87*(1+Assumptions!$G$85)*Assumptions!$G$91</f>
        <v>593.6455</v>
      </c>
      <c r="R63" s="17" t="n">
        <f aca="false">R14*Assumptions!$G$87*(1+Assumptions!$G$85)*Assumptions!$G$91</f>
        <v>608.6745</v>
      </c>
      <c r="S63" s="17" t="n">
        <f aca="false">S14*Assumptions!$G$87*(1+Assumptions!$G$85)*Assumptions!$G$91</f>
        <v>646.247</v>
      </c>
      <c r="T63" s="17" t="n">
        <f aca="false">T14*Assumptions!$G$87*(1+Assumptions!$G$85)*Assumptions!$G$91</f>
        <v>653.7615</v>
      </c>
      <c r="U63" s="17" t="n">
        <f aca="false">U14*Assumptions!$G$87*(1+Assumptions!$G$85)*Assumptions!$G$91</f>
        <v>661.276</v>
      </c>
      <c r="V63" s="17" t="n">
        <f aca="false">V14*Assumptions!$G$87*(1+Assumptions!$G$85)*Assumptions!$G$91</f>
        <v>668.7905</v>
      </c>
      <c r="W63" s="17" t="n">
        <f aca="false">W14*Assumptions!$G$87*(1+Assumptions!$G$85)*Assumptions!$G$91</f>
        <v>864.1675</v>
      </c>
      <c r="X63" s="17" t="n">
        <f aca="false">X14*Assumptions!$G$87*(1+Assumptions!$G$85)*Assumptions!$G$91</f>
        <v>849.1385</v>
      </c>
      <c r="Y63" s="17" t="n">
        <f aca="false">Y14*Assumptions!$G$87*(1+Assumptions!$G$85)*Assumptions!$G$91</f>
        <v>804.0515</v>
      </c>
      <c r="Z63" s="17" t="n">
        <f aca="false">Z14*Assumptions!$G$87*(1+Assumptions!$G$85)*Assumptions!$G$91</f>
        <v>961.856</v>
      </c>
      <c r="AA63" s="17" t="n">
        <f aca="false">AA14*Assumptions!$G$87*(1+Assumptions!$G$85)*Assumptions!$G$91</f>
        <v>916.769</v>
      </c>
      <c r="AB63" s="17" t="n">
        <f aca="false">AB14*Assumptions!$G$87*(1+Assumptions!$G$85)*Assumptions!$G$91</f>
        <v>864.1675</v>
      </c>
      <c r="AC63" s="17" t="n">
        <f aca="false">AC14*Assumptions!$G$87*(1+Assumptions!$G$85)*Assumptions!$G$91</f>
        <v>991.914</v>
      </c>
      <c r="AD63" s="17" t="n">
        <f aca="false">AD14*Assumptions!$G$87*(1+Assumptions!$G$85)*Assumptions!$G$91</f>
        <v>1134.6895</v>
      </c>
      <c r="AE63" s="17" t="n">
        <f aca="false">AE14*Assumptions!$G$87*(1+Assumptions!$G$85)*Assumptions!$G$91</f>
        <v>1052.03</v>
      </c>
      <c r="AF63" s="17" t="n">
        <f aca="false">AF14*Assumptions!$G$87*(1+Assumptions!$G$85)*Assumptions!$G$91</f>
        <v>1127.175</v>
      </c>
      <c r="AG63" s="17" t="n">
        <f aca="false">AG14*Assumptions!$G$87*(1+Assumptions!$G$85)*Assumptions!$G$91</f>
        <v>1232.378</v>
      </c>
      <c r="AH63" s="17" t="n">
        <f aca="false">AH14*Assumptions!$G$87*(1+Assumptions!$G$85)*Assumptions!$G$91</f>
        <v>1119.6605</v>
      </c>
      <c r="AI63" s="17" t="n">
        <f aca="false">AI14*Assumptions!$G$87*(1+Assumptions!$G$85)*Assumptions!$G$91</f>
        <v>1179.7765</v>
      </c>
      <c r="AJ63" s="17" t="n">
        <f aca="false">AJ14*Assumptions!$G$87*(1+Assumptions!$G$85)*Assumptions!$G$91</f>
        <v>1254.9215</v>
      </c>
      <c r="AK63" s="17" t="n">
        <f aca="false">AK14*Assumptions!$G$87*(1+Assumptions!$G$85)*Assumptions!$G$91</f>
        <v>1330.0665</v>
      </c>
      <c r="AL63" s="17" t="n">
        <f aca="false">AL14*Assumptions!$G$87*(1+Assumptions!$G$85)*Assumptions!$G$91</f>
        <v>1367.639</v>
      </c>
      <c r="AM63" s="17" t="n">
        <f aca="false">AM14*Assumptions!$G$87*(1+Assumptions!$G$85)*Assumptions!$G$91</f>
        <v>1382.668</v>
      </c>
      <c r="AN63" s="44" t="n">
        <f aca="false">AN14*Assumptions!$G$87*(1+Assumptions!$G$85)*Assumptions!$G$91</f>
        <v>1420.2405</v>
      </c>
      <c r="AO63" s="44" t="n">
        <f aca="false">AO14*Assumptions!$G$87*(1+Assumptions!$G$85)*Assumptions!$G$91</f>
        <v>1427.755</v>
      </c>
      <c r="AP63" s="44" t="n">
        <f aca="false">AP14*Assumptions!$G$87*(1+Assumptions!$G$85)*Assumptions!$G$91</f>
        <v>1435.2695</v>
      </c>
      <c r="AQ63" s="44" t="n">
        <f aca="false">AQ14*Assumptions!$G$87*(1+Assumptions!$G$85)*Assumptions!$G$91</f>
        <v>1442.784</v>
      </c>
      <c r="AR63" s="44" t="n">
        <f aca="false">AR14*Assumptions!$G$87*(1+Assumptions!$G$85)*Assumptions!$G$91</f>
        <v>1450.2985</v>
      </c>
      <c r="AS63" s="44" t="n">
        <f aca="false">AS14*Assumptions!$G$87*(1+Assumptions!$G$85)*Assumptions!$G$91</f>
        <v>1457.813</v>
      </c>
      <c r="AT63" s="44" t="n">
        <f aca="false">AT14*Assumptions!$G$87*(1+Assumptions!$G$85)*Assumptions!$G$91</f>
        <v>1457.813</v>
      </c>
      <c r="AU63" s="44" t="n">
        <f aca="false">AU14*Assumptions!$G$87*(1+Assumptions!$G$85)*Assumptions!$G$91</f>
        <v>1465.3275</v>
      </c>
      <c r="AV63" s="44" t="n">
        <f aca="false">AV14*Assumptions!$G$87*(1+Assumptions!$G$85)*Assumptions!$G$91</f>
        <v>1472.842</v>
      </c>
      <c r="AW63" s="44" t="n">
        <f aca="false">AW14*Assumptions!$G$87*(1+Assumptions!$G$85)*Assumptions!$G$91</f>
        <v>1472.842</v>
      </c>
      <c r="AX63" s="44" t="n">
        <f aca="false">AX14*Assumptions!$G$87*(1+Assumptions!$G$85)*Assumptions!$G$91</f>
        <v>1480.3565</v>
      </c>
      <c r="AY63" s="44" t="n">
        <f aca="false">AY14*Assumptions!$G$87*(1+Assumptions!$G$85)*Assumptions!$G$91</f>
        <v>1487.871</v>
      </c>
      <c r="AZ63" s="44" t="n">
        <f aca="false">AZ14*Assumptions!$G$87*(1+Assumptions!$G$85)*Assumptions!$G$91</f>
        <v>1487.871</v>
      </c>
      <c r="BA63" s="44" t="n">
        <f aca="false">BA14*Assumptions!$G$87*(1+Assumptions!$G$85)*Assumptions!$G$91</f>
        <v>1487.871</v>
      </c>
      <c r="BB63" s="44" t="n">
        <f aca="false">BB14*Assumptions!$G$87*(1+Assumptions!$G$85)*Assumptions!$G$91</f>
        <v>1495.3855</v>
      </c>
      <c r="BC63" s="44" t="n">
        <f aca="false">BC14*Assumptions!$G$87*(1+Assumptions!$G$85)*Assumptions!$G$91</f>
        <v>1495.3855</v>
      </c>
      <c r="BD63" s="44" t="n">
        <f aca="false">BD14*Assumptions!$G$87*(1+Assumptions!$G$85)*Assumptions!$G$91</f>
        <v>1495.3855</v>
      </c>
      <c r="BE63" s="44" t="n">
        <f aca="false">BE14*Assumptions!$G$87*(1+Assumptions!$G$85)*Assumptions!$G$91</f>
        <v>1502.9</v>
      </c>
      <c r="BF63" s="44" t="n">
        <f aca="false">BF14*Assumptions!$G$87*(1+Assumptions!$G$85)*Assumptions!$G$91</f>
        <v>1502.9</v>
      </c>
      <c r="BG63" s="44" t="n">
        <f aca="false">BG14*Assumptions!$G$87*(1+Assumptions!$G$85)*Assumptions!$G$91</f>
        <v>1502.9</v>
      </c>
      <c r="BH63" s="44" t="n">
        <f aca="false">BH14*Assumptions!$G$87*(1+Assumptions!$G$85)*Assumptions!$G$91</f>
        <v>1502.9</v>
      </c>
      <c r="BI63" s="44" t="n">
        <f aca="false">BI14*Assumptions!$G$87*(1+Assumptions!$G$85)*Assumptions!$G$91</f>
        <v>1502.9</v>
      </c>
      <c r="BJ63" s="44" t="n">
        <f aca="false">BJ14*Assumptions!$G$87*(1+Assumptions!$G$85)*Assumptions!$G$91</f>
        <v>1502.9</v>
      </c>
      <c r="BK63" s="44" t="n">
        <f aca="false">BK14*Assumptions!$G$87*(1+Assumptions!$G$85)*Assumptions!$G$91</f>
        <v>1502.9</v>
      </c>
    </row>
    <row r="64" customFormat="false" ht="15" hidden="false" customHeight="false" outlineLevel="0" collapsed="false">
      <c r="A64" s="28" t="s">
        <v>639</v>
      </c>
      <c r="B64" s="6" t="s">
        <v>640</v>
      </c>
      <c r="C64" s="43"/>
      <c r="D64" s="17" t="n">
        <f aca="false">D11*Assumptions!$G$88*Assumptions!$G$91</f>
        <v>0</v>
      </c>
      <c r="E64" s="17" t="n">
        <f aca="false">E11*Assumptions!$G$88*Assumptions!$G$91</f>
        <v>0</v>
      </c>
      <c r="F64" s="17" t="n">
        <f aca="false">F11*Assumptions!$G$88*Assumptions!$G$91</f>
        <v>0</v>
      </c>
      <c r="G64" s="17" t="n">
        <f aca="false">G11*Assumptions!$G$88*Assumptions!$G$91</f>
        <v>0</v>
      </c>
      <c r="H64" s="17" t="n">
        <f aca="false">H11*Assumptions!$G$88*Assumptions!$G$91</f>
        <v>142.5</v>
      </c>
      <c r="I64" s="17" t="n">
        <f aca="false">I11*Assumptions!$G$88*Assumptions!$G$91</f>
        <v>125.4</v>
      </c>
      <c r="J64" s="17" t="n">
        <f aca="false">J11*Assumptions!$G$88*Assumptions!$G$91</f>
        <v>85.5</v>
      </c>
      <c r="K64" s="17" t="n">
        <f aca="false">K11*Assumptions!$G$88*Assumptions!$G$91</f>
        <v>199.5</v>
      </c>
      <c r="L64" s="17" t="n">
        <f aca="false">L11*Assumptions!$G$88*Assumptions!$G$91</f>
        <v>302.1</v>
      </c>
      <c r="M64" s="17" t="n">
        <f aca="false">M11*Assumptions!$G$88*Assumptions!$G$91</f>
        <v>239.4</v>
      </c>
      <c r="N64" s="17" t="n">
        <f aca="false">N11*Assumptions!$G$88*Assumptions!$G$91</f>
        <v>290.7</v>
      </c>
      <c r="O64" s="17" t="n">
        <f aca="false">O11*Assumptions!$G$88*Assumptions!$G$91</f>
        <v>364.8</v>
      </c>
      <c r="P64" s="17" t="n">
        <f aca="false">P11*Assumptions!$G$88*Assumptions!$G$91</f>
        <v>421.8</v>
      </c>
      <c r="Q64" s="17" t="n">
        <f aca="false">Q11*Assumptions!$G$88*Assumptions!$G$91</f>
        <v>450.3</v>
      </c>
      <c r="R64" s="17" t="n">
        <f aca="false">R11*Assumptions!$G$88*Assumptions!$G$91</f>
        <v>461.7</v>
      </c>
      <c r="S64" s="17" t="n">
        <f aca="false">S11*Assumptions!$G$88*Assumptions!$G$91</f>
        <v>490.2</v>
      </c>
      <c r="T64" s="17" t="n">
        <f aca="false">T11*Assumptions!$G$88*Assumptions!$G$91</f>
        <v>495.9</v>
      </c>
      <c r="U64" s="17" t="n">
        <f aca="false">U11*Assumptions!$G$88*Assumptions!$G$91</f>
        <v>501.6</v>
      </c>
      <c r="V64" s="17" t="n">
        <f aca="false">V11*Assumptions!$G$88*Assumptions!$G$91</f>
        <v>507.3</v>
      </c>
      <c r="W64" s="17" t="n">
        <f aca="false">W11*Assumptions!$G$88*Assumptions!$G$91</f>
        <v>655.5</v>
      </c>
      <c r="X64" s="17" t="n">
        <f aca="false">X11*Assumptions!$G$88*Assumptions!$G$91</f>
        <v>644.1</v>
      </c>
      <c r="Y64" s="17" t="n">
        <f aca="false">Y11*Assumptions!$G$88*Assumptions!$G$91</f>
        <v>609.9</v>
      </c>
      <c r="Z64" s="17" t="n">
        <f aca="false">Z11*Assumptions!$G$88*Assumptions!$G$91</f>
        <v>729.6</v>
      </c>
      <c r="AA64" s="17" t="n">
        <f aca="false">AA11*Assumptions!$G$88*Assumptions!$G$91</f>
        <v>695.4</v>
      </c>
      <c r="AB64" s="17" t="n">
        <f aca="false">AB11*Assumptions!$G$88*Assumptions!$G$91</f>
        <v>655.5</v>
      </c>
      <c r="AC64" s="17" t="n">
        <f aca="false">AC11*Assumptions!$G$88*Assumptions!$G$91</f>
        <v>752.4</v>
      </c>
      <c r="AD64" s="17" t="n">
        <f aca="false">AD11*Assumptions!$G$88*Assumptions!$G$91</f>
        <v>860.7</v>
      </c>
      <c r="AE64" s="17" t="n">
        <f aca="false">AE11*Assumptions!$G$88*Assumptions!$G$91</f>
        <v>798</v>
      </c>
      <c r="AF64" s="17" t="n">
        <f aca="false">AF11*Assumptions!$G$88*Assumptions!$G$91</f>
        <v>855</v>
      </c>
      <c r="AG64" s="17" t="n">
        <f aca="false">AG11*Assumptions!$G$88*Assumptions!$G$91</f>
        <v>934.8</v>
      </c>
      <c r="AH64" s="17" t="n">
        <f aca="false">AH11*Assumptions!$G$88*Assumptions!$G$91</f>
        <v>849.3</v>
      </c>
      <c r="AI64" s="17" t="n">
        <f aca="false">AI11*Assumptions!$G$88*Assumptions!$G$91</f>
        <v>894.9</v>
      </c>
      <c r="AJ64" s="17" t="n">
        <f aca="false">AJ11*Assumptions!$G$88*Assumptions!$G$91</f>
        <v>951.9</v>
      </c>
      <c r="AK64" s="17" t="n">
        <f aca="false">AK11*Assumptions!$G$88*Assumptions!$G$91</f>
        <v>1008.9</v>
      </c>
      <c r="AL64" s="17" t="n">
        <f aca="false">AL11*Assumptions!$G$88*Assumptions!$G$91</f>
        <v>1037.4</v>
      </c>
      <c r="AM64" s="17" t="n">
        <f aca="false">AM11*Assumptions!$G$88*Assumptions!$G$91</f>
        <v>1048.8</v>
      </c>
      <c r="AN64" s="44" t="n">
        <f aca="false">AN11*Assumptions!$G$88*Assumptions!$G$91</f>
        <v>1077.3</v>
      </c>
      <c r="AO64" s="44" t="n">
        <f aca="false">AO11*Assumptions!$G$88*Assumptions!$G$91</f>
        <v>1083</v>
      </c>
      <c r="AP64" s="44" t="n">
        <f aca="false">AP11*Assumptions!$G$88*Assumptions!$G$91</f>
        <v>1088.7</v>
      </c>
      <c r="AQ64" s="44" t="n">
        <f aca="false">AQ11*Assumptions!$G$88*Assumptions!$G$91</f>
        <v>1094.4</v>
      </c>
      <c r="AR64" s="44" t="n">
        <f aca="false">AR11*Assumptions!$G$88*Assumptions!$G$91</f>
        <v>1100.1</v>
      </c>
      <c r="AS64" s="44" t="n">
        <f aca="false">AS11*Assumptions!$G$88*Assumptions!$G$91</f>
        <v>1105.8</v>
      </c>
      <c r="AT64" s="44" t="n">
        <f aca="false">AT11*Assumptions!$G$88*Assumptions!$G$91</f>
        <v>1105.8</v>
      </c>
      <c r="AU64" s="44" t="n">
        <f aca="false">AU11*Assumptions!$G$88*Assumptions!$G$91</f>
        <v>1111.5</v>
      </c>
      <c r="AV64" s="44" t="n">
        <f aca="false">AV11*Assumptions!$G$88*Assumptions!$G$91</f>
        <v>1117.2</v>
      </c>
      <c r="AW64" s="44" t="n">
        <f aca="false">AW11*Assumptions!$G$88*Assumptions!$G$91</f>
        <v>1117.2</v>
      </c>
      <c r="AX64" s="44" t="n">
        <f aca="false">AX11*Assumptions!$G$88*Assumptions!$G$91</f>
        <v>1122.9</v>
      </c>
      <c r="AY64" s="44" t="n">
        <f aca="false">AY11*Assumptions!$G$88*Assumptions!$G$91</f>
        <v>1128.6</v>
      </c>
      <c r="AZ64" s="44" t="n">
        <f aca="false">AZ11*Assumptions!$G$88*Assumptions!$G$91</f>
        <v>1128.6</v>
      </c>
      <c r="BA64" s="44" t="n">
        <f aca="false">BA11*Assumptions!$G$88*Assumptions!$G$91</f>
        <v>1128.6</v>
      </c>
      <c r="BB64" s="44" t="n">
        <f aca="false">BB11*Assumptions!$G$88*Assumptions!$G$91</f>
        <v>1134.3</v>
      </c>
      <c r="BC64" s="44" t="n">
        <f aca="false">BC11*Assumptions!$G$88*Assumptions!$G$91</f>
        <v>1134.3</v>
      </c>
      <c r="BD64" s="44" t="n">
        <f aca="false">BD11*Assumptions!$G$88*Assumptions!$G$91</f>
        <v>1134.3</v>
      </c>
      <c r="BE64" s="44" t="n">
        <f aca="false">BE11*Assumptions!$G$88*Assumptions!$G$91</f>
        <v>1140</v>
      </c>
      <c r="BF64" s="44" t="n">
        <f aca="false">BF11*Assumptions!$G$88*Assumptions!$G$91</f>
        <v>1140</v>
      </c>
      <c r="BG64" s="44" t="n">
        <f aca="false">BG11*Assumptions!$G$88*Assumptions!$G$91</f>
        <v>1140</v>
      </c>
      <c r="BH64" s="44" t="n">
        <f aca="false">BH11*Assumptions!$G$88*Assumptions!$G$91</f>
        <v>1140</v>
      </c>
      <c r="BI64" s="44" t="n">
        <f aca="false">BI11*Assumptions!$G$88*Assumptions!$G$91</f>
        <v>1140</v>
      </c>
      <c r="BJ64" s="44" t="n">
        <f aca="false">BJ11*Assumptions!$G$88*Assumptions!$G$91</f>
        <v>1140</v>
      </c>
      <c r="BK64" s="44" t="n">
        <f aca="false">BK11*Assumptions!$G$88*Assumptions!$G$91</f>
        <v>1140</v>
      </c>
    </row>
    <row r="65" customFormat="false" ht="15" hidden="false" customHeight="false" outlineLevel="0" collapsed="false">
      <c r="A65" s="28" t="s">
        <v>641</v>
      </c>
      <c r="B65" s="6" t="s">
        <v>642</v>
      </c>
      <c r="C65" s="43"/>
      <c r="D65" s="17" t="n">
        <f aca="false">D8*Assumptions!$G$89*Assumptions!$G$91</f>
        <v>0</v>
      </c>
      <c r="E65" s="17" t="n">
        <f aca="false">E8*Assumptions!$G$89*Assumptions!$G$91</f>
        <v>0</v>
      </c>
      <c r="F65" s="17" t="n">
        <f aca="false">F8*Assumptions!$G$89*Assumptions!$G$91</f>
        <v>0</v>
      </c>
      <c r="G65" s="17" t="n">
        <f aca="false">G8*Assumptions!$G$89*Assumptions!$G$91</f>
        <v>0</v>
      </c>
      <c r="H65" s="17" t="n">
        <f aca="false">H8*Assumptions!$G$89*Assumptions!$G$91</f>
        <v>750</v>
      </c>
      <c r="I65" s="17" t="n">
        <f aca="false">I8*Assumptions!$G$89*Assumptions!$G$91</f>
        <v>0</v>
      </c>
      <c r="J65" s="17" t="n">
        <f aca="false">J8*Assumptions!$G$89*Assumptions!$G$91</f>
        <v>0</v>
      </c>
      <c r="K65" s="17" t="n">
        <f aca="false">K8*Assumptions!$G$89*Assumptions!$G$91</f>
        <v>750</v>
      </c>
      <c r="L65" s="17" t="n">
        <f aca="false">L8*Assumptions!$G$89*Assumptions!$G$91</f>
        <v>750</v>
      </c>
      <c r="M65" s="17" t="n">
        <f aca="false">M8*Assumptions!$G$89*Assumptions!$G$91</f>
        <v>0</v>
      </c>
      <c r="N65" s="17" t="n">
        <f aca="false">N8*Assumptions!$G$89*Assumptions!$G$91</f>
        <v>750</v>
      </c>
      <c r="O65" s="17" t="n">
        <f aca="false">O8*Assumptions!$G$89*Assumptions!$G$91</f>
        <v>750</v>
      </c>
      <c r="P65" s="17" t="n">
        <f aca="false">P8*Assumptions!$G$89*Assumptions!$G$91</f>
        <v>750</v>
      </c>
      <c r="Q65" s="17" t="n">
        <f aca="false">Q8*Assumptions!$G$89*Assumptions!$G$91</f>
        <v>750</v>
      </c>
      <c r="R65" s="17" t="n">
        <f aca="false">R8*Assumptions!$G$89*Assumptions!$G$91</f>
        <v>750</v>
      </c>
      <c r="S65" s="17" t="n">
        <f aca="false">S8*Assumptions!$G$89*Assumptions!$G$91</f>
        <v>750</v>
      </c>
      <c r="T65" s="17" t="n">
        <f aca="false">T8*Assumptions!$G$89*Assumptions!$G$91</f>
        <v>750</v>
      </c>
      <c r="U65" s="17" t="n">
        <f aca="false">U8*Assumptions!$G$89*Assumptions!$G$91</f>
        <v>750</v>
      </c>
      <c r="V65" s="17" t="n">
        <f aca="false">V8*Assumptions!$G$89*Assumptions!$G$91</f>
        <v>750</v>
      </c>
      <c r="W65" s="17" t="n">
        <f aca="false">W8*Assumptions!$G$89*Assumptions!$G$91</f>
        <v>1500</v>
      </c>
      <c r="X65" s="17" t="n">
        <f aca="false">X8*Assumptions!$G$89*Assumptions!$G$91</f>
        <v>750</v>
      </c>
      <c r="Y65" s="17" t="n">
        <f aca="false">Y8*Assumptions!$G$89*Assumptions!$G$91</f>
        <v>750</v>
      </c>
      <c r="Z65" s="17" t="n">
        <f aca="false">Z8*Assumptions!$G$89*Assumptions!$G$91</f>
        <v>1500</v>
      </c>
      <c r="AA65" s="17" t="n">
        <f aca="false">AA8*Assumptions!$G$89*Assumptions!$G$91</f>
        <v>750</v>
      </c>
      <c r="AB65" s="17" t="n">
        <f aca="false">AB8*Assumptions!$G$89*Assumptions!$G$91</f>
        <v>750</v>
      </c>
      <c r="AC65" s="17" t="n">
        <f aca="false">AC8*Assumptions!$G$89*Assumptions!$G$91</f>
        <v>1500</v>
      </c>
      <c r="AD65" s="17" t="n">
        <f aca="false">AD8*Assumptions!$G$89*Assumptions!$G$91</f>
        <v>1500</v>
      </c>
      <c r="AE65" s="17" t="n">
        <f aca="false">AE8*Assumptions!$G$89*Assumptions!$G$91</f>
        <v>750</v>
      </c>
      <c r="AF65" s="17" t="n">
        <f aca="false">AF8*Assumptions!$G$89*Assumptions!$G$91</f>
        <v>1500</v>
      </c>
      <c r="AG65" s="17" t="n">
        <f aca="false">AG8*Assumptions!$G$89*Assumptions!$G$91</f>
        <v>1500</v>
      </c>
      <c r="AH65" s="17" t="n">
        <f aca="false">AH8*Assumptions!$G$89*Assumptions!$G$91</f>
        <v>750</v>
      </c>
      <c r="AI65" s="17" t="n">
        <f aca="false">AI8*Assumptions!$G$89*Assumptions!$G$91</f>
        <v>1500</v>
      </c>
      <c r="AJ65" s="17" t="n">
        <f aca="false">AJ8*Assumptions!$G$89*Assumptions!$G$91</f>
        <v>1500</v>
      </c>
      <c r="AK65" s="17" t="n">
        <f aca="false">AK8*Assumptions!$G$89*Assumptions!$G$91</f>
        <v>1500</v>
      </c>
      <c r="AL65" s="17" t="n">
        <f aca="false">AL8*Assumptions!$G$89*Assumptions!$G$91</f>
        <v>1500</v>
      </c>
      <c r="AM65" s="17" t="n">
        <f aca="false">AM8*Assumptions!$G$89*Assumptions!$G$91</f>
        <v>1500</v>
      </c>
      <c r="AN65" s="44" t="n">
        <f aca="false">AN8*Assumptions!$G$89*Assumptions!$G$91</f>
        <v>1500</v>
      </c>
      <c r="AO65" s="44" t="n">
        <f aca="false">AO8*Assumptions!$G$89*Assumptions!$G$91</f>
        <v>1500</v>
      </c>
      <c r="AP65" s="44" t="n">
        <f aca="false">AP8*Assumptions!$G$89*Assumptions!$G$91</f>
        <v>1500</v>
      </c>
      <c r="AQ65" s="44" t="n">
        <f aca="false">AQ8*Assumptions!$G$89*Assumptions!$G$91</f>
        <v>1500</v>
      </c>
      <c r="AR65" s="44" t="n">
        <f aca="false">AR8*Assumptions!$G$89*Assumptions!$G$91</f>
        <v>1500</v>
      </c>
      <c r="AS65" s="44" t="n">
        <f aca="false">AS8*Assumptions!$G$89*Assumptions!$G$91</f>
        <v>1500</v>
      </c>
      <c r="AT65" s="44" t="n">
        <f aca="false">AT8*Assumptions!$G$89*Assumptions!$G$91</f>
        <v>1500</v>
      </c>
      <c r="AU65" s="44" t="n">
        <f aca="false">AU8*Assumptions!$G$89*Assumptions!$G$91</f>
        <v>1500</v>
      </c>
      <c r="AV65" s="44" t="n">
        <f aca="false">AV8*Assumptions!$G$89*Assumptions!$G$91</f>
        <v>1500</v>
      </c>
      <c r="AW65" s="44" t="n">
        <f aca="false">AW8*Assumptions!$G$89*Assumptions!$G$91</f>
        <v>1500</v>
      </c>
      <c r="AX65" s="44" t="n">
        <f aca="false">AX8*Assumptions!$G$89*Assumptions!$G$91</f>
        <v>1500</v>
      </c>
      <c r="AY65" s="44" t="n">
        <f aca="false">AY8*Assumptions!$G$89*Assumptions!$G$91</f>
        <v>1500</v>
      </c>
      <c r="AZ65" s="44" t="n">
        <f aca="false">AZ8*Assumptions!$G$89*Assumptions!$G$91</f>
        <v>1500</v>
      </c>
      <c r="BA65" s="44" t="n">
        <f aca="false">BA8*Assumptions!$G$89*Assumptions!$G$91</f>
        <v>1500</v>
      </c>
      <c r="BB65" s="44" t="n">
        <f aca="false">BB8*Assumptions!$G$89*Assumptions!$G$91</f>
        <v>1500</v>
      </c>
      <c r="BC65" s="44" t="n">
        <f aca="false">BC8*Assumptions!$G$89*Assumptions!$G$91</f>
        <v>1500</v>
      </c>
      <c r="BD65" s="44" t="n">
        <f aca="false">BD8*Assumptions!$G$89*Assumptions!$G$91</f>
        <v>1500</v>
      </c>
      <c r="BE65" s="44" t="n">
        <f aca="false">BE8*Assumptions!$G$89*Assumptions!$G$91</f>
        <v>1500</v>
      </c>
      <c r="BF65" s="44" t="n">
        <f aca="false">BF8*Assumptions!$G$89*Assumptions!$G$91</f>
        <v>1500</v>
      </c>
      <c r="BG65" s="44" t="n">
        <f aca="false">BG8*Assumptions!$G$89*Assumptions!$G$91</f>
        <v>1500</v>
      </c>
      <c r="BH65" s="44" t="n">
        <f aca="false">BH8*Assumptions!$G$89*Assumptions!$G$91</f>
        <v>1500</v>
      </c>
      <c r="BI65" s="44" t="n">
        <f aca="false">BI8*Assumptions!$G$89*Assumptions!$G$91</f>
        <v>1500</v>
      </c>
      <c r="BJ65" s="44" t="n">
        <f aca="false">BJ8*Assumptions!$G$89*Assumptions!$G$91</f>
        <v>1500</v>
      </c>
      <c r="BK65" s="44" t="n">
        <f aca="false">BK8*Assumptions!$G$89*Assumptions!$G$91</f>
        <v>1500</v>
      </c>
    </row>
    <row r="66" customFormat="false" ht="15" hidden="false" customHeight="false" outlineLevel="0" collapsed="false">
      <c r="A66" s="28" t="s">
        <v>643</v>
      </c>
      <c r="B66" s="6" t="s">
        <v>644</v>
      </c>
      <c r="C66" s="43"/>
      <c r="D66" s="17" t="n">
        <f aca="false">D35*Assumptions!$G$90*Assumptions!$G$91</f>
        <v>0</v>
      </c>
      <c r="E66" s="17" t="n">
        <f aca="false">E35*Assumptions!$G$90*Assumptions!$G$91</f>
        <v>0</v>
      </c>
      <c r="F66" s="17" t="n">
        <f aca="false">F35*Assumptions!$G$90*Assumptions!$G$91</f>
        <v>0</v>
      </c>
      <c r="G66" s="17" t="n">
        <f aca="false">G35*Assumptions!$G$90*Assumptions!$G$91</f>
        <v>0</v>
      </c>
      <c r="H66" s="17" t="n">
        <f aca="false">H35*Assumptions!$G$90*Assumptions!$G$91</f>
        <v>0</v>
      </c>
      <c r="I66" s="17" t="n">
        <f aca="false">I35*Assumptions!$G$90*Assumptions!$G$91</f>
        <v>0</v>
      </c>
      <c r="J66" s="17" t="n">
        <f aca="false">J35*Assumptions!$G$90*Assumptions!$G$91</f>
        <v>0</v>
      </c>
      <c r="K66" s="17" t="n">
        <f aca="false">K35*Assumptions!$G$90*Assumptions!$G$91</f>
        <v>0</v>
      </c>
      <c r="L66" s="17" t="n">
        <f aca="false">L35*Assumptions!$G$90*Assumptions!$G$91</f>
        <v>0</v>
      </c>
      <c r="M66" s="17" t="n">
        <f aca="false">M35*Assumptions!$G$90*Assumptions!$G$91</f>
        <v>0</v>
      </c>
      <c r="N66" s="17" t="n">
        <f aca="false">N35*Assumptions!$G$90*Assumptions!$G$91</f>
        <v>0</v>
      </c>
      <c r="O66" s="17" t="n">
        <f aca="false">O35*Assumptions!$G$90*Assumptions!$G$91</f>
        <v>0</v>
      </c>
      <c r="P66" s="17" t="n">
        <f aca="false">P35*Assumptions!$G$90*Assumptions!$G$91</f>
        <v>0</v>
      </c>
      <c r="Q66" s="17" t="n">
        <f aca="false">Q35*Assumptions!$G$90*Assumptions!$G$91</f>
        <v>0</v>
      </c>
      <c r="R66" s="17" t="n">
        <f aca="false">R35*Assumptions!$G$90*Assumptions!$G$91</f>
        <v>0</v>
      </c>
      <c r="S66" s="17" t="n">
        <f aca="false">S35*Assumptions!$G$90*Assumptions!$G$91</f>
        <v>202.00725209155</v>
      </c>
      <c r="T66" s="17" t="n">
        <f aca="false">T35*Assumptions!$G$90*Assumptions!$G$91</f>
        <v>222.142612296313</v>
      </c>
      <c r="U66" s="17" t="n">
        <f aca="false">U35*Assumptions!$G$90*Assumptions!$G$91</f>
        <v>241.861676914101</v>
      </c>
      <c r="V66" s="17" t="n">
        <f aca="false">V35*Assumptions!$G$90*Assumptions!$G$91</f>
        <v>261.191502854516</v>
      </c>
      <c r="W66" s="17" t="n">
        <f aca="false">W35*Assumptions!$G$90*Assumptions!$G$91</f>
        <v>288.537713679119</v>
      </c>
      <c r="X66" s="17" t="n">
        <f aca="false">X35*Assumptions!$G$90*Assumptions!$G$91</f>
        <v>314.163266841254</v>
      </c>
      <c r="Y66" s="17" t="n">
        <f aca="false">Y35*Assumptions!$G$90*Assumptions!$G$91</f>
        <v>336.817108602811</v>
      </c>
      <c r="Z66" s="17" t="n">
        <f aca="false">Z35*Assumptions!$G$90*Assumptions!$G$91</f>
        <v>365.69402125103</v>
      </c>
      <c r="AA66" s="17" t="n">
        <f aca="false">AA35*Assumptions!$G$90*Assumptions!$G$91</f>
        <v>391.473599772088</v>
      </c>
      <c r="AB66" s="17" t="n">
        <f aca="false">AB35*Assumptions!$G$90*Assumptions!$G$91</f>
        <v>413.971870474906</v>
      </c>
      <c r="AC66" s="17" t="n">
        <f aca="false">AC35*Assumptions!$G$90*Assumptions!$G$91</f>
        <v>441.390708130039</v>
      </c>
      <c r="AD66" s="17" t="n">
        <f aca="false">AD35*Assumptions!$G$90*Assumptions!$G$91</f>
        <v>474.187897976309</v>
      </c>
      <c r="AE66" s="17" t="n">
        <f aca="false">AE35*Assumptions!$G$90*Assumptions!$G$91</f>
        <v>502.077235279234</v>
      </c>
      <c r="AF66" s="17" t="n">
        <f aca="false">AF35*Assumptions!$G$90*Assumptions!$G$91</f>
        <v>532.331793890498</v>
      </c>
      <c r="AG66" s="17" t="n">
        <f aca="false">AG35*Assumptions!$G$90*Assumptions!$G$91</f>
        <v>566.1967770479</v>
      </c>
      <c r="AH66" s="17" t="n">
        <f aca="false">AH35*Assumptions!$G$90*Assumptions!$G$91</f>
        <v>593.800997577554</v>
      </c>
      <c r="AI66" s="17" t="n">
        <f aca="false">AI35*Assumptions!$G$90*Assumptions!$G$91</f>
        <v>623.147885886815</v>
      </c>
      <c r="AJ66" s="17" t="n">
        <f aca="false">AJ35*Assumptions!$G$90*Assumptions!$G$91</f>
        <v>654.83853118356</v>
      </c>
      <c r="AK66" s="17" t="n">
        <f aca="false">AK35*Assumptions!$G$90*Assumptions!$G$91</f>
        <v>688.777713166554</v>
      </c>
      <c r="AL66" s="17" t="n">
        <f aca="false">AL35*Assumptions!$G$90*Assumptions!$G$91</f>
        <v>723.199775375285</v>
      </c>
      <c r="AM66" s="17" t="n">
        <f aca="false">AM35*Assumptions!$G$90*Assumptions!$G$91</f>
        <v>757.089662812278</v>
      </c>
      <c r="AN66" s="44" t="n">
        <f aca="false">AN35*Assumptions!$G$90*Assumptions!$G$91</f>
        <v>791.488887275693</v>
      </c>
      <c r="AO66" s="44" t="n">
        <f aca="false">AO35*Assumptions!$G$90*Assumptions!$G$91</f>
        <v>825.045069839817</v>
      </c>
      <c r="AP66" s="44" t="n">
        <f aca="false">AP35*Assumptions!$G$90*Assumptions!$G$91</f>
        <v>857.80710507448</v>
      </c>
      <c r="AQ66" s="44" t="n">
        <f aca="false">AQ35*Assumptions!$G$90*Assumptions!$G$91</f>
        <v>889.820679865753</v>
      </c>
      <c r="AR66" s="44" t="n">
        <f aca="false">AR35*Assumptions!$G$90*Assumptions!$G$91</f>
        <v>921.128497256248</v>
      </c>
      <c r="AS66" s="44" t="n">
        <f aca="false">AS35*Assumptions!$G$90*Assumptions!$G$91</f>
        <v>951.77048407713</v>
      </c>
      <c r="AT66" s="44" t="n">
        <f aca="false">AT35*Assumptions!$G$90*Assumptions!$G$91</f>
        <v>981.448768022592</v>
      </c>
      <c r="AU66" s="44" t="n">
        <f aca="false">AU35*Assumptions!$G$90*Assumptions!$G$91</f>
        <v>1010.54848495255</v>
      </c>
      <c r="AV66" s="44" t="n">
        <f aca="false">AV35*Assumptions!$G$90*Assumptions!$G$91</f>
        <v>1039.10141838634</v>
      </c>
      <c r="AW66" s="44" t="n">
        <f aca="false">AW35*Assumptions!$G$90*Assumptions!$G$91</f>
        <v>1066.80211369149</v>
      </c>
      <c r="AX66" s="44" t="n">
        <f aca="false">AX35*Assumptions!$G$90*Assumptions!$G$91</f>
        <v>1094.02864508164</v>
      </c>
      <c r="AY66" s="44" t="n">
        <f aca="false">AY35*Assumptions!$G$90*Assumptions!$G$91</f>
        <v>1120.80621777674</v>
      </c>
      <c r="AZ66" s="44" t="n">
        <f aca="false">AZ35*Assumptions!$G$90*Assumptions!$G$91</f>
        <v>1146.82324760746</v>
      </c>
      <c r="BA66" s="44" t="n">
        <f aca="false">BA35*Assumptions!$G$90*Assumptions!$G$91</f>
        <v>1172.1168804219</v>
      </c>
      <c r="BB66" s="44" t="n">
        <f aca="false">BB35*Assumptions!$G$90*Assumptions!$G$91</f>
        <v>1197.05719313293</v>
      </c>
      <c r="BC66" s="44" t="n">
        <f aca="false">BC35*Assumptions!$G$90*Assumptions!$G$91</f>
        <v>1221.32671944789</v>
      </c>
      <c r="BD66" s="44" t="n">
        <f aca="false">BD35*Assumptions!$G$90*Assumptions!$G$91</f>
        <v>1244.95711958007</v>
      </c>
      <c r="BE66" s="44" t="n">
        <f aca="false">BE35*Assumptions!$G$90*Assumptions!$G$91</f>
        <v>1268.31335318991</v>
      </c>
      <c r="BF66" s="44" t="n">
        <f aca="false">BF35*Assumptions!$G$90*Assumptions!$G$91</f>
        <v>1291.07317906335</v>
      </c>
      <c r="BG66" s="44" t="n">
        <f aca="false">BG35*Assumptions!$G$90*Assumptions!$G$91</f>
        <v>1313.26380067378</v>
      </c>
      <c r="BH66" s="44" t="n">
        <f aca="false">BH35*Assumptions!$G$90*Assumptions!$G$91</f>
        <v>1334.910801184</v>
      </c>
      <c r="BI66" s="44" t="n">
        <f aca="false">BI35*Assumptions!$G$90*Assumptions!$G$91</f>
        <v>1356.03825093985</v>
      </c>
      <c r="BJ66" s="44" t="n">
        <f aca="false">BJ35*Assumptions!$G$90*Assumptions!$G$91</f>
        <v>1376.66880741653</v>
      </c>
      <c r="BK66" s="44" t="n">
        <f aca="false">BK35*Assumptions!$G$90*Assumptions!$G$91</f>
        <v>1396.82380816613</v>
      </c>
    </row>
    <row r="67" customFormat="false" ht="15" hidden="false" customHeight="false" outlineLevel="0" collapsed="false">
      <c r="A67" s="28" t="s">
        <v>645</v>
      </c>
      <c r="B67" s="5" t="s">
        <v>646</v>
      </c>
      <c r="C67" s="43"/>
      <c r="D67" s="45" t="n">
        <f aca="false">D62+D63+D64+D65+D66</f>
        <v>0</v>
      </c>
      <c r="E67" s="45" t="n">
        <f aca="false">E62+E63+E64+E65+E66</f>
        <v>0</v>
      </c>
      <c r="F67" s="45" t="n">
        <f aca="false">F62+F63+F64+F65+F66</f>
        <v>0</v>
      </c>
      <c r="G67" s="45" t="n">
        <f aca="false">G62+G63+G64+G65+G66</f>
        <v>0</v>
      </c>
      <c r="H67" s="45" t="n">
        <f aca="false">H62+H63+H64+H65+H66</f>
        <v>1465.749</v>
      </c>
      <c r="I67" s="45" t="n">
        <f aca="false">I62+I63+I64+I65+I66</f>
        <v>629.85912</v>
      </c>
      <c r="J67" s="45" t="n">
        <f aca="false">J62+J63+J64+J65+J66</f>
        <v>429.4494</v>
      </c>
      <c r="K67" s="45" t="n">
        <f aca="false">K62+K63+K64+K65+K66</f>
        <v>1752.0486</v>
      </c>
      <c r="L67" s="45" t="n">
        <f aca="false">L62+L63+L64+L65+L66</f>
        <v>2267.38788</v>
      </c>
      <c r="M67" s="45" t="n">
        <f aca="false">M62+M63+M64+M65+M66</f>
        <v>1202.45832</v>
      </c>
      <c r="N67" s="45" t="n">
        <f aca="false">N62+N63+N64+N65+N66</f>
        <v>2210.12796</v>
      </c>
      <c r="O67" s="45" t="n">
        <f aca="false">O62+O63+O64+O65+O66</f>
        <v>2606.982176</v>
      </c>
      <c r="P67" s="45" t="n">
        <f aca="false">P62+P63+P64+P65+P66</f>
        <v>2897.135641</v>
      </c>
      <c r="Q67" s="45" t="n">
        <f aca="false">Q62+Q63+Q64+Q65+Q66</f>
        <v>3042.2123735</v>
      </c>
      <c r="R67" s="45" t="n">
        <f aca="false">R62+R63+R64+R65+R66</f>
        <v>3100.2430665</v>
      </c>
      <c r="S67" s="45" t="n">
        <f aca="false">S62+S63+S64+S65+S66</f>
        <v>3447.32705109155</v>
      </c>
      <c r="T67" s="45" t="n">
        <f aca="false">T62+T63+T64+T65+T66</f>
        <v>3496.47775779631</v>
      </c>
      <c r="U67" s="45" t="n">
        <f aca="false">U62+U63+U64+U65+U66</f>
        <v>3545.2121689141</v>
      </c>
      <c r="V67" s="45" t="n">
        <f aca="false">V62+V63+V64+V65+V66</f>
        <v>3593.55734135452</v>
      </c>
      <c r="W67" s="45" t="n">
        <f aca="false">W62+W63+W64+W65+W66</f>
        <v>5125.30256117912</v>
      </c>
      <c r="X67" s="45" t="n">
        <f aca="false">X62+X63+X64+X65+X66</f>
        <v>4342.89742134125</v>
      </c>
      <c r="Y67" s="45" t="n">
        <f aca="false">Y62+Y63+Y64+Y65+Y66</f>
        <v>4191.45918410281</v>
      </c>
      <c r="Z67" s="45" t="n">
        <f aca="false">Z62+Z63+Z64+Z65+Z66</f>
        <v>5579.65837325103</v>
      </c>
      <c r="AA67" s="45" t="n">
        <f aca="false">AA62+AA63+AA64+AA65+AA66</f>
        <v>4729.53845459709</v>
      </c>
      <c r="AB67" s="45" t="n">
        <f aca="false">AB62+AB63+AB64+AB65+AB66</f>
        <v>4546.16415166241</v>
      </c>
      <c r="AC67" s="45" t="n">
        <f aca="false">AC62+AC63+AC64+AC65+AC66</f>
        <v>5823.55923958004</v>
      </c>
      <c r="AD67" s="45" t="n">
        <f aca="false">AD62+AD63+AD64+AD65+AD66</f>
        <v>6415.15341501381</v>
      </c>
      <c r="AE67" s="45" t="n">
        <f aca="false">AE62+AE63+AE64+AE65+AE66</f>
        <v>5369.52870802924</v>
      </c>
      <c r="AF67" s="45" t="n">
        <f aca="false">AF62+AF63+AF64+AF65+AF66</f>
        <v>6443.8869432655</v>
      </c>
      <c r="AG67" s="45" t="n">
        <f aca="false">AG62+AG63+AG64+AG65+AG66</f>
        <v>6889.4970736979</v>
      </c>
      <c r="AH67" s="45" t="n">
        <f aca="false">AH62+AH63+AH64+AH65+AH66</f>
        <v>5725.94577929005</v>
      </c>
      <c r="AI67" s="45" t="n">
        <f aca="false">AI62+AI63+AI64+AI65+AI66</f>
        <v>6740.57560889932</v>
      </c>
      <c r="AJ67" s="45" t="n">
        <f aca="false">AJ62+AJ63+AJ64+AJ65+AJ66</f>
        <v>7066.36993082106</v>
      </c>
      <c r="AK67" s="45" t="n">
        <f aca="false">AK62+AK63+AK64+AK65+AK66</f>
        <v>7394.41278942905</v>
      </c>
      <c r="AL67" s="45" t="n">
        <f aca="false">AL62+AL63+AL64+AL65+AL66</f>
        <v>7575.88668995029</v>
      </c>
      <c r="AM67" s="45" t="n">
        <f aca="false">AM62+AM63+AM64+AM65+AM66</f>
        <v>7743.09830395978</v>
      </c>
      <c r="AN67" s="46" t="n">
        <f aca="false">AN62+AN63+AN64+AN65+AN66</f>
        <v>7926.57385019351</v>
      </c>
      <c r="AO67" s="46" t="n">
        <f aca="false">AO62+AO63+AO64+AO65+AO66</f>
        <v>7989.94529711169</v>
      </c>
      <c r="AP67" s="46" t="n">
        <f aca="false">AP62+AP63+AP64+AP65+AP66</f>
        <v>8052.52259670042</v>
      </c>
      <c r="AQ67" s="46" t="n">
        <f aca="false">AQ62+AQ63+AQ64+AQ65+AQ66</f>
        <v>8114.35143584575</v>
      </c>
      <c r="AR67" s="46" t="n">
        <f aca="false">AR62+AR63+AR64+AR65+AR66</f>
        <v>8175.47451759031</v>
      </c>
      <c r="AS67" s="46" t="n">
        <f aca="false">AS62+AS63+AS64+AS65+AS66</f>
        <v>8235.93176876526</v>
      </c>
      <c r="AT67" s="46" t="n">
        <f aca="false">AT62+AT63+AT64+AT65+AT66</f>
        <v>8265.61005271072</v>
      </c>
      <c r="AU67" s="46" t="n">
        <f aca="false">AU62+AU63+AU64+AU65+AU66</f>
        <v>8324.52503399474</v>
      </c>
      <c r="AV67" s="46" t="n">
        <f aca="false">AV62+AV63+AV64+AV65+AV66</f>
        <v>8382.89323178259</v>
      </c>
      <c r="AW67" s="46" t="n">
        <f aca="false">AW62+AW63+AW64+AW65+AW66</f>
        <v>8410.59392708774</v>
      </c>
      <c r="AX67" s="46" t="n">
        <f aca="false">AX62+AX63+AX64+AX65+AX66</f>
        <v>8467.63572283195</v>
      </c>
      <c r="AY67" s="46" t="n">
        <f aca="false">AY62+AY63+AY64+AY65+AY66</f>
        <v>8606.40234343372</v>
      </c>
      <c r="AZ67" s="46" t="n">
        <f aca="false">AZ62+AZ63+AZ64+AZ65+AZ66</f>
        <v>8632.41937326445</v>
      </c>
      <c r="BA67" s="46" t="n">
        <f aca="false">BA62+BA63+BA64+BA65+BA66</f>
        <v>8657.71300607888</v>
      </c>
      <c r="BB67" s="46" t="n">
        <f aca="false">BB62+BB63+BB64+BB65+BB66</f>
        <v>8712.88360225283</v>
      </c>
      <c r="BC67" s="46" t="n">
        <f aca="false">BC62+BC63+BC64+BC65+BC66</f>
        <v>8737.15312856779</v>
      </c>
      <c r="BD67" s="46" t="n">
        <f aca="false">BD62+BD63+BD64+BD65+BD66</f>
        <v>8760.78352869997</v>
      </c>
      <c r="BE67" s="46" t="n">
        <f aca="false">BE62+BE63+BE64+BE65+BE66</f>
        <v>8814.37004577272</v>
      </c>
      <c r="BF67" s="46" t="n">
        <f aca="false">BF62+BF63+BF64+BF65+BF66</f>
        <v>8837.12987164616</v>
      </c>
      <c r="BG67" s="46" t="n">
        <f aca="false">BG62+BG63+BG64+BG65+BG66</f>
        <v>8859.32049325659</v>
      </c>
      <c r="BH67" s="46" t="n">
        <f aca="false">BH62+BH63+BH64+BH65+BH66</f>
        <v>8880.96749376681</v>
      </c>
      <c r="BI67" s="46" t="n">
        <f aca="false">BI62+BI63+BI64+BI65+BI66</f>
        <v>8902.09494352267</v>
      </c>
      <c r="BJ67" s="46" t="n">
        <f aca="false">BJ62+BJ63+BJ64+BJ65+BJ66</f>
        <v>8922.72549999935</v>
      </c>
      <c r="BK67" s="46" t="n">
        <f aca="false">BK62+BK63+BK64+BK65+BK66</f>
        <v>9027.95941806351</v>
      </c>
    </row>
    <row r="68" customFormat="false" ht="15" hidden="false" customHeight="false" outlineLevel="0" collapsed="false">
      <c r="B68" s="5" t="s">
        <v>647</v>
      </c>
    </row>
    <row r="69" customFormat="false" ht="15" hidden="false" customHeight="false" outlineLevel="0" collapsed="false">
      <c r="A69" s="28" t="s">
        <v>648</v>
      </c>
      <c r="B69" s="6" t="s">
        <v>649</v>
      </c>
      <c r="C69" s="43"/>
      <c r="D69" s="17" t="n">
        <f aca="false">Assumptions!$G$108</f>
        <v>1465</v>
      </c>
      <c r="E69" s="17" t="n">
        <f aca="false">Assumptions!$G$108</f>
        <v>1465</v>
      </c>
      <c r="F69" s="17" t="n">
        <f aca="false">Assumptions!$G$108</f>
        <v>1465</v>
      </c>
      <c r="G69" s="17" t="n">
        <f aca="false">Assumptions!$G$108</f>
        <v>1465</v>
      </c>
      <c r="H69" s="17" t="n">
        <f aca="false">Assumptions!$G$108</f>
        <v>1465</v>
      </c>
      <c r="I69" s="17" t="n">
        <f aca="false">Assumptions!$G$108</f>
        <v>1465</v>
      </c>
      <c r="J69" s="17" t="n">
        <f aca="false">Assumptions!$G$108</f>
        <v>1465</v>
      </c>
      <c r="K69" s="17" t="n">
        <f aca="false">Assumptions!$G$108</f>
        <v>1465</v>
      </c>
      <c r="L69" s="17" t="n">
        <f aca="false">Assumptions!$G$108</f>
        <v>1465</v>
      </c>
      <c r="M69" s="17" t="n">
        <f aca="false">Assumptions!$G$108</f>
        <v>1465</v>
      </c>
      <c r="N69" s="17" t="n">
        <f aca="false">Assumptions!$G$108</f>
        <v>1465</v>
      </c>
      <c r="O69" s="17" t="n">
        <f aca="false">Assumptions!$G$108</f>
        <v>1465</v>
      </c>
      <c r="P69" s="17" t="n">
        <f aca="false">Assumptions!$G$108</f>
        <v>1465</v>
      </c>
      <c r="Q69" s="17" t="n">
        <f aca="false">Assumptions!$G$108</f>
        <v>1465</v>
      </c>
      <c r="R69" s="17" t="n">
        <f aca="false">Assumptions!$G$108</f>
        <v>1465</v>
      </c>
      <c r="S69" s="17" t="n">
        <f aca="false">Assumptions!$G$108</f>
        <v>1465</v>
      </c>
      <c r="T69" s="17" t="n">
        <f aca="false">Assumptions!$G$108</f>
        <v>1465</v>
      </c>
      <c r="U69" s="17" t="n">
        <f aca="false">Assumptions!$G$108</f>
        <v>1465</v>
      </c>
      <c r="V69" s="17" t="n">
        <f aca="false">Assumptions!$G$108</f>
        <v>1465</v>
      </c>
      <c r="W69" s="17" t="n">
        <f aca="false">Assumptions!$G$108</f>
        <v>1465</v>
      </c>
      <c r="X69" s="17" t="n">
        <f aca="false">Assumptions!$G$108</f>
        <v>1465</v>
      </c>
      <c r="Y69" s="17" t="n">
        <f aca="false">Assumptions!$G$108</f>
        <v>1465</v>
      </c>
      <c r="Z69" s="17" t="n">
        <f aca="false">Assumptions!$G$108</f>
        <v>1465</v>
      </c>
      <c r="AA69" s="17" t="n">
        <f aca="false">Assumptions!$G$108</f>
        <v>1465</v>
      </c>
      <c r="AB69" s="17" t="n">
        <f aca="false">Assumptions!$G$108</f>
        <v>1465</v>
      </c>
      <c r="AC69" s="17" t="n">
        <f aca="false">Assumptions!$G$108</f>
        <v>1465</v>
      </c>
      <c r="AD69" s="17" t="n">
        <f aca="false">Assumptions!$G$108</f>
        <v>1465</v>
      </c>
      <c r="AE69" s="17" t="n">
        <f aca="false">Assumptions!$G$108</f>
        <v>1465</v>
      </c>
      <c r="AF69" s="17" t="n">
        <f aca="false">Assumptions!$G$108</f>
        <v>1465</v>
      </c>
      <c r="AG69" s="17" t="n">
        <f aca="false">Assumptions!$G$108</f>
        <v>1465</v>
      </c>
      <c r="AH69" s="17" t="n">
        <f aca="false">Assumptions!$G$108</f>
        <v>1465</v>
      </c>
      <c r="AI69" s="17" t="n">
        <f aca="false">Assumptions!$G$108</f>
        <v>1465</v>
      </c>
      <c r="AJ69" s="17" t="n">
        <f aca="false">Assumptions!$G$108</f>
        <v>1465</v>
      </c>
      <c r="AK69" s="17" t="n">
        <f aca="false">Assumptions!$G$108</f>
        <v>1465</v>
      </c>
      <c r="AL69" s="17" t="n">
        <f aca="false">Assumptions!$G$108</f>
        <v>1465</v>
      </c>
      <c r="AM69" s="17" t="n">
        <f aca="false">Assumptions!$G$108</f>
        <v>1465</v>
      </c>
      <c r="AN69" s="44" t="n">
        <f aca="false">Assumptions!$G$108</f>
        <v>1465</v>
      </c>
      <c r="AO69" s="44" t="n">
        <f aca="false">Assumptions!$G$108</f>
        <v>1465</v>
      </c>
      <c r="AP69" s="44" t="n">
        <f aca="false">Assumptions!$G$108</f>
        <v>1465</v>
      </c>
      <c r="AQ69" s="44" t="n">
        <f aca="false">Assumptions!$G$108</f>
        <v>1465</v>
      </c>
      <c r="AR69" s="44" t="n">
        <f aca="false">Assumptions!$G$108</f>
        <v>1465</v>
      </c>
      <c r="AS69" s="44" t="n">
        <f aca="false">Assumptions!$G$108</f>
        <v>1465</v>
      </c>
      <c r="AT69" s="44" t="n">
        <f aca="false">Assumptions!$G$108</f>
        <v>1465</v>
      </c>
      <c r="AU69" s="44" t="n">
        <f aca="false">Assumptions!$G$108</f>
        <v>1465</v>
      </c>
      <c r="AV69" s="44" t="n">
        <f aca="false">Assumptions!$G$108</f>
        <v>1465</v>
      </c>
      <c r="AW69" s="44" t="n">
        <f aca="false">Assumptions!$G$108</f>
        <v>1465</v>
      </c>
      <c r="AX69" s="44" t="n">
        <f aca="false">Assumptions!$G$108</f>
        <v>1465</v>
      </c>
      <c r="AY69" s="44" t="n">
        <f aca="false">Assumptions!$G$108</f>
        <v>1465</v>
      </c>
      <c r="AZ69" s="44" t="n">
        <f aca="false">Assumptions!$G$108</f>
        <v>1465</v>
      </c>
      <c r="BA69" s="44" t="n">
        <f aca="false">Assumptions!$G$108</f>
        <v>1465</v>
      </c>
      <c r="BB69" s="44" t="n">
        <f aca="false">Assumptions!$G$108</f>
        <v>1465</v>
      </c>
      <c r="BC69" s="44" t="n">
        <f aca="false">Assumptions!$G$108</f>
        <v>1465</v>
      </c>
      <c r="BD69" s="44" t="n">
        <f aca="false">Assumptions!$G$108</f>
        <v>1465</v>
      </c>
      <c r="BE69" s="44" t="n">
        <f aca="false">Assumptions!$G$108</f>
        <v>1465</v>
      </c>
      <c r="BF69" s="44" t="n">
        <f aca="false">Assumptions!$G$108</f>
        <v>1465</v>
      </c>
      <c r="BG69" s="44" t="n">
        <f aca="false">Assumptions!$G$108</f>
        <v>1465</v>
      </c>
      <c r="BH69" s="44" t="n">
        <f aca="false">Assumptions!$G$108</f>
        <v>1465</v>
      </c>
      <c r="BI69" s="44" t="n">
        <f aca="false">Assumptions!$G$108</f>
        <v>1465</v>
      </c>
      <c r="BJ69" s="44" t="n">
        <f aca="false">Assumptions!$G$108</f>
        <v>1465</v>
      </c>
      <c r="BK69" s="44" t="n">
        <f aca="false">Assumptions!$G$108</f>
        <v>1465</v>
      </c>
    </row>
    <row r="70" customFormat="false" ht="15" hidden="false" customHeight="false" outlineLevel="0" collapsed="false">
      <c r="A70" s="28" t="s">
        <v>650</v>
      </c>
      <c r="B70" s="6" t="s">
        <v>651</v>
      </c>
      <c r="C70" s="43"/>
      <c r="D70" s="17" t="n">
        <f aca="false">IF(D7&lt;=12,Assumptions!$G$100,IF(D7&lt;=24,Assumptions!$G$101,Assumptions!$G$102))</f>
        <v>4000</v>
      </c>
      <c r="E70" s="17" t="n">
        <f aca="false">IF(E7&lt;=12,Assumptions!$G$100,IF(E7&lt;=24,Assumptions!$G$101,Assumptions!$G$102))</f>
        <v>4000</v>
      </c>
      <c r="F70" s="17" t="n">
        <f aca="false">IF(F7&lt;=12,Assumptions!$G$100,IF(F7&lt;=24,Assumptions!$G$101,Assumptions!$G$102))</f>
        <v>4000</v>
      </c>
      <c r="G70" s="17" t="n">
        <f aca="false">IF(G7&lt;=12,Assumptions!$G$100,IF(G7&lt;=24,Assumptions!$G$101,Assumptions!$G$102))</f>
        <v>4000</v>
      </c>
      <c r="H70" s="17" t="n">
        <f aca="false">IF(H7&lt;=12,Assumptions!$G$100,IF(H7&lt;=24,Assumptions!$G$101,Assumptions!$G$102))</f>
        <v>4000</v>
      </c>
      <c r="I70" s="17" t="n">
        <f aca="false">IF(I7&lt;=12,Assumptions!$G$100,IF(I7&lt;=24,Assumptions!$G$101,Assumptions!$G$102))</f>
        <v>4000</v>
      </c>
      <c r="J70" s="17" t="n">
        <f aca="false">IF(J7&lt;=12,Assumptions!$G$100,IF(J7&lt;=24,Assumptions!$G$101,Assumptions!$G$102))</f>
        <v>4000</v>
      </c>
      <c r="K70" s="17" t="n">
        <f aca="false">IF(K7&lt;=12,Assumptions!$G$100,IF(K7&lt;=24,Assumptions!$G$101,Assumptions!$G$102))</f>
        <v>4000</v>
      </c>
      <c r="L70" s="17" t="n">
        <f aca="false">IF(L7&lt;=12,Assumptions!$G$100,IF(L7&lt;=24,Assumptions!$G$101,Assumptions!$G$102))</f>
        <v>4000</v>
      </c>
      <c r="M70" s="17" t="n">
        <f aca="false">IF(M7&lt;=12,Assumptions!$G$100,IF(M7&lt;=24,Assumptions!$G$101,Assumptions!$G$102))</f>
        <v>4000</v>
      </c>
      <c r="N70" s="17" t="n">
        <f aca="false">IF(N7&lt;=12,Assumptions!$G$100,IF(N7&lt;=24,Assumptions!$G$101,Assumptions!$G$102))</f>
        <v>4000</v>
      </c>
      <c r="O70" s="17" t="n">
        <f aca="false">IF(O7&lt;=12,Assumptions!$G$100,IF(O7&lt;=24,Assumptions!$G$101,Assumptions!$G$102))</f>
        <v>4000</v>
      </c>
      <c r="P70" s="17" t="n">
        <f aca="false">IF(P7&lt;=12,Assumptions!$G$100,IF(P7&lt;=24,Assumptions!$G$101,Assumptions!$G$102))</f>
        <v>5000</v>
      </c>
      <c r="Q70" s="17" t="n">
        <f aca="false">IF(Q7&lt;=12,Assumptions!$G$100,IF(Q7&lt;=24,Assumptions!$G$101,Assumptions!$G$102))</f>
        <v>5000</v>
      </c>
      <c r="R70" s="17" t="n">
        <f aca="false">IF(R7&lt;=12,Assumptions!$G$100,IF(R7&lt;=24,Assumptions!$G$101,Assumptions!$G$102))</f>
        <v>5000</v>
      </c>
      <c r="S70" s="17" t="n">
        <f aca="false">IF(S7&lt;=12,Assumptions!$G$100,IF(S7&lt;=24,Assumptions!$G$101,Assumptions!$G$102))</f>
        <v>5000</v>
      </c>
      <c r="T70" s="17" t="n">
        <f aca="false">IF(T7&lt;=12,Assumptions!$G$100,IF(T7&lt;=24,Assumptions!$G$101,Assumptions!$G$102))</f>
        <v>5000</v>
      </c>
      <c r="U70" s="17" t="n">
        <f aca="false">IF(U7&lt;=12,Assumptions!$G$100,IF(U7&lt;=24,Assumptions!$G$101,Assumptions!$G$102))</f>
        <v>5000</v>
      </c>
      <c r="V70" s="17" t="n">
        <f aca="false">IF(V7&lt;=12,Assumptions!$G$100,IF(V7&lt;=24,Assumptions!$G$101,Assumptions!$G$102))</f>
        <v>5000</v>
      </c>
      <c r="W70" s="17" t="n">
        <f aca="false">IF(W7&lt;=12,Assumptions!$G$100,IF(W7&lt;=24,Assumptions!$G$101,Assumptions!$G$102))</f>
        <v>5000</v>
      </c>
      <c r="X70" s="17" t="n">
        <f aca="false">IF(X7&lt;=12,Assumptions!$G$100,IF(X7&lt;=24,Assumptions!$G$101,Assumptions!$G$102))</f>
        <v>5000</v>
      </c>
      <c r="Y70" s="17" t="n">
        <f aca="false">IF(Y7&lt;=12,Assumptions!$G$100,IF(Y7&lt;=24,Assumptions!$G$101,Assumptions!$G$102))</f>
        <v>5000</v>
      </c>
      <c r="Z70" s="17" t="n">
        <f aca="false">IF(Z7&lt;=12,Assumptions!$G$100,IF(Z7&lt;=24,Assumptions!$G$101,Assumptions!$G$102))</f>
        <v>5000</v>
      </c>
      <c r="AA70" s="17" t="n">
        <f aca="false">IF(AA7&lt;=12,Assumptions!$G$100,IF(AA7&lt;=24,Assumptions!$G$101,Assumptions!$G$102))</f>
        <v>5000</v>
      </c>
      <c r="AB70" s="17" t="n">
        <f aca="false">IF(AB7&lt;=12,Assumptions!$G$100,IF(AB7&lt;=24,Assumptions!$G$101,Assumptions!$G$102))</f>
        <v>6000</v>
      </c>
      <c r="AC70" s="17" t="n">
        <f aca="false">IF(AC7&lt;=12,Assumptions!$G$100,IF(AC7&lt;=24,Assumptions!$G$101,Assumptions!$G$102))</f>
        <v>6000</v>
      </c>
      <c r="AD70" s="17" t="n">
        <f aca="false">IF(AD7&lt;=12,Assumptions!$G$100,IF(AD7&lt;=24,Assumptions!$G$101,Assumptions!$G$102))</f>
        <v>6000</v>
      </c>
      <c r="AE70" s="17" t="n">
        <f aca="false">IF(AE7&lt;=12,Assumptions!$G$100,IF(AE7&lt;=24,Assumptions!$G$101,Assumptions!$G$102))</f>
        <v>6000</v>
      </c>
      <c r="AF70" s="17" t="n">
        <f aca="false">IF(AF7&lt;=12,Assumptions!$G$100,IF(AF7&lt;=24,Assumptions!$G$101,Assumptions!$G$102))</f>
        <v>6000</v>
      </c>
      <c r="AG70" s="17" t="n">
        <f aca="false">IF(AG7&lt;=12,Assumptions!$G$100,IF(AG7&lt;=24,Assumptions!$G$101,Assumptions!$G$102))</f>
        <v>6000</v>
      </c>
      <c r="AH70" s="17" t="n">
        <f aca="false">IF(AH7&lt;=12,Assumptions!$G$100,IF(AH7&lt;=24,Assumptions!$G$101,Assumptions!$G$102))</f>
        <v>6000</v>
      </c>
      <c r="AI70" s="17" t="n">
        <f aca="false">IF(AI7&lt;=12,Assumptions!$G$100,IF(AI7&lt;=24,Assumptions!$G$101,Assumptions!$G$102))</f>
        <v>6000</v>
      </c>
      <c r="AJ70" s="17" t="n">
        <f aca="false">IF(AJ7&lt;=12,Assumptions!$G$100,IF(AJ7&lt;=24,Assumptions!$G$101,Assumptions!$G$102))</f>
        <v>6000</v>
      </c>
      <c r="AK70" s="17" t="n">
        <f aca="false">IF(AK7&lt;=12,Assumptions!$G$100,IF(AK7&lt;=24,Assumptions!$G$101,Assumptions!$G$102))</f>
        <v>6000</v>
      </c>
      <c r="AL70" s="17" t="n">
        <f aca="false">IF(AL7&lt;=12,Assumptions!$G$100,IF(AL7&lt;=24,Assumptions!$G$101,Assumptions!$G$102))</f>
        <v>6000</v>
      </c>
      <c r="AM70" s="17" t="n">
        <f aca="false">IF(AM7&lt;=12,Assumptions!$G$100,IF(AM7&lt;=24,Assumptions!$G$101,Assumptions!$G$102))</f>
        <v>6000</v>
      </c>
      <c r="AN70" s="44" t="n">
        <f aca="false">IF(AN7&lt;=12,Assumptions!$G$100,IF(AN7&lt;=24,Assumptions!$G$101,Assumptions!$G$102))</f>
        <v>6000</v>
      </c>
      <c r="AO70" s="44" t="n">
        <f aca="false">IF(AO7&lt;=12,Assumptions!$G$100,IF(AO7&lt;=24,Assumptions!$G$101,Assumptions!$G$102))</f>
        <v>6000</v>
      </c>
      <c r="AP70" s="44" t="n">
        <f aca="false">IF(AP7&lt;=12,Assumptions!$G$100,IF(AP7&lt;=24,Assumptions!$G$101,Assumptions!$G$102))</f>
        <v>6000</v>
      </c>
      <c r="AQ70" s="44" t="n">
        <f aca="false">IF(AQ7&lt;=12,Assumptions!$G$100,IF(AQ7&lt;=24,Assumptions!$G$101,Assumptions!$G$102))</f>
        <v>6000</v>
      </c>
      <c r="AR70" s="44" t="n">
        <f aca="false">IF(AR7&lt;=12,Assumptions!$G$100,IF(AR7&lt;=24,Assumptions!$G$101,Assumptions!$G$102))</f>
        <v>6000</v>
      </c>
      <c r="AS70" s="44" t="n">
        <f aca="false">IF(AS7&lt;=12,Assumptions!$G$100,IF(AS7&lt;=24,Assumptions!$G$101,Assumptions!$G$102))</f>
        <v>6000</v>
      </c>
      <c r="AT70" s="44" t="n">
        <f aca="false">IF(AT7&lt;=12,Assumptions!$G$100,IF(AT7&lt;=24,Assumptions!$G$101,Assumptions!$G$102))</f>
        <v>6000</v>
      </c>
      <c r="AU70" s="44" t="n">
        <f aca="false">IF(AU7&lt;=12,Assumptions!$G$100,IF(AU7&lt;=24,Assumptions!$G$101,Assumptions!$G$102))</f>
        <v>6000</v>
      </c>
      <c r="AV70" s="44" t="n">
        <f aca="false">IF(AV7&lt;=12,Assumptions!$G$100,IF(AV7&lt;=24,Assumptions!$G$101,Assumptions!$G$102))</f>
        <v>6000</v>
      </c>
      <c r="AW70" s="44" t="n">
        <f aca="false">IF(AW7&lt;=12,Assumptions!$G$100,IF(AW7&lt;=24,Assumptions!$G$101,Assumptions!$G$102))</f>
        <v>6000</v>
      </c>
      <c r="AX70" s="44" t="n">
        <f aca="false">IF(AX7&lt;=12,Assumptions!$G$100,IF(AX7&lt;=24,Assumptions!$G$101,Assumptions!$G$102))</f>
        <v>6000</v>
      </c>
      <c r="AY70" s="44" t="n">
        <f aca="false">IF(AY7&lt;=12,Assumptions!$G$100,IF(AY7&lt;=24,Assumptions!$G$101,Assumptions!$G$102))</f>
        <v>6000</v>
      </c>
      <c r="AZ70" s="44" t="n">
        <f aca="false">IF(AZ7&lt;=12,Assumptions!$G$100,IF(AZ7&lt;=24,Assumptions!$G$101,Assumptions!$G$102))</f>
        <v>6000</v>
      </c>
      <c r="BA70" s="44" t="n">
        <f aca="false">IF(BA7&lt;=12,Assumptions!$G$100,IF(BA7&lt;=24,Assumptions!$G$101,Assumptions!$G$102))</f>
        <v>6000</v>
      </c>
      <c r="BB70" s="44" t="n">
        <f aca="false">IF(BB7&lt;=12,Assumptions!$G$100,IF(BB7&lt;=24,Assumptions!$G$101,Assumptions!$G$102))</f>
        <v>6000</v>
      </c>
      <c r="BC70" s="44" t="n">
        <f aca="false">IF(BC7&lt;=12,Assumptions!$G$100,IF(BC7&lt;=24,Assumptions!$G$101,Assumptions!$G$102))</f>
        <v>6000</v>
      </c>
      <c r="BD70" s="44" t="n">
        <f aca="false">IF(BD7&lt;=12,Assumptions!$G$100,IF(BD7&lt;=24,Assumptions!$G$101,Assumptions!$G$102))</f>
        <v>6000</v>
      </c>
      <c r="BE70" s="44" t="n">
        <f aca="false">IF(BE7&lt;=12,Assumptions!$G$100,IF(BE7&lt;=24,Assumptions!$G$101,Assumptions!$G$102))</f>
        <v>6000</v>
      </c>
      <c r="BF70" s="44" t="n">
        <f aca="false">IF(BF7&lt;=12,Assumptions!$G$100,IF(BF7&lt;=24,Assumptions!$G$101,Assumptions!$G$102))</f>
        <v>6000</v>
      </c>
      <c r="BG70" s="44" t="n">
        <f aca="false">IF(BG7&lt;=12,Assumptions!$G$100,IF(BG7&lt;=24,Assumptions!$G$101,Assumptions!$G$102))</f>
        <v>6000</v>
      </c>
      <c r="BH70" s="44" t="n">
        <f aca="false">IF(BH7&lt;=12,Assumptions!$G$100,IF(BH7&lt;=24,Assumptions!$G$101,Assumptions!$G$102))</f>
        <v>6000</v>
      </c>
      <c r="BI70" s="44" t="n">
        <f aca="false">IF(BI7&lt;=12,Assumptions!$G$100,IF(BI7&lt;=24,Assumptions!$G$101,Assumptions!$G$102))</f>
        <v>6000</v>
      </c>
      <c r="BJ70" s="44" t="n">
        <f aca="false">IF(BJ7&lt;=12,Assumptions!$G$100,IF(BJ7&lt;=24,Assumptions!$G$101,Assumptions!$G$102))</f>
        <v>6000</v>
      </c>
      <c r="BK70" s="44" t="n">
        <f aca="false">IF(BK7&lt;=12,Assumptions!$G$100,IF(BK7&lt;=24,Assumptions!$G$101,Assumptions!$G$102))</f>
        <v>6000</v>
      </c>
    </row>
    <row r="71" customFormat="false" ht="15" hidden="false" customHeight="false" outlineLevel="0" collapsed="false">
      <c r="A71" s="28" t="s">
        <v>652</v>
      </c>
      <c r="B71" s="6" t="s">
        <v>653</v>
      </c>
      <c r="C71" s="43"/>
      <c r="D71" s="17" t="n">
        <f aca="false">INT(D13/Assumptions!$G$103)*Assumptions!$G$104</f>
        <v>0</v>
      </c>
      <c r="E71" s="17" t="n">
        <f aca="false">INT(E13/Assumptions!$G$103)*Assumptions!$G$104</f>
        <v>0</v>
      </c>
      <c r="F71" s="17" t="n">
        <f aca="false">INT(F13/Assumptions!$G$103)*Assumptions!$G$104</f>
        <v>0</v>
      </c>
      <c r="G71" s="17" t="n">
        <f aca="false">INT(G13/Assumptions!$G$103)*Assumptions!$G$104</f>
        <v>0</v>
      </c>
      <c r="H71" s="17" t="n">
        <f aca="false">INT(H13/Assumptions!$G$103)*Assumptions!$G$104</f>
        <v>0</v>
      </c>
      <c r="I71" s="17" t="n">
        <f aca="false">INT(I13/Assumptions!$G$103)*Assumptions!$G$104</f>
        <v>0</v>
      </c>
      <c r="J71" s="17" t="n">
        <f aca="false">INT(J13/Assumptions!$G$103)*Assumptions!$G$104</f>
        <v>0</v>
      </c>
      <c r="K71" s="17" t="n">
        <f aca="false">INT(K13/Assumptions!$G$103)*Assumptions!$G$104</f>
        <v>0</v>
      </c>
      <c r="L71" s="17" t="n">
        <f aca="false">INT(L13/Assumptions!$G$103)*Assumptions!$G$104</f>
        <v>0</v>
      </c>
      <c r="M71" s="17" t="n">
        <f aca="false">INT(M13/Assumptions!$G$103)*Assumptions!$G$104</f>
        <v>0</v>
      </c>
      <c r="N71" s="17" t="n">
        <f aca="false">INT(N13/Assumptions!$G$103)*Assumptions!$G$104</f>
        <v>0</v>
      </c>
      <c r="O71" s="17" t="n">
        <f aca="false">INT(O13/Assumptions!$G$103)*Assumptions!$G$104</f>
        <v>0</v>
      </c>
      <c r="P71" s="17" t="n">
        <f aca="false">INT(P13/Assumptions!$G$103)*Assumptions!$G$104</f>
        <v>0</v>
      </c>
      <c r="Q71" s="17" t="n">
        <f aca="false">INT(Q13/Assumptions!$G$103)*Assumptions!$G$104</f>
        <v>0</v>
      </c>
      <c r="R71" s="17" t="n">
        <f aca="false">INT(R13/Assumptions!$G$103)*Assumptions!$G$104</f>
        <v>0</v>
      </c>
      <c r="S71" s="17" t="n">
        <f aca="false">INT(S13/Assumptions!$G$103)*Assumptions!$G$104</f>
        <v>0</v>
      </c>
      <c r="T71" s="17" t="n">
        <f aca="false">INT(T13/Assumptions!$G$103)*Assumptions!$G$104</f>
        <v>0</v>
      </c>
      <c r="U71" s="17" t="n">
        <f aca="false">INT(U13/Assumptions!$G$103)*Assumptions!$G$104</f>
        <v>0</v>
      </c>
      <c r="V71" s="17" t="n">
        <f aca="false">INT(V13/Assumptions!$G$103)*Assumptions!$G$104</f>
        <v>0</v>
      </c>
      <c r="W71" s="17" t="n">
        <f aca="false">INT(W13/Assumptions!$G$103)*Assumptions!$G$104</f>
        <v>0</v>
      </c>
      <c r="X71" s="17" t="n">
        <f aca="false">INT(X13/Assumptions!$G$103)*Assumptions!$G$104</f>
        <v>0</v>
      </c>
      <c r="Y71" s="17" t="n">
        <f aca="false">INT(Y13/Assumptions!$G$103)*Assumptions!$G$104</f>
        <v>0</v>
      </c>
      <c r="Z71" s="17" t="n">
        <f aca="false">INT(Z13/Assumptions!$G$103)*Assumptions!$G$104</f>
        <v>0</v>
      </c>
      <c r="AA71" s="17" t="n">
        <f aca="false">INT(AA13/Assumptions!$G$103)*Assumptions!$G$104</f>
        <v>0</v>
      </c>
      <c r="AB71" s="17" t="n">
        <f aca="false">INT(AB13/Assumptions!$G$103)*Assumptions!$G$104</f>
        <v>0</v>
      </c>
      <c r="AC71" s="17" t="n">
        <f aca="false">INT(AC13/Assumptions!$G$103)*Assumptions!$G$104</f>
        <v>0</v>
      </c>
      <c r="AD71" s="17" t="n">
        <f aca="false">INT(AD13/Assumptions!$G$103)*Assumptions!$G$104</f>
        <v>0</v>
      </c>
      <c r="AE71" s="17" t="n">
        <f aca="false">INT(AE13/Assumptions!$G$103)*Assumptions!$G$104</f>
        <v>0</v>
      </c>
      <c r="AF71" s="17" t="n">
        <f aca="false">INT(AF13/Assumptions!$G$103)*Assumptions!$G$104</f>
        <v>0</v>
      </c>
      <c r="AG71" s="17" t="n">
        <f aca="false">INT(AG13/Assumptions!$G$103)*Assumptions!$G$104</f>
        <v>0</v>
      </c>
      <c r="AH71" s="17" t="n">
        <f aca="false">INT(AH13/Assumptions!$G$103)*Assumptions!$G$104</f>
        <v>0</v>
      </c>
      <c r="AI71" s="17" t="n">
        <f aca="false">INT(AI13/Assumptions!$G$103)*Assumptions!$G$104</f>
        <v>0</v>
      </c>
      <c r="AJ71" s="17" t="n">
        <f aca="false">INT(AJ13/Assumptions!$G$103)*Assumptions!$G$104</f>
        <v>0</v>
      </c>
      <c r="AK71" s="17" t="n">
        <f aca="false">INT(AK13/Assumptions!$G$103)*Assumptions!$G$104</f>
        <v>0</v>
      </c>
      <c r="AL71" s="17" t="n">
        <f aca="false">INT(AL13/Assumptions!$G$103)*Assumptions!$G$104</f>
        <v>0</v>
      </c>
      <c r="AM71" s="17" t="n">
        <f aca="false">INT(AM13/Assumptions!$G$103)*Assumptions!$G$104</f>
        <v>0</v>
      </c>
      <c r="AN71" s="44" t="n">
        <f aca="false">INT(AN13/Assumptions!$G$103)*Assumptions!$G$104</f>
        <v>0</v>
      </c>
      <c r="AO71" s="44" t="n">
        <f aca="false">INT(AO13/Assumptions!$G$103)*Assumptions!$G$104</f>
        <v>0</v>
      </c>
      <c r="AP71" s="44" t="n">
        <f aca="false">INT(AP13/Assumptions!$G$103)*Assumptions!$G$104</f>
        <v>0</v>
      </c>
      <c r="AQ71" s="44" t="n">
        <f aca="false">INT(AQ13/Assumptions!$G$103)*Assumptions!$G$104</f>
        <v>0</v>
      </c>
      <c r="AR71" s="44" t="n">
        <f aca="false">INT(AR13/Assumptions!$G$103)*Assumptions!$G$104</f>
        <v>4200</v>
      </c>
      <c r="AS71" s="44" t="n">
        <f aca="false">INT(AS13/Assumptions!$G$103)*Assumptions!$G$104</f>
        <v>4200</v>
      </c>
      <c r="AT71" s="44" t="n">
        <f aca="false">INT(AT13/Assumptions!$G$103)*Assumptions!$G$104</f>
        <v>4200</v>
      </c>
      <c r="AU71" s="44" t="n">
        <f aca="false">INT(AU13/Assumptions!$G$103)*Assumptions!$G$104</f>
        <v>4200</v>
      </c>
      <c r="AV71" s="44" t="n">
        <f aca="false">INT(AV13/Assumptions!$G$103)*Assumptions!$G$104</f>
        <v>4200</v>
      </c>
      <c r="AW71" s="44" t="n">
        <f aca="false">INT(AW13/Assumptions!$G$103)*Assumptions!$G$104</f>
        <v>4200</v>
      </c>
      <c r="AX71" s="44" t="n">
        <f aca="false">INT(AX13/Assumptions!$G$103)*Assumptions!$G$104</f>
        <v>4200</v>
      </c>
      <c r="AY71" s="44" t="n">
        <f aca="false">INT(AY13/Assumptions!$G$103)*Assumptions!$G$104</f>
        <v>4200</v>
      </c>
      <c r="AZ71" s="44" t="n">
        <f aca="false">INT(AZ13/Assumptions!$G$103)*Assumptions!$G$104</f>
        <v>4200</v>
      </c>
      <c r="BA71" s="44" t="n">
        <f aca="false">INT(BA13/Assumptions!$G$103)*Assumptions!$G$104</f>
        <v>4200</v>
      </c>
      <c r="BB71" s="44" t="n">
        <f aca="false">INT(BB13/Assumptions!$G$103)*Assumptions!$G$104</f>
        <v>4200</v>
      </c>
      <c r="BC71" s="44" t="n">
        <f aca="false">INT(BC13/Assumptions!$G$103)*Assumptions!$G$104</f>
        <v>4200</v>
      </c>
      <c r="BD71" s="44" t="n">
        <f aca="false">INT(BD13/Assumptions!$G$103)*Assumptions!$G$104</f>
        <v>4200</v>
      </c>
      <c r="BE71" s="44" t="n">
        <f aca="false">INT(BE13/Assumptions!$G$103)*Assumptions!$G$104</f>
        <v>4200</v>
      </c>
      <c r="BF71" s="44" t="n">
        <f aca="false">INT(BF13/Assumptions!$G$103)*Assumptions!$G$104</f>
        <v>4200</v>
      </c>
      <c r="BG71" s="44" t="n">
        <f aca="false">INT(BG13/Assumptions!$G$103)*Assumptions!$G$104</f>
        <v>4200</v>
      </c>
      <c r="BH71" s="44" t="n">
        <f aca="false">INT(BH13/Assumptions!$G$103)*Assumptions!$G$104</f>
        <v>4200</v>
      </c>
      <c r="BI71" s="44" t="n">
        <f aca="false">INT(BI13/Assumptions!$G$103)*Assumptions!$G$104</f>
        <v>4200</v>
      </c>
      <c r="BJ71" s="44" t="n">
        <f aca="false">INT(BJ13/Assumptions!$G$103)*Assumptions!$G$104</f>
        <v>4200</v>
      </c>
      <c r="BK71" s="44" t="n">
        <f aca="false">INT(BK13/Assumptions!$G$103)*Assumptions!$G$104</f>
        <v>4200</v>
      </c>
    </row>
    <row r="72" customFormat="false" ht="15" hidden="false" customHeight="false" outlineLevel="0" collapsed="false">
      <c r="A72" s="28" t="s">
        <v>654</v>
      </c>
      <c r="B72" s="6" t="s">
        <v>341</v>
      </c>
      <c r="C72" s="43"/>
      <c r="D72" s="17" t="n">
        <f aca="false">IF(D7&gt;=Assumptions!$G$106,Assumptions!$G$105,0)</f>
        <v>0</v>
      </c>
      <c r="E72" s="17" t="n">
        <f aca="false">IF(E7&gt;=Assumptions!$G$106,Assumptions!$G$105,0)</f>
        <v>0</v>
      </c>
      <c r="F72" s="17" t="n">
        <f aca="false">IF(F7&gt;=Assumptions!$G$106,Assumptions!$G$105,0)</f>
        <v>0</v>
      </c>
      <c r="G72" s="17" t="n">
        <f aca="false">IF(G7&gt;=Assumptions!$G$106,Assumptions!$G$105,0)</f>
        <v>0</v>
      </c>
      <c r="H72" s="17" t="n">
        <f aca="false">IF(H7&gt;=Assumptions!$G$106,Assumptions!$G$105,0)</f>
        <v>0</v>
      </c>
      <c r="I72" s="17" t="n">
        <f aca="false">IF(I7&gt;=Assumptions!$G$106,Assumptions!$G$105,0)</f>
        <v>0</v>
      </c>
      <c r="J72" s="17" t="n">
        <f aca="false">IF(J7&gt;=Assumptions!$G$106,Assumptions!$G$105,0)</f>
        <v>0</v>
      </c>
      <c r="K72" s="17" t="n">
        <f aca="false">IF(K7&gt;=Assumptions!$G$106,Assumptions!$G$105,0)</f>
        <v>0</v>
      </c>
      <c r="L72" s="17" t="n">
        <f aca="false">IF(L7&gt;=Assumptions!$G$106,Assumptions!$G$105,0)</f>
        <v>0</v>
      </c>
      <c r="M72" s="17" t="n">
        <f aca="false">IF(M7&gt;=Assumptions!$G$106,Assumptions!$G$105,0)</f>
        <v>0</v>
      </c>
      <c r="N72" s="17" t="n">
        <f aca="false">IF(N7&gt;=Assumptions!$G$106,Assumptions!$G$105,0)</f>
        <v>0</v>
      </c>
      <c r="O72" s="17" t="n">
        <f aca="false">IF(O7&gt;=Assumptions!$G$106,Assumptions!$G$105,0)</f>
        <v>0</v>
      </c>
      <c r="P72" s="17" t="n">
        <f aca="false">IF(P7&gt;=Assumptions!$G$106,Assumptions!$G$105,0)</f>
        <v>0</v>
      </c>
      <c r="Q72" s="17" t="n">
        <f aca="false">IF(Q7&gt;=Assumptions!$G$106,Assumptions!$G$105,0)</f>
        <v>0</v>
      </c>
      <c r="R72" s="17" t="n">
        <f aca="false">IF(R7&gt;=Assumptions!$G$106,Assumptions!$G$105,0)</f>
        <v>0</v>
      </c>
      <c r="S72" s="17" t="n">
        <f aca="false">IF(S7&gt;=Assumptions!$G$106,Assumptions!$G$105,0)</f>
        <v>0</v>
      </c>
      <c r="T72" s="17" t="n">
        <f aca="false">IF(T7&gt;=Assumptions!$G$106,Assumptions!$G$105,0)</f>
        <v>0</v>
      </c>
      <c r="U72" s="17" t="n">
        <f aca="false">IF(U7&gt;=Assumptions!$G$106,Assumptions!$G$105,0)</f>
        <v>0</v>
      </c>
      <c r="V72" s="17" t="n">
        <f aca="false">IF(V7&gt;=Assumptions!$G$106,Assumptions!$G$105,0)</f>
        <v>0</v>
      </c>
      <c r="W72" s="17" t="n">
        <f aca="false">IF(W7&gt;=Assumptions!$G$106,Assumptions!$G$105,0)</f>
        <v>0</v>
      </c>
      <c r="X72" s="17" t="n">
        <f aca="false">IF(X7&gt;=Assumptions!$G$106,Assumptions!$G$105,0)</f>
        <v>0</v>
      </c>
      <c r="Y72" s="17" t="n">
        <f aca="false">IF(Y7&gt;=Assumptions!$G$106,Assumptions!$G$105,0)</f>
        <v>0</v>
      </c>
      <c r="Z72" s="17" t="n">
        <f aca="false">IF(Z7&gt;=Assumptions!$G$106,Assumptions!$G$105,0)</f>
        <v>0</v>
      </c>
      <c r="AA72" s="17" t="n">
        <f aca="false">IF(AA7&gt;=Assumptions!$G$106,Assumptions!$G$105,0)</f>
        <v>0</v>
      </c>
      <c r="AB72" s="17" t="n">
        <f aca="false">IF(AB7&gt;=Assumptions!$G$106,Assumptions!$G$105,0)</f>
        <v>0</v>
      </c>
      <c r="AC72" s="17" t="n">
        <f aca="false">IF(AC7&gt;=Assumptions!$G$106,Assumptions!$G$105,0)</f>
        <v>0</v>
      </c>
      <c r="AD72" s="17" t="n">
        <f aca="false">IF(AD7&gt;=Assumptions!$G$106,Assumptions!$G$105,0)</f>
        <v>0</v>
      </c>
      <c r="AE72" s="17" t="n">
        <f aca="false">IF(AE7&gt;=Assumptions!$G$106,Assumptions!$G$105,0)</f>
        <v>0</v>
      </c>
      <c r="AF72" s="17" t="n">
        <f aca="false">IF(AF7&gt;=Assumptions!$G$106,Assumptions!$G$105,0)</f>
        <v>0</v>
      </c>
      <c r="AG72" s="17" t="n">
        <f aca="false">IF(AG7&gt;=Assumptions!$G$106,Assumptions!$G$105,0)</f>
        <v>0</v>
      </c>
      <c r="AH72" s="17" t="n">
        <f aca="false">IF(AH7&gt;=Assumptions!$G$106,Assumptions!$G$105,0)</f>
        <v>0</v>
      </c>
      <c r="AI72" s="17" t="n">
        <f aca="false">IF(AI7&gt;=Assumptions!$G$106,Assumptions!$G$105,0)</f>
        <v>0</v>
      </c>
      <c r="AJ72" s="17" t="n">
        <f aca="false">IF(AJ7&gt;=Assumptions!$G$106,Assumptions!$G$105,0)</f>
        <v>0</v>
      </c>
      <c r="AK72" s="17" t="n">
        <f aca="false">IF(AK7&gt;=Assumptions!$G$106,Assumptions!$G$105,0)</f>
        <v>0</v>
      </c>
      <c r="AL72" s="17" t="n">
        <f aca="false">IF(AL7&gt;=Assumptions!$G$106,Assumptions!$G$105,0)</f>
        <v>0</v>
      </c>
      <c r="AM72" s="17" t="n">
        <f aca="false">IF(AM7&gt;=Assumptions!$G$106,Assumptions!$G$105,0)</f>
        <v>0</v>
      </c>
      <c r="AN72" s="44" t="n">
        <f aca="false">IF(AN7&gt;=Assumptions!$G$106,Assumptions!$G$105,0)</f>
        <v>0</v>
      </c>
      <c r="AO72" s="44" t="n">
        <f aca="false">IF(AO7&gt;=Assumptions!$G$106,Assumptions!$G$105,0)</f>
        <v>0</v>
      </c>
      <c r="AP72" s="44" t="n">
        <f aca="false">IF(AP7&gt;=Assumptions!$G$106,Assumptions!$G$105,0)</f>
        <v>0</v>
      </c>
      <c r="AQ72" s="44" t="n">
        <f aca="false">IF(AQ7&gt;=Assumptions!$G$106,Assumptions!$G$105,0)</f>
        <v>0</v>
      </c>
      <c r="AR72" s="44" t="n">
        <f aca="false">IF(AR7&gt;=Assumptions!$G$106,Assumptions!$G$105,0)</f>
        <v>0</v>
      </c>
      <c r="AS72" s="44" t="n">
        <f aca="false">IF(AS7&gt;=Assumptions!$G$106,Assumptions!$G$105,0)</f>
        <v>0</v>
      </c>
      <c r="AT72" s="44" t="n">
        <f aca="false">IF(AT7&gt;=Assumptions!$G$106,Assumptions!$G$105,0)</f>
        <v>0</v>
      </c>
      <c r="AU72" s="44" t="n">
        <f aca="false">IF(AU7&gt;=Assumptions!$G$106,Assumptions!$G$105,0)</f>
        <v>0</v>
      </c>
      <c r="AV72" s="44" t="n">
        <f aca="false">IF(AV7&gt;=Assumptions!$G$106,Assumptions!$G$105,0)</f>
        <v>0</v>
      </c>
      <c r="AW72" s="44" t="n">
        <f aca="false">IF(AW7&gt;=Assumptions!$G$106,Assumptions!$G$105,0)</f>
        <v>0</v>
      </c>
      <c r="AX72" s="44" t="n">
        <f aca="false">IF(AX7&gt;=Assumptions!$G$106,Assumptions!$G$105,0)</f>
        <v>0</v>
      </c>
      <c r="AY72" s="44" t="n">
        <f aca="false">IF(AY7&gt;=Assumptions!$G$106,Assumptions!$G$105,0)</f>
        <v>0</v>
      </c>
      <c r="AZ72" s="44" t="n">
        <f aca="false">IF(AZ7&gt;=Assumptions!$G$106,Assumptions!$G$105,0)</f>
        <v>0</v>
      </c>
      <c r="BA72" s="44" t="n">
        <f aca="false">IF(BA7&gt;=Assumptions!$G$106,Assumptions!$G$105,0)</f>
        <v>0</v>
      </c>
      <c r="BB72" s="44" t="n">
        <f aca="false">IF(BB7&gt;=Assumptions!$G$106,Assumptions!$G$105,0)</f>
        <v>0</v>
      </c>
      <c r="BC72" s="44" t="n">
        <f aca="false">IF(BC7&gt;=Assumptions!$G$106,Assumptions!$G$105,0)</f>
        <v>0</v>
      </c>
      <c r="BD72" s="44" t="n">
        <f aca="false">IF(BD7&gt;=Assumptions!$G$106,Assumptions!$G$105,0)</f>
        <v>0</v>
      </c>
      <c r="BE72" s="44" t="n">
        <f aca="false">IF(BE7&gt;=Assumptions!$G$106,Assumptions!$G$105,0)</f>
        <v>0</v>
      </c>
      <c r="BF72" s="44" t="n">
        <f aca="false">IF(BF7&gt;=Assumptions!$G$106,Assumptions!$G$105,0)</f>
        <v>0</v>
      </c>
      <c r="BG72" s="44" t="n">
        <f aca="false">IF(BG7&gt;=Assumptions!$G$106,Assumptions!$G$105,0)</f>
        <v>0</v>
      </c>
      <c r="BH72" s="44" t="n">
        <f aca="false">IF(BH7&gt;=Assumptions!$G$106,Assumptions!$G$105,0)</f>
        <v>0</v>
      </c>
      <c r="BI72" s="44" t="n">
        <f aca="false">IF(BI7&gt;=Assumptions!$G$106,Assumptions!$G$105,0)</f>
        <v>0</v>
      </c>
      <c r="BJ72" s="44" t="n">
        <f aca="false">IF(BJ7&gt;=Assumptions!$G$106,Assumptions!$G$105,0)</f>
        <v>0</v>
      </c>
      <c r="BK72" s="44" t="n">
        <f aca="false">IF(BK7&gt;=Assumptions!$G$106,Assumptions!$G$105,0)</f>
        <v>0</v>
      </c>
    </row>
    <row r="73" customFormat="false" ht="15" hidden="false" customHeight="false" outlineLevel="0" collapsed="false">
      <c r="A73" s="28" t="s">
        <v>655</v>
      </c>
      <c r="B73" s="6" t="s">
        <v>656</v>
      </c>
      <c r="C73" s="43"/>
      <c r="D73" s="22" t="n">
        <f aca="false">Assumptions!C$144</f>
        <v>3500</v>
      </c>
      <c r="E73" s="22" t="n">
        <f aca="false">Assumptions!D$144</f>
        <v>1500</v>
      </c>
      <c r="F73" s="22" t="n">
        <f aca="false">Assumptions!E$144</f>
        <v>3000</v>
      </c>
      <c r="G73" s="22" t="n">
        <f aca="false">Assumptions!F$144</f>
        <v>0</v>
      </c>
      <c r="H73" s="22" t="n">
        <f aca="false">Assumptions!G$144</f>
        <v>0</v>
      </c>
      <c r="I73" s="22" t="n">
        <f aca="false">Assumptions!H$144</f>
        <v>0</v>
      </c>
      <c r="J73" s="22" t="n">
        <f aca="false">Assumptions!I$144</f>
        <v>0</v>
      </c>
      <c r="K73" s="22" t="n">
        <f aca="false">Assumptions!J$144</f>
        <v>0</v>
      </c>
      <c r="L73" s="22" t="n">
        <f aca="false">Assumptions!K$144</f>
        <v>0</v>
      </c>
      <c r="M73" s="22" t="n">
        <f aca="false">Assumptions!L$144</f>
        <v>0</v>
      </c>
      <c r="N73" s="22" t="n">
        <f aca="false">Assumptions!M$144</f>
        <v>0</v>
      </c>
      <c r="O73" s="22" t="n">
        <f aca="false">Assumptions!N$144</f>
        <v>0</v>
      </c>
      <c r="P73" s="22" t="n">
        <f aca="false">Assumptions!O$144</f>
        <v>0</v>
      </c>
      <c r="Q73" s="22" t="n">
        <f aca="false">Assumptions!P$144</f>
        <v>0</v>
      </c>
      <c r="R73" s="22" t="n">
        <f aca="false">Assumptions!Q$144</f>
        <v>0</v>
      </c>
      <c r="S73" s="22" t="n">
        <f aca="false">Assumptions!R$144</f>
        <v>0</v>
      </c>
      <c r="T73" s="22" t="n">
        <f aca="false">Assumptions!S$144</f>
        <v>0</v>
      </c>
      <c r="U73" s="22" t="n">
        <f aca="false">Assumptions!T$144</f>
        <v>0</v>
      </c>
      <c r="V73" s="22" t="n">
        <f aca="false">Assumptions!U$144</f>
        <v>0</v>
      </c>
      <c r="W73" s="22" t="n">
        <f aca="false">Assumptions!V$144</f>
        <v>0</v>
      </c>
      <c r="X73" s="22" t="n">
        <f aca="false">Assumptions!W$144</f>
        <v>0</v>
      </c>
      <c r="Y73" s="22" t="n">
        <f aca="false">Assumptions!X$144</f>
        <v>0</v>
      </c>
      <c r="Z73" s="22" t="n">
        <f aca="false">Assumptions!Y$144</f>
        <v>0</v>
      </c>
      <c r="AA73" s="22" t="n">
        <f aca="false">Assumptions!Z$144</f>
        <v>0</v>
      </c>
      <c r="AB73" s="22" t="n">
        <f aca="false">Assumptions!AA$144</f>
        <v>0</v>
      </c>
      <c r="AC73" s="22" t="n">
        <f aca="false">Assumptions!AB$144</f>
        <v>0</v>
      </c>
      <c r="AD73" s="22" t="n">
        <f aca="false">Assumptions!AC$144</f>
        <v>0</v>
      </c>
      <c r="AE73" s="22" t="n">
        <f aca="false">Assumptions!AD$144</f>
        <v>0</v>
      </c>
      <c r="AF73" s="22" t="n">
        <f aca="false">Assumptions!AE$144</f>
        <v>0</v>
      </c>
      <c r="AG73" s="22" t="n">
        <f aca="false">Assumptions!AF$144</f>
        <v>0</v>
      </c>
      <c r="AH73" s="22" t="n">
        <f aca="false">Assumptions!AG$144</f>
        <v>0</v>
      </c>
      <c r="AI73" s="22" t="n">
        <f aca="false">Assumptions!AH$144</f>
        <v>0</v>
      </c>
      <c r="AJ73" s="22" t="n">
        <f aca="false">Assumptions!AI$144</f>
        <v>0</v>
      </c>
      <c r="AK73" s="22" t="n">
        <f aca="false">Assumptions!AJ$144</f>
        <v>0</v>
      </c>
      <c r="AL73" s="22" t="n">
        <f aca="false">Assumptions!AK$144</f>
        <v>0</v>
      </c>
      <c r="AM73" s="22" t="n">
        <f aca="false">Assumptions!AL$144</f>
        <v>0</v>
      </c>
      <c r="AN73" s="49" t="n">
        <f aca="false">Assumptions!AM$144</f>
        <v>0</v>
      </c>
      <c r="AO73" s="49" t="n">
        <f aca="false">Assumptions!AN$144</f>
        <v>0</v>
      </c>
      <c r="AP73" s="49" t="n">
        <f aca="false">Assumptions!AO$144</f>
        <v>0</v>
      </c>
      <c r="AQ73" s="49" t="n">
        <f aca="false">Assumptions!AP$144</f>
        <v>0</v>
      </c>
      <c r="AR73" s="49" t="n">
        <f aca="false">Assumptions!AQ$144</f>
        <v>0</v>
      </c>
      <c r="AS73" s="49" t="n">
        <f aca="false">Assumptions!AR$144</f>
        <v>0</v>
      </c>
      <c r="AT73" s="49" t="n">
        <f aca="false">Assumptions!AS$144</f>
        <v>0</v>
      </c>
      <c r="AU73" s="49" t="n">
        <f aca="false">Assumptions!AT$144</f>
        <v>0</v>
      </c>
      <c r="AV73" s="49" t="n">
        <f aca="false">Assumptions!AU$144</f>
        <v>0</v>
      </c>
      <c r="AW73" s="49" t="n">
        <f aca="false">Assumptions!AV$144</f>
        <v>0</v>
      </c>
      <c r="AX73" s="49" t="n">
        <f aca="false">Assumptions!AW$144</f>
        <v>0</v>
      </c>
      <c r="AY73" s="49" t="n">
        <f aca="false">Assumptions!AX$144</f>
        <v>0</v>
      </c>
      <c r="AZ73" s="49" t="n">
        <f aca="false">Assumptions!AY$144</f>
        <v>0</v>
      </c>
      <c r="BA73" s="49" t="n">
        <f aca="false">Assumptions!AZ$144</f>
        <v>0</v>
      </c>
      <c r="BB73" s="49" t="n">
        <f aca="false">Assumptions!BA$144</f>
        <v>0</v>
      </c>
      <c r="BC73" s="49" t="n">
        <f aca="false">Assumptions!BB$144</f>
        <v>0</v>
      </c>
      <c r="BD73" s="49" t="n">
        <f aca="false">Assumptions!BC$144</f>
        <v>0</v>
      </c>
      <c r="BE73" s="49" t="n">
        <f aca="false">Assumptions!BD$144</f>
        <v>0</v>
      </c>
      <c r="BF73" s="49" t="n">
        <f aca="false">Assumptions!BE$144</f>
        <v>0</v>
      </c>
      <c r="BG73" s="49" t="n">
        <f aca="false">Assumptions!BF$144</f>
        <v>0</v>
      </c>
      <c r="BH73" s="49" t="n">
        <f aca="false">Assumptions!BG$144</f>
        <v>0</v>
      </c>
      <c r="BI73" s="49" t="n">
        <f aca="false">Assumptions!BH$144</f>
        <v>0</v>
      </c>
      <c r="BJ73" s="49" t="n">
        <f aca="false">Assumptions!BI$144</f>
        <v>0</v>
      </c>
      <c r="BK73" s="49" t="n">
        <f aca="false">Assumptions!BJ$144</f>
        <v>0</v>
      </c>
    </row>
    <row r="74" customFormat="false" ht="15" hidden="false" customHeight="false" outlineLevel="0" collapsed="false">
      <c r="A74" s="28" t="s">
        <v>657</v>
      </c>
      <c r="B74" s="5" t="s">
        <v>658</v>
      </c>
      <c r="C74" s="43"/>
      <c r="D74" s="45" t="n">
        <f aca="false">D69+D70+D71+D72+D73</f>
        <v>8965</v>
      </c>
      <c r="E74" s="45" t="n">
        <f aca="false">E69+E70+E71+E72+E73</f>
        <v>6965</v>
      </c>
      <c r="F74" s="45" t="n">
        <f aca="false">F69+F70+F71+F72+F73</f>
        <v>8465</v>
      </c>
      <c r="G74" s="45" t="n">
        <f aca="false">G69+G70+G71+G72+G73</f>
        <v>5465</v>
      </c>
      <c r="H74" s="45" t="n">
        <f aca="false">H69+H70+H71+H72+H73</f>
        <v>5465</v>
      </c>
      <c r="I74" s="45" t="n">
        <f aca="false">I69+I70+I71+I72+I73</f>
        <v>5465</v>
      </c>
      <c r="J74" s="45" t="n">
        <f aca="false">J69+J70+J71+J72+J73</f>
        <v>5465</v>
      </c>
      <c r="K74" s="45" t="n">
        <f aca="false">K69+K70+K71+K72+K73</f>
        <v>5465</v>
      </c>
      <c r="L74" s="45" t="n">
        <f aca="false">L69+L70+L71+L72+L73</f>
        <v>5465</v>
      </c>
      <c r="M74" s="45" t="n">
        <f aca="false">M69+M70+M71+M72+M73</f>
        <v>5465</v>
      </c>
      <c r="N74" s="45" t="n">
        <f aca="false">N69+N70+N71+N72+N73</f>
        <v>5465</v>
      </c>
      <c r="O74" s="45" t="n">
        <f aca="false">O69+O70+O71+O72+O73</f>
        <v>5465</v>
      </c>
      <c r="P74" s="45" t="n">
        <f aca="false">P69+P70+P71+P72+P73</f>
        <v>6465</v>
      </c>
      <c r="Q74" s="45" t="n">
        <f aca="false">Q69+Q70+Q71+Q72+Q73</f>
        <v>6465</v>
      </c>
      <c r="R74" s="45" t="n">
        <f aca="false">R69+R70+R71+R72+R73</f>
        <v>6465</v>
      </c>
      <c r="S74" s="45" t="n">
        <f aca="false">S69+S70+S71+S72+S73</f>
        <v>6465</v>
      </c>
      <c r="T74" s="45" t="n">
        <f aca="false">T69+T70+T71+T72+T73</f>
        <v>6465</v>
      </c>
      <c r="U74" s="45" t="n">
        <f aca="false">U69+U70+U71+U72+U73</f>
        <v>6465</v>
      </c>
      <c r="V74" s="45" t="n">
        <f aca="false">V69+V70+V71+V72+V73</f>
        <v>6465</v>
      </c>
      <c r="W74" s="45" t="n">
        <f aca="false">W69+W70+W71+W72+W73</f>
        <v>6465</v>
      </c>
      <c r="X74" s="45" t="n">
        <f aca="false">X69+X70+X71+X72+X73</f>
        <v>6465</v>
      </c>
      <c r="Y74" s="45" t="n">
        <f aca="false">Y69+Y70+Y71+Y72+Y73</f>
        <v>6465</v>
      </c>
      <c r="Z74" s="45" t="n">
        <f aca="false">Z69+Z70+Z71+Z72+Z73</f>
        <v>6465</v>
      </c>
      <c r="AA74" s="45" t="n">
        <f aca="false">AA69+AA70+AA71+AA72+AA73</f>
        <v>6465</v>
      </c>
      <c r="AB74" s="45" t="n">
        <f aca="false">AB69+AB70+AB71+AB72+AB73</f>
        <v>7465</v>
      </c>
      <c r="AC74" s="45" t="n">
        <f aca="false">AC69+AC70+AC71+AC72+AC73</f>
        <v>7465</v>
      </c>
      <c r="AD74" s="45" t="n">
        <f aca="false">AD69+AD70+AD71+AD72+AD73</f>
        <v>7465</v>
      </c>
      <c r="AE74" s="45" t="n">
        <f aca="false">AE69+AE70+AE71+AE72+AE73</f>
        <v>7465</v>
      </c>
      <c r="AF74" s="45" t="n">
        <f aca="false">AF69+AF70+AF71+AF72+AF73</f>
        <v>7465</v>
      </c>
      <c r="AG74" s="45" t="n">
        <f aca="false">AG69+AG70+AG71+AG72+AG73</f>
        <v>7465</v>
      </c>
      <c r="AH74" s="45" t="n">
        <f aca="false">AH69+AH70+AH71+AH72+AH73</f>
        <v>7465</v>
      </c>
      <c r="AI74" s="45" t="n">
        <f aca="false">AI69+AI70+AI71+AI72+AI73</f>
        <v>7465</v>
      </c>
      <c r="AJ74" s="45" t="n">
        <f aca="false">AJ69+AJ70+AJ71+AJ72+AJ73</f>
        <v>7465</v>
      </c>
      <c r="AK74" s="45" t="n">
        <f aca="false">AK69+AK70+AK71+AK72+AK73</f>
        <v>7465</v>
      </c>
      <c r="AL74" s="45" t="n">
        <f aca="false">AL69+AL70+AL71+AL72+AL73</f>
        <v>7465</v>
      </c>
      <c r="AM74" s="45" t="n">
        <f aca="false">AM69+AM70+AM71+AM72+AM73</f>
        <v>7465</v>
      </c>
      <c r="AN74" s="46" t="n">
        <f aca="false">AN69+AN70+AN71+AN72+AN73</f>
        <v>7465</v>
      </c>
      <c r="AO74" s="46" t="n">
        <f aca="false">AO69+AO70+AO71+AO72+AO73</f>
        <v>7465</v>
      </c>
      <c r="AP74" s="46" t="n">
        <f aca="false">AP69+AP70+AP71+AP72+AP73</f>
        <v>7465</v>
      </c>
      <c r="AQ74" s="46" t="n">
        <f aca="false">AQ69+AQ70+AQ71+AQ72+AQ73</f>
        <v>7465</v>
      </c>
      <c r="AR74" s="46" t="n">
        <f aca="false">AR69+AR70+AR71+AR72+AR73</f>
        <v>11665</v>
      </c>
      <c r="AS74" s="46" t="n">
        <f aca="false">AS69+AS70+AS71+AS72+AS73</f>
        <v>11665</v>
      </c>
      <c r="AT74" s="46" t="n">
        <f aca="false">AT69+AT70+AT71+AT72+AT73</f>
        <v>11665</v>
      </c>
      <c r="AU74" s="46" t="n">
        <f aca="false">AU69+AU70+AU71+AU72+AU73</f>
        <v>11665</v>
      </c>
      <c r="AV74" s="46" t="n">
        <f aca="false">AV69+AV70+AV71+AV72+AV73</f>
        <v>11665</v>
      </c>
      <c r="AW74" s="46" t="n">
        <f aca="false">AW69+AW70+AW71+AW72+AW73</f>
        <v>11665</v>
      </c>
      <c r="AX74" s="46" t="n">
        <f aca="false">AX69+AX70+AX71+AX72+AX73</f>
        <v>11665</v>
      </c>
      <c r="AY74" s="46" t="n">
        <f aca="false">AY69+AY70+AY71+AY72+AY73</f>
        <v>11665</v>
      </c>
      <c r="AZ74" s="46" t="n">
        <f aca="false">AZ69+AZ70+AZ71+AZ72+AZ73</f>
        <v>11665</v>
      </c>
      <c r="BA74" s="46" t="n">
        <f aca="false">BA69+BA70+BA71+BA72+BA73</f>
        <v>11665</v>
      </c>
      <c r="BB74" s="46" t="n">
        <f aca="false">BB69+BB70+BB71+BB72+BB73</f>
        <v>11665</v>
      </c>
      <c r="BC74" s="46" t="n">
        <f aca="false">BC69+BC70+BC71+BC72+BC73</f>
        <v>11665</v>
      </c>
      <c r="BD74" s="46" t="n">
        <f aca="false">BD69+BD70+BD71+BD72+BD73</f>
        <v>11665</v>
      </c>
      <c r="BE74" s="46" t="n">
        <f aca="false">BE69+BE70+BE71+BE72+BE73</f>
        <v>11665</v>
      </c>
      <c r="BF74" s="46" t="n">
        <f aca="false">BF69+BF70+BF71+BF72+BF73</f>
        <v>11665</v>
      </c>
      <c r="BG74" s="46" t="n">
        <f aca="false">BG69+BG70+BG71+BG72+BG73</f>
        <v>11665</v>
      </c>
      <c r="BH74" s="46" t="n">
        <f aca="false">BH69+BH70+BH71+BH72+BH73</f>
        <v>11665</v>
      </c>
      <c r="BI74" s="46" t="n">
        <f aca="false">BI69+BI70+BI71+BI72+BI73</f>
        <v>11665</v>
      </c>
      <c r="BJ74" s="46" t="n">
        <f aca="false">BJ69+BJ70+BJ71+BJ72+BJ73</f>
        <v>11665</v>
      </c>
      <c r="BK74" s="46" t="n">
        <f aca="false">BK69+BK70+BK71+BK72+BK73</f>
        <v>11665</v>
      </c>
    </row>
    <row r="75" customFormat="false" ht="15" hidden="false" customHeight="false" outlineLevel="0" collapsed="false">
      <c r="B75" s="5" t="s">
        <v>659</v>
      </c>
    </row>
    <row r="76" customFormat="false" ht="15" hidden="false" customHeight="false" outlineLevel="0" collapsed="false">
      <c r="A76" s="28" t="s">
        <v>660</v>
      </c>
      <c r="B76" s="5" t="s">
        <v>661</v>
      </c>
      <c r="C76" s="43"/>
      <c r="D76" s="45" t="n">
        <f aca="false">D59-D67-D74</f>
        <v>-8965</v>
      </c>
      <c r="E76" s="45" t="n">
        <f aca="false">E59-E67-E74</f>
        <v>-6965</v>
      </c>
      <c r="F76" s="45" t="n">
        <f aca="false">F59-F67-F74</f>
        <v>-8465</v>
      </c>
      <c r="G76" s="45" t="n">
        <f aca="false">G59-G67-G74</f>
        <v>-5465</v>
      </c>
      <c r="H76" s="45" t="n">
        <f aca="false">H59-H67-H74</f>
        <v>-7013.17416666667</v>
      </c>
      <c r="I76" s="45" t="n">
        <f aca="false">I59-I67-I74</f>
        <v>-6235.17215666667</v>
      </c>
      <c r="J76" s="45" t="n">
        <f aca="false">J59-J67-J74</f>
        <v>-6061.66670805</v>
      </c>
      <c r="K76" s="45" t="n">
        <f aca="false">K59-K67-K74</f>
        <v>-7475.94974944033</v>
      </c>
      <c r="L76" s="45" t="n">
        <f aca="false">L59-L67-L74</f>
        <v>-8129.76504401864</v>
      </c>
      <c r="M76" s="45" t="n">
        <f aca="false">M59-M67-M74</f>
        <v>-7148.14368665905</v>
      </c>
      <c r="N76" s="45" t="n">
        <f aca="false">N59-N67-N74</f>
        <v>-8262.65781227484</v>
      </c>
      <c r="O76" s="45" t="n">
        <f aca="false">O59-O67-O74</f>
        <v>-8799.72582495231</v>
      </c>
      <c r="P76" s="45" t="n">
        <f aca="false">P59-P67-P74</f>
        <v>-10248.9983973429</v>
      </c>
      <c r="Q76" s="45" t="n">
        <f aca="false">Q59-Q67-Q74</f>
        <v>-10160.5785678016</v>
      </c>
      <c r="R76" s="45" t="n">
        <f aca="false">R59-R67-R74</f>
        <v>-10175.2710901146</v>
      </c>
      <c r="S76" s="45" t="n">
        <f aca="false">S59-S67-S74</f>
        <v>-10486.7451686334</v>
      </c>
      <c r="T76" s="45" t="n">
        <f aca="false">T59-T67-T74</f>
        <v>-10282.5940223858</v>
      </c>
      <c r="U76" s="45" t="n">
        <f aca="false">U59-U67-U74</f>
        <v>-10060.4321106752</v>
      </c>
      <c r="V76" s="45" t="n">
        <f aca="false">V59-V67-V74</f>
        <v>-9822.59761077385</v>
      </c>
      <c r="W76" s="45" t="n">
        <f aca="false">W59-W67-W74</f>
        <v>-11128.9048406912</v>
      </c>
      <c r="X76" s="45" t="n">
        <f aca="false">X59-X67-X74</f>
        <v>-10077.6984579851</v>
      </c>
      <c r="Y76" s="45" t="n">
        <f aca="false">Y59-Y67-Y74</f>
        <v>-9611.4181003608</v>
      </c>
      <c r="Z76" s="45" t="n">
        <f aca="false">Z59-Z67-Z74</f>
        <v>-10729.1259450521</v>
      </c>
      <c r="AA76" s="45" t="n">
        <f aca="false">AA59-AA67-AA74</f>
        <v>-9556.1514040071</v>
      </c>
      <c r="AB76" s="45" t="n">
        <f aca="false">AB59-AB67-AB74</f>
        <v>-10006.2747298235</v>
      </c>
      <c r="AC76" s="45" t="n">
        <f aca="false">AC59-AC67-AC74</f>
        <v>-10411.4863702937</v>
      </c>
      <c r="AD76" s="45" t="n">
        <f aca="false">AD59-AD67-AD74</f>
        <v>-10298.226364315</v>
      </c>
      <c r="AE76" s="45" t="n">
        <f aca="false">AE59-AE67-AE74</f>
        <v>-8422.81619090296</v>
      </c>
      <c r="AF76" s="45" t="n">
        <f aca="false">AF59-AF67-AF74</f>
        <v>-8416.50726277625</v>
      </c>
      <c r="AG76" s="45" t="n">
        <f aca="false">AG59-AG67-AG74</f>
        <v>-7921.0637744699</v>
      </c>
      <c r="AH76" s="45" t="n">
        <f aca="false">AH59-AH67-AH74</f>
        <v>-5689.78990635682</v>
      </c>
      <c r="AI76" s="45" t="n">
        <f aca="false">AI59-AI67-AI74</f>
        <v>-5902.65918126062</v>
      </c>
      <c r="AJ76" s="45" t="n">
        <f aca="false">AJ59-AJ67-AJ74</f>
        <v>-5424.11013598359</v>
      </c>
      <c r="AK76" s="45" t="n">
        <f aca="false">AK59-AK67-AK74</f>
        <v>-5135.8107134296</v>
      </c>
      <c r="AL76" s="45" t="n">
        <f aca="false">AL59-AL67-AL74</f>
        <v>-4481.41751681893</v>
      </c>
      <c r="AM76" s="45" t="n">
        <f aca="false">AM59-AM67-AM74</f>
        <v>-3785.92486031691</v>
      </c>
      <c r="AN76" s="46" t="n">
        <f aca="false">AN59-AN67-AN74</f>
        <v>-3285.99773117044</v>
      </c>
      <c r="AO76" s="46" t="n">
        <f aca="false">AO59-AO67-AO74</f>
        <v>-2444.00726225457</v>
      </c>
      <c r="AP76" s="46" t="n">
        <f aca="false">AP59-AP67-AP74</f>
        <v>-1579.84673584567</v>
      </c>
      <c r="AQ76" s="46" t="n">
        <f aca="false">AQ59-AQ67-AQ74</f>
        <v>-696.318472544685</v>
      </c>
      <c r="AR76" s="46" t="n">
        <f aca="false">AR59-AR67-AR74</f>
        <v>-3995.58120838046</v>
      </c>
      <c r="AS76" s="46" t="n">
        <f aca="false">AS59-AS67-AS74</f>
        <v>-3079.35398296349</v>
      </c>
      <c r="AT76" s="46" t="n">
        <f aca="false">AT59-AT67-AT74</f>
        <v>-2117.05738834097</v>
      </c>
      <c r="AU76" s="46" t="n">
        <f aca="false">AU59-AU67-AU74</f>
        <v>-1172.65916780882</v>
      </c>
      <c r="AV76" s="46" t="n">
        <f aca="false">AV59-AV67-AV74</f>
        <v>-217.132840825241</v>
      </c>
      <c r="AW76" s="46" t="n">
        <f aca="false">AW59-AW67-AW74</f>
        <v>780.764359995901</v>
      </c>
      <c r="AX76" s="46" t="n">
        <f aca="false">AX59-AX67-AX74</f>
        <v>1757.55069612309</v>
      </c>
      <c r="AY76" s="46" t="n">
        <f aca="false">AY59-AY67-AY74</f>
        <v>2660.44598575203</v>
      </c>
      <c r="AZ76" s="46" t="n">
        <f aca="false">AZ59-AZ67-AZ74</f>
        <v>3685.32705683514</v>
      </c>
      <c r="BA76" s="46" t="n">
        <f aca="false">BA59-BA67-BA74</f>
        <v>4718.76205219583</v>
      </c>
      <c r="BB76" s="46" t="n">
        <f aca="false">BB59-BB67-BB74</f>
        <v>5727.14971137944</v>
      </c>
      <c r="BC76" s="46" t="n">
        <f aca="false">BC59-BC67-BC74</f>
        <v>6773.07698529249</v>
      </c>
      <c r="BD76" s="46" t="n">
        <f aca="false">BD59-BD67-BD74</f>
        <v>7825.18187801342</v>
      </c>
      <c r="BE76" s="46" t="n">
        <f aca="false">BE59-BE67-BE74</f>
        <v>8850.10560600129</v>
      </c>
      <c r="BF76" s="46" t="n">
        <f aca="false">BF59-BF67-BF74</f>
        <v>9910.63040284359</v>
      </c>
      <c r="BG76" s="46" t="n">
        <f aca="false">BG59-BG67-BG74</f>
        <v>10975.5564638897</v>
      </c>
      <c r="BH76" s="46" t="n">
        <f aca="false">BH59-BH67-BH74</f>
        <v>12044.0711563216</v>
      </c>
      <c r="BI76" s="46" t="n">
        <f aca="false">BI59-BI67-BI74</f>
        <v>13115.4757562339</v>
      </c>
      <c r="BJ76" s="46" t="n">
        <f aca="false">BJ59-BJ67-BJ74</f>
        <v>14189.1567499119</v>
      </c>
      <c r="BK76" s="46" t="n">
        <f aca="false">BK59-BK67-BK74</f>
        <v>15179.487551603</v>
      </c>
    </row>
    <row r="77" customFormat="false" ht="15" hidden="false" customHeight="false" outlineLevel="0" collapsed="false">
      <c r="A77" s="28" t="s">
        <v>662</v>
      </c>
      <c r="B77" s="5" t="s">
        <v>663</v>
      </c>
      <c r="C77" s="50" t="n">
        <f aca="false">Assumptions!$G$9</f>
        <v>0</v>
      </c>
      <c r="D77" s="45" t="n">
        <f aca="false">C77+D76</f>
        <v>-8965</v>
      </c>
      <c r="E77" s="45" t="n">
        <f aca="false">D77+E76</f>
        <v>-15930</v>
      </c>
      <c r="F77" s="45" t="n">
        <f aca="false">E77+F76</f>
        <v>-24395</v>
      </c>
      <c r="G77" s="45" t="n">
        <f aca="false">F77+G76</f>
        <v>-29860</v>
      </c>
      <c r="H77" s="45" t="n">
        <f aca="false">G77+H76</f>
        <v>-36873.1741666667</v>
      </c>
      <c r="I77" s="45" t="n">
        <f aca="false">H77+I76</f>
        <v>-43108.3463233333</v>
      </c>
      <c r="J77" s="45" t="n">
        <f aca="false">I77+J76</f>
        <v>-49170.0130313833</v>
      </c>
      <c r="K77" s="45" t="n">
        <f aca="false">J77+K76</f>
        <v>-56645.9627808237</v>
      </c>
      <c r="L77" s="45" t="n">
        <f aca="false">K77+L76</f>
        <v>-64775.7278248423</v>
      </c>
      <c r="M77" s="45" t="n">
        <f aca="false">L77+M76</f>
        <v>-71923.8715115014</v>
      </c>
      <c r="N77" s="45" t="n">
        <f aca="false">M77+N76</f>
        <v>-80186.5293237762</v>
      </c>
      <c r="O77" s="45" t="n">
        <f aca="false">N77+O76</f>
        <v>-88986.2551487285</v>
      </c>
      <c r="P77" s="45" t="n">
        <f aca="false">O77+P76</f>
        <v>-99235.2535460714</v>
      </c>
      <c r="Q77" s="45" t="n">
        <f aca="false">P77+Q76</f>
        <v>-109395.832113873</v>
      </c>
      <c r="R77" s="45" t="n">
        <f aca="false">Q77+R76</f>
        <v>-119571.103203988</v>
      </c>
      <c r="S77" s="45" t="n">
        <f aca="false">R77+S76</f>
        <v>-130057.848372621</v>
      </c>
      <c r="T77" s="45" t="n">
        <f aca="false">S77+T76</f>
        <v>-140340.442395007</v>
      </c>
      <c r="U77" s="45" t="n">
        <f aca="false">T77+U76</f>
        <v>-150400.874505682</v>
      </c>
      <c r="V77" s="45" t="n">
        <f aca="false">U77+V76</f>
        <v>-160223.472116456</v>
      </c>
      <c r="W77" s="45" t="n">
        <f aca="false">V77+W76</f>
        <v>-171352.376957147</v>
      </c>
      <c r="X77" s="45" t="n">
        <f aca="false">W77+X76</f>
        <v>-181430.075415132</v>
      </c>
      <c r="Y77" s="45" t="n">
        <f aca="false">X77+Y76</f>
        <v>-191041.493515493</v>
      </c>
      <c r="Z77" s="45" t="n">
        <f aca="false">Y77+Z76</f>
        <v>-201770.619460545</v>
      </c>
      <c r="AA77" s="45" t="n">
        <f aca="false">Z77+AA76</f>
        <v>-211326.770864552</v>
      </c>
      <c r="AB77" s="45" t="n">
        <f aca="false">AA77+AB76</f>
        <v>-221333.045594376</v>
      </c>
      <c r="AC77" s="45" t="n">
        <f aca="false">AB77+AC76</f>
        <v>-231744.531964669</v>
      </c>
      <c r="AD77" s="45" t="n">
        <f aca="false">AC77+AD76</f>
        <v>-242042.758328984</v>
      </c>
      <c r="AE77" s="45" t="n">
        <f aca="false">AD77+AE76</f>
        <v>-250465.574519887</v>
      </c>
      <c r="AF77" s="45" t="n">
        <f aca="false">AE77+AF76</f>
        <v>-258882.081782664</v>
      </c>
      <c r="AG77" s="45" t="n">
        <f aca="false">AF77+AG76</f>
        <v>-266803.145557133</v>
      </c>
      <c r="AH77" s="45" t="n">
        <f aca="false">AG77+AH76</f>
        <v>-272492.93546349</v>
      </c>
      <c r="AI77" s="45" t="n">
        <f aca="false">AH77+AI76</f>
        <v>-278395.594644751</v>
      </c>
      <c r="AJ77" s="45" t="n">
        <f aca="false">AI77+AJ76</f>
        <v>-283819.704780735</v>
      </c>
      <c r="AK77" s="45" t="n">
        <f aca="false">AJ77+AK76</f>
        <v>-288955.515494164</v>
      </c>
      <c r="AL77" s="45" t="n">
        <f aca="false">AK77+AL76</f>
        <v>-293436.933010983</v>
      </c>
      <c r="AM77" s="45" t="n">
        <f aca="false">AL77+AM76</f>
        <v>-297222.8578713</v>
      </c>
      <c r="AN77" s="46" t="n">
        <f aca="false">AM77+AN76</f>
        <v>-300508.85560247</v>
      </c>
      <c r="AO77" s="46" t="n">
        <f aca="false">AN77+AO76</f>
        <v>-302952.862864725</v>
      </c>
      <c r="AP77" s="46" t="n">
        <f aca="false">AO77+AP76</f>
        <v>-304532.709600571</v>
      </c>
      <c r="AQ77" s="46" t="n">
        <f aca="false">AP77+AQ76</f>
        <v>-305229.028073115</v>
      </c>
      <c r="AR77" s="46" t="n">
        <f aca="false">AQ77+AR76</f>
        <v>-309224.609281496</v>
      </c>
      <c r="AS77" s="46" t="n">
        <f aca="false">AR77+AS76</f>
        <v>-312303.963264459</v>
      </c>
      <c r="AT77" s="46" t="n">
        <f aca="false">AS77+AT76</f>
        <v>-314421.0206528</v>
      </c>
      <c r="AU77" s="46" t="n">
        <f aca="false">AT77+AU76</f>
        <v>-315593.679820609</v>
      </c>
      <c r="AV77" s="46" t="n">
        <f aca="false">AU77+AV76</f>
        <v>-315810.812661434</v>
      </c>
      <c r="AW77" s="46" t="n">
        <f aca="false">AV77+AW76</f>
        <v>-315030.048301438</v>
      </c>
      <c r="AX77" s="46" t="n">
        <f aca="false">AW77+AX76</f>
        <v>-313272.497605315</v>
      </c>
      <c r="AY77" s="46" t="n">
        <f aca="false">AX77+AY76</f>
        <v>-310612.051619563</v>
      </c>
      <c r="AZ77" s="46" t="n">
        <f aca="false">AY77+AZ76</f>
        <v>-306926.724562728</v>
      </c>
      <c r="BA77" s="46" t="n">
        <f aca="false">AZ77+BA76</f>
        <v>-302207.962510532</v>
      </c>
      <c r="BB77" s="46" t="n">
        <f aca="false">BA77+BB76</f>
        <v>-296480.812799153</v>
      </c>
      <c r="BC77" s="46" t="n">
        <f aca="false">BB77+BC76</f>
        <v>-289707.73581386</v>
      </c>
      <c r="BD77" s="46" t="n">
        <f aca="false">BC77+BD76</f>
        <v>-281882.553935847</v>
      </c>
      <c r="BE77" s="46" t="n">
        <f aca="false">BD77+BE76</f>
        <v>-273032.448329846</v>
      </c>
      <c r="BF77" s="46" t="n">
        <f aca="false">BE77+BF76</f>
        <v>-263121.817927002</v>
      </c>
      <c r="BG77" s="46" t="n">
        <f aca="false">BF77+BG76</f>
        <v>-252146.261463112</v>
      </c>
      <c r="BH77" s="46" t="n">
        <f aca="false">BG77+BH76</f>
        <v>-240102.190306791</v>
      </c>
      <c r="BI77" s="46" t="n">
        <f aca="false">BH77+BI76</f>
        <v>-226986.714550557</v>
      </c>
      <c r="BJ77" s="46" t="n">
        <f aca="false">BI77+BJ76</f>
        <v>-212797.557800645</v>
      </c>
      <c r="BK77" s="46" t="n">
        <f aca="false">BJ77+BK76</f>
        <v>-197618.070249042</v>
      </c>
    </row>
    <row r="78" customFormat="false" ht="15" hidden="false" customHeight="false" outlineLevel="0" collapsed="false">
      <c r="A78" s="28" t="s">
        <v>664</v>
      </c>
      <c r="B78" s="6" t="s">
        <v>665</v>
      </c>
      <c r="C78" s="43"/>
      <c r="D78" s="17" t="n">
        <f aca="false">D39*Assumptions!$G$49+D39/Assumptions!$G$48*Assumptions!$G$50</f>
        <v>0</v>
      </c>
      <c r="E78" s="17" t="n">
        <f aca="false">E39*Assumptions!$G$49+E39/Assumptions!$G$48*Assumptions!$G$50</f>
        <v>0</v>
      </c>
      <c r="F78" s="17" t="n">
        <f aca="false">F39*Assumptions!$G$49+F39/Assumptions!$G$48*Assumptions!$G$50</f>
        <v>0</v>
      </c>
      <c r="G78" s="17" t="n">
        <f aca="false">G39*Assumptions!$G$49+G39/Assumptions!$G$48*Assumptions!$G$50</f>
        <v>0</v>
      </c>
      <c r="H78" s="17" t="n">
        <f aca="false">H39*Assumptions!$G$49+H39/Assumptions!$G$48*Assumptions!$G$50</f>
        <v>0</v>
      </c>
      <c r="I78" s="17" t="n">
        <f aca="false">I39*Assumptions!$G$49+I39/Assumptions!$G$48*Assumptions!$G$50</f>
        <v>0</v>
      </c>
      <c r="J78" s="17" t="n">
        <f aca="false">J39*Assumptions!$G$49+J39/Assumptions!$G$48*Assumptions!$G$50</f>
        <v>0</v>
      </c>
      <c r="K78" s="17" t="n">
        <f aca="false">K39*Assumptions!$G$49+K39/Assumptions!$G$48*Assumptions!$G$50</f>
        <v>0</v>
      </c>
      <c r="L78" s="17" t="n">
        <f aca="false">L39*Assumptions!$G$49+L39/Assumptions!$G$48*Assumptions!$G$50</f>
        <v>0</v>
      </c>
      <c r="M78" s="17" t="n">
        <f aca="false">M39*Assumptions!$G$49+M39/Assumptions!$G$48*Assumptions!$G$50</f>
        <v>0</v>
      </c>
      <c r="N78" s="17" t="n">
        <f aca="false">N39*Assumptions!$G$49+N39/Assumptions!$G$48*Assumptions!$G$50</f>
        <v>0</v>
      </c>
      <c r="O78" s="17" t="n">
        <f aca="false">O39*Assumptions!$G$49+O39/Assumptions!$G$48*Assumptions!$G$50</f>
        <v>0</v>
      </c>
      <c r="P78" s="17" t="n">
        <f aca="false">P39*Assumptions!$G$49+P39/Assumptions!$G$48*Assumptions!$G$50</f>
        <v>0</v>
      </c>
      <c r="Q78" s="17" t="n">
        <f aca="false">Q39*Assumptions!$G$49+Q39/Assumptions!$G$48*Assumptions!$G$50</f>
        <v>0</v>
      </c>
      <c r="R78" s="17" t="n">
        <f aca="false">R39*Assumptions!$G$49+R39/Assumptions!$G$48*Assumptions!$G$50</f>
        <v>0</v>
      </c>
      <c r="S78" s="17" t="n">
        <f aca="false">S39*Assumptions!$G$49+S39/Assumptions!$G$48*Assumptions!$G$50</f>
        <v>449.522569335072</v>
      </c>
      <c r="T78" s="17" t="n">
        <f aca="false">T39*Assumptions!$G$49+T39/Assumptions!$G$48*Assumptions!$G$50</f>
        <v>931.199933444326</v>
      </c>
      <c r="U78" s="17" t="n">
        <f aca="false">U39*Assumptions!$G$49+U39/Assumptions!$G$48*Assumptions!$G$50</f>
        <v>1443.28497068309</v>
      </c>
      <c r="V78" s="17" t="n">
        <f aca="false">V39*Assumptions!$G$49+V39/Assumptions!$G$48*Assumptions!$G$50</f>
        <v>1984.14119849347</v>
      </c>
      <c r="W78" s="17" t="n">
        <f aca="false">W39*Assumptions!$G$49+W39/Assumptions!$G$48*Assumptions!$G$50</f>
        <v>2570.88391309814</v>
      </c>
      <c r="X78" s="17" t="n">
        <f aca="false">X39*Assumptions!$G$49+X39/Assumptions!$G$48*Assumptions!$G$50</f>
        <v>3198.47955756242</v>
      </c>
      <c r="Y78" s="17" t="n">
        <f aca="false">Y39*Assumptions!$G$49+Y39/Assumptions!$G$48*Assumptions!$G$50</f>
        <v>3859.25598713055</v>
      </c>
      <c r="Z78" s="17" t="n">
        <f aca="false">Z39*Assumptions!$G$49+Z39/Assumptions!$G$48*Assumptions!$G$50</f>
        <v>4566.22048538464</v>
      </c>
      <c r="AA78" s="17" t="n">
        <f aca="false">AA39*Assumptions!$G$49+AA39/Assumptions!$G$48*Assumptions!$G$50</f>
        <v>5311.27468782008</v>
      </c>
      <c r="AB78" s="17" t="n">
        <f aca="false">AB39*Assumptions!$G$49+AB39/Assumptions!$G$48*Assumptions!$G$50</f>
        <v>6086.14210657904</v>
      </c>
      <c r="AC78" s="17" t="n">
        <f aca="false">AC39*Assumptions!$G$49+AC39/Assumptions!$G$48*Assumptions!$G$50</f>
        <v>6901.03229310344</v>
      </c>
      <c r="AD78" s="17" t="n">
        <f aca="false">AD39*Assumptions!$G$49+AD39/Assumptions!$G$48*Assumptions!$G$50</f>
        <v>7766.88613494825</v>
      </c>
      <c r="AE78" s="17" t="n">
        <f aca="false">AE39*Assumptions!$G$49+AE39/Assumptions!$G$48*Assumptions!$G$50</f>
        <v>8671.44880805668</v>
      </c>
      <c r="AF78" s="17" t="n">
        <f aca="false">AF39*Assumptions!$G$49+AF39/Assumptions!$G$48*Assumptions!$G$50</f>
        <v>9618.99887418588</v>
      </c>
      <c r="AG78" s="17" t="n">
        <f aca="false">AG39*Assumptions!$G$49+AG39/Assumptions!$G$48*Assumptions!$G$50</f>
        <v>10616.4667312802</v>
      </c>
      <c r="AH78" s="17" t="n">
        <f aca="false">AH39*Assumptions!$G$49+AH39/Assumptions!$G$48*Assumptions!$G$50</f>
        <v>11648.6236295064</v>
      </c>
      <c r="AI78" s="17" t="n">
        <f aca="false">AI39*Assumptions!$G$49+AI39/Assumptions!$G$48*Assumptions!$G$50</f>
        <v>12718.4825508469</v>
      </c>
      <c r="AJ78" s="17" t="n">
        <f aca="false">AJ39*Assumptions!$G$49+AJ39/Assumptions!$G$48*Assumptions!$G$50</f>
        <v>13830.3094730289</v>
      </c>
      <c r="AK78" s="17" t="n">
        <f aca="false">AK39*Assumptions!$G$49+AK39/Assumptions!$G$48*Assumptions!$G$50</f>
        <v>14988.0391740961</v>
      </c>
      <c r="AL78" s="17" t="n">
        <f aca="false">AL39*Assumptions!$G$49+AL39/Assumptions!$G$48*Assumptions!$G$50</f>
        <v>16191.5681244042</v>
      </c>
      <c r="AM78" s="17" t="n">
        <f aca="false">AM39*Assumptions!$G$49+AM39/Assumptions!$G$48*Assumptions!$G$50</f>
        <v>17438.5390968471</v>
      </c>
      <c r="AN78" s="44" t="n">
        <f aca="false">AN39*Assumptions!$G$49+AN39/Assumptions!$G$48*Assumptions!$G$50</f>
        <v>18728.9808922369</v>
      </c>
      <c r="AO78" s="44" t="n">
        <f aca="false">AO39*Assumptions!$G$49+AO39/Assumptions!$G$48*Assumptions!$G$50</f>
        <v>20059.9135518906</v>
      </c>
      <c r="AP78" s="44" t="n">
        <f aca="false">AP39*Assumptions!$G$49+AP39/Assumptions!$G$48*Assumptions!$G$50</f>
        <v>21428.5511881946</v>
      </c>
      <c r="AQ78" s="44" t="n">
        <f aca="false">AQ39*Assumptions!$G$49+AQ39/Assumptions!$G$48*Assumptions!$G$50</f>
        <v>22832.2887475094</v>
      </c>
      <c r="AR78" s="44" t="n">
        <f aca="false">AR39*Assumptions!$G$49+AR39/Assumptions!$G$48*Assumptions!$G$50</f>
        <v>24268.6897161754</v>
      </c>
      <c r="AS78" s="44" t="n">
        <f aca="false">AS39*Assumptions!$G$49+AS39/Assumptions!$G$48*Assumptions!$G$50</f>
        <v>25735.4747004194</v>
      </c>
      <c r="AT78" s="44" t="n">
        <f aca="false">AT39*Assumptions!$G$49+AT39/Assumptions!$G$48*Assumptions!$G$50</f>
        <v>27229.7648678858</v>
      </c>
      <c r="AU78" s="44" t="n">
        <f aca="false">AU39*Assumptions!$G$49+AU39/Assumptions!$G$48*Assumptions!$G$50</f>
        <v>28749.6183185303</v>
      </c>
      <c r="AV78" s="44" t="n">
        <f aca="false">AV39*Assumptions!$G$49+AV39/Assumptions!$G$48*Assumptions!$G$50</f>
        <v>30293.2169314234</v>
      </c>
      <c r="AW78" s="44" t="n">
        <f aca="false">AW39*Assumptions!$G$49+AW39/Assumptions!$G$48*Assumptions!$G$50</f>
        <v>31858.1121591733</v>
      </c>
      <c r="AX78" s="44" t="n">
        <f aca="false">AX39*Assumptions!$G$49+AX39/Assumptions!$G$48*Assumptions!$G$50</f>
        <v>33442.7635801314</v>
      </c>
      <c r="AY78" s="44" t="n">
        <f aca="false">AY39*Assumptions!$G$49+AY39/Assumptions!$G$48*Assumptions!$G$50</f>
        <v>35045.7277676986</v>
      </c>
      <c r="AZ78" s="44" t="n">
        <f aca="false">AZ39*Assumptions!$G$49+AZ39/Assumptions!$G$48*Assumptions!$G$50</f>
        <v>36664.9059602525</v>
      </c>
      <c r="BA78" s="44" t="n">
        <f aca="false">BA39*Assumptions!$G$49+BA39/Assumptions!$G$48*Assumptions!$G$50</f>
        <v>38298.338404532</v>
      </c>
      <c r="BB78" s="44" t="n">
        <f aca="false">BB39*Assumptions!$G$49+BB39/Assumptions!$G$48*Assumptions!$G$50</f>
        <v>39944.9410688839</v>
      </c>
      <c r="BC78" s="44" t="n">
        <f aca="false">BC39*Assumptions!$G$49+BC39/Assumptions!$G$48*Assumptions!$G$50</f>
        <v>41602.9508206083</v>
      </c>
      <c r="BD78" s="44" t="n">
        <f aca="false">BD39*Assumptions!$G$49+BD39/Assumptions!$G$48*Assumptions!$G$50</f>
        <v>43270.7214195766</v>
      </c>
      <c r="BE78" s="44" t="n">
        <f aca="false">BE39*Assumptions!$G$49+BE39/Assumptions!$G$48*Assumptions!$G$50</f>
        <v>44947.4617626572</v>
      </c>
      <c r="BF78" s="44" t="n">
        <f aca="false">BF39*Assumptions!$G$49+BF39/Assumptions!$G$48*Assumptions!$G$50</f>
        <v>46631.6824819903</v>
      </c>
      <c r="BG78" s="44" t="n">
        <f aca="false">BG39*Assumptions!$G$49+BG39/Assumptions!$G$48*Assumptions!$G$50</f>
        <v>48321.9932574261</v>
      </c>
      <c r="BH78" s="44" t="n">
        <f aca="false">BH39*Assumptions!$G$49+BH39/Assumptions!$G$48*Assumptions!$G$50</f>
        <v>50017.096336952</v>
      </c>
      <c r="BI78" s="44" t="n">
        <f aca="false">BI39*Assumptions!$G$49+BI39/Assumptions!$G$48*Assumptions!$G$50</f>
        <v>51715.7805021003</v>
      </c>
      <c r="BJ78" s="44" t="n">
        <f aca="false">BJ39*Assumptions!$G$49+BJ39/Assumptions!$G$48*Assumptions!$G$50</f>
        <v>53416.9154464806</v>
      </c>
      <c r="BK78" s="44" t="n">
        <f aca="false">BK39*Assumptions!$G$49+BK39/Assumptions!$G$48*Assumptions!$G$50</f>
        <v>55119.4465379204</v>
      </c>
    </row>
    <row r="79" customFormat="false" ht="15" hidden="false" customHeight="false" outlineLevel="0" collapsed="false">
      <c r="B79" s="5" t="s">
        <v>666</v>
      </c>
    </row>
    <row r="80" customFormat="false" ht="15" hidden="false" customHeight="false" outlineLevel="0" collapsed="false">
      <c r="A80" s="28" t="s">
        <v>667</v>
      </c>
      <c r="B80" s="6" t="s">
        <v>668</v>
      </c>
      <c r="C80" s="51"/>
      <c r="D80" s="39" t="n">
        <f aca="false">IF(D76&gt;=0,1,0)</f>
        <v>0</v>
      </c>
      <c r="E80" s="39" t="n">
        <f aca="false">IF(E76&gt;=0,1,0)</f>
        <v>0</v>
      </c>
      <c r="F80" s="39" t="n">
        <f aca="false">IF(F76&gt;=0,1,0)</f>
        <v>0</v>
      </c>
      <c r="G80" s="39" t="n">
        <f aca="false">IF(G76&gt;=0,1,0)</f>
        <v>0</v>
      </c>
      <c r="H80" s="39" t="n">
        <f aca="false">IF(H76&gt;=0,1,0)</f>
        <v>0</v>
      </c>
      <c r="I80" s="39" t="n">
        <f aca="false">IF(I76&gt;=0,1,0)</f>
        <v>0</v>
      </c>
      <c r="J80" s="39" t="n">
        <f aca="false">IF(J76&gt;=0,1,0)</f>
        <v>0</v>
      </c>
      <c r="K80" s="39" t="n">
        <f aca="false">IF(K76&gt;=0,1,0)</f>
        <v>0</v>
      </c>
      <c r="L80" s="39" t="n">
        <f aca="false">IF(L76&gt;=0,1,0)</f>
        <v>0</v>
      </c>
      <c r="M80" s="39" t="n">
        <f aca="false">IF(M76&gt;=0,1,0)</f>
        <v>0</v>
      </c>
      <c r="N80" s="39" t="n">
        <f aca="false">IF(N76&gt;=0,1,0)</f>
        <v>0</v>
      </c>
      <c r="O80" s="39" t="n">
        <f aca="false">IF(O76&gt;=0,1,0)</f>
        <v>0</v>
      </c>
      <c r="P80" s="39" t="n">
        <f aca="false">IF(P76&gt;=0,1,0)</f>
        <v>0</v>
      </c>
      <c r="Q80" s="39" t="n">
        <f aca="false">IF(Q76&gt;=0,1,0)</f>
        <v>0</v>
      </c>
      <c r="R80" s="39" t="n">
        <f aca="false">IF(R76&gt;=0,1,0)</f>
        <v>0</v>
      </c>
      <c r="S80" s="39" t="n">
        <f aca="false">IF(S76&gt;=0,1,0)</f>
        <v>0</v>
      </c>
      <c r="T80" s="39" t="n">
        <f aca="false">IF(T76&gt;=0,1,0)</f>
        <v>0</v>
      </c>
      <c r="U80" s="39" t="n">
        <f aca="false">IF(U76&gt;=0,1,0)</f>
        <v>0</v>
      </c>
      <c r="V80" s="39" t="n">
        <f aca="false">IF(V76&gt;=0,1,0)</f>
        <v>0</v>
      </c>
      <c r="W80" s="39" t="n">
        <f aca="false">IF(W76&gt;=0,1,0)</f>
        <v>0</v>
      </c>
      <c r="X80" s="39" t="n">
        <f aca="false">IF(X76&gt;=0,1,0)</f>
        <v>0</v>
      </c>
      <c r="Y80" s="39" t="n">
        <f aca="false">IF(Y76&gt;=0,1,0)</f>
        <v>0</v>
      </c>
      <c r="Z80" s="39" t="n">
        <f aca="false">IF(Z76&gt;=0,1,0)</f>
        <v>0</v>
      </c>
      <c r="AA80" s="39" t="n">
        <f aca="false">IF(AA76&gt;=0,1,0)</f>
        <v>0</v>
      </c>
      <c r="AB80" s="39" t="n">
        <f aca="false">IF(AB76&gt;=0,1,0)</f>
        <v>0</v>
      </c>
      <c r="AC80" s="39" t="n">
        <f aca="false">IF(AC76&gt;=0,1,0)</f>
        <v>0</v>
      </c>
      <c r="AD80" s="39" t="n">
        <f aca="false">IF(AD76&gt;=0,1,0)</f>
        <v>0</v>
      </c>
      <c r="AE80" s="39" t="n">
        <f aca="false">IF(AE76&gt;=0,1,0)</f>
        <v>0</v>
      </c>
      <c r="AF80" s="39" t="n">
        <f aca="false">IF(AF76&gt;=0,1,0)</f>
        <v>0</v>
      </c>
      <c r="AG80" s="39" t="n">
        <f aca="false">IF(AG76&gt;=0,1,0)</f>
        <v>0</v>
      </c>
      <c r="AH80" s="39" t="n">
        <f aca="false">IF(AH76&gt;=0,1,0)</f>
        <v>0</v>
      </c>
      <c r="AI80" s="39" t="n">
        <f aca="false">IF(AI76&gt;=0,1,0)</f>
        <v>0</v>
      </c>
      <c r="AJ80" s="39" t="n">
        <f aca="false">IF(AJ76&gt;=0,1,0)</f>
        <v>0</v>
      </c>
      <c r="AK80" s="39" t="n">
        <f aca="false">IF(AK76&gt;=0,1,0)</f>
        <v>0</v>
      </c>
      <c r="AL80" s="39" t="n">
        <f aca="false">IF(AL76&gt;=0,1,0)</f>
        <v>0</v>
      </c>
      <c r="AM80" s="39" t="n">
        <f aca="false">IF(AM76&gt;=0,1,0)</f>
        <v>0</v>
      </c>
      <c r="AN80" s="40" t="n">
        <f aca="false">IF(AN76&gt;=0,1,0)</f>
        <v>0</v>
      </c>
      <c r="AO80" s="40" t="n">
        <f aca="false">IF(AO76&gt;=0,1,0)</f>
        <v>0</v>
      </c>
      <c r="AP80" s="40" t="n">
        <f aca="false">IF(AP76&gt;=0,1,0)</f>
        <v>0</v>
      </c>
      <c r="AQ80" s="40" t="n">
        <f aca="false">IF(AQ76&gt;=0,1,0)</f>
        <v>0</v>
      </c>
      <c r="AR80" s="40" t="n">
        <f aca="false">IF(AR76&gt;=0,1,0)</f>
        <v>0</v>
      </c>
      <c r="AS80" s="40" t="n">
        <f aca="false">IF(AS76&gt;=0,1,0)</f>
        <v>0</v>
      </c>
      <c r="AT80" s="40" t="n">
        <f aca="false">IF(AT76&gt;=0,1,0)</f>
        <v>0</v>
      </c>
      <c r="AU80" s="40" t="n">
        <f aca="false">IF(AU76&gt;=0,1,0)</f>
        <v>0</v>
      </c>
      <c r="AV80" s="40" t="n">
        <f aca="false">IF(AV76&gt;=0,1,0)</f>
        <v>0</v>
      </c>
      <c r="AW80" s="40" t="n">
        <f aca="false">IF(AW76&gt;=0,1,0)</f>
        <v>1</v>
      </c>
      <c r="AX80" s="40" t="n">
        <f aca="false">IF(AX76&gt;=0,1,0)</f>
        <v>1</v>
      </c>
      <c r="AY80" s="40" t="n">
        <f aca="false">IF(AY76&gt;=0,1,0)</f>
        <v>1</v>
      </c>
      <c r="AZ80" s="40" t="n">
        <f aca="false">IF(AZ76&gt;=0,1,0)</f>
        <v>1</v>
      </c>
      <c r="BA80" s="40" t="n">
        <f aca="false">IF(BA76&gt;=0,1,0)</f>
        <v>1</v>
      </c>
      <c r="BB80" s="40" t="n">
        <f aca="false">IF(BB76&gt;=0,1,0)</f>
        <v>1</v>
      </c>
      <c r="BC80" s="40" t="n">
        <f aca="false">IF(BC76&gt;=0,1,0)</f>
        <v>1</v>
      </c>
      <c r="BD80" s="40" t="n">
        <f aca="false">IF(BD76&gt;=0,1,0)</f>
        <v>1</v>
      </c>
      <c r="BE80" s="40" t="n">
        <f aca="false">IF(BE76&gt;=0,1,0)</f>
        <v>1</v>
      </c>
      <c r="BF80" s="40" t="n">
        <f aca="false">IF(BF76&gt;=0,1,0)</f>
        <v>1</v>
      </c>
      <c r="BG80" s="40" t="n">
        <f aca="false">IF(BG76&gt;=0,1,0)</f>
        <v>1</v>
      </c>
      <c r="BH80" s="40" t="n">
        <f aca="false">IF(BH76&gt;=0,1,0)</f>
        <v>1</v>
      </c>
      <c r="BI80" s="40" t="n">
        <f aca="false">IF(BI76&gt;=0,1,0)</f>
        <v>1</v>
      </c>
      <c r="BJ80" s="40" t="n">
        <f aca="false">IF(BJ76&gt;=0,1,0)</f>
        <v>1</v>
      </c>
      <c r="BK80" s="40" t="n">
        <f aca="false">IF(BK76&gt;=0,1,0)</f>
        <v>1</v>
      </c>
    </row>
    <row r="81" customFormat="false" ht="15" hidden="false" customHeight="false" outlineLevel="0" collapsed="false">
      <c r="A81" s="28" t="s">
        <v>669</v>
      </c>
      <c r="B81" s="6" t="s">
        <v>670</v>
      </c>
      <c r="C81" s="51"/>
      <c r="D81" s="39" t="n">
        <f aca="false">IF(AND(D80=1,E81=1),1,0)</f>
        <v>0</v>
      </c>
      <c r="E81" s="39" t="n">
        <f aca="false">IF(AND(E80=1,F81=1),1,0)</f>
        <v>0</v>
      </c>
      <c r="F81" s="39" t="n">
        <f aca="false">IF(AND(F80=1,G81=1),1,0)</f>
        <v>0</v>
      </c>
      <c r="G81" s="39" t="n">
        <f aca="false">IF(AND(G80=1,H81=1),1,0)</f>
        <v>0</v>
      </c>
      <c r="H81" s="39" t="n">
        <f aca="false">IF(AND(H80=1,I81=1),1,0)</f>
        <v>0</v>
      </c>
      <c r="I81" s="39" t="n">
        <f aca="false">IF(AND(I80=1,J81=1),1,0)</f>
        <v>0</v>
      </c>
      <c r="J81" s="39" t="n">
        <f aca="false">IF(AND(J80=1,K81=1),1,0)</f>
        <v>0</v>
      </c>
      <c r="K81" s="39" t="n">
        <f aca="false">IF(AND(K80=1,L81=1),1,0)</f>
        <v>0</v>
      </c>
      <c r="L81" s="39" t="n">
        <f aca="false">IF(AND(L80=1,M81=1),1,0)</f>
        <v>0</v>
      </c>
      <c r="M81" s="39" t="n">
        <f aca="false">IF(AND(M80=1,N81=1),1,0)</f>
        <v>0</v>
      </c>
      <c r="N81" s="39" t="n">
        <f aca="false">IF(AND(N80=1,O81=1),1,0)</f>
        <v>0</v>
      </c>
      <c r="O81" s="39" t="n">
        <f aca="false">IF(AND(O80=1,P81=1),1,0)</f>
        <v>0</v>
      </c>
      <c r="P81" s="39" t="n">
        <f aca="false">IF(AND(P80=1,Q81=1),1,0)</f>
        <v>0</v>
      </c>
      <c r="Q81" s="39" t="n">
        <f aca="false">IF(AND(Q80=1,R81=1),1,0)</f>
        <v>0</v>
      </c>
      <c r="R81" s="39" t="n">
        <f aca="false">IF(AND(R80=1,S81=1),1,0)</f>
        <v>0</v>
      </c>
      <c r="S81" s="39" t="n">
        <f aca="false">IF(AND(S80=1,T81=1),1,0)</f>
        <v>0</v>
      </c>
      <c r="T81" s="39" t="n">
        <f aca="false">IF(AND(T80=1,U81=1),1,0)</f>
        <v>0</v>
      </c>
      <c r="U81" s="39" t="n">
        <f aca="false">IF(AND(U80=1,V81=1),1,0)</f>
        <v>0</v>
      </c>
      <c r="V81" s="39" t="n">
        <f aca="false">IF(AND(V80=1,W81=1),1,0)</f>
        <v>0</v>
      </c>
      <c r="W81" s="39" t="n">
        <f aca="false">IF(AND(W80=1,X81=1),1,0)</f>
        <v>0</v>
      </c>
      <c r="X81" s="39" t="n">
        <f aca="false">IF(AND(X80=1,Y81=1),1,0)</f>
        <v>0</v>
      </c>
      <c r="Y81" s="39" t="n">
        <f aca="false">IF(AND(Y80=1,Z81=1),1,0)</f>
        <v>0</v>
      </c>
      <c r="Z81" s="39" t="n">
        <f aca="false">IF(AND(Z80=1,AA81=1),1,0)</f>
        <v>0</v>
      </c>
      <c r="AA81" s="39" t="n">
        <f aca="false">IF(AND(AA80=1,AB81=1),1,0)</f>
        <v>0</v>
      </c>
      <c r="AB81" s="39" t="n">
        <f aca="false">IF(AND(AB80=1,AC81=1),1,0)</f>
        <v>0</v>
      </c>
      <c r="AC81" s="39" t="n">
        <f aca="false">IF(AND(AC80=1,AD81=1),1,0)</f>
        <v>0</v>
      </c>
      <c r="AD81" s="39" t="n">
        <f aca="false">IF(AND(AD80=1,AE81=1),1,0)</f>
        <v>0</v>
      </c>
      <c r="AE81" s="39" t="n">
        <f aca="false">IF(AND(AE80=1,AF81=1),1,0)</f>
        <v>0</v>
      </c>
      <c r="AF81" s="39" t="n">
        <f aca="false">IF(AND(AF80=1,AG81=1),1,0)</f>
        <v>0</v>
      </c>
      <c r="AG81" s="39" t="n">
        <f aca="false">IF(AND(AG80=1,AH81=1),1,0)</f>
        <v>0</v>
      </c>
      <c r="AH81" s="39" t="n">
        <f aca="false">IF(AND(AH80=1,AI81=1),1,0)</f>
        <v>0</v>
      </c>
      <c r="AI81" s="39" t="n">
        <f aca="false">IF(AND(AI80=1,AJ81=1),1,0)</f>
        <v>0</v>
      </c>
      <c r="AJ81" s="39" t="n">
        <f aca="false">IF(AND(AJ80=1,AK81=1),1,0)</f>
        <v>0</v>
      </c>
      <c r="AK81" s="39" t="n">
        <f aca="false">IF(AND(AK80=1,AL81=1),1,0)</f>
        <v>0</v>
      </c>
      <c r="AL81" s="39" t="n">
        <f aca="false">IF(AND(AL80=1,AM81=1),1,0)</f>
        <v>0</v>
      </c>
      <c r="AM81" s="39" t="n">
        <f aca="false">AM80</f>
        <v>0</v>
      </c>
    </row>
    <row r="82" customFormat="false" ht="15" hidden="false" customHeight="false" outlineLevel="0" collapsed="false">
      <c r="A82" s="28" t="s">
        <v>671</v>
      </c>
      <c r="B82" s="6" t="s">
        <v>672</v>
      </c>
      <c r="C82" s="51"/>
      <c r="D82" s="39" t="n">
        <f aca="false">IF(AND(D80=1,E82=1),1,0)</f>
        <v>0</v>
      </c>
      <c r="E82" s="39" t="n">
        <f aca="false">IF(AND(E80=1,F82=1),1,0)</f>
        <v>0</v>
      </c>
      <c r="F82" s="39" t="n">
        <f aca="false">IF(AND(F80=1,G82=1),1,0)</f>
        <v>0</v>
      </c>
      <c r="G82" s="39" t="n">
        <f aca="false">IF(AND(G80=1,H82=1),1,0)</f>
        <v>0</v>
      </c>
      <c r="H82" s="39" t="n">
        <f aca="false">IF(AND(H80=1,I82=1),1,0)</f>
        <v>0</v>
      </c>
      <c r="I82" s="39" t="n">
        <f aca="false">IF(AND(I80=1,J82=1),1,0)</f>
        <v>0</v>
      </c>
      <c r="J82" s="39" t="n">
        <f aca="false">IF(AND(J80=1,K82=1),1,0)</f>
        <v>0</v>
      </c>
      <c r="K82" s="39" t="n">
        <f aca="false">IF(AND(K80=1,L82=1),1,0)</f>
        <v>0</v>
      </c>
      <c r="L82" s="39" t="n">
        <f aca="false">IF(AND(L80=1,M82=1),1,0)</f>
        <v>0</v>
      </c>
      <c r="M82" s="39" t="n">
        <f aca="false">IF(AND(M80=1,N82=1),1,0)</f>
        <v>0</v>
      </c>
      <c r="N82" s="39" t="n">
        <f aca="false">IF(AND(N80=1,O82=1),1,0)</f>
        <v>0</v>
      </c>
      <c r="O82" s="39" t="n">
        <f aca="false">IF(AND(O80=1,P82=1),1,0)</f>
        <v>0</v>
      </c>
      <c r="P82" s="39" t="n">
        <f aca="false">IF(AND(P80=1,Q82=1),1,0)</f>
        <v>0</v>
      </c>
      <c r="Q82" s="39" t="n">
        <f aca="false">IF(AND(Q80=1,R82=1),1,0)</f>
        <v>0</v>
      </c>
      <c r="R82" s="39" t="n">
        <f aca="false">IF(AND(R80=1,S82=1),1,0)</f>
        <v>0</v>
      </c>
      <c r="S82" s="39" t="n">
        <f aca="false">IF(AND(S80=1,T82=1),1,0)</f>
        <v>0</v>
      </c>
      <c r="T82" s="39" t="n">
        <f aca="false">IF(AND(T80=1,U82=1),1,0)</f>
        <v>0</v>
      </c>
      <c r="U82" s="39" t="n">
        <f aca="false">IF(AND(U80=1,V82=1),1,0)</f>
        <v>0</v>
      </c>
      <c r="V82" s="39" t="n">
        <f aca="false">IF(AND(V80=1,W82=1),1,0)</f>
        <v>0</v>
      </c>
      <c r="W82" s="39" t="n">
        <f aca="false">IF(AND(W80=1,X82=1),1,0)</f>
        <v>0</v>
      </c>
      <c r="X82" s="39" t="n">
        <f aca="false">IF(AND(X80=1,Y82=1),1,0)</f>
        <v>0</v>
      </c>
      <c r="Y82" s="39" t="n">
        <f aca="false">IF(AND(Y80=1,Z82=1),1,0)</f>
        <v>0</v>
      </c>
      <c r="Z82" s="39" t="n">
        <f aca="false">IF(AND(Z80=1,AA82=1),1,0)</f>
        <v>0</v>
      </c>
      <c r="AA82" s="39" t="n">
        <f aca="false">IF(AND(AA80=1,AB82=1),1,0)</f>
        <v>0</v>
      </c>
      <c r="AB82" s="39" t="n">
        <f aca="false">IF(AND(AB80=1,AC82=1),1,0)</f>
        <v>0</v>
      </c>
      <c r="AC82" s="39" t="n">
        <f aca="false">IF(AND(AC80=1,AD82=1),1,0)</f>
        <v>0</v>
      </c>
      <c r="AD82" s="39" t="n">
        <f aca="false">IF(AND(AD80=1,AE82=1),1,0)</f>
        <v>0</v>
      </c>
      <c r="AE82" s="39" t="n">
        <f aca="false">IF(AND(AE80=1,AF82=1),1,0)</f>
        <v>0</v>
      </c>
      <c r="AF82" s="39" t="n">
        <f aca="false">IF(AND(AF80=1,AG82=1),1,0)</f>
        <v>0</v>
      </c>
      <c r="AG82" s="39" t="n">
        <f aca="false">IF(AND(AG80=1,AH82=1),1,0)</f>
        <v>0</v>
      </c>
      <c r="AH82" s="39" t="n">
        <f aca="false">IF(AND(AH80=1,AI82=1),1,0)</f>
        <v>0</v>
      </c>
      <c r="AI82" s="39" t="n">
        <f aca="false">IF(AND(AI80=1,AJ82=1),1,0)</f>
        <v>0</v>
      </c>
      <c r="AJ82" s="39" t="n">
        <f aca="false">IF(AND(AJ80=1,AK82=1),1,0)</f>
        <v>0</v>
      </c>
      <c r="AK82" s="39" t="n">
        <f aca="false">IF(AND(AK80=1,AL82=1),1,0)</f>
        <v>0</v>
      </c>
      <c r="AL82" s="39" t="n">
        <f aca="false">IF(AND(AL80=1,AM82=1),1,0)</f>
        <v>0</v>
      </c>
      <c r="AM82" s="39" t="n">
        <f aca="false">IF(AND(AM80=1,AN82=1),1,0)</f>
        <v>0</v>
      </c>
      <c r="AN82" s="39" t="n">
        <f aca="false">IF(AND(AN80=1,AO82=1),1,0)</f>
        <v>0</v>
      </c>
      <c r="AO82" s="39" t="n">
        <f aca="false">IF(AND(AO80=1,AP82=1),1,0)</f>
        <v>0</v>
      </c>
      <c r="AP82" s="39" t="n">
        <f aca="false">IF(AND(AP80=1,AQ82=1),1,0)</f>
        <v>0</v>
      </c>
      <c r="AQ82" s="39" t="n">
        <f aca="false">IF(AND(AQ80=1,AR82=1),1,0)</f>
        <v>0</v>
      </c>
      <c r="AR82" s="39" t="n">
        <f aca="false">IF(AND(AR80=1,AS82=1),1,0)</f>
        <v>0</v>
      </c>
      <c r="AS82" s="39" t="n">
        <f aca="false">IF(AND(AS80=1,AT82=1),1,0)</f>
        <v>0</v>
      </c>
      <c r="AT82" s="39" t="n">
        <f aca="false">IF(AND(AT80=1,AU82=1),1,0)</f>
        <v>0</v>
      </c>
      <c r="AU82" s="39" t="n">
        <f aca="false">IF(AND(AU80=1,AV82=1),1,0)</f>
        <v>0</v>
      </c>
      <c r="AV82" s="39" t="n">
        <f aca="false">IF(AND(AV80=1,AW82=1),1,0)</f>
        <v>0</v>
      </c>
      <c r="AW82" s="39" t="n">
        <f aca="false">IF(AND(AW80=1,AX82=1),1,0)</f>
        <v>1</v>
      </c>
      <c r="AX82" s="39" t="n">
        <f aca="false">IF(AND(AX80=1,AY82=1),1,0)</f>
        <v>1</v>
      </c>
      <c r="AY82" s="39" t="n">
        <f aca="false">IF(AND(AY80=1,AZ82=1),1,0)</f>
        <v>1</v>
      </c>
      <c r="AZ82" s="39" t="n">
        <f aca="false">IF(AND(AZ80=1,BA82=1),1,0)</f>
        <v>1</v>
      </c>
      <c r="BA82" s="39" t="n">
        <f aca="false">IF(AND(BA80=1,BB82=1),1,0)</f>
        <v>1</v>
      </c>
      <c r="BB82" s="39" t="n">
        <f aca="false">IF(AND(BB80=1,BC82=1),1,0)</f>
        <v>1</v>
      </c>
      <c r="BC82" s="39" t="n">
        <f aca="false">IF(AND(BC80=1,BD82=1),1,0)</f>
        <v>1</v>
      </c>
      <c r="BD82" s="39" t="n">
        <f aca="false">IF(AND(BD80=1,BE82=1),1,0)</f>
        <v>1</v>
      </c>
      <c r="BE82" s="39" t="n">
        <f aca="false">IF(AND(BE80=1,BF82=1),1,0)</f>
        <v>1</v>
      </c>
      <c r="BF82" s="39" t="n">
        <f aca="false">IF(AND(BF80=1,BG82=1),1,0)</f>
        <v>1</v>
      </c>
      <c r="BG82" s="39" t="n">
        <f aca="false">IF(AND(BG80=1,BH82=1),1,0)</f>
        <v>1</v>
      </c>
      <c r="BH82" s="39" t="n">
        <f aca="false">IF(AND(BH80=1,BI82=1),1,0)</f>
        <v>1</v>
      </c>
      <c r="BI82" s="39" t="n">
        <f aca="false">IF(AND(BI80=1,BJ82=1),1,0)</f>
        <v>1</v>
      </c>
      <c r="BJ82" s="39" t="n">
        <f aca="false">IF(AND(BJ80=1,BK82=1),1,0)</f>
        <v>1</v>
      </c>
      <c r="BK82" s="39" t="n">
        <f aca="false">BK80</f>
        <v>1</v>
      </c>
    </row>
    <row r="84" customFormat="false" ht="17.35" hidden="false" customHeight="false" outlineLevel="0" collapsed="false">
      <c r="B84" s="1" t="s">
        <v>673</v>
      </c>
    </row>
    <row r="85" customFormat="false" ht="15" hidden="false" customHeight="false" outlineLevel="0" collapsed="false">
      <c r="B85" s="5" t="s">
        <v>674</v>
      </c>
      <c r="C85" s="52" t="str">
        <f aca="false">IFERROR(MATCH(1,D81:AM81,0),"none")</f>
        <v>none</v>
      </c>
    </row>
    <row r="86" customFormat="false" ht="15" hidden="false" customHeight="false" outlineLevel="0" collapsed="false">
      <c r="B86" s="5" t="s">
        <v>675</v>
      </c>
      <c r="C86" s="52" t="n">
        <f aca="false">IFERROR(MATCH(1,D82:BK82,0),"none")</f>
        <v>46</v>
      </c>
    </row>
    <row r="87" customFormat="false" ht="15" hidden="false" customHeight="false" outlineLevel="0" collapsed="false">
      <c r="B87" s="5" t="s">
        <v>676</v>
      </c>
      <c r="C87" s="52" t="str">
        <f aca="false">IFERROR(MATCH(1,D80:AM80,0),"none")</f>
        <v>none</v>
      </c>
    </row>
    <row r="88" customFormat="false" ht="15" hidden="false" customHeight="false" outlineLevel="0" collapsed="false">
      <c r="B88" s="5" t="s">
        <v>485</v>
      </c>
      <c r="C88" s="53" t="n">
        <f aca="false">-MIN(0,MIN(D77:AM77))</f>
        <v>297222.8578713</v>
      </c>
    </row>
    <row r="89" customFormat="false" ht="15" hidden="false" customHeight="false" outlineLevel="0" collapsed="false">
      <c r="B89" s="5" t="s">
        <v>677</v>
      </c>
      <c r="C89" s="52" t="n">
        <f aca="false">MATCH(MIN(D77:AM77),D77:AM77,0)</f>
        <v>36</v>
      </c>
    </row>
    <row r="90" customFormat="false" ht="15" hidden="false" customHeight="false" outlineLevel="0" collapsed="false">
      <c r="B90" s="5" t="s">
        <v>678</v>
      </c>
      <c r="C90" s="53" t="n">
        <f aca="false">-MIN(0,MIN(D77:BK77))</f>
        <v>315810.812661434</v>
      </c>
    </row>
    <row r="91" customFormat="false" ht="15" hidden="false" customHeight="false" outlineLevel="0" collapsed="false">
      <c r="B91" s="5" t="s">
        <v>488</v>
      </c>
      <c r="C91" s="52" t="n">
        <f aca="false">IFERROR(MATCH(1,D16:AM16,0),"none")</f>
        <v>16</v>
      </c>
    </row>
    <row r="92" customFormat="false" ht="15" hidden="false" customHeight="false" outlineLevel="0" collapsed="false">
      <c r="B92" s="5" t="s">
        <v>489</v>
      </c>
      <c r="C92" s="52" t="n">
        <f aca="false">IFERROR(MATCH(1,D17:AM17,0),"none")</f>
        <v>16</v>
      </c>
    </row>
    <row r="93" customFormat="false" ht="15" hidden="false" customHeight="false" outlineLevel="0" collapsed="false">
      <c r="B93" s="5" t="s">
        <v>679</v>
      </c>
      <c r="C93" s="52" t="n">
        <f aca="false">IFERROR(MATCH(1,D18:AM18,0),"none")</f>
        <v>14</v>
      </c>
    </row>
    <row r="94" customFormat="false" ht="15" hidden="false" customHeight="false" outlineLevel="0" collapsed="false">
      <c r="B94" s="5" t="s">
        <v>491</v>
      </c>
      <c r="C94" s="52" t="n">
        <f aca="false">IFERROR(MATCH(1,D19:AM19,0),"none")</f>
        <v>26</v>
      </c>
    </row>
    <row r="95" customFormat="false" ht="15" hidden="false" customHeight="false" outlineLevel="0" collapsed="false">
      <c r="B95" s="5" t="s">
        <v>492</v>
      </c>
      <c r="C95" s="54" t="n">
        <f aca="false">AM13</f>
        <v>797.370303173366</v>
      </c>
    </row>
    <row r="96" customFormat="false" ht="15" hidden="false" customHeight="false" outlineLevel="0" collapsed="false">
      <c r="B96" s="5" t="s">
        <v>493</v>
      </c>
      <c r="C96" s="54" t="n">
        <f aca="false">AM32</f>
        <v>162.1638320989</v>
      </c>
    </row>
    <row r="97" customFormat="false" ht="15" hidden="false" customHeight="false" outlineLevel="0" collapsed="false">
      <c r="B97" s="5" t="s">
        <v>494</v>
      </c>
      <c r="C97" s="54" t="n">
        <f aca="false">AM24</f>
        <v>51684.3205853649</v>
      </c>
    </row>
    <row r="98" customFormat="false" ht="15" hidden="false" customHeight="false" outlineLevel="0" collapsed="false">
      <c r="B98" s="5" t="s">
        <v>495</v>
      </c>
      <c r="C98" s="53" t="n">
        <f aca="false">AM46</f>
        <v>24766.7865293195</v>
      </c>
    </row>
    <row r="99" customFormat="false" ht="15" hidden="false" customHeight="false" outlineLevel="0" collapsed="false">
      <c r="B99" s="5" t="s">
        <v>496</v>
      </c>
      <c r="C99" s="53" t="n">
        <f aca="false">AM76</f>
        <v>-3785.92486031691</v>
      </c>
    </row>
    <row r="100" customFormat="false" ht="15" hidden="false" customHeight="false" outlineLevel="0" collapsed="false">
      <c r="B100" s="5" t="s">
        <v>497</v>
      </c>
      <c r="C100" s="53" t="n">
        <f aca="false">SUM(D46:O46)</f>
        <v>0</v>
      </c>
    </row>
    <row r="101" customFormat="false" ht="15" hidden="false" customHeight="false" outlineLevel="0" collapsed="false">
      <c r="B101" s="5" t="s">
        <v>498</v>
      </c>
      <c r="C101" s="53" t="n">
        <f aca="false">SUM(P46:AA46)</f>
        <v>36148.2089425027</v>
      </c>
    </row>
    <row r="102" customFormat="false" ht="15" hidden="false" customHeight="false" outlineLevel="0" collapsed="false">
      <c r="B102" s="5" t="s">
        <v>499</v>
      </c>
      <c r="C102" s="53" t="n">
        <f aca="false">SUM(AB46:AM46)</f>
        <v>193437.701818053</v>
      </c>
    </row>
    <row r="103" customFormat="false" ht="15" hidden="false" customHeight="false" outlineLevel="0" collapsed="false">
      <c r="B103" s="5" t="s">
        <v>500</v>
      </c>
      <c r="C103" s="53" t="n">
        <f aca="false">SUM(D76:O76)</f>
        <v>-88986.2551487285</v>
      </c>
    </row>
    <row r="104" customFormat="false" ht="15" hidden="false" customHeight="false" outlineLevel="0" collapsed="false">
      <c r="B104" s="5" t="s">
        <v>501</v>
      </c>
      <c r="C104" s="53" t="n">
        <f aca="false">SUM(P76:AA76)</f>
        <v>-122340.515715824</v>
      </c>
    </row>
    <row r="105" customFormat="false" ht="15" hidden="false" customHeight="false" outlineLevel="0" collapsed="false">
      <c r="B105" s="5" t="s">
        <v>502</v>
      </c>
      <c r="C105" s="53" t="n">
        <f aca="false">SUM(AB76:AM76)</f>
        <v>-85896.0870067478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</cols>
  <sheetData>
    <row r="1" customFormat="false" ht="17.35" hidden="false" customHeight="false" outlineLevel="0" collapsed="false">
      <c r="A1" s="1" t="s">
        <v>688</v>
      </c>
    </row>
    <row r="3" customFormat="false" ht="15" hidden="false" customHeight="false" outlineLevel="0" collapsed="false">
      <c r="A3" s="4" t="s">
        <v>689</v>
      </c>
      <c r="B3" s="4" t="s">
        <v>690</v>
      </c>
      <c r="C3" s="4" t="s">
        <v>691</v>
      </c>
      <c r="D3" s="4" t="s">
        <v>692</v>
      </c>
      <c r="E3" s="4" t="s">
        <v>693</v>
      </c>
      <c r="F3" s="4" t="s">
        <v>694</v>
      </c>
      <c r="G3" s="4" t="s">
        <v>695</v>
      </c>
      <c r="H3" s="4" t="s">
        <v>696</v>
      </c>
      <c r="I3" s="4" t="s">
        <v>697</v>
      </c>
      <c r="J3" s="4" t="s">
        <v>698</v>
      </c>
      <c r="K3" s="4" t="s">
        <v>699</v>
      </c>
      <c r="L3" s="4" t="s">
        <v>700</v>
      </c>
    </row>
    <row r="4" customFormat="false" ht="15" hidden="false" customHeight="false" outlineLevel="0" collapsed="false">
      <c r="A4" s="6" t="s">
        <v>701</v>
      </c>
      <c r="B4" s="6" t="s">
        <v>116</v>
      </c>
      <c r="C4" s="6" t="n">
        <v>0.5</v>
      </c>
      <c r="D4" s="6" t="s">
        <v>702</v>
      </c>
      <c r="E4" s="6" t="s">
        <v>702</v>
      </c>
      <c r="F4" s="6" t="n">
        <v>330506</v>
      </c>
      <c r="G4" s="6" t="n">
        <v>480431</v>
      </c>
      <c r="H4" s="6" t="n">
        <v>6193</v>
      </c>
      <c r="I4" s="6" t="n">
        <v>-10678</v>
      </c>
      <c r="J4" s="6" t="n">
        <v>31.1</v>
      </c>
      <c r="K4" s="6" t="n">
        <v>1.6</v>
      </c>
      <c r="L4" s="6" t="n">
        <v>20.8</v>
      </c>
    </row>
    <row r="5" customFormat="false" ht="15" hidden="false" customHeight="false" outlineLevel="0" collapsed="false">
      <c r="A5" s="6" t="s">
        <v>701</v>
      </c>
      <c r="B5" s="6" t="s">
        <v>116</v>
      </c>
      <c r="C5" s="6" t="n">
        <v>0.75</v>
      </c>
      <c r="D5" s="6" t="s">
        <v>702</v>
      </c>
      <c r="E5" s="6" t="s">
        <v>702</v>
      </c>
      <c r="F5" s="6" t="n">
        <v>326645</v>
      </c>
      <c r="G5" s="6" t="n">
        <v>448633</v>
      </c>
      <c r="H5" s="6" t="n">
        <v>7193</v>
      </c>
      <c r="I5" s="6" t="n">
        <v>-10130</v>
      </c>
      <c r="J5" s="6" t="n">
        <v>45</v>
      </c>
      <c r="K5" s="6" t="n">
        <v>2.18</v>
      </c>
      <c r="L5" s="6" t="n">
        <v>15.3</v>
      </c>
    </row>
    <row r="6" customFormat="false" ht="15" hidden="false" customHeight="false" outlineLevel="0" collapsed="false">
      <c r="A6" s="6" t="s">
        <v>701</v>
      </c>
      <c r="B6" s="6" t="s">
        <v>116</v>
      </c>
      <c r="C6" s="6" t="n">
        <v>1</v>
      </c>
      <c r="D6" s="6" t="s">
        <v>702</v>
      </c>
      <c r="E6" s="6" t="n">
        <v>60</v>
      </c>
      <c r="F6" s="6" t="n">
        <v>322991</v>
      </c>
      <c r="G6" s="6" t="n">
        <v>420715</v>
      </c>
      <c r="H6" s="6" t="n">
        <v>8118</v>
      </c>
      <c r="I6" s="6" t="n">
        <v>-9622</v>
      </c>
      <c r="J6" s="6" t="n">
        <v>58.1</v>
      </c>
      <c r="K6" s="6" t="n">
        <v>2.65</v>
      </c>
      <c r="L6" s="6" t="n">
        <v>12.6</v>
      </c>
    </row>
    <row r="7" customFormat="false" ht="15" hidden="false" customHeight="false" outlineLevel="0" collapsed="false">
      <c r="A7" s="6" t="s">
        <v>701</v>
      </c>
      <c r="B7" s="6" t="s">
        <v>116</v>
      </c>
      <c r="C7" s="6" t="n">
        <v>1.25</v>
      </c>
      <c r="D7" s="6" t="s">
        <v>702</v>
      </c>
      <c r="E7" s="6" t="n">
        <v>57</v>
      </c>
      <c r="F7" s="6" t="n">
        <v>319529</v>
      </c>
      <c r="G7" s="6" t="n">
        <v>398963</v>
      </c>
      <c r="H7" s="6" t="n">
        <v>8975</v>
      </c>
      <c r="I7" s="6" t="n">
        <v>-9151</v>
      </c>
      <c r="J7" s="6" t="n">
        <v>70.3</v>
      </c>
      <c r="K7" s="6" t="n">
        <v>3.03</v>
      </c>
      <c r="L7" s="6" t="n">
        <v>11</v>
      </c>
    </row>
    <row r="8" customFormat="false" ht="15" hidden="false" customHeight="false" outlineLevel="0" collapsed="false">
      <c r="A8" s="6" t="s">
        <v>701</v>
      </c>
      <c r="B8" s="6" t="s">
        <v>116</v>
      </c>
      <c r="C8" s="6" t="n">
        <v>1.5</v>
      </c>
      <c r="D8" s="6" t="s">
        <v>702</v>
      </c>
      <c r="E8" s="6" t="n">
        <v>54</v>
      </c>
      <c r="F8" s="6" t="n">
        <v>316246</v>
      </c>
      <c r="G8" s="6" t="n">
        <v>382221</v>
      </c>
      <c r="H8" s="6" t="n">
        <v>9772</v>
      </c>
      <c r="I8" s="6" t="n">
        <v>-8712</v>
      </c>
      <c r="J8" s="6" t="n">
        <v>81.8</v>
      </c>
      <c r="K8" s="6" t="n">
        <v>3.35</v>
      </c>
      <c r="L8" s="6" t="n">
        <v>9.9</v>
      </c>
    </row>
    <row r="9" customFormat="false" ht="15" hidden="false" customHeight="false" outlineLevel="0" collapsed="false">
      <c r="A9" s="6" t="s">
        <v>701</v>
      </c>
      <c r="B9" s="6" t="s">
        <v>120</v>
      </c>
      <c r="C9" s="6" t="n">
        <v>0.02</v>
      </c>
      <c r="D9" s="6" t="s">
        <v>702</v>
      </c>
      <c r="E9" s="6" t="n">
        <v>57</v>
      </c>
      <c r="F9" s="6" t="n">
        <v>322230</v>
      </c>
      <c r="G9" s="6" t="n">
        <v>410230</v>
      </c>
      <c r="H9" s="6" t="n">
        <v>8339</v>
      </c>
      <c r="I9" s="6" t="n">
        <v>-9481</v>
      </c>
      <c r="J9" s="6" t="n">
        <v>61.2</v>
      </c>
      <c r="K9" s="6" t="n">
        <v>3.97</v>
      </c>
      <c r="L9" s="6" t="n">
        <v>12.6</v>
      </c>
    </row>
    <row r="10" customFormat="false" ht="15" hidden="false" customHeight="false" outlineLevel="0" collapsed="false">
      <c r="A10" s="6" t="s">
        <v>701</v>
      </c>
      <c r="B10" s="6" t="s">
        <v>120</v>
      </c>
      <c r="C10" s="6" t="n">
        <v>0.03</v>
      </c>
      <c r="D10" s="6" t="s">
        <v>702</v>
      </c>
      <c r="E10" s="6" t="n">
        <v>60</v>
      </c>
      <c r="F10" s="6" t="n">
        <v>322991</v>
      </c>
      <c r="G10" s="6" t="n">
        <v>420715</v>
      </c>
      <c r="H10" s="6" t="n">
        <v>8118</v>
      </c>
      <c r="I10" s="6" t="n">
        <v>-9622</v>
      </c>
      <c r="J10" s="6" t="n">
        <v>58.1</v>
      </c>
      <c r="K10" s="6" t="n">
        <v>2.65</v>
      </c>
      <c r="L10" s="6" t="n">
        <v>12.6</v>
      </c>
    </row>
    <row r="11" customFormat="false" ht="15" hidden="false" customHeight="false" outlineLevel="0" collapsed="false">
      <c r="A11" s="6" t="s">
        <v>701</v>
      </c>
      <c r="B11" s="6" t="s">
        <v>120</v>
      </c>
      <c r="C11" s="6" t="n">
        <v>0.045</v>
      </c>
      <c r="D11" s="6" t="s">
        <v>702</v>
      </c>
      <c r="E11" s="6" t="s">
        <v>702</v>
      </c>
      <c r="F11" s="6" t="n">
        <v>324055</v>
      </c>
      <c r="G11" s="6" t="n">
        <v>436274</v>
      </c>
      <c r="H11" s="6" t="n">
        <v>7815</v>
      </c>
      <c r="I11" s="6" t="n">
        <v>-9816</v>
      </c>
      <c r="J11" s="6" t="n">
        <v>53.9</v>
      </c>
      <c r="K11" s="6" t="n">
        <v>1.76</v>
      </c>
      <c r="L11" s="6" t="n">
        <v>12.6</v>
      </c>
    </row>
    <row r="12" customFormat="false" ht="15" hidden="false" customHeight="false" outlineLevel="0" collapsed="false">
      <c r="A12" s="6" t="s">
        <v>701</v>
      </c>
      <c r="B12" s="6" t="s">
        <v>120</v>
      </c>
      <c r="C12" s="6" t="n">
        <v>0.06</v>
      </c>
      <c r="D12" s="6" t="s">
        <v>702</v>
      </c>
      <c r="E12" s="6" t="s">
        <v>702</v>
      </c>
      <c r="F12" s="6" t="n">
        <v>325031</v>
      </c>
      <c r="G12" s="6" t="n">
        <v>449595</v>
      </c>
      <c r="H12" s="6" t="n">
        <v>7544</v>
      </c>
      <c r="I12" s="6" t="n">
        <v>-9988</v>
      </c>
      <c r="J12" s="6" t="n">
        <v>50.1</v>
      </c>
      <c r="K12" s="6" t="n">
        <v>1.32</v>
      </c>
      <c r="L12" s="6" t="n">
        <v>12.6</v>
      </c>
    </row>
    <row r="13" customFormat="false" ht="15" hidden="false" customHeight="false" outlineLevel="0" collapsed="false">
      <c r="A13" s="6" t="s">
        <v>701</v>
      </c>
      <c r="B13" s="6" t="s">
        <v>120</v>
      </c>
      <c r="C13" s="6" t="n">
        <v>0.08</v>
      </c>
      <c r="D13" s="6" t="s">
        <v>702</v>
      </c>
      <c r="E13" s="6" t="s">
        <v>702</v>
      </c>
      <c r="F13" s="6" t="n">
        <v>326213</v>
      </c>
      <c r="G13" s="6" t="n">
        <v>464099</v>
      </c>
      <c r="H13" s="6" t="n">
        <v>7226</v>
      </c>
      <c r="I13" s="6" t="n">
        <v>-10192</v>
      </c>
      <c r="J13" s="6" t="n">
        <v>45.6</v>
      </c>
      <c r="K13" s="6" t="n">
        <v>0.99</v>
      </c>
      <c r="L13" s="6" t="n">
        <v>12.6</v>
      </c>
    </row>
    <row r="14" customFormat="false" ht="15" hidden="false" customHeight="false" outlineLevel="0" collapsed="false">
      <c r="A14" s="6" t="s">
        <v>701</v>
      </c>
      <c r="B14" s="6" t="s">
        <v>298</v>
      </c>
      <c r="C14" s="6" t="n">
        <v>0.5</v>
      </c>
      <c r="D14" s="6" t="s">
        <v>702</v>
      </c>
      <c r="E14" s="6" t="n">
        <v>52</v>
      </c>
      <c r="F14" s="6" t="n">
        <v>277287</v>
      </c>
      <c r="G14" s="6" t="n">
        <v>326087</v>
      </c>
      <c r="H14" s="6" t="n">
        <v>8118</v>
      </c>
      <c r="I14" s="6" t="n">
        <v>-7316</v>
      </c>
      <c r="J14" s="6" t="n">
        <v>58.1</v>
      </c>
      <c r="K14" s="6" t="n">
        <v>5.29</v>
      </c>
      <c r="L14" s="6" t="n">
        <v>6.3</v>
      </c>
    </row>
    <row r="15" customFormat="false" ht="15" hidden="false" customHeight="false" outlineLevel="0" collapsed="false">
      <c r="A15" s="6" t="s">
        <v>701</v>
      </c>
      <c r="B15" s="6" t="s">
        <v>298</v>
      </c>
      <c r="C15" s="6" t="n">
        <v>0.75</v>
      </c>
      <c r="D15" s="6" t="s">
        <v>702</v>
      </c>
      <c r="E15" s="6" t="n">
        <v>57</v>
      </c>
      <c r="F15" s="6" t="n">
        <v>300139</v>
      </c>
      <c r="G15" s="6" t="n">
        <v>371040</v>
      </c>
      <c r="H15" s="6" t="n">
        <v>8118</v>
      </c>
      <c r="I15" s="6" t="n">
        <v>-8469</v>
      </c>
      <c r="J15" s="6" t="n">
        <v>58.1</v>
      </c>
      <c r="K15" s="6" t="n">
        <v>3.53</v>
      </c>
      <c r="L15" s="6" t="n">
        <v>9.4</v>
      </c>
    </row>
    <row r="16" customFormat="false" ht="15" hidden="false" customHeight="false" outlineLevel="0" collapsed="false">
      <c r="A16" s="6" t="s">
        <v>701</v>
      </c>
      <c r="B16" s="6" t="s">
        <v>298</v>
      </c>
      <c r="C16" s="6" t="n">
        <v>1</v>
      </c>
      <c r="D16" s="6" t="s">
        <v>702</v>
      </c>
      <c r="E16" s="6" t="n">
        <v>60</v>
      </c>
      <c r="F16" s="6" t="n">
        <v>322991</v>
      </c>
      <c r="G16" s="6" t="n">
        <v>420715</v>
      </c>
      <c r="H16" s="6" t="n">
        <v>8118</v>
      </c>
      <c r="I16" s="6" t="n">
        <v>-9622</v>
      </c>
      <c r="J16" s="6" t="n">
        <v>58.1</v>
      </c>
      <c r="K16" s="6" t="n">
        <v>2.65</v>
      </c>
      <c r="L16" s="6" t="n">
        <v>12.6</v>
      </c>
    </row>
    <row r="17" customFormat="false" ht="15" hidden="false" customHeight="false" outlineLevel="0" collapsed="false">
      <c r="A17" s="6" t="s">
        <v>701</v>
      </c>
      <c r="B17" s="6" t="s">
        <v>298</v>
      </c>
      <c r="C17" s="6" t="n">
        <v>1.5</v>
      </c>
      <c r="D17" s="6" t="s">
        <v>702</v>
      </c>
      <c r="E17" s="6" t="s">
        <v>702</v>
      </c>
      <c r="F17" s="6" t="n">
        <v>368695</v>
      </c>
      <c r="G17" s="6" t="n">
        <v>527546</v>
      </c>
      <c r="H17" s="6" t="n">
        <v>8118</v>
      </c>
      <c r="I17" s="6" t="n">
        <v>-11929</v>
      </c>
      <c r="J17" s="6" t="n">
        <v>58.1</v>
      </c>
      <c r="K17" s="6" t="n">
        <v>1.76</v>
      </c>
      <c r="L17" s="6" t="n">
        <v>18.9</v>
      </c>
    </row>
    <row r="18" customFormat="false" ht="15" hidden="false" customHeight="false" outlineLevel="0" collapsed="false">
      <c r="A18" s="6" t="s">
        <v>701</v>
      </c>
      <c r="B18" s="6" t="s">
        <v>298</v>
      </c>
      <c r="C18" s="6" t="n">
        <v>2</v>
      </c>
      <c r="D18" s="6" t="s">
        <v>702</v>
      </c>
      <c r="E18" s="6" t="s">
        <v>702</v>
      </c>
      <c r="F18" s="6" t="n">
        <v>414400</v>
      </c>
      <c r="G18" s="6" t="n">
        <v>634869</v>
      </c>
      <c r="H18" s="6" t="n">
        <v>8118</v>
      </c>
      <c r="I18" s="6" t="n">
        <v>-14236</v>
      </c>
      <c r="J18" s="6" t="n">
        <v>58.1</v>
      </c>
      <c r="K18" s="6" t="n">
        <v>1.32</v>
      </c>
      <c r="L18" s="6" t="n">
        <v>25.2</v>
      </c>
    </row>
    <row r="19" customFormat="false" ht="15" hidden="false" customHeight="false" outlineLevel="0" collapsed="false">
      <c r="A19" s="6" t="s">
        <v>701</v>
      </c>
      <c r="B19" s="6" t="s">
        <v>222</v>
      </c>
      <c r="C19" s="6" t="n">
        <v>0.05</v>
      </c>
      <c r="D19" s="6" t="s">
        <v>702</v>
      </c>
      <c r="E19" s="6" t="n">
        <v>60</v>
      </c>
      <c r="F19" s="6" t="n">
        <v>322991</v>
      </c>
      <c r="G19" s="6" t="n">
        <v>425156</v>
      </c>
      <c r="H19" s="6" t="n">
        <v>8118</v>
      </c>
      <c r="I19" s="6" t="n">
        <v>-9622</v>
      </c>
      <c r="J19" s="6" t="n">
        <v>58.1</v>
      </c>
      <c r="K19" s="6" t="n">
        <v>2.65</v>
      </c>
      <c r="L19" s="6" t="n">
        <v>12.6</v>
      </c>
    </row>
    <row r="20" customFormat="false" ht="15" hidden="false" customHeight="false" outlineLevel="0" collapsed="false">
      <c r="A20" s="6" t="s">
        <v>701</v>
      </c>
      <c r="B20" s="6" t="s">
        <v>222</v>
      </c>
      <c r="C20" s="6" t="n">
        <v>0.1</v>
      </c>
      <c r="D20" s="6" t="s">
        <v>702</v>
      </c>
      <c r="E20" s="6" t="n">
        <v>60</v>
      </c>
      <c r="F20" s="6" t="n">
        <v>322991</v>
      </c>
      <c r="G20" s="6" t="n">
        <v>423676</v>
      </c>
      <c r="H20" s="6" t="n">
        <v>8118</v>
      </c>
      <c r="I20" s="6" t="n">
        <v>-9622</v>
      </c>
      <c r="J20" s="6" t="n">
        <v>58.1</v>
      </c>
      <c r="K20" s="6" t="n">
        <v>2.65</v>
      </c>
      <c r="L20" s="6" t="n">
        <v>12.6</v>
      </c>
    </row>
    <row r="21" customFormat="false" ht="15" hidden="false" customHeight="false" outlineLevel="0" collapsed="false">
      <c r="A21" s="6" t="s">
        <v>701</v>
      </c>
      <c r="B21" s="6" t="s">
        <v>222</v>
      </c>
      <c r="C21" s="6" t="n">
        <v>0.2</v>
      </c>
      <c r="D21" s="6" t="s">
        <v>702</v>
      </c>
      <c r="E21" s="6" t="n">
        <v>60</v>
      </c>
      <c r="F21" s="6" t="n">
        <v>322991</v>
      </c>
      <c r="G21" s="6" t="n">
        <v>420715</v>
      </c>
      <c r="H21" s="6" t="n">
        <v>8118</v>
      </c>
      <c r="I21" s="6" t="n">
        <v>-9622</v>
      </c>
      <c r="J21" s="6" t="n">
        <v>58.1</v>
      </c>
      <c r="K21" s="6" t="n">
        <v>2.65</v>
      </c>
      <c r="L21" s="6" t="n">
        <v>12.6</v>
      </c>
    </row>
    <row r="22" customFormat="false" ht="15" hidden="false" customHeight="false" outlineLevel="0" collapsed="false">
      <c r="A22" s="6" t="s">
        <v>701</v>
      </c>
      <c r="B22" s="6" t="s">
        <v>222</v>
      </c>
      <c r="C22" s="6" t="n">
        <v>0.3</v>
      </c>
      <c r="D22" s="6" t="s">
        <v>702</v>
      </c>
      <c r="E22" s="6" t="n">
        <v>60</v>
      </c>
      <c r="F22" s="6" t="n">
        <v>322991</v>
      </c>
      <c r="G22" s="6" t="n">
        <v>417754</v>
      </c>
      <c r="H22" s="6" t="n">
        <v>8118</v>
      </c>
      <c r="I22" s="6" t="n">
        <v>-9622</v>
      </c>
      <c r="J22" s="6" t="n">
        <v>58.1</v>
      </c>
      <c r="K22" s="6" t="n">
        <v>2.65</v>
      </c>
      <c r="L22" s="6" t="n">
        <v>12.6</v>
      </c>
    </row>
    <row r="23" customFormat="false" ht="15" hidden="false" customHeight="false" outlineLevel="0" collapsed="false">
      <c r="A23" s="6" t="s">
        <v>701</v>
      </c>
      <c r="B23" s="6" t="s">
        <v>222</v>
      </c>
      <c r="C23" s="6" t="n">
        <v>0.4</v>
      </c>
      <c r="D23" s="6" t="s">
        <v>702</v>
      </c>
      <c r="E23" s="6" t="n">
        <v>60</v>
      </c>
      <c r="F23" s="6" t="n">
        <v>322991</v>
      </c>
      <c r="G23" s="6" t="n">
        <v>414825</v>
      </c>
      <c r="H23" s="6" t="n">
        <v>8118</v>
      </c>
      <c r="I23" s="6" t="n">
        <v>-9622</v>
      </c>
      <c r="J23" s="6" t="n">
        <v>58.1</v>
      </c>
      <c r="K23" s="6" t="n">
        <v>2.65</v>
      </c>
      <c r="L23" s="6" t="n">
        <v>12.6</v>
      </c>
    </row>
    <row r="24" customFormat="false" ht="15" hidden="false" customHeight="false" outlineLevel="0" collapsed="false">
      <c r="A24" s="6" t="s">
        <v>701</v>
      </c>
      <c r="B24" s="6" t="s">
        <v>256</v>
      </c>
      <c r="C24" s="6" t="n">
        <v>0</v>
      </c>
      <c r="D24" s="6" t="s">
        <v>702</v>
      </c>
      <c r="E24" s="6" t="s">
        <v>702</v>
      </c>
      <c r="F24" s="6" t="n">
        <v>351341</v>
      </c>
      <c r="G24" s="6" t="n">
        <v>567223</v>
      </c>
      <c r="H24" s="6" t="n">
        <v>4180</v>
      </c>
      <c r="I24" s="6" t="n">
        <v>-12379</v>
      </c>
      <c r="J24" s="6" t="n">
        <v>58.1</v>
      </c>
      <c r="K24" s="6" t="n">
        <v>2.65</v>
      </c>
      <c r="L24" s="6" t="n">
        <v>12.6</v>
      </c>
    </row>
    <row r="25" customFormat="false" ht="15" hidden="false" customHeight="false" outlineLevel="0" collapsed="false">
      <c r="A25" s="6" t="s">
        <v>701</v>
      </c>
      <c r="B25" s="6" t="s">
        <v>256</v>
      </c>
      <c r="C25" s="6" t="n">
        <v>0.5</v>
      </c>
      <c r="D25" s="6" t="s">
        <v>702</v>
      </c>
      <c r="E25" s="6" t="s">
        <v>702</v>
      </c>
      <c r="F25" s="6" t="n">
        <v>337166</v>
      </c>
      <c r="G25" s="6" t="n">
        <v>493723</v>
      </c>
      <c r="H25" s="6" t="n">
        <v>6149</v>
      </c>
      <c r="I25" s="6" t="n">
        <v>-11001</v>
      </c>
      <c r="J25" s="6" t="n">
        <v>58.1</v>
      </c>
      <c r="K25" s="6" t="n">
        <v>2.65</v>
      </c>
      <c r="L25" s="6" t="n">
        <v>12.6</v>
      </c>
    </row>
    <row r="26" customFormat="false" ht="15" hidden="false" customHeight="false" outlineLevel="0" collapsed="false">
      <c r="A26" s="6" t="s">
        <v>701</v>
      </c>
      <c r="B26" s="6" t="s">
        <v>256</v>
      </c>
      <c r="C26" s="6" t="n">
        <v>1</v>
      </c>
      <c r="D26" s="6" t="s">
        <v>702</v>
      </c>
      <c r="E26" s="6" t="n">
        <v>60</v>
      </c>
      <c r="F26" s="6" t="n">
        <v>322991</v>
      </c>
      <c r="G26" s="6" t="n">
        <v>420715</v>
      </c>
      <c r="H26" s="6" t="n">
        <v>8118</v>
      </c>
      <c r="I26" s="6" t="n">
        <v>-9622</v>
      </c>
      <c r="J26" s="6" t="n">
        <v>58.1</v>
      </c>
      <c r="K26" s="6" t="n">
        <v>2.65</v>
      </c>
      <c r="L26" s="6" t="n">
        <v>12.6</v>
      </c>
    </row>
    <row r="27" customFormat="false" ht="15" hidden="false" customHeight="false" outlineLevel="0" collapsed="false">
      <c r="A27" s="6" t="s">
        <v>701</v>
      </c>
      <c r="B27" s="6" t="s">
        <v>256</v>
      </c>
      <c r="C27" s="6" t="n">
        <v>2</v>
      </c>
      <c r="D27" s="6" t="s">
        <v>702</v>
      </c>
      <c r="E27" s="6" t="n">
        <v>48</v>
      </c>
      <c r="F27" s="6" t="n">
        <v>294641</v>
      </c>
      <c r="G27" s="6" t="n">
        <v>325416</v>
      </c>
      <c r="H27" s="6" t="n">
        <v>12055</v>
      </c>
      <c r="I27" s="6" t="n">
        <v>-6866</v>
      </c>
      <c r="J27" s="6" t="n">
        <v>58.1</v>
      </c>
      <c r="K27" s="6" t="n">
        <v>2.65</v>
      </c>
      <c r="L27" s="6" t="n">
        <v>12.6</v>
      </c>
    </row>
    <row r="28" customFormat="false" ht="15" hidden="false" customHeight="false" outlineLevel="0" collapsed="false">
      <c r="A28" s="6" t="s">
        <v>701</v>
      </c>
      <c r="B28" s="6" t="s">
        <v>256</v>
      </c>
      <c r="C28" s="6" t="n">
        <v>3</v>
      </c>
      <c r="D28" s="6" t="s">
        <v>702</v>
      </c>
      <c r="E28" s="6" t="n">
        <v>42</v>
      </c>
      <c r="F28" s="6" t="n">
        <v>266291</v>
      </c>
      <c r="G28" s="6" t="n">
        <v>274340</v>
      </c>
      <c r="H28" s="6" t="n">
        <v>15993</v>
      </c>
      <c r="I28" s="6" t="n">
        <v>-4110</v>
      </c>
      <c r="J28" s="6" t="n">
        <v>58.1</v>
      </c>
      <c r="K28" s="6" t="n">
        <v>2.65</v>
      </c>
      <c r="L28" s="6" t="n">
        <v>12.6</v>
      </c>
    </row>
    <row r="29" customFormat="false" ht="15" hidden="false" customHeight="false" outlineLevel="0" collapsed="false">
      <c r="A29" s="6" t="s">
        <v>701</v>
      </c>
      <c r="B29" s="6" t="s">
        <v>22</v>
      </c>
      <c r="C29" s="6" t="n">
        <v>20</v>
      </c>
      <c r="D29" s="6" t="s">
        <v>702</v>
      </c>
      <c r="E29" s="6" t="s">
        <v>702</v>
      </c>
      <c r="F29" s="6" t="n">
        <v>298126</v>
      </c>
      <c r="G29" s="6" t="n">
        <v>414485</v>
      </c>
      <c r="H29" s="6" t="n">
        <v>6026</v>
      </c>
      <c r="I29" s="6" t="n">
        <v>-8397</v>
      </c>
      <c r="J29" s="6" t="n">
        <v>28.8</v>
      </c>
      <c r="K29" s="6" t="n">
        <v>2.36</v>
      </c>
      <c r="L29" s="6" t="n">
        <v>14.1</v>
      </c>
    </row>
    <row r="30" customFormat="false" ht="15" hidden="false" customHeight="false" outlineLevel="0" collapsed="false">
      <c r="A30" s="6" t="s">
        <v>701</v>
      </c>
      <c r="B30" s="6" t="s">
        <v>22</v>
      </c>
      <c r="C30" s="6" t="n">
        <v>26</v>
      </c>
      <c r="D30" s="6" t="s">
        <v>702</v>
      </c>
      <c r="E30" s="6" t="n">
        <v>60</v>
      </c>
      <c r="F30" s="6" t="n">
        <v>309537</v>
      </c>
      <c r="G30" s="6" t="n">
        <v>414525</v>
      </c>
      <c r="H30" s="6" t="n">
        <v>7166</v>
      </c>
      <c r="I30" s="6" t="n">
        <v>-8949</v>
      </c>
      <c r="J30" s="6" t="n">
        <v>44.8</v>
      </c>
      <c r="K30" s="6" t="n">
        <v>2.53</v>
      </c>
      <c r="L30" s="6" t="n">
        <v>13.2</v>
      </c>
    </row>
    <row r="31" customFormat="false" ht="15" hidden="false" customHeight="false" outlineLevel="0" collapsed="false">
      <c r="A31" s="6" t="s">
        <v>701</v>
      </c>
      <c r="B31" s="6" t="s">
        <v>22</v>
      </c>
      <c r="C31" s="6" t="n">
        <v>32</v>
      </c>
      <c r="D31" s="6" t="s">
        <v>702</v>
      </c>
      <c r="E31" s="6" t="n">
        <v>60</v>
      </c>
      <c r="F31" s="6" t="n">
        <v>322991</v>
      </c>
      <c r="G31" s="6" t="n">
        <v>420715</v>
      </c>
      <c r="H31" s="6" t="n">
        <v>8118</v>
      </c>
      <c r="I31" s="6" t="n">
        <v>-9622</v>
      </c>
      <c r="J31" s="6" t="n">
        <v>58.1</v>
      </c>
      <c r="K31" s="6" t="n">
        <v>2.65</v>
      </c>
      <c r="L31" s="6" t="n">
        <v>12.6</v>
      </c>
    </row>
    <row r="32" customFormat="false" ht="15" hidden="false" customHeight="false" outlineLevel="0" collapsed="false">
      <c r="A32" s="6" t="s">
        <v>701</v>
      </c>
      <c r="B32" s="6" t="s">
        <v>22</v>
      </c>
      <c r="C32" s="6" t="n">
        <v>38</v>
      </c>
      <c r="D32" s="6" t="s">
        <v>702</v>
      </c>
      <c r="E32" s="6" t="n">
        <v>60</v>
      </c>
      <c r="F32" s="6" t="n">
        <v>333228</v>
      </c>
      <c r="G32" s="6" t="n">
        <v>427008</v>
      </c>
      <c r="H32" s="6" t="n">
        <v>10577</v>
      </c>
      <c r="I32" s="6" t="n">
        <v>-8941</v>
      </c>
      <c r="J32" s="6" t="n">
        <v>71.6</v>
      </c>
      <c r="K32" s="6" t="n">
        <v>2.73</v>
      </c>
      <c r="L32" s="6" t="n">
        <v>12.2</v>
      </c>
    </row>
    <row r="33" customFormat="false" ht="15" hidden="false" customHeight="false" outlineLevel="0" collapsed="false">
      <c r="A33" s="6" t="s">
        <v>701</v>
      </c>
      <c r="B33" s="6" t="s">
        <v>22</v>
      </c>
      <c r="C33" s="6" t="n">
        <v>44</v>
      </c>
      <c r="D33" s="6" t="s">
        <v>702</v>
      </c>
      <c r="E33" s="6" t="s">
        <v>702</v>
      </c>
      <c r="F33" s="6" t="n">
        <v>343393</v>
      </c>
      <c r="G33" s="6" t="n">
        <v>457600</v>
      </c>
      <c r="H33" s="6" t="n">
        <v>12573</v>
      </c>
      <c r="I33" s="6" t="n">
        <v>-8660</v>
      </c>
      <c r="J33" s="6" t="n">
        <v>84.1</v>
      </c>
      <c r="K33" s="6" t="n">
        <v>2.8</v>
      </c>
      <c r="L33" s="6" t="n">
        <v>11.9</v>
      </c>
    </row>
    <row r="34" customFormat="false" ht="15" hidden="false" customHeight="false" outlineLevel="0" collapsed="false">
      <c r="A34" s="6" t="s">
        <v>701</v>
      </c>
      <c r="B34" s="6" t="s">
        <v>30</v>
      </c>
      <c r="C34" s="6" t="n">
        <v>0.005</v>
      </c>
      <c r="D34" s="6" t="s">
        <v>702</v>
      </c>
      <c r="E34" s="6" t="n">
        <v>57</v>
      </c>
      <c r="F34" s="6" t="n">
        <v>322748</v>
      </c>
      <c r="G34" s="6" t="n">
        <v>409749</v>
      </c>
      <c r="H34" s="6" t="n">
        <v>9305</v>
      </c>
      <c r="I34" s="6" t="n">
        <v>-9066</v>
      </c>
      <c r="J34" s="6" t="n">
        <v>64.9</v>
      </c>
      <c r="K34" s="6" t="n">
        <v>2.65</v>
      </c>
      <c r="L34" s="6" t="n">
        <v>12.6</v>
      </c>
    </row>
    <row r="35" customFormat="false" ht="15" hidden="false" customHeight="false" outlineLevel="0" collapsed="false">
      <c r="A35" s="6" t="s">
        <v>701</v>
      </c>
      <c r="B35" s="6" t="s">
        <v>30</v>
      </c>
      <c r="C35" s="6" t="n">
        <v>0.01</v>
      </c>
      <c r="D35" s="6" t="s">
        <v>702</v>
      </c>
      <c r="E35" s="6" t="n">
        <v>60</v>
      </c>
      <c r="F35" s="6" t="n">
        <v>323653</v>
      </c>
      <c r="G35" s="6" t="n">
        <v>415946</v>
      </c>
      <c r="H35" s="6" t="n">
        <v>8643</v>
      </c>
      <c r="I35" s="6" t="n">
        <v>-9385</v>
      </c>
      <c r="J35" s="6" t="n">
        <v>60.8</v>
      </c>
      <c r="K35" s="6" t="n">
        <v>2.65</v>
      </c>
      <c r="L35" s="6" t="n">
        <v>12.6</v>
      </c>
    </row>
    <row r="36" customFormat="false" ht="15" hidden="false" customHeight="false" outlineLevel="0" collapsed="false">
      <c r="A36" s="6" t="s">
        <v>701</v>
      </c>
      <c r="B36" s="6" t="s">
        <v>30</v>
      </c>
      <c r="C36" s="6" t="n">
        <v>0.015</v>
      </c>
      <c r="D36" s="6" t="s">
        <v>702</v>
      </c>
      <c r="E36" s="6" t="n">
        <v>60</v>
      </c>
      <c r="F36" s="6" t="n">
        <v>322991</v>
      </c>
      <c r="G36" s="6" t="n">
        <v>420715</v>
      </c>
      <c r="H36" s="6" t="n">
        <v>8118</v>
      </c>
      <c r="I36" s="6" t="n">
        <v>-9622</v>
      </c>
      <c r="J36" s="6" t="n">
        <v>58.1</v>
      </c>
      <c r="K36" s="6" t="n">
        <v>2.65</v>
      </c>
      <c r="L36" s="6" t="n">
        <v>12.6</v>
      </c>
    </row>
    <row r="37" customFormat="false" ht="15" hidden="false" customHeight="false" outlineLevel="0" collapsed="false">
      <c r="A37" s="6" t="s">
        <v>701</v>
      </c>
      <c r="B37" s="6" t="s">
        <v>30</v>
      </c>
      <c r="C37" s="6" t="n">
        <v>0.025</v>
      </c>
      <c r="D37" s="6" t="s">
        <v>702</v>
      </c>
      <c r="E37" s="6" t="s">
        <v>702</v>
      </c>
      <c r="F37" s="6" t="n">
        <v>323000</v>
      </c>
      <c r="G37" s="6" t="n">
        <v>431939</v>
      </c>
      <c r="H37" s="6" t="n">
        <v>7677</v>
      </c>
      <c r="I37" s="6" t="n">
        <v>-9575</v>
      </c>
      <c r="J37" s="6" t="n">
        <v>52</v>
      </c>
      <c r="K37" s="6" t="n">
        <v>2.65</v>
      </c>
      <c r="L37" s="6" t="n">
        <v>12.6</v>
      </c>
    </row>
    <row r="38" customFormat="false" ht="15" hidden="false" customHeight="false" outlineLevel="0" collapsed="false">
      <c r="A38" s="6" t="s">
        <v>701</v>
      </c>
      <c r="B38" s="6" t="s">
        <v>30</v>
      </c>
      <c r="C38" s="6" t="n">
        <v>0.04</v>
      </c>
      <c r="D38" s="6" t="s">
        <v>702</v>
      </c>
      <c r="E38" s="6" t="s">
        <v>702</v>
      </c>
      <c r="F38" s="6" t="n">
        <v>321840</v>
      </c>
      <c r="G38" s="6" t="n">
        <v>450390</v>
      </c>
      <c r="H38" s="6" t="n">
        <v>7143</v>
      </c>
      <c r="I38" s="6" t="n">
        <v>-9510</v>
      </c>
      <c r="J38" s="6" t="n">
        <v>44.5</v>
      </c>
      <c r="K38" s="6" t="n">
        <v>2.65</v>
      </c>
      <c r="L38" s="6" t="n">
        <v>12.6</v>
      </c>
    </row>
    <row r="39" customFormat="false" ht="15" hidden="false" customHeight="false" outlineLevel="0" collapsed="false">
      <c r="A39" s="6" t="s">
        <v>701</v>
      </c>
      <c r="B39" s="6" t="s">
        <v>703</v>
      </c>
      <c r="C39" s="6" t="n">
        <v>0</v>
      </c>
      <c r="D39" s="6" t="s">
        <v>702</v>
      </c>
      <c r="E39" s="6" t="n">
        <v>45</v>
      </c>
      <c r="F39" s="6" t="n">
        <v>142991</v>
      </c>
      <c r="G39" s="6" t="n">
        <v>153852</v>
      </c>
      <c r="H39" s="6" t="n">
        <v>8118</v>
      </c>
      <c r="I39" s="6" t="n">
        <v>-3622</v>
      </c>
      <c r="J39" s="6" t="n">
        <v>58.1</v>
      </c>
      <c r="K39" s="6" t="n">
        <v>2.65</v>
      </c>
      <c r="L39" s="6" t="n">
        <v>12.6</v>
      </c>
    </row>
    <row r="40" customFormat="false" ht="15" hidden="false" customHeight="false" outlineLevel="0" collapsed="false">
      <c r="A40" s="6" t="s">
        <v>701</v>
      </c>
      <c r="B40" s="6" t="s">
        <v>703</v>
      </c>
      <c r="C40" s="6" t="n">
        <v>0.5</v>
      </c>
      <c r="D40" s="6" t="s">
        <v>702</v>
      </c>
      <c r="E40" s="6" t="n">
        <v>51</v>
      </c>
      <c r="F40" s="6" t="n">
        <v>232991</v>
      </c>
      <c r="G40" s="6" t="n">
        <v>274897</v>
      </c>
      <c r="H40" s="6" t="n">
        <v>8118</v>
      </c>
      <c r="I40" s="6" t="n">
        <v>-6622</v>
      </c>
      <c r="J40" s="6" t="n">
        <v>58.1</v>
      </c>
      <c r="K40" s="6" t="n">
        <v>2.65</v>
      </c>
      <c r="L40" s="6" t="n">
        <v>12.6</v>
      </c>
    </row>
    <row r="41" customFormat="false" ht="15" hidden="false" customHeight="false" outlineLevel="0" collapsed="false">
      <c r="A41" s="6" t="s">
        <v>701</v>
      </c>
      <c r="B41" s="6" t="s">
        <v>703</v>
      </c>
      <c r="C41" s="6" t="n">
        <v>1</v>
      </c>
      <c r="D41" s="6" t="s">
        <v>702</v>
      </c>
      <c r="E41" s="6" t="n">
        <v>60</v>
      </c>
      <c r="F41" s="6" t="n">
        <v>322991</v>
      </c>
      <c r="G41" s="6" t="n">
        <v>420715</v>
      </c>
      <c r="H41" s="6" t="n">
        <v>8118</v>
      </c>
      <c r="I41" s="6" t="n">
        <v>-9622</v>
      </c>
      <c r="J41" s="6" t="n">
        <v>58.1</v>
      </c>
      <c r="K41" s="6" t="n">
        <v>2.65</v>
      </c>
      <c r="L41" s="6" t="n">
        <v>12.6</v>
      </c>
    </row>
    <row r="42" customFormat="false" ht="15" hidden="false" customHeight="false" outlineLevel="0" collapsed="false">
      <c r="A42" s="6" t="s">
        <v>701</v>
      </c>
      <c r="B42" s="6" t="s">
        <v>703</v>
      </c>
      <c r="C42" s="6" t="n">
        <v>1.5</v>
      </c>
      <c r="D42" s="6" t="s">
        <v>702</v>
      </c>
      <c r="E42" s="6" t="s">
        <v>702</v>
      </c>
      <c r="F42" s="6" t="n">
        <v>412991</v>
      </c>
      <c r="G42" s="6" t="n">
        <v>582223</v>
      </c>
      <c r="H42" s="6" t="n">
        <v>8118</v>
      </c>
      <c r="I42" s="6" t="n">
        <v>-12622</v>
      </c>
      <c r="J42" s="6" t="n">
        <v>58.1</v>
      </c>
      <c r="K42" s="6" t="n">
        <v>2.65</v>
      </c>
      <c r="L42" s="6" t="n">
        <v>12.6</v>
      </c>
    </row>
    <row r="43" customFormat="false" ht="15" hidden="false" customHeight="false" outlineLevel="0" collapsed="false">
      <c r="A43" s="6" t="s">
        <v>704</v>
      </c>
      <c r="B43" s="6" t="s">
        <v>116</v>
      </c>
      <c r="C43" s="6" t="n">
        <v>0.5</v>
      </c>
      <c r="D43" s="6" t="s">
        <v>702</v>
      </c>
      <c r="E43" s="6" t="n">
        <v>43</v>
      </c>
      <c r="F43" s="6" t="n">
        <v>212274</v>
      </c>
      <c r="G43" s="6" t="n">
        <v>221480</v>
      </c>
      <c r="H43" s="6" t="n">
        <v>16889</v>
      </c>
      <c r="I43" s="6" t="n">
        <v>-3205</v>
      </c>
      <c r="J43" s="6" t="n">
        <v>47.1</v>
      </c>
      <c r="K43" s="6" t="n">
        <v>1.6</v>
      </c>
      <c r="L43" s="6" t="n">
        <v>20.8</v>
      </c>
    </row>
    <row r="44" customFormat="false" ht="15" hidden="false" customHeight="false" outlineLevel="0" collapsed="false">
      <c r="A44" s="6" t="s">
        <v>704</v>
      </c>
      <c r="B44" s="6" t="s">
        <v>116</v>
      </c>
      <c r="C44" s="6" t="n">
        <v>0.75</v>
      </c>
      <c r="D44" s="6" t="s">
        <v>702</v>
      </c>
      <c r="E44" s="6" t="n">
        <v>41</v>
      </c>
      <c r="F44" s="6" t="n">
        <v>204557</v>
      </c>
      <c r="G44" s="6" t="n">
        <v>209209</v>
      </c>
      <c r="H44" s="6" t="n">
        <v>18358</v>
      </c>
      <c r="I44" s="6" t="n">
        <v>-2390</v>
      </c>
      <c r="J44" s="6" t="n">
        <v>67.7</v>
      </c>
      <c r="K44" s="6" t="n">
        <v>2.18</v>
      </c>
      <c r="L44" s="6" t="n">
        <v>15.3</v>
      </c>
    </row>
    <row r="45" customFormat="false" ht="15" hidden="false" customHeight="false" outlineLevel="0" collapsed="false">
      <c r="A45" s="6" t="s">
        <v>704</v>
      </c>
      <c r="B45" s="6" t="s">
        <v>116</v>
      </c>
      <c r="C45" s="6" t="n">
        <v>1</v>
      </c>
      <c r="D45" s="6" t="s">
        <v>702</v>
      </c>
      <c r="E45" s="6" t="n">
        <v>39</v>
      </c>
      <c r="F45" s="6" t="n">
        <v>197411</v>
      </c>
      <c r="G45" s="6" t="n">
        <v>199398</v>
      </c>
      <c r="H45" s="6" t="n">
        <v>19694</v>
      </c>
      <c r="I45" s="6" t="n">
        <v>-1649</v>
      </c>
      <c r="J45" s="6" t="n">
        <v>86.7</v>
      </c>
      <c r="K45" s="6" t="n">
        <v>2.65</v>
      </c>
      <c r="L45" s="6" t="n">
        <v>12.6</v>
      </c>
    </row>
    <row r="46" customFormat="false" ht="15" hidden="false" customHeight="false" outlineLevel="0" collapsed="false">
      <c r="A46" s="6" t="s">
        <v>704</v>
      </c>
      <c r="B46" s="6" t="s">
        <v>116</v>
      </c>
      <c r="C46" s="6" t="n">
        <v>1.25</v>
      </c>
      <c r="D46" s="6" t="s">
        <v>702</v>
      </c>
      <c r="E46" s="6" t="n">
        <v>38</v>
      </c>
      <c r="F46" s="6" t="n">
        <v>190774</v>
      </c>
      <c r="G46" s="6" t="n">
        <v>191391</v>
      </c>
      <c r="H46" s="6" t="n">
        <v>20913</v>
      </c>
      <c r="I46" s="6" t="n">
        <v>-971</v>
      </c>
      <c r="J46" s="6" t="n">
        <v>104.2</v>
      </c>
      <c r="K46" s="6" t="n">
        <v>3.03</v>
      </c>
      <c r="L46" s="6" t="n">
        <v>11</v>
      </c>
    </row>
    <row r="47" customFormat="false" ht="15" hidden="false" customHeight="false" outlineLevel="0" collapsed="false">
      <c r="A47" s="6" t="s">
        <v>704</v>
      </c>
      <c r="B47" s="6" t="s">
        <v>116</v>
      </c>
      <c r="C47" s="6" t="n">
        <v>1.5</v>
      </c>
      <c r="D47" s="6" t="s">
        <v>702</v>
      </c>
      <c r="E47" s="6" t="n">
        <v>37</v>
      </c>
      <c r="F47" s="6" t="n">
        <v>184592</v>
      </c>
      <c r="G47" s="6" t="n">
        <v>184592</v>
      </c>
      <c r="H47" s="6" t="n">
        <v>22032</v>
      </c>
      <c r="I47" s="6" t="n">
        <v>-350</v>
      </c>
      <c r="J47" s="6" t="n">
        <v>120.5</v>
      </c>
      <c r="K47" s="6" t="n">
        <v>3.35</v>
      </c>
      <c r="L47" s="6" t="n">
        <v>9.9</v>
      </c>
    </row>
    <row r="48" customFormat="false" ht="15" hidden="false" customHeight="false" outlineLevel="0" collapsed="false">
      <c r="A48" s="6" t="s">
        <v>704</v>
      </c>
      <c r="B48" s="6" t="s">
        <v>120</v>
      </c>
      <c r="C48" s="6" t="n">
        <v>0.02</v>
      </c>
      <c r="D48" s="6" t="s">
        <v>702</v>
      </c>
      <c r="E48" s="6" t="n">
        <v>39</v>
      </c>
      <c r="F48" s="6" t="n">
        <v>195438</v>
      </c>
      <c r="G48" s="6" t="n">
        <v>196820</v>
      </c>
      <c r="H48" s="6" t="n">
        <v>20102</v>
      </c>
      <c r="I48" s="6" t="n">
        <v>-1388</v>
      </c>
      <c r="J48" s="6" t="n">
        <v>92.4</v>
      </c>
      <c r="K48" s="6" t="n">
        <v>3.97</v>
      </c>
      <c r="L48" s="6" t="n">
        <v>12.6</v>
      </c>
    </row>
    <row r="49" customFormat="false" ht="15" hidden="false" customHeight="false" outlineLevel="0" collapsed="false">
      <c r="A49" s="6" t="s">
        <v>704</v>
      </c>
      <c r="B49" s="6" t="s">
        <v>120</v>
      </c>
      <c r="C49" s="6" t="n">
        <v>0.03</v>
      </c>
      <c r="D49" s="6" t="s">
        <v>702</v>
      </c>
      <c r="E49" s="6" t="n">
        <v>39</v>
      </c>
      <c r="F49" s="6" t="n">
        <v>197411</v>
      </c>
      <c r="G49" s="6" t="n">
        <v>199398</v>
      </c>
      <c r="H49" s="6" t="n">
        <v>19694</v>
      </c>
      <c r="I49" s="6" t="n">
        <v>-1649</v>
      </c>
      <c r="J49" s="6" t="n">
        <v>86.7</v>
      </c>
      <c r="K49" s="6" t="n">
        <v>2.65</v>
      </c>
      <c r="L49" s="6" t="n">
        <v>12.6</v>
      </c>
    </row>
    <row r="50" customFormat="false" ht="15" hidden="false" customHeight="false" outlineLevel="0" collapsed="false">
      <c r="A50" s="6" t="s">
        <v>704</v>
      </c>
      <c r="B50" s="6" t="s">
        <v>120</v>
      </c>
      <c r="C50" s="6" t="n">
        <v>0.045</v>
      </c>
      <c r="D50" s="6" t="s">
        <v>702</v>
      </c>
      <c r="E50" s="6" t="n">
        <v>40</v>
      </c>
      <c r="F50" s="6" t="n">
        <v>200086</v>
      </c>
      <c r="G50" s="6" t="n">
        <v>203260</v>
      </c>
      <c r="H50" s="6" t="n">
        <v>19153</v>
      </c>
      <c r="I50" s="6" t="n">
        <v>-1994</v>
      </c>
      <c r="J50" s="6" t="n">
        <v>79.1</v>
      </c>
      <c r="K50" s="6" t="n">
        <v>1.76</v>
      </c>
      <c r="L50" s="6" t="n">
        <v>12.6</v>
      </c>
    </row>
    <row r="51" customFormat="false" ht="15" hidden="false" customHeight="false" outlineLevel="0" collapsed="false">
      <c r="A51" s="6" t="s">
        <v>704</v>
      </c>
      <c r="B51" s="6" t="s">
        <v>120</v>
      </c>
      <c r="C51" s="6" t="n">
        <v>0.06</v>
      </c>
      <c r="D51" s="6" t="s">
        <v>702</v>
      </c>
      <c r="E51" s="6" t="n">
        <v>41</v>
      </c>
      <c r="F51" s="6" t="n">
        <v>202461</v>
      </c>
      <c r="G51" s="6" t="n">
        <v>206840</v>
      </c>
      <c r="H51" s="6" t="n">
        <v>18686</v>
      </c>
      <c r="I51" s="6" t="n">
        <v>-2292</v>
      </c>
      <c r="J51" s="6" t="n">
        <v>72.6</v>
      </c>
      <c r="K51" s="6" t="n">
        <v>1.32</v>
      </c>
      <c r="L51" s="6" t="n">
        <v>12.6</v>
      </c>
    </row>
    <row r="52" customFormat="false" ht="15" hidden="false" customHeight="false" outlineLevel="0" collapsed="false">
      <c r="A52" s="6" t="s">
        <v>704</v>
      </c>
      <c r="B52" s="6" t="s">
        <v>120</v>
      </c>
      <c r="C52" s="6" t="n">
        <v>0.08</v>
      </c>
      <c r="D52" s="6" t="s">
        <v>702</v>
      </c>
      <c r="E52" s="6" t="n">
        <v>41</v>
      </c>
      <c r="F52" s="6" t="n">
        <v>205235</v>
      </c>
      <c r="G52" s="6" t="n">
        <v>211276</v>
      </c>
      <c r="H52" s="6" t="n">
        <v>18157</v>
      </c>
      <c r="I52" s="6" t="n">
        <v>-2630</v>
      </c>
      <c r="J52" s="6" t="n">
        <v>65.2</v>
      </c>
      <c r="K52" s="6" t="n">
        <v>0.99</v>
      </c>
      <c r="L52" s="6" t="n">
        <v>12.6</v>
      </c>
    </row>
    <row r="53" customFormat="false" ht="15" hidden="false" customHeight="false" outlineLevel="0" collapsed="false">
      <c r="A53" s="6" t="s">
        <v>704</v>
      </c>
      <c r="B53" s="6" t="s">
        <v>298</v>
      </c>
      <c r="C53" s="6" t="n">
        <v>0.5</v>
      </c>
      <c r="D53" s="6" t="n">
        <v>33</v>
      </c>
      <c r="E53" s="6" t="n">
        <v>33</v>
      </c>
      <c r="F53" s="6" t="n">
        <v>138346</v>
      </c>
      <c r="G53" s="6" t="n">
        <v>138346</v>
      </c>
      <c r="H53" s="6" t="n">
        <v>19694</v>
      </c>
      <c r="I53" s="6" t="n">
        <v>1862</v>
      </c>
      <c r="J53" s="6" t="n">
        <v>86.7</v>
      </c>
      <c r="K53" s="6" t="n">
        <v>5.29</v>
      </c>
      <c r="L53" s="6" t="n">
        <v>6.3</v>
      </c>
    </row>
    <row r="54" customFormat="false" ht="15" hidden="false" customHeight="false" outlineLevel="0" collapsed="false">
      <c r="A54" s="6" t="s">
        <v>704</v>
      </c>
      <c r="B54" s="6" t="s">
        <v>298</v>
      </c>
      <c r="C54" s="6" t="n">
        <v>0.75</v>
      </c>
      <c r="D54" s="6" t="n">
        <v>36</v>
      </c>
      <c r="E54" s="6" t="n">
        <v>36</v>
      </c>
      <c r="F54" s="6" t="n">
        <v>166002</v>
      </c>
      <c r="G54" s="6" t="n">
        <v>166002</v>
      </c>
      <c r="H54" s="6" t="n">
        <v>19694</v>
      </c>
      <c r="I54" s="6" t="n">
        <v>107</v>
      </c>
      <c r="J54" s="6" t="n">
        <v>86.7</v>
      </c>
      <c r="K54" s="6" t="n">
        <v>3.53</v>
      </c>
      <c r="L54" s="6" t="n">
        <v>9.4</v>
      </c>
    </row>
    <row r="55" customFormat="false" ht="15" hidden="false" customHeight="false" outlineLevel="0" collapsed="false">
      <c r="A55" s="6" t="s">
        <v>704</v>
      </c>
      <c r="B55" s="6" t="s">
        <v>298</v>
      </c>
      <c r="C55" s="6" t="n">
        <v>1</v>
      </c>
      <c r="D55" s="6" t="s">
        <v>702</v>
      </c>
      <c r="E55" s="6" t="n">
        <v>39</v>
      </c>
      <c r="F55" s="6" t="n">
        <v>197411</v>
      </c>
      <c r="G55" s="6" t="n">
        <v>199398</v>
      </c>
      <c r="H55" s="6" t="n">
        <v>19694</v>
      </c>
      <c r="I55" s="6" t="n">
        <v>-1649</v>
      </c>
      <c r="J55" s="6" t="n">
        <v>86.7</v>
      </c>
      <c r="K55" s="6" t="n">
        <v>2.65</v>
      </c>
      <c r="L55" s="6" t="n">
        <v>12.6</v>
      </c>
    </row>
    <row r="56" customFormat="false" ht="15" hidden="false" customHeight="false" outlineLevel="0" collapsed="false">
      <c r="A56" s="6" t="s">
        <v>704</v>
      </c>
      <c r="B56" s="6" t="s">
        <v>298</v>
      </c>
      <c r="C56" s="6" t="n">
        <v>1.5</v>
      </c>
      <c r="D56" s="6" t="s">
        <v>702</v>
      </c>
      <c r="E56" s="6" t="n">
        <v>44</v>
      </c>
      <c r="F56" s="6" t="n">
        <v>260443</v>
      </c>
      <c r="G56" s="6" t="n">
        <v>280475</v>
      </c>
      <c r="H56" s="6" t="n">
        <v>19694</v>
      </c>
      <c r="I56" s="6" t="n">
        <v>-5160</v>
      </c>
      <c r="J56" s="6" t="n">
        <v>86.7</v>
      </c>
      <c r="K56" s="6" t="n">
        <v>1.76</v>
      </c>
      <c r="L56" s="6" t="n">
        <v>18.9</v>
      </c>
    </row>
    <row r="57" customFormat="false" ht="15" hidden="false" customHeight="false" outlineLevel="0" collapsed="false">
      <c r="A57" s="6" t="s">
        <v>704</v>
      </c>
      <c r="B57" s="6" t="s">
        <v>298</v>
      </c>
      <c r="C57" s="6" t="n">
        <v>2</v>
      </c>
      <c r="D57" s="6" t="s">
        <v>702</v>
      </c>
      <c r="E57" s="6" t="n">
        <v>55</v>
      </c>
      <c r="F57" s="6" t="n">
        <v>323475</v>
      </c>
      <c r="G57" s="6" t="n">
        <v>380884</v>
      </c>
      <c r="H57" s="6" t="n">
        <v>19694</v>
      </c>
      <c r="I57" s="6" t="n">
        <v>-8671</v>
      </c>
      <c r="J57" s="6" t="n">
        <v>86.7</v>
      </c>
      <c r="K57" s="6" t="n">
        <v>1.32</v>
      </c>
      <c r="L57" s="6" t="n">
        <v>25.2</v>
      </c>
    </row>
    <row r="58" customFormat="false" ht="15" hidden="false" customHeight="false" outlineLevel="0" collapsed="false">
      <c r="A58" s="6" t="s">
        <v>704</v>
      </c>
      <c r="B58" s="6" t="s">
        <v>222</v>
      </c>
      <c r="C58" s="6" t="n">
        <v>0.05</v>
      </c>
      <c r="D58" s="6" t="s">
        <v>702</v>
      </c>
      <c r="E58" s="6" t="n">
        <v>40</v>
      </c>
      <c r="F58" s="6" t="n">
        <v>198532</v>
      </c>
      <c r="G58" s="6" t="n">
        <v>201062</v>
      </c>
      <c r="H58" s="6" t="n">
        <v>19492</v>
      </c>
      <c r="I58" s="6" t="n">
        <v>-1830</v>
      </c>
      <c r="J58" s="6" t="n">
        <v>86.7</v>
      </c>
      <c r="K58" s="6" t="n">
        <v>2.65</v>
      </c>
      <c r="L58" s="6" t="n">
        <v>12.6</v>
      </c>
    </row>
    <row r="59" customFormat="false" ht="15" hidden="false" customHeight="false" outlineLevel="0" collapsed="false">
      <c r="A59" s="6" t="s">
        <v>704</v>
      </c>
      <c r="B59" s="6" t="s">
        <v>222</v>
      </c>
      <c r="C59" s="6" t="n">
        <v>0.1</v>
      </c>
      <c r="D59" s="6" t="s">
        <v>702</v>
      </c>
      <c r="E59" s="6" t="n">
        <v>40</v>
      </c>
      <c r="F59" s="6" t="n">
        <v>198158</v>
      </c>
      <c r="G59" s="6" t="n">
        <v>200487</v>
      </c>
      <c r="H59" s="6" t="n">
        <v>19559</v>
      </c>
      <c r="I59" s="6" t="n">
        <v>-1769</v>
      </c>
      <c r="J59" s="6" t="n">
        <v>86.7</v>
      </c>
      <c r="K59" s="6" t="n">
        <v>2.65</v>
      </c>
      <c r="L59" s="6" t="n">
        <v>12.6</v>
      </c>
    </row>
    <row r="60" customFormat="false" ht="15" hidden="false" customHeight="false" outlineLevel="0" collapsed="false">
      <c r="A60" s="6" t="s">
        <v>704</v>
      </c>
      <c r="B60" s="6" t="s">
        <v>222</v>
      </c>
      <c r="C60" s="6" t="n">
        <v>0.2</v>
      </c>
      <c r="D60" s="6" t="s">
        <v>702</v>
      </c>
      <c r="E60" s="6" t="n">
        <v>39</v>
      </c>
      <c r="F60" s="6" t="n">
        <v>197411</v>
      </c>
      <c r="G60" s="6" t="n">
        <v>199398</v>
      </c>
      <c r="H60" s="6" t="n">
        <v>19694</v>
      </c>
      <c r="I60" s="6" t="n">
        <v>-1649</v>
      </c>
      <c r="J60" s="6" t="n">
        <v>86.7</v>
      </c>
      <c r="K60" s="6" t="n">
        <v>2.65</v>
      </c>
      <c r="L60" s="6" t="n">
        <v>12.6</v>
      </c>
    </row>
    <row r="61" customFormat="false" ht="15" hidden="false" customHeight="false" outlineLevel="0" collapsed="false">
      <c r="A61" s="6" t="s">
        <v>704</v>
      </c>
      <c r="B61" s="6" t="s">
        <v>222</v>
      </c>
      <c r="C61" s="6" t="n">
        <v>0.3</v>
      </c>
      <c r="D61" s="6" t="s">
        <v>702</v>
      </c>
      <c r="E61" s="6" t="n">
        <v>39</v>
      </c>
      <c r="F61" s="6" t="n">
        <v>196664</v>
      </c>
      <c r="G61" s="6" t="n">
        <v>198389</v>
      </c>
      <c r="H61" s="6" t="n">
        <v>19828</v>
      </c>
      <c r="I61" s="6" t="n">
        <v>-1528</v>
      </c>
      <c r="J61" s="6" t="n">
        <v>86.7</v>
      </c>
      <c r="K61" s="6" t="n">
        <v>2.65</v>
      </c>
      <c r="L61" s="6" t="n">
        <v>12.6</v>
      </c>
    </row>
    <row r="62" customFormat="false" ht="15" hidden="false" customHeight="false" outlineLevel="0" collapsed="false">
      <c r="A62" s="6" t="s">
        <v>704</v>
      </c>
      <c r="B62" s="6" t="s">
        <v>222</v>
      </c>
      <c r="C62" s="6" t="n">
        <v>0.4</v>
      </c>
      <c r="D62" s="6" t="s">
        <v>702</v>
      </c>
      <c r="E62" s="6" t="n">
        <v>39</v>
      </c>
      <c r="F62" s="6" t="n">
        <v>195917</v>
      </c>
      <c r="G62" s="6" t="n">
        <v>197381</v>
      </c>
      <c r="H62" s="6" t="n">
        <v>19962</v>
      </c>
      <c r="I62" s="6" t="n">
        <v>-1407</v>
      </c>
      <c r="J62" s="6" t="n">
        <v>86.7</v>
      </c>
      <c r="K62" s="6" t="n">
        <v>2.65</v>
      </c>
      <c r="L62" s="6" t="n">
        <v>12.6</v>
      </c>
    </row>
    <row r="63" customFormat="false" ht="15" hidden="false" customHeight="false" outlineLevel="0" collapsed="false">
      <c r="A63" s="6" t="s">
        <v>704</v>
      </c>
      <c r="B63" s="6" t="s">
        <v>256</v>
      </c>
      <c r="C63" s="6" t="n">
        <v>0</v>
      </c>
      <c r="D63" s="6" t="s">
        <v>702</v>
      </c>
      <c r="E63" s="6" t="s">
        <v>702</v>
      </c>
      <c r="F63" s="6" t="n">
        <v>277211</v>
      </c>
      <c r="G63" s="6" t="n">
        <v>466164</v>
      </c>
      <c r="H63" s="6" t="n">
        <v>8819</v>
      </c>
      <c r="I63" s="6" t="n">
        <v>-9261</v>
      </c>
      <c r="J63" s="6" t="n">
        <v>86.7</v>
      </c>
      <c r="K63" s="6" t="n">
        <v>2.65</v>
      </c>
      <c r="L63" s="6" t="n">
        <v>12.6</v>
      </c>
    </row>
    <row r="64" customFormat="false" ht="15" hidden="false" customHeight="false" outlineLevel="0" collapsed="false">
      <c r="A64" s="6" t="s">
        <v>704</v>
      </c>
      <c r="B64" s="6" t="s">
        <v>256</v>
      </c>
      <c r="C64" s="6" t="n">
        <v>0.5</v>
      </c>
      <c r="D64" s="6" t="s">
        <v>702</v>
      </c>
      <c r="E64" s="6" t="s">
        <v>702</v>
      </c>
      <c r="F64" s="6" t="n">
        <v>257261</v>
      </c>
      <c r="G64" s="6" t="n">
        <v>362739</v>
      </c>
      <c r="H64" s="6" t="n">
        <v>11537</v>
      </c>
      <c r="I64" s="6" t="n">
        <v>-7358</v>
      </c>
      <c r="J64" s="6" t="n">
        <v>86.7</v>
      </c>
      <c r="K64" s="6" t="n">
        <v>2.65</v>
      </c>
      <c r="L64" s="6" t="n">
        <v>12.6</v>
      </c>
    </row>
    <row r="65" customFormat="false" ht="15" hidden="false" customHeight="false" outlineLevel="0" collapsed="false">
      <c r="A65" s="6" t="s">
        <v>704</v>
      </c>
      <c r="B65" s="6" t="s">
        <v>256</v>
      </c>
      <c r="C65" s="6" t="n">
        <v>1</v>
      </c>
      <c r="D65" s="6" t="s">
        <v>702</v>
      </c>
      <c r="E65" s="6" t="n">
        <v>57</v>
      </c>
      <c r="F65" s="6" t="n">
        <v>237311</v>
      </c>
      <c r="G65" s="6" t="n">
        <v>270082</v>
      </c>
      <c r="H65" s="6" t="n">
        <v>14256</v>
      </c>
      <c r="I65" s="6" t="n">
        <v>-5455</v>
      </c>
      <c r="J65" s="6" t="n">
        <v>86.7</v>
      </c>
      <c r="K65" s="6" t="n">
        <v>2.65</v>
      </c>
      <c r="L65" s="6" t="n">
        <v>12.6</v>
      </c>
    </row>
    <row r="66" customFormat="false" ht="15" hidden="false" customHeight="false" outlineLevel="0" collapsed="false">
      <c r="A66" s="6" t="s">
        <v>704</v>
      </c>
      <c r="B66" s="6" t="s">
        <v>256</v>
      </c>
      <c r="C66" s="6" t="n">
        <v>2</v>
      </c>
      <c r="D66" s="6" t="s">
        <v>702</v>
      </c>
      <c r="E66" s="6" t="n">
        <v>39</v>
      </c>
      <c r="F66" s="6" t="n">
        <v>197411</v>
      </c>
      <c r="G66" s="6" t="n">
        <v>199398</v>
      </c>
      <c r="H66" s="6" t="n">
        <v>19694</v>
      </c>
      <c r="I66" s="6" t="n">
        <v>-1649</v>
      </c>
      <c r="J66" s="6" t="n">
        <v>86.7</v>
      </c>
      <c r="K66" s="6" t="n">
        <v>2.65</v>
      </c>
      <c r="L66" s="6" t="n">
        <v>12.6</v>
      </c>
    </row>
    <row r="67" customFormat="false" ht="15" hidden="false" customHeight="false" outlineLevel="0" collapsed="false">
      <c r="A67" s="6" t="s">
        <v>704</v>
      </c>
      <c r="B67" s="6" t="s">
        <v>256</v>
      </c>
      <c r="C67" s="6" t="n">
        <v>3</v>
      </c>
      <c r="D67" s="6" t="n">
        <v>33</v>
      </c>
      <c r="E67" s="6" t="n">
        <v>33</v>
      </c>
      <c r="F67" s="6" t="n">
        <v>161746</v>
      </c>
      <c r="G67" s="6" t="n">
        <v>161746</v>
      </c>
      <c r="H67" s="6" t="n">
        <v>25131</v>
      </c>
      <c r="I67" s="6" t="n">
        <v>2158</v>
      </c>
      <c r="J67" s="6" t="n">
        <v>86.7</v>
      </c>
      <c r="K67" s="6" t="n">
        <v>2.65</v>
      </c>
      <c r="L67" s="6" t="n">
        <v>12.6</v>
      </c>
    </row>
    <row r="68" customFormat="false" ht="15" hidden="false" customHeight="false" outlineLevel="0" collapsed="false">
      <c r="A68" s="6" t="s">
        <v>704</v>
      </c>
      <c r="B68" s="6" t="s">
        <v>22</v>
      </c>
      <c r="C68" s="6" t="n">
        <v>20</v>
      </c>
      <c r="D68" s="6" t="s">
        <v>702</v>
      </c>
      <c r="E68" s="6" t="n">
        <v>38</v>
      </c>
      <c r="F68" s="6" t="n">
        <v>175532</v>
      </c>
      <c r="G68" s="6" t="n">
        <v>176223</v>
      </c>
      <c r="H68" s="6" t="n">
        <v>15481</v>
      </c>
      <c r="I68" s="6" t="n">
        <v>-1202</v>
      </c>
      <c r="J68" s="6" t="n">
        <v>52.5</v>
      </c>
      <c r="K68" s="6" t="n">
        <v>2.36</v>
      </c>
      <c r="L68" s="6" t="n">
        <v>14.1</v>
      </c>
    </row>
    <row r="69" customFormat="false" ht="15" hidden="false" customHeight="false" outlineLevel="0" collapsed="false">
      <c r="A69" s="6" t="s">
        <v>704</v>
      </c>
      <c r="B69" s="6" t="s">
        <v>22</v>
      </c>
      <c r="C69" s="6" t="n">
        <v>26</v>
      </c>
      <c r="D69" s="6" t="s">
        <v>702</v>
      </c>
      <c r="E69" s="6" t="n">
        <v>39</v>
      </c>
      <c r="F69" s="6" t="n">
        <v>184943</v>
      </c>
      <c r="G69" s="6" t="n">
        <v>185774</v>
      </c>
      <c r="H69" s="6" t="n">
        <v>18013</v>
      </c>
      <c r="I69" s="6" t="n">
        <v>-1048</v>
      </c>
      <c r="J69" s="6" t="n">
        <v>70</v>
      </c>
      <c r="K69" s="6" t="n">
        <v>2.53</v>
      </c>
      <c r="L69" s="6" t="n">
        <v>13.2</v>
      </c>
    </row>
    <row r="70" customFormat="false" ht="15" hidden="false" customHeight="false" outlineLevel="0" collapsed="false">
      <c r="A70" s="6" t="s">
        <v>704</v>
      </c>
      <c r="B70" s="6" t="s">
        <v>22</v>
      </c>
      <c r="C70" s="6" t="n">
        <v>32</v>
      </c>
      <c r="D70" s="6" t="s">
        <v>702</v>
      </c>
      <c r="E70" s="6" t="n">
        <v>39</v>
      </c>
      <c r="F70" s="6" t="n">
        <v>197411</v>
      </c>
      <c r="G70" s="6" t="n">
        <v>199398</v>
      </c>
      <c r="H70" s="6" t="n">
        <v>19694</v>
      </c>
      <c r="I70" s="6" t="n">
        <v>-1649</v>
      </c>
      <c r="J70" s="6" t="n">
        <v>86.7</v>
      </c>
      <c r="K70" s="6" t="n">
        <v>2.65</v>
      </c>
      <c r="L70" s="6" t="n">
        <v>12.6</v>
      </c>
    </row>
    <row r="71" customFormat="false" ht="15" hidden="false" customHeight="false" outlineLevel="0" collapsed="false">
      <c r="A71" s="6" t="s">
        <v>704</v>
      </c>
      <c r="B71" s="6" t="s">
        <v>22</v>
      </c>
      <c r="C71" s="6" t="n">
        <v>38</v>
      </c>
      <c r="D71" s="6" t="s">
        <v>702</v>
      </c>
      <c r="E71" s="6" t="n">
        <v>40</v>
      </c>
      <c r="F71" s="6" t="n">
        <v>208865</v>
      </c>
      <c r="G71" s="6" t="n">
        <v>212468</v>
      </c>
      <c r="H71" s="6" t="n">
        <v>21379</v>
      </c>
      <c r="I71" s="6" t="n">
        <v>-2246</v>
      </c>
      <c r="J71" s="6" t="n">
        <v>103.5</v>
      </c>
      <c r="K71" s="6" t="n">
        <v>2.73</v>
      </c>
      <c r="L71" s="6" t="n">
        <v>12.2</v>
      </c>
    </row>
    <row r="72" customFormat="false" ht="15" hidden="false" customHeight="false" outlineLevel="0" collapsed="false">
      <c r="A72" s="6" t="s">
        <v>704</v>
      </c>
      <c r="B72" s="6" t="s">
        <v>22</v>
      </c>
      <c r="C72" s="6" t="n">
        <v>44</v>
      </c>
      <c r="D72" s="6" t="s">
        <v>702</v>
      </c>
      <c r="E72" s="6" t="n">
        <v>46</v>
      </c>
      <c r="F72" s="6" t="n">
        <v>223250</v>
      </c>
      <c r="G72" s="6" t="n">
        <v>230132</v>
      </c>
      <c r="H72" s="6" t="n">
        <v>23063</v>
      </c>
      <c r="I72" s="6" t="n">
        <v>-2845</v>
      </c>
      <c r="J72" s="6" t="n">
        <v>120.3</v>
      </c>
      <c r="K72" s="6" t="n">
        <v>2.8</v>
      </c>
      <c r="L72" s="6" t="n">
        <v>11.9</v>
      </c>
    </row>
    <row r="73" customFormat="false" ht="15" hidden="false" customHeight="false" outlineLevel="0" collapsed="false">
      <c r="A73" s="6" t="s">
        <v>704</v>
      </c>
      <c r="B73" s="6" t="s">
        <v>30</v>
      </c>
      <c r="C73" s="6" t="n">
        <v>0.005</v>
      </c>
      <c r="D73" s="6" t="s">
        <v>702</v>
      </c>
      <c r="E73" s="6" t="n">
        <v>39</v>
      </c>
      <c r="F73" s="6" t="n">
        <v>195224</v>
      </c>
      <c r="G73" s="6" t="n">
        <v>196926</v>
      </c>
      <c r="H73" s="6" t="n">
        <v>20580</v>
      </c>
      <c r="I73" s="6" t="n">
        <v>-1534</v>
      </c>
      <c r="J73" s="6" t="n">
        <v>95.1</v>
      </c>
      <c r="K73" s="6" t="n">
        <v>2.65</v>
      </c>
      <c r="L73" s="6" t="n">
        <v>12.6</v>
      </c>
    </row>
    <row r="74" customFormat="false" ht="15" hidden="false" customHeight="false" outlineLevel="0" collapsed="false">
      <c r="A74" s="6" t="s">
        <v>704</v>
      </c>
      <c r="B74" s="6" t="s">
        <v>30</v>
      </c>
      <c r="C74" s="6" t="n">
        <v>0.01</v>
      </c>
      <c r="D74" s="6" t="s">
        <v>702</v>
      </c>
      <c r="E74" s="6" t="n">
        <v>39</v>
      </c>
      <c r="F74" s="6" t="n">
        <v>194917</v>
      </c>
      <c r="G74" s="6" t="n">
        <v>196749</v>
      </c>
      <c r="H74" s="6" t="n">
        <v>20133</v>
      </c>
      <c r="I74" s="6" t="n">
        <v>-1585</v>
      </c>
      <c r="J74" s="6" t="n">
        <v>91</v>
      </c>
      <c r="K74" s="6" t="n">
        <v>2.65</v>
      </c>
      <c r="L74" s="6" t="n">
        <v>12.6</v>
      </c>
    </row>
    <row r="75" customFormat="false" ht="15" hidden="false" customHeight="false" outlineLevel="0" collapsed="false">
      <c r="A75" s="6" t="s">
        <v>704</v>
      </c>
      <c r="B75" s="6" t="s">
        <v>30</v>
      </c>
      <c r="C75" s="6" t="n">
        <v>0.015</v>
      </c>
      <c r="D75" s="6" t="s">
        <v>702</v>
      </c>
      <c r="E75" s="6" t="n">
        <v>39</v>
      </c>
      <c r="F75" s="6" t="n">
        <v>197411</v>
      </c>
      <c r="G75" s="6" t="n">
        <v>199398</v>
      </c>
      <c r="H75" s="6" t="n">
        <v>19694</v>
      </c>
      <c r="I75" s="6" t="n">
        <v>-1649</v>
      </c>
      <c r="J75" s="6" t="n">
        <v>86.7</v>
      </c>
      <c r="K75" s="6" t="n">
        <v>2.65</v>
      </c>
      <c r="L75" s="6" t="n">
        <v>12.6</v>
      </c>
    </row>
    <row r="76" customFormat="false" ht="15" hidden="false" customHeight="false" outlineLevel="0" collapsed="false">
      <c r="A76" s="6" t="s">
        <v>704</v>
      </c>
      <c r="B76" s="6" t="s">
        <v>30</v>
      </c>
      <c r="C76" s="6" t="n">
        <v>0.025</v>
      </c>
      <c r="D76" s="6" t="s">
        <v>702</v>
      </c>
      <c r="E76" s="6" t="n">
        <v>40</v>
      </c>
      <c r="F76" s="6" t="n">
        <v>198273</v>
      </c>
      <c r="G76" s="6" t="n">
        <v>200591</v>
      </c>
      <c r="H76" s="6" t="n">
        <v>18942</v>
      </c>
      <c r="I76" s="6" t="n">
        <v>-1744</v>
      </c>
      <c r="J76" s="6" t="n">
        <v>79.7</v>
      </c>
      <c r="K76" s="6" t="n">
        <v>2.65</v>
      </c>
      <c r="L76" s="6" t="n">
        <v>12.6</v>
      </c>
    </row>
    <row r="77" customFormat="false" ht="15" hidden="false" customHeight="false" outlineLevel="0" collapsed="false">
      <c r="A77" s="6" t="s">
        <v>704</v>
      </c>
      <c r="B77" s="6" t="s">
        <v>30</v>
      </c>
      <c r="C77" s="6" t="n">
        <v>0.04</v>
      </c>
      <c r="D77" s="6" t="s">
        <v>702</v>
      </c>
      <c r="E77" s="6" t="n">
        <v>40</v>
      </c>
      <c r="F77" s="6" t="n">
        <v>198739</v>
      </c>
      <c r="G77" s="6" t="n">
        <v>201593</v>
      </c>
      <c r="H77" s="6" t="n">
        <v>17989</v>
      </c>
      <c r="I77" s="6" t="n">
        <v>-1879</v>
      </c>
      <c r="J77" s="6" t="n">
        <v>70.8</v>
      </c>
      <c r="K77" s="6" t="n">
        <v>2.65</v>
      </c>
      <c r="L77" s="6" t="n">
        <v>12.6</v>
      </c>
    </row>
    <row r="78" customFormat="false" ht="15" hidden="false" customHeight="false" outlineLevel="0" collapsed="false">
      <c r="A78" s="6" t="s">
        <v>704</v>
      </c>
      <c r="B78" s="6" t="s">
        <v>703</v>
      </c>
      <c r="C78" s="6" t="n">
        <v>0</v>
      </c>
      <c r="D78" s="6" t="n">
        <v>33</v>
      </c>
      <c r="E78" s="6" t="n">
        <v>33</v>
      </c>
      <c r="F78" s="6" t="n">
        <v>109864</v>
      </c>
      <c r="G78" s="6" t="n">
        <v>109864</v>
      </c>
      <c r="H78" s="6" t="n">
        <v>19694</v>
      </c>
      <c r="I78" s="6" t="n">
        <v>1351</v>
      </c>
      <c r="J78" s="6" t="n">
        <v>86.7</v>
      </c>
      <c r="K78" s="6" t="n">
        <v>2.65</v>
      </c>
      <c r="L78" s="6" t="n">
        <v>12.6</v>
      </c>
    </row>
    <row r="79" customFormat="false" ht="15" hidden="false" customHeight="false" outlineLevel="0" collapsed="false">
      <c r="A79" s="6" t="s">
        <v>704</v>
      </c>
      <c r="B79" s="6" t="s">
        <v>703</v>
      </c>
      <c r="C79" s="6" t="n">
        <v>0.5</v>
      </c>
      <c r="D79" s="6" t="s">
        <v>702</v>
      </c>
      <c r="E79" s="6" t="n">
        <v>37</v>
      </c>
      <c r="F79" s="6" t="n">
        <v>152411</v>
      </c>
      <c r="G79" s="6" t="n">
        <v>152411</v>
      </c>
      <c r="H79" s="6" t="n">
        <v>19694</v>
      </c>
      <c r="I79" s="6" t="n">
        <v>-149</v>
      </c>
      <c r="J79" s="6" t="n">
        <v>86.7</v>
      </c>
      <c r="K79" s="6" t="n">
        <v>2.65</v>
      </c>
      <c r="L79" s="6" t="n">
        <v>12.6</v>
      </c>
    </row>
    <row r="80" customFormat="false" ht="15" hidden="false" customHeight="false" outlineLevel="0" collapsed="false">
      <c r="A80" s="6" t="s">
        <v>704</v>
      </c>
      <c r="B80" s="6" t="s">
        <v>703</v>
      </c>
      <c r="C80" s="6" t="n">
        <v>1</v>
      </c>
      <c r="D80" s="6" t="s">
        <v>702</v>
      </c>
      <c r="E80" s="6" t="n">
        <v>39</v>
      </c>
      <c r="F80" s="6" t="n">
        <v>197411</v>
      </c>
      <c r="G80" s="6" t="n">
        <v>199398</v>
      </c>
      <c r="H80" s="6" t="n">
        <v>19694</v>
      </c>
      <c r="I80" s="6" t="n">
        <v>-1649</v>
      </c>
      <c r="J80" s="6" t="n">
        <v>86.7</v>
      </c>
      <c r="K80" s="6" t="n">
        <v>2.65</v>
      </c>
      <c r="L80" s="6" t="n">
        <v>12.6</v>
      </c>
    </row>
    <row r="81" customFormat="false" ht="15" hidden="false" customHeight="false" outlineLevel="0" collapsed="false">
      <c r="A81" s="6" t="s">
        <v>704</v>
      </c>
      <c r="B81" s="6" t="s">
        <v>703</v>
      </c>
      <c r="C81" s="6" t="n">
        <v>1.5</v>
      </c>
      <c r="D81" s="6" t="s">
        <v>702</v>
      </c>
      <c r="E81" s="6" t="n">
        <v>42</v>
      </c>
      <c r="F81" s="6" t="n">
        <v>242411</v>
      </c>
      <c r="G81" s="6" t="n">
        <v>249566</v>
      </c>
      <c r="H81" s="6" t="n">
        <v>19694</v>
      </c>
      <c r="I81" s="6" t="n">
        <v>-3149</v>
      </c>
      <c r="J81" s="6" t="n">
        <v>86.7</v>
      </c>
      <c r="K81" s="6" t="n">
        <v>2.65</v>
      </c>
      <c r="L81" s="6" t="n">
        <v>12.6</v>
      </c>
    </row>
    <row r="84" customFormat="false" ht="15" hidden="false" customHeight="false" outlineLevel="0" collapsed="false">
      <c r="A84" s="4" t="s">
        <v>705</v>
      </c>
      <c r="B84" s="4" t="n">
        <v>0.02</v>
      </c>
      <c r="C84" s="4" t="n">
        <v>0.03</v>
      </c>
      <c r="D84" s="4" t="n">
        <v>0.045</v>
      </c>
      <c r="E84" s="4" t="n">
        <v>0.06</v>
      </c>
    </row>
    <row r="85" customFormat="false" ht="15" hidden="false" customHeight="false" outlineLevel="0" collapsed="false">
      <c r="A85" s="6" t="n">
        <v>0.5</v>
      </c>
      <c r="B85" s="6" t="s">
        <v>706</v>
      </c>
      <c r="C85" s="6" t="s">
        <v>707</v>
      </c>
      <c r="D85" s="6" t="s">
        <v>708</v>
      </c>
      <c r="E85" s="6" t="s">
        <v>709</v>
      </c>
    </row>
    <row r="86" customFormat="false" ht="15" hidden="false" customHeight="false" outlineLevel="0" collapsed="false">
      <c r="A86" s="6" t="n">
        <v>0.75</v>
      </c>
      <c r="B86" s="6" t="s">
        <v>710</v>
      </c>
      <c r="C86" s="6" t="s">
        <v>711</v>
      </c>
      <c r="D86" s="6" t="s">
        <v>712</v>
      </c>
      <c r="E86" s="6" t="s">
        <v>713</v>
      </c>
    </row>
    <row r="87" customFormat="false" ht="15" hidden="false" customHeight="false" outlineLevel="0" collapsed="false">
      <c r="A87" s="6" t="n">
        <v>1</v>
      </c>
      <c r="B87" s="6" t="s">
        <v>714</v>
      </c>
      <c r="C87" s="6" t="s">
        <v>715</v>
      </c>
      <c r="D87" s="6" t="s">
        <v>716</v>
      </c>
      <c r="E87" s="6" t="s">
        <v>717</v>
      </c>
    </row>
    <row r="88" customFormat="false" ht="15" hidden="false" customHeight="false" outlineLevel="0" collapsed="false">
      <c r="A88" s="6" t="n">
        <v>1.25</v>
      </c>
      <c r="B88" s="6" t="s">
        <v>718</v>
      </c>
      <c r="C88" s="6" t="s">
        <v>719</v>
      </c>
      <c r="D88" s="6" t="s">
        <v>720</v>
      </c>
      <c r="E88" s="6" t="s">
        <v>721</v>
      </c>
    </row>
    <row r="89" customFormat="false" ht="15" hidden="false" customHeight="false" outlineLevel="0" collapsed="false">
      <c r="A89" s="6" t="n">
        <v>1.5</v>
      </c>
      <c r="B89" s="6" t="s">
        <v>722</v>
      </c>
      <c r="C89" s="6" t="s">
        <v>723</v>
      </c>
      <c r="D89" s="6" t="s">
        <v>724</v>
      </c>
      <c r="E89" s="6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2026-10-21T23:15:03Z</dcterms:created>
  <dc:creator>openpyxl</dc:creator>
  <dc:description/>
  <dc:language>en-US</dc:language>
  <cp:lastModifiedBy/>
  <dcterms:modified xsi:type="dcterms:W3CDTF">2026-10-21T23:15:04Z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