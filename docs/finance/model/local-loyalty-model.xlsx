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ssumptions" sheetId="1" state="visible" r:id="rId3"/>
    <sheet name="Scenarios" sheetId="2" state="visible" r:id="rId4"/>
    <sheet name="Unit Economics" sheetId="3" state="visible" r:id="rId5"/>
    <sheet name="Monthly" sheetId="4" state="visible" r:id="rId6"/>
    <sheet name="Monthly_Bear" sheetId="5" state="visible" r:id="rId7"/>
    <sheet name="Monthly_RecoGates" sheetId="6" state="visible" r:id="rId8"/>
    <sheet name="Monthly_Lean" sheetId="7" state="visible" r:id="rId9"/>
    <sheet name="Monthly_Bull" sheetId="8" state="visible" r:id="rId10"/>
    <sheet name="Sensitivity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<sst xmlns="http://schemas.openxmlformats.org/spreadsheetml/2006/main" count="2051" uniqueCount="727">
  <si>
    <t xml:space="preserve">Local Loyalty — Assumptions (CAD)</t>
  </si>
  <si>
    <t xml:space="preserve">Legend: blue = input you can change; black = formula; blue on yellow = scenario override of Base. Non-Base columns follow Base unless overridden. Source/notes in column I. Mirrors model.py ASSUMPTIONS.</t>
  </si>
  <si>
    <t xml:space="preserve">Key</t>
  </si>
  <si>
    <t xml:space="preserve">Assumption</t>
  </si>
  <si>
    <t xml:space="preserve">Base</t>
  </si>
  <si>
    <t xml:space="preserve">Bear</t>
  </si>
  <si>
    <t xml:space="preserve">Base + reco gates</t>
  </si>
  <si>
    <t xml:space="preserve">Lean plan</t>
  </si>
  <si>
    <t xml:space="preserve">Bull</t>
  </si>
  <si>
    <t xml:space="preserve">Unit</t>
  </si>
  <si>
    <t xml:space="preserve">Source / note</t>
  </si>
  <si>
    <t xml:space="preserve">Scalar assumptions</t>
  </si>
  <si>
    <t xml:space="preserve">months</t>
  </si>
  <si>
    <t xml:space="preserve">Months</t>
  </si>
  <si>
    <t xml:space="preserve">Projection horizon (CSV + workbook)</t>
  </si>
  <si>
    <t xml:space="preserve">extended_months</t>
  </si>
  <si>
    <t xml:space="preserve">Extended months</t>
  </si>
  <si>
    <t xml:space="preserve">Extended run used ONLY to find break-even if it falls after month 36; keeps launching at the last quarter's pace</t>
  </si>
  <si>
    <t xml:space="preserve">starting_cash</t>
  </si>
  <si>
    <t xml:space="preserve">Starting cash</t>
  </si>
  <si>
    <t xml:space="preserve">CAD</t>
  </si>
  <si>
    <t xml:space="preserve">Founder starts at $0; peak cash need = money required to bootstrap</t>
  </si>
  <si>
    <t xml:space="preserve">strip_potential_merchants</t>
  </si>
  <si>
    <t xml:space="preserve">Strip potential merchants</t>
  </si>
  <si>
    <t xml:space="preserve">merchants/strip</t>
  </si>
  <si>
    <t xml:space="preserve">Assumption: 80+ storefronts (PRD strip criterion) x ~55% repeat-visit verticals x ~70% eventually sign = 32; Pricing v2 adoption risk -15% (a thinner free tier signs fewer shops) = 27.2 (v1: 32)</t>
  </si>
  <si>
    <t xml:space="preserve">activation_rate</t>
  </si>
  <si>
    <t xml:space="preserve">Activation rate</t>
  </si>
  <si>
    <t xml:space="preserve">share of signed</t>
  </si>
  <si>
    <t xml:space="preserve">PRD success metric: 60% of signed reach 25 active members</t>
  </si>
  <si>
    <t xml:space="preserve">free_merchant_churn</t>
  </si>
  <si>
    <t xml:space="preserve">Free merchant churn</t>
  </si>
  <si>
    <t xml:space="preserve">per month</t>
  </si>
  <si>
    <t xml:space="preserve">Assumption: business closures + drop-outs; free plan has no switching cost</t>
  </si>
  <si>
    <t xml:space="preserve">members_per_active_merchant</t>
  </si>
  <si>
    <t xml:space="preserve">Members per active merchant</t>
  </si>
  <si>
    <t xml:space="preserve">active members</t>
  </si>
  <si>
    <t xml:space="preserve">PRD success metric (month 6 target)</t>
  </si>
  <si>
    <t xml:space="preserve">membership_fill_speed</t>
  </si>
  <si>
    <t xml:space="preserve">Membership fill speed</t>
  </si>
  <si>
    <t xml:space="preserve">share of gap closed/month</t>
  </si>
  <si>
    <t xml:space="preserve">Assumption: ~6 months to reach target</t>
  </si>
  <si>
    <t xml:space="preserve">shops_per_customer</t>
  </si>
  <si>
    <t xml:space="preserve">Shops per customer</t>
  </si>
  <si>
    <t xml:space="preserve">shops per active customer</t>
  </si>
  <si>
    <t xml:space="preserve">Assumption from PRD target: 30% of customers hold 2+ shops</t>
  </si>
  <si>
    <t xml:space="preserve">customer_churn</t>
  </si>
  <si>
    <t xml:space="preserve">Customer churn</t>
  </si>
  <si>
    <t xml:space="preserve">Assumption: active customers lapsing (drives re-acquisition SMS)</t>
  </si>
  <si>
    <t xml:space="preserve">app_user_share</t>
  </si>
  <si>
    <t xml:space="preserve">App user share</t>
  </si>
  <si>
    <t xml:space="preserve">share of active customers</t>
  </si>
  <si>
    <t xml:space="preserve">Assumption: most join via wallet pass/phone number and never open the app</t>
  </si>
  <si>
    <t xml:space="preserve">unlock_plus_active_merchants</t>
  </si>
  <si>
    <t xml:space="preserve">Unlock plus active merchants</t>
  </si>
  <si>
    <t xml:space="preserve">active merchants</t>
  </si>
  <si>
    <t xml:space="preserve">plans.ts unlockAtMerchants for Plus features</t>
  </si>
  <si>
    <t xml:space="preserve">plus_features_ready_month</t>
  </si>
  <si>
    <t xml:space="preserve">Plus features ready month</t>
  </si>
  <si>
    <t xml:space="preserve">model month</t>
  </si>
  <si>
    <t xml:space="preserve">Assumption: Phase 2 build done Aug 2027 (PRD months 7-12)</t>
  </si>
  <si>
    <t xml:space="preserve">unlock_pro_active_merchants</t>
  </si>
  <si>
    <t xml:space="preserve">Unlock pro active merchants</t>
  </si>
  <si>
    <t xml:space="preserve">plans.ts unlockAtMerchants for Pro features</t>
  </si>
  <si>
    <t xml:space="preserve">pro_features_ready_month</t>
  </si>
  <si>
    <t xml:space="preserve">Pro features ready month</t>
  </si>
  <si>
    <t xml:space="preserve">unlock_bia_active_merchants</t>
  </si>
  <si>
    <t xml:space="preserve">Unlock bia active merchants</t>
  </si>
  <si>
    <t xml:space="preserve">plans.ts campaigns.neighbourhood unlockAtMerchants</t>
  </si>
  <si>
    <t xml:space="preserve">unlock_ads_active_merchants</t>
  </si>
  <si>
    <t xml:space="preserve">Unlock ads active merchants</t>
  </si>
  <si>
    <t xml:space="preserve">plans.ts ads.* unlockAtMerchants</t>
  </si>
  <si>
    <t xml:space="preserve">ads_ready_month</t>
  </si>
  <si>
    <t xml:space="preserve">Ads ready month</t>
  </si>
  <si>
    <t xml:space="preserve">Assumption: ad tooling built by Apr 2028</t>
  </si>
  <si>
    <t xml:space="preserve">mix_food_bev</t>
  </si>
  <si>
    <t xml:space="preserve">Mix food bev</t>
  </si>
  <si>
    <t xml:space="preserve">share of merchants</t>
  </si>
  <si>
    <t xml:space="preserve">Assumption: daily-visit anchors of a strip</t>
  </si>
  <si>
    <t xml:space="preserve">mix_retail</t>
  </si>
  <si>
    <t xml:space="preserve">Mix retail</t>
  </si>
  <si>
    <t xml:space="preserve">mix_repair_auto</t>
  </si>
  <si>
    <t xml:space="preserve">Mix repair auto</t>
  </si>
  <si>
    <t xml:space="preserve">Assumption: PRD says lead with repair/auto for revenue</t>
  </si>
  <si>
    <t xml:space="preserve">mix_personal_services</t>
  </si>
  <si>
    <t xml:space="preserve">Mix personal services</t>
  </si>
  <si>
    <t xml:space="preserve">mix_pharmacy</t>
  </si>
  <si>
    <t xml:space="preserve">Mix pharmacy</t>
  </si>
  <si>
    <t xml:space="preserve">conv12_food_bev</t>
  </si>
  <si>
    <t xml:space="preserve">Conv12 food bev</t>
  </si>
  <si>
    <t xml:space="preserve">12-month conversion</t>
  </si>
  <si>
    <t xml:space="preserve">Assumption (Pricing v2; v1 20%): promos, double-points days, email/SMS and order-ahead are all Plus</t>
  </si>
  <si>
    <t xml:space="preserve">conv12_retail</t>
  </si>
  <si>
    <t xml:space="preserve">Conv12 retail</t>
  </si>
  <si>
    <t xml:space="preserve">Assumption (Pricing v2; v1 12%): promos, email, POS auto-award now Plus</t>
  </si>
  <si>
    <t xml:space="preserve">conv12_repair_auto</t>
  </si>
  <si>
    <t xml:space="preserve">Conv12 repair auto</t>
  </si>
  <si>
    <t xml:space="preserve">Assumption (Pricing v2; v1 40%): quote approval/deposits replace phone tag (validate with $100 pilot deposits, PRD); POS auto-award/SMS add a little</t>
  </si>
  <si>
    <t xml:space="preserve">conv12_personal_services</t>
  </si>
  <si>
    <t xml:space="preserve">Conv12 personal services</t>
  </si>
  <si>
    <t xml:space="preserve">Assumption (Pricing v2; v1 15%): birthday/VIP/SMS reminders now Plus</t>
  </si>
  <si>
    <t xml:space="preserve">conv12_pharmacy</t>
  </si>
  <si>
    <t xml:space="preserve">Conv12 pharmacy</t>
  </si>
  <si>
    <t xml:space="preserve">Assumption (Pricing v2; v1 5%): limited by OCP inducement rules</t>
  </si>
  <si>
    <t xml:space="preserve">pro_share_food_bev</t>
  </si>
  <si>
    <t xml:space="preserve">Pro share food bev</t>
  </si>
  <si>
    <t xml:space="preserve">share Pro</t>
  </si>
  <si>
    <t xml:space="preserve">pro_share_retail</t>
  </si>
  <si>
    <t xml:space="preserve">Pro share retail</t>
  </si>
  <si>
    <t xml:space="preserve">pro_share_repair_auto</t>
  </si>
  <si>
    <t xml:space="preserve">Pro share repair auto</t>
  </si>
  <si>
    <t xml:space="preserve">Assumption: service tickets, quotes, invoices are Pro</t>
  </si>
  <si>
    <t xml:space="preserve">pro_share_personal_services</t>
  </si>
  <si>
    <t xml:space="preserve">Pro share personal services</t>
  </si>
  <si>
    <t xml:space="preserve">Assumption: drop-off scheduling/permissions</t>
  </si>
  <si>
    <t xml:space="preserve">pro_share_pharmacy</t>
  </si>
  <si>
    <t xml:space="preserve">Pro share pharmacy</t>
  </si>
  <si>
    <t xml:space="preserve">conversion_multiplier</t>
  </si>
  <si>
    <t xml:space="preserve">Conversion multiplier</t>
  </si>
  <si>
    <t xml:space="preserve">x</t>
  </si>
  <si>
    <t xml:space="preserve">Scenario/sensitivity lever on all conversion rates</t>
  </si>
  <si>
    <t xml:space="preserve">paid_churn</t>
  </si>
  <si>
    <t xml:space="preserve">Paid churn</t>
  </si>
  <si>
    <t xml:space="preserve">PRD assumption (~33-month life); churned payers drop back to Free</t>
  </si>
  <si>
    <t xml:space="preserve">price_plus</t>
  </si>
  <si>
    <t xml:space="preserve">Price plus</t>
  </si>
  <si>
    <t xml:space="preserve">CAD/month</t>
  </si>
  <si>
    <t xml:space="preserve">plans.ts PLANS.plus.priceCents = 3900</t>
  </si>
  <si>
    <t xml:space="preserve">price_pro</t>
  </si>
  <si>
    <t xml:space="preserve">Price pro</t>
  </si>
  <si>
    <t xml:space="preserve">plans.ts PLANS.pro.priceCents = 7900</t>
  </si>
  <si>
    <t xml:space="preserve">platform_fee</t>
  </si>
  <si>
    <t xml:space="preserve">Platform fee</t>
  </si>
  <si>
    <t xml:space="preserve">of in-app GMV</t>
  </si>
  <si>
    <t xml:space="preserve">plans.ts PLATFORM_PAYMENT_FEE_BPS = 75</t>
  </si>
  <si>
    <t xml:space="preserve">payments_adoption</t>
  </si>
  <si>
    <t xml:space="preserve">Payments adoption</t>
  </si>
  <si>
    <t xml:space="preserve">share of payers</t>
  </si>
  <si>
    <t xml:space="preserve">Assumption: share of paying merchants using in-app payments</t>
  </si>
  <si>
    <t xml:space="preserve">gmv_plus</t>
  </si>
  <si>
    <t xml:space="preserve">Gmv plus</t>
  </si>
  <si>
    <t xml:space="preserve">Assumption: order-ahead volume per Plus merchant using payments</t>
  </si>
  <si>
    <t xml:space="preserve">gmv_pro</t>
  </si>
  <si>
    <t xml:space="preserve">Gmv pro</t>
  </si>
  <si>
    <t xml:space="preserve">Assumption: deposits + invoices per Pro merchant (PRD used $4,000 blended)</t>
  </si>
  <si>
    <t xml:space="preserve">avg_ticket</t>
  </si>
  <si>
    <t xml:space="preserve">Avg ticket</t>
  </si>
  <si>
    <t xml:space="preserve">Assumption: average in-app payment (for merchant fee comparison only)</t>
  </si>
  <si>
    <t xml:space="preserve">stripe_pct</t>
  </si>
  <si>
    <t xml:space="preserve">Stripe pct</t>
  </si>
  <si>
    <t xml:space="preserve">of GMV</t>
  </si>
  <si>
    <t xml:space="preserve">Stripe CA domestic online card rate 2.9% (PRD, via Xero) — paid by merchant</t>
  </si>
  <si>
    <t xml:space="preserve">stripe_fixed</t>
  </si>
  <si>
    <t xml:space="preserve">Stripe fixed</t>
  </si>
  <si>
    <t xml:space="preserve">CAD/txn</t>
  </si>
  <si>
    <t xml:space="preserve">Stripe CA C$0.30 per txn (PRD) — paid by merchant</t>
  </si>
  <si>
    <t xml:space="preserve">connect_pct</t>
  </si>
  <si>
    <t xml:space="preserve">Connect pct</t>
  </si>
  <si>
    <t xml:space="preserve">Assumption: Stripe Connect platform cost if we pick platform-paid pricing (US list 0.25% + payout fees); VERIFY CAD pricing</t>
  </si>
  <si>
    <t xml:space="preserve">connect_account_fee</t>
  </si>
  <si>
    <t xml:space="preserve">Connect account fee</t>
  </si>
  <si>
    <t xml:space="preserve">CAD/active account/month</t>
  </si>
  <si>
    <t xml:space="preserve">Assumption: Stripe Connect active-account fee; VERIFY</t>
  </si>
  <si>
    <t xml:space="preserve">billing_pct</t>
  </si>
  <si>
    <t xml:space="preserve">Billing pct</t>
  </si>
  <si>
    <t xml:space="preserve">of subscription revenue</t>
  </si>
  <si>
    <t xml:space="preserve">Assumption: 2.9% card + ~0.5% Stripe Billing; VERIFY</t>
  </si>
  <si>
    <t xml:space="preserve">billing_fixed</t>
  </si>
  <si>
    <t xml:space="preserve">Billing fixed</t>
  </si>
  <si>
    <t xml:space="preserve">CAD/invoice</t>
  </si>
  <si>
    <t xml:space="preserve">Stripe CA C$0.30 per card txn (PRD)</t>
  </si>
  <si>
    <t xml:space="preserve">sms_rate</t>
  </si>
  <si>
    <t xml:space="preserve">Sms rate</t>
  </si>
  <si>
    <t xml:space="preserve">CAD/segment</t>
  </si>
  <si>
    <t xml:space="preserve">Twilio CA outbound US$0.0079-0.0083/segment (twilio.com/en-us/sms/pricing/ca, Oct 2026) + carrier fees ~US$0.0064-0.0087 (third-party estimate) = ~US$0.016 x FX 1.38 (assumption); VERIFY before launch</t>
  </si>
  <si>
    <t xml:space="preserve">sms_used_plus</t>
  </si>
  <si>
    <t xml:space="preserve">Sms used plus</t>
  </si>
  <si>
    <t xml:space="preserve">SMS/month</t>
  </si>
  <si>
    <t xml:space="preserve">Assumption: 60% of Plus allowance (plans.ts smsPerMonth = 500)</t>
  </si>
  <si>
    <t xml:space="preserve">sms_used_pro</t>
  </si>
  <si>
    <t xml:space="preserve">Sms used pro</t>
  </si>
  <si>
    <t xml:space="preserve">Assumption: 60% of Pro allowance (plans.ts smsPerMonth = 1500)</t>
  </si>
  <si>
    <t xml:space="preserve">otp_sms_per_new_customer</t>
  </si>
  <si>
    <t xml:space="preserve">Otp sms per new customer</t>
  </si>
  <si>
    <t xml:space="preserve">SMS</t>
  </si>
  <si>
    <t xml:space="preserve">Assumption: phone-number join verification + welcome</t>
  </si>
  <si>
    <t xml:space="preserve">txn_sms_per_customer</t>
  </si>
  <si>
    <t xml:space="preserve">Txn sms per customer</t>
  </si>
  <si>
    <t xml:space="preserve">Pricing v2: no SMS on Free (reward-ready texts are Plus automations, inside the Plus/Pro allowance). v1: 0.3. NOTE: SMS receipts (smsReceiptsEnabled) are not yet gated in the API</t>
  </si>
  <si>
    <t xml:space="preserve">infra_per_merchant</t>
  </si>
  <si>
    <t xml:space="preserve">Infra per merchant</t>
  </si>
  <si>
    <t xml:space="preserve">Assumption: DB, storage, wallet pass updates. Pricing v2: no email campaigns or POS sync on Free (v1: $1.00)</t>
  </si>
  <si>
    <t xml:space="preserve">infra_per_customer</t>
  </si>
  <si>
    <t xml:space="preserve">Infra per customer</t>
  </si>
  <si>
    <t xml:space="preserve">Assumption: per active customer hosting + push</t>
  </si>
  <si>
    <t xml:space="preserve">support_hourly</t>
  </si>
  <si>
    <t xml:space="preserve">Support hourly</t>
  </si>
  <si>
    <t xml:space="preserve">CAD/hr</t>
  </si>
  <si>
    <t xml:space="preserve">Assumption: blended support cost (founder time is free, see fixed costs)</t>
  </si>
  <si>
    <t xml:space="preserve">support_min_free</t>
  </si>
  <si>
    <t xml:space="preserve">Support min free</t>
  </si>
  <si>
    <t xml:space="preserve">min/merchant/month</t>
  </si>
  <si>
    <t xml:space="preserve">support_min_paid</t>
  </si>
  <si>
    <t xml:space="preserve">Support min paid</t>
  </si>
  <si>
    <t xml:space="preserve">Assumption: extra support for ops features</t>
  </si>
  <si>
    <t xml:space="preserve">perk_qualify_rate</t>
  </si>
  <si>
    <t xml:space="preserve">Perk qualify rate</t>
  </si>
  <si>
    <t xml:space="preserve">of new customers</t>
  </si>
  <si>
    <t xml:space="preserve">Assumption: share hitting 'visit 3 shops on the strip'</t>
  </si>
  <si>
    <t xml:space="preserve">perk_value</t>
  </si>
  <si>
    <t xml:space="preserve">Perk value</t>
  </si>
  <si>
    <t xml:space="preserve">Assumption: platform-funded bonus value</t>
  </si>
  <si>
    <t xml:space="preserve">perk_redeem_rate</t>
  </si>
  <si>
    <t xml:space="preserve">Perk redeem rate</t>
  </si>
  <si>
    <t xml:space="preserve">share redeemed</t>
  </si>
  <si>
    <t xml:space="preserve">Assumption (cost booked when earned x expected redemption)</t>
  </si>
  <si>
    <t xml:space="preserve">sessions_per_app_user</t>
  </si>
  <si>
    <t xml:space="preserve">Sessions per app user</t>
  </si>
  <si>
    <t xml:space="preserve">sessions/month</t>
  </si>
  <si>
    <t xml:space="preserve">ad_slots_per_session</t>
  </si>
  <si>
    <t xml:space="preserve">Ad slots per session</t>
  </si>
  <si>
    <t xml:space="preserve">slots</t>
  </si>
  <si>
    <t xml:space="preserve">Assumption: 1 feed slot + 1 search/map slot</t>
  </si>
  <si>
    <t xml:space="preserve">ad_fill_rate</t>
  </si>
  <si>
    <t xml:space="preserve">Ad fill rate</t>
  </si>
  <si>
    <t xml:space="preserve">share of slots sold</t>
  </si>
  <si>
    <t xml:space="preserve">Assumption: small local inventory, self-serve</t>
  </si>
  <si>
    <t xml:space="preserve">ad_cpm</t>
  </si>
  <si>
    <t xml:space="preserve">Ad cpm</t>
  </si>
  <si>
    <t xml:space="preserve">CAD per 1,000 impressions</t>
  </si>
  <si>
    <t xml:space="preserve">Assumption: hyper-local intent; see unit-economics.md rate card</t>
  </si>
  <si>
    <t xml:space="preserve">pin_adoption</t>
  </si>
  <si>
    <t xml:space="preserve">Pin adoption</t>
  </si>
  <si>
    <t xml:space="preserve">share of active merchants</t>
  </si>
  <si>
    <t xml:space="preserve">Assumption: featured map pin buyers each month</t>
  </si>
  <si>
    <t xml:space="preserve">pin_price_month</t>
  </si>
  <si>
    <t xml:space="preserve">Pin price month</t>
  </si>
  <si>
    <t xml:space="preserve">Assumption: ~$2.50/day rate card</t>
  </si>
  <si>
    <t xml:space="preserve">boost_adoption</t>
  </si>
  <si>
    <t xml:space="preserve">Boost adoption</t>
  </si>
  <si>
    <t xml:space="preserve">Assumption: nearby push boost buyers each month</t>
  </si>
  <si>
    <t xml:space="preserve">boosts_per_buyer</t>
  </si>
  <si>
    <t xml:space="preserve">Boosts per buyer</t>
  </si>
  <si>
    <t xml:space="preserve">boosts/month</t>
  </si>
  <si>
    <t xml:space="preserve">boost_price</t>
  </si>
  <si>
    <t xml:space="preserve">Boost price</t>
  </si>
  <si>
    <t xml:space="preserve">CAD/boost</t>
  </si>
  <si>
    <t xml:space="preserve">ads_ramp_months</t>
  </si>
  <si>
    <t xml:space="preserve">Ads ramp months</t>
  </si>
  <si>
    <t xml:space="preserve">Assumption: linear ramp to full demand after ads unlock</t>
  </si>
  <si>
    <t xml:space="preserve">ads_ops_pct</t>
  </si>
  <si>
    <t xml:space="preserve">Ads ops pct</t>
  </si>
  <si>
    <t xml:space="preserve">of ad revenue</t>
  </si>
  <si>
    <t xml:space="preserve">Assumption: creative help, moderation, ad serving</t>
  </si>
  <si>
    <t xml:space="preserve">strip_maturity_months</t>
  </si>
  <si>
    <t xml:space="preserve">Strip maturity months</t>
  </si>
  <si>
    <t xml:space="preserve">Assumption: a strip can sell a campaign 6 months after launch</t>
  </si>
  <si>
    <t xml:space="preserve">bia_campaigns_per_strip_year</t>
  </si>
  <si>
    <t xml:space="preserve">Bia campaigns per strip year</t>
  </si>
  <si>
    <t xml:space="preserve">campaigns/mature strip/year</t>
  </si>
  <si>
    <t xml:space="preserve">bia_price</t>
  </si>
  <si>
    <t xml:space="preserve">Bia price</t>
  </si>
  <si>
    <t xml:space="preserve">CAD/campaign</t>
  </si>
  <si>
    <t xml:space="preserve">Midpoint of founder's $1,500-3,000 range</t>
  </si>
  <si>
    <t xml:space="preserve">bia_cost_pct</t>
  </si>
  <si>
    <t xml:space="preserve">Bia cost pct</t>
  </si>
  <si>
    <t xml:space="preserve">of campaign revenue</t>
  </si>
  <si>
    <t xml:space="preserve">Assumption: prize basket, print, rep hours</t>
  </si>
  <si>
    <t xml:space="preserve">rep_wage</t>
  </si>
  <si>
    <t xml:space="preserve">Rep wage</t>
  </si>
  <si>
    <t xml:space="preserve">Ontario general minimum wage from Oct 1, 2026 (Hicks Morley, cited in PRD)</t>
  </si>
  <si>
    <t xml:space="preserve">wage_indexation</t>
  </si>
  <si>
    <t xml:space="preserve">Wage indexation</t>
  </si>
  <si>
    <t xml:space="preserve">per year (each Oct 1)</t>
  </si>
  <si>
    <t xml:space="preserve">Assumption: Ontario indexes min wage to CPI every Oct 1</t>
  </si>
  <si>
    <t xml:space="preserve">payroll_burden</t>
  </si>
  <si>
    <t xml:space="preserve">Payroll burden</t>
  </si>
  <si>
    <t xml:space="preserve">of wages</t>
  </si>
  <si>
    <t xml:space="preserve">Assumption: 4% vacation pay + CPP ~5.95% + EI ~2.3% + WSIB ~1%; VERIFY</t>
  </si>
  <si>
    <t xml:space="preserve">rep_hours_per_signup</t>
  </si>
  <si>
    <t xml:space="preserve">Rep hours per signup</t>
  </si>
  <si>
    <t xml:space="preserve">paid hours/signed merchant</t>
  </si>
  <si>
    <t xml:space="preserve">PRD: ~3 activations per 6-hour shift (2h) + 0.5h prospecting and day-7/30 calls</t>
  </si>
  <si>
    <t xml:space="preserve">activation_bonus</t>
  </si>
  <si>
    <t xml:space="preserve">Activation bonus</t>
  </si>
  <si>
    <t xml:space="preserve">CAD/activated merchant</t>
  </si>
  <si>
    <t xml:space="preserve">PRD: bonus at 25 active members (paid on top of wage)</t>
  </si>
  <si>
    <t xml:space="preserve">kit_cost</t>
  </si>
  <si>
    <t xml:space="preserve">Kit cost</t>
  </si>
  <si>
    <t xml:space="preserve">CAD/signed merchant</t>
  </si>
  <si>
    <t xml:space="preserve">PRD: QR counter stand + print</t>
  </si>
  <si>
    <t xml:space="preserve">strip_launch_cost</t>
  </si>
  <si>
    <t xml:space="preserve">Strip launch cost</t>
  </si>
  <si>
    <t xml:space="preserve">CAD/strip</t>
  </si>
  <si>
    <t xml:space="preserve">Assumption: passport week prizes, flyers, launch event</t>
  </si>
  <si>
    <t xml:space="preserve">upsell_cost</t>
  </si>
  <si>
    <t xml:space="preserve">Upsell cost</t>
  </si>
  <si>
    <t xml:space="preserve">CAD/conversion</t>
  </si>
  <si>
    <t xml:space="preserve">PRD: upsell bonus / onboarding of paid features</t>
  </si>
  <si>
    <t xml:space="preserve">cac_multiplier</t>
  </si>
  <si>
    <t xml:space="preserve">Cac multiplier</t>
  </si>
  <si>
    <t xml:space="preserve">Scenario/sensitivity lever on all acquisition spend</t>
  </si>
  <si>
    <t xml:space="preserve">fixed_hosting_base</t>
  </si>
  <si>
    <t xml:space="preserve">Fixed hosting base</t>
  </si>
  <si>
    <t xml:space="preserve">Assumption: managed DB, hosting, monitoring (Canadian region)</t>
  </si>
  <si>
    <t xml:space="preserve">fixed_saas_tools</t>
  </si>
  <si>
    <t xml:space="preserve">Fixed saas tools</t>
  </si>
  <si>
    <t xml:space="preserve">Assumption: email, design, CRM, Google Workspace</t>
  </si>
  <si>
    <t xml:space="preserve">fixed_insurance</t>
  </si>
  <si>
    <t xml:space="preserve">Fixed insurance</t>
  </si>
  <si>
    <t xml:space="preserve">Assumption: CGL + cyber/privacy liability</t>
  </si>
  <si>
    <t xml:space="preserve">fixed_accounting</t>
  </si>
  <si>
    <t xml:space="preserve">Fixed accounting</t>
  </si>
  <si>
    <t xml:space="preserve">Assumption: bookkeeping + year-end</t>
  </si>
  <si>
    <t xml:space="preserve">fixed_app_stores</t>
  </si>
  <si>
    <t xml:space="preserve">Fixed app stores</t>
  </si>
  <si>
    <t xml:space="preserve">Apple Developer US$99/yr + Google Play one-time US$25, amortised</t>
  </si>
  <si>
    <t xml:space="preserve">fixed_phone_misc</t>
  </si>
  <si>
    <t xml:space="preserve">Fixed phone misc</t>
  </si>
  <si>
    <t xml:space="preserve">fixed_marketing</t>
  </si>
  <si>
    <t xml:space="preserve">Fixed marketing</t>
  </si>
  <si>
    <t xml:space="preserve">Assumption: baseline brand, social, local press</t>
  </si>
  <si>
    <t xml:space="preserve">fixed_legal_reserve</t>
  </si>
  <si>
    <t xml:space="preserve">Fixed legal reserve</t>
  </si>
  <si>
    <t xml:space="preserve">Assumption: ongoing legal/compliance reserve</t>
  </si>
  <si>
    <t xml:space="preserve">dev_monthly_y1</t>
  </si>
  <si>
    <t xml:space="preserve">Dev monthly y1</t>
  </si>
  <si>
    <t xml:space="preserve">PRD: part-time contract developer ~$4,000/mo</t>
  </si>
  <si>
    <t xml:space="preserve">dev_monthly_y2</t>
  </si>
  <si>
    <t xml:space="preserve">Dev monthly y2</t>
  </si>
  <si>
    <t xml:space="preserve">Assumption: more hours for Phase 2 (ops features)</t>
  </si>
  <si>
    <t xml:space="preserve">dev_monthly_y3</t>
  </si>
  <si>
    <t xml:space="preserve">Dev monthly y3</t>
  </si>
  <si>
    <t xml:space="preserve">Assumption: Phase 3 (ads, campaigns)</t>
  </si>
  <si>
    <t xml:space="preserve">merchants_per_cs</t>
  </si>
  <si>
    <t xml:space="preserve">Merchants per cs</t>
  </si>
  <si>
    <t xml:space="preserve">active merchants per account-manager hire</t>
  </si>
  <si>
    <t xml:space="preserve">Assumption: founder covers it until then</t>
  </si>
  <si>
    <t xml:space="preserve">cs_monthly_cost</t>
  </si>
  <si>
    <t xml:space="preserve">Cs monthly cost</t>
  </si>
  <si>
    <t xml:space="preserve">Assumption: one part-time account/BIA manager, loaded</t>
  </si>
  <si>
    <t xml:space="preserve">founder_salary</t>
  </si>
  <si>
    <t xml:space="preserve">Founder salary</t>
  </si>
  <si>
    <t xml:space="preserve">Founder takes no salary initially (founder's model)</t>
  </si>
  <si>
    <t xml:space="preserve">founder_salary_start_month</t>
  </si>
  <si>
    <t xml:space="preserve">Founder salary start month</t>
  </si>
  <si>
    <t xml:space="preserve">Never within horizon in base case</t>
  </si>
  <si>
    <t xml:space="preserve">founder_target_salary</t>
  </si>
  <si>
    <t xml:space="preserve">Founder target salary</t>
  </si>
  <si>
    <t xml:space="preserve">Assumption: 'ramen' salary used only for a reported metric</t>
  </si>
  <si>
    <t xml:space="preserve">fixed_overhead_total</t>
  </si>
  <si>
    <t xml:space="preserve">Fixed overhead total (sum of fixed_* lines)</t>
  </si>
  <si>
    <t xml:space="preserve">Acquisition ramp: share of a strip's potential merchants signing in each month after launch (age 0 = launch month). Assumption: blitz in first 2 months (2-4 reps per strip, PRD), long tail; sums to 100%</t>
  </si>
  <si>
    <t xml:space="preserve">ramp_0</t>
  </si>
  <si>
    <t xml:space="preserve">Ramp, strip age 0 months</t>
  </si>
  <si>
    <t xml:space="preserve">share of potential</t>
  </si>
  <si>
    <t xml:space="preserve">ramp_1</t>
  </si>
  <si>
    <t xml:space="preserve">Ramp, strip age 1 months</t>
  </si>
  <si>
    <t xml:space="preserve">ramp_2</t>
  </si>
  <si>
    <t xml:space="preserve">Ramp, strip age 2 months</t>
  </si>
  <si>
    <t xml:space="preserve">ramp_3</t>
  </si>
  <si>
    <t xml:space="preserve">Ramp, strip age 3 months</t>
  </si>
  <si>
    <t xml:space="preserve">ramp_4</t>
  </si>
  <si>
    <t xml:space="preserve">Ramp, strip age 4 months</t>
  </si>
  <si>
    <t xml:space="preserve">ramp_5</t>
  </si>
  <si>
    <t xml:space="preserve">Ramp, strip age 5 months</t>
  </si>
  <si>
    <t xml:space="preserve">ramp_6</t>
  </si>
  <si>
    <t xml:space="preserve">Ramp, strip age 6 months</t>
  </si>
  <si>
    <t xml:space="preserve">ramp_7</t>
  </si>
  <si>
    <t xml:space="preserve">Ramp, strip age 7 months</t>
  </si>
  <si>
    <t xml:space="preserve">ramp_8</t>
  </si>
  <si>
    <t xml:space="preserve">Ramp, strip age 8 months</t>
  </si>
  <si>
    <t xml:space="preserve">ramp_9</t>
  </si>
  <si>
    <t xml:space="preserve">Ramp, strip age 9 months</t>
  </si>
  <si>
    <t xml:space="preserve">ramp_10</t>
  </si>
  <si>
    <t xml:space="preserve">Ramp, strip age 10 months</t>
  </si>
  <si>
    <t xml:space="preserve">ramp_11</t>
  </si>
  <si>
    <t xml:space="preserve">Ramp, strip age 11 months</t>
  </si>
  <si>
    <t xml:space="preserve">ramp_12</t>
  </si>
  <si>
    <t xml:space="preserve">Ramp, strip age 12 months</t>
  </si>
  <si>
    <t xml:space="preserve">ramp_13</t>
  </si>
  <si>
    <t xml:space="preserve">Ramp, strip age 13 months</t>
  </si>
  <si>
    <t xml:space="preserve">ramp_14</t>
  </si>
  <si>
    <t xml:space="preserve">Ramp, strip age 14 months</t>
  </si>
  <si>
    <t xml:space="preserve">ramp_15</t>
  </si>
  <si>
    <t xml:space="preserve">Ramp, strip age 15 months</t>
  </si>
  <si>
    <t xml:space="preserve">ramp_16</t>
  </si>
  <si>
    <t xml:space="preserve">Ramp, strip age 16 months</t>
  </si>
  <si>
    <t xml:space="preserve">ramp_17</t>
  </si>
  <si>
    <t xml:space="preserve">Ramp, strip age 17 months</t>
  </si>
  <si>
    <t xml:space="preserve">ramp_18</t>
  </si>
  <si>
    <t xml:space="preserve">Ramp, strip age 18 months</t>
  </si>
  <si>
    <t xml:space="preserve">ramp_19</t>
  </si>
  <si>
    <t xml:space="preserve">Ramp, strip age 19 months</t>
  </si>
  <si>
    <t xml:space="preserve">ramp_20</t>
  </si>
  <si>
    <t xml:space="preserve">Ramp, strip age 20 months</t>
  </si>
  <si>
    <t xml:space="preserve">ramp_21</t>
  </si>
  <si>
    <t xml:space="preserve">Ramp, strip age 21 months</t>
  </si>
  <si>
    <t xml:space="preserve">ramp_22</t>
  </si>
  <si>
    <t xml:space="preserve">Ramp, strip age 22 months</t>
  </si>
  <si>
    <t xml:space="preserve">Ramp total (should be 100%)</t>
  </si>
  <si>
    <t xml:space="preserve">Schedules by model month (row inputs). Strip launches derived from strips_per_quarter in model.py (launch order within quarter: middle, last, first month). Months 37-60 repeat the last quarter's pace.</t>
  </si>
  <si>
    <t xml:space="preserve">Model month →</t>
  </si>
  <si>
    <t xml:space="preserve">Calendar month</t>
  </si>
  <si>
    <t xml:space="preserve">2026-11</t>
  </si>
  <si>
    <t xml:space="preserve">2026-12</t>
  </si>
  <si>
    <t xml:space="preserve">2027-01</t>
  </si>
  <si>
    <t xml:space="preserve">2027-02</t>
  </si>
  <si>
    <t xml:space="preserve">2027-03</t>
  </si>
  <si>
    <t xml:space="preserve">2027-04</t>
  </si>
  <si>
    <t xml:space="preserve">2027-05</t>
  </si>
  <si>
    <t xml:space="preserve">2027-06</t>
  </si>
  <si>
    <t xml:space="preserve">2027-07</t>
  </si>
  <si>
    <t xml:space="preserve">2027-08</t>
  </si>
  <si>
    <t xml:space="preserve">2027-09</t>
  </si>
  <si>
    <t xml:space="preserve">2027-10</t>
  </si>
  <si>
    <t xml:space="preserve">2027-11</t>
  </si>
  <si>
    <t xml:space="preserve">2027-12</t>
  </si>
  <si>
    <t xml:space="preserve">2028-01</t>
  </si>
  <si>
    <t xml:space="preserve">2028-02</t>
  </si>
  <si>
    <t xml:space="preserve">2028-03</t>
  </si>
  <si>
    <t xml:space="preserve">2028-04</t>
  </si>
  <si>
    <t xml:space="preserve">2028-05</t>
  </si>
  <si>
    <t xml:space="preserve">2028-06</t>
  </si>
  <si>
    <t xml:space="preserve">2028-07</t>
  </si>
  <si>
    <t xml:space="preserve">2028-08</t>
  </si>
  <si>
    <t xml:space="preserve">2028-09</t>
  </si>
  <si>
    <t xml:space="preserve">2028-10</t>
  </si>
  <si>
    <t xml:space="preserve">2028-11</t>
  </si>
  <si>
    <t xml:space="preserve">2028-12</t>
  </si>
  <si>
    <t xml:space="preserve">2029-01</t>
  </si>
  <si>
    <t xml:space="preserve">2029-02</t>
  </si>
  <si>
    <t xml:space="preserve">2029-03</t>
  </si>
  <si>
    <t xml:space="preserve">2029-04</t>
  </si>
  <si>
    <t xml:space="preserve">2029-05</t>
  </si>
  <si>
    <t xml:space="preserve">2029-06</t>
  </si>
  <si>
    <t xml:space="preserve">2029-07</t>
  </si>
  <si>
    <t xml:space="preserve">2029-08</t>
  </si>
  <si>
    <t xml:space="preserve">2029-09</t>
  </si>
  <si>
    <t xml:space="preserve">2029-10</t>
  </si>
  <si>
    <t xml:space="preserve">2029-11</t>
  </si>
  <si>
    <t xml:space="preserve">2029-12</t>
  </si>
  <si>
    <t xml:space="preserve">2030-01</t>
  </si>
  <si>
    <t xml:space="preserve">2030-02</t>
  </si>
  <si>
    <t xml:space="preserve">2030-03</t>
  </si>
  <si>
    <t xml:space="preserve">2030-04</t>
  </si>
  <si>
    <t xml:space="preserve">2030-05</t>
  </si>
  <si>
    <t xml:space="preserve">2030-06</t>
  </si>
  <si>
    <t xml:space="preserve">2030-07</t>
  </si>
  <si>
    <t xml:space="preserve">2030-08</t>
  </si>
  <si>
    <t xml:space="preserve">2030-09</t>
  </si>
  <si>
    <t xml:space="preserve">2030-10</t>
  </si>
  <si>
    <t xml:space="preserve">2030-11</t>
  </si>
  <si>
    <t xml:space="preserve">2030-12</t>
  </si>
  <si>
    <t xml:space="preserve">2031-01</t>
  </si>
  <si>
    <t xml:space="preserve">2031-02</t>
  </si>
  <si>
    <t xml:space="preserve">2031-03</t>
  </si>
  <si>
    <t xml:space="preserve">2031-04</t>
  </si>
  <si>
    <t xml:space="preserve">2031-05</t>
  </si>
  <si>
    <t xml:space="preserve">2031-06</t>
  </si>
  <si>
    <t xml:space="preserve">2031-07</t>
  </si>
  <si>
    <t xml:space="preserve">2031-08</t>
  </si>
  <si>
    <t xml:space="preserve">2031-09</t>
  </si>
  <si>
    <t xml:space="preserve">2031-10</t>
  </si>
  <si>
    <t xml:space="preserve">launches_base</t>
  </si>
  <si>
    <t xml:space="preserve">Strip launches — Base</t>
  </si>
  <si>
    <t xml:space="preserve">strips_per_quarter = [0, 1, 1, 2, 2, 2, 3, 3, 3, 4, 4, 4]</t>
  </si>
  <si>
    <t xml:space="preserve">launches_bear</t>
  </si>
  <si>
    <t xml:space="preserve">Strip launches — Bear</t>
  </si>
  <si>
    <t xml:space="preserve">strips_per_quarter = [0, 1, 0, 1, 1, 2, 2, 2, 2, 3, 3, 3]</t>
  </si>
  <si>
    <t xml:space="preserve">launches_base_reco_gates</t>
  </si>
  <si>
    <t xml:space="preserve">Strip launches — Base + reco gates</t>
  </si>
  <si>
    <t xml:space="preserve">launches_lean_plan</t>
  </si>
  <si>
    <t xml:space="preserve">Strip launches — Lean plan</t>
  </si>
  <si>
    <t xml:space="preserve">strips_per_quarter = [0, 1, 2, 2, 3, 3, 4, 4, 5, 5, 5, 6]</t>
  </si>
  <si>
    <t xml:space="preserve">launches_bull</t>
  </si>
  <si>
    <t xml:space="preserve">Strip launches — Bull</t>
  </si>
  <si>
    <t xml:space="preserve">one_time_costs</t>
  </si>
  <si>
    <t xml:space="preserve">One-time costs (all scenarios), CAD</t>
  </si>
  <si>
    <t xml:space="preserve">Assumption: m1 incorporation + employment-lawyer call; m2 trademark/domain; m3 lawyer review of ToS/privacy/merchant agreement</t>
  </si>
  <si>
    <t xml:space="preserve">Scenarios — live KPIs from each monthly sheet (CAD)</t>
  </si>
  <si>
    <t xml:space="preserve">Scenario inputs are the columns of the Assumptions sheet; overrides are highlighted there.</t>
  </si>
  <si>
    <t xml:space="preserve">Metric</t>
  </si>
  <si>
    <t xml:space="preserve">Break-even month (36m)</t>
  </si>
  <si>
    <t xml:space="preserve">Break-even month (60m run)</t>
  </si>
  <si>
    <t xml:space="preserve">First EBITDA-positive month</t>
  </si>
  <si>
    <t xml:space="preserve">Peak cash need, months 1-36</t>
  </si>
  <si>
    <t xml:space="preserve">Cash needed to reach break-even (60m)</t>
  </si>
  <si>
    <t xml:space="preserve">Cash trough month (36m)</t>
  </si>
  <si>
    <t xml:space="preserve">Plus unlock month</t>
  </si>
  <si>
    <t xml:space="preserve">Pro unlock month</t>
  </si>
  <si>
    <t xml:space="preserve">BIA unlock month</t>
  </si>
  <si>
    <t xml:space="preserve">Ads unlock month</t>
  </si>
  <si>
    <t xml:space="preserve">Month-36 active merchants</t>
  </si>
  <si>
    <t xml:space="preserve">Month-36 paying merchants</t>
  </si>
  <si>
    <t xml:space="preserve">Month-36 active customers</t>
  </si>
  <si>
    <t xml:space="preserve">Month-36 revenue</t>
  </si>
  <si>
    <t xml:space="preserve">Month-36 EBITDA</t>
  </si>
  <si>
    <t xml:space="preserve">Year-1 revenue</t>
  </si>
  <si>
    <t xml:space="preserve">Year-2 revenue</t>
  </si>
  <si>
    <t xml:space="preserve">Year-3 revenue</t>
  </si>
  <si>
    <t xml:space="preserve">Year-1 EBITDA</t>
  </si>
  <si>
    <t xml:space="preserve">Year-2 EBITDA</t>
  </si>
  <si>
    <t xml:space="preserve">Year-3 EBITDA</t>
  </si>
  <si>
    <t xml:space="preserve">LTV/CAC (from Unit Economics)</t>
  </si>
  <si>
    <t xml:space="preserve">Payback months (from Unit Economics)</t>
  </si>
  <si>
    <t xml:space="preserve">Unit economics — steady state, per merchant per month (CAD)</t>
  </si>
  <si>
    <t xml:space="preserve">Live formulas on the Assumptions sheet. CAC per paying merchant loads all acquisition spend on free merchants onto the ones that convert within 24 months.</t>
  </si>
  <si>
    <t xml:space="preserve">Unique customers per active merchant</t>
  </si>
  <si>
    <t xml:space="preserve">Free merchant: infra + support</t>
  </si>
  <si>
    <t xml:space="preserve">Free merchant: its customers (infra, SMS, perks)</t>
  </si>
  <si>
    <t xml:space="preserve">Cost of a free active merchant / month</t>
  </si>
  <si>
    <t xml:space="preserve">Free→paid within 24 months (mix-weighted)</t>
  </si>
  <si>
    <t xml:space="preserve">Share of payers on Pro</t>
  </si>
  <si>
    <t xml:space="preserve">Subscription ARPU (blended Plus/Pro)</t>
  </si>
  <si>
    <t xml:space="preserve">Payments margin net of Stripe Connect</t>
  </si>
  <si>
    <t xml:space="preserve">SMS cost (included allowance used)</t>
  </si>
  <si>
    <t xml:space="preserve">Subscription billing fees</t>
  </si>
  <si>
    <t xml:space="preserve">Extra support for paid features</t>
  </si>
  <si>
    <t xml:space="preserve">Contribution per paying merchant / month</t>
  </si>
  <si>
    <t xml:space="preserve">CAC per signed merchant</t>
  </si>
  <si>
    <t xml:space="preserve">CAC per activated merchant</t>
  </si>
  <si>
    <t xml:space="preserve">CAC per paying merchant</t>
  </si>
  <si>
    <t xml:space="preserve">Average paid life (months)</t>
  </si>
  <si>
    <t xml:space="preserve">LTV per paying merchant (undiscounted contribution)</t>
  </si>
  <si>
    <t xml:space="preserve">LTV / CAC</t>
  </si>
  <si>
    <t xml:space="preserve">CAC payback (months)</t>
  </si>
  <si>
    <t xml:space="preserve">Free-tier carry cost per paying merchant (24 months)</t>
  </si>
  <si>
    <t xml:space="preserve">LTV / (CAC + free carry), fully loaded</t>
  </si>
  <si>
    <t xml:space="preserve">Merchant all-in cost of an in-app payment (Stripe + 0.75%)</t>
  </si>
  <si>
    <t xml:space="preserve">Local Loyalty — monthly model: Base scenario (CAD)</t>
  </si>
  <si>
    <t xml:space="preserve">Every cell is a formula driven by the Assumptions sheet (column C). Months 1-36 = projection; grey months 37-60 = extension used only to locate break-even.</t>
  </si>
  <si>
    <t xml:space="preserve">Model month</t>
  </si>
  <si>
    <t xml:space="preserve">start</t>
  </si>
  <si>
    <t xml:space="preserve">Strips &amp; merchants</t>
  </si>
  <si>
    <t xml:space="preserve">month</t>
  </si>
  <si>
    <t xml:space="preserve">strips_launched</t>
  </si>
  <si>
    <t xml:space="preserve">Strips launched</t>
  </si>
  <si>
    <t xml:space="preserve">strips_cum</t>
  </si>
  <si>
    <t xml:space="preserve">Strips live (cumulative)</t>
  </si>
  <si>
    <t xml:space="preserve">strips_mature</t>
  </si>
  <si>
    <t xml:space="preserve">Mature strips (launched &gt;= maturity months ago)</t>
  </si>
  <si>
    <t xml:space="preserve">signups</t>
  </si>
  <si>
    <t xml:space="preserve">New merchant sign-ups</t>
  </si>
  <si>
    <t xml:space="preserve">network_merchants</t>
  </si>
  <si>
    <t xml:space="preserve">Network merchants (signed, net of churn)</t>
  </si>
  <si>
    <t xml:space="preserve">active_merchants</t>
  </si>
  <si>
    <t xml:space="preserve">Active merchants (&gt;= 25 active members)</t>
  </si>
  <si>
    <t xml:space="preserve">activated_new</t>
  </si>
  <si>
    <t xml:space="preserve">Newly activated merchants</t>
  </si>
  <si>
    <t xml:space="preserve">Rollout gates (1 = unlocked; plans.ts unlockAtMerchants)</t>
  </si>
  <si>
    <t xml:space="preserve">plus_unlocked</t>
  </si>
  <si>
    <t xml:space="preserve">Plus features GA</t>
  </si>
  <si>
    <t xml:space="preserve">pro_unlocked</t>
  </si>
  <si>
    <t xml:space="preserve">Pro features GA</t>
  </si>
  <si>
    <t xml:space="preserve">bia_unlocked</t>
  </si>
  <si>
    <t xml:space="preserve">BIA campaigns available</t>
  </si>
  <si>
    <t xml:space="preserve">ads_unlocked</t>
  </si>
  <si>
    <t xml:space="preserve">Ads available</t>
  </si>
  <si>
    <t xml:space="preserve">ads_months</t>
  </si>
  <si>
    <t xml:space="preserve">Months since ads unlocked</t>
  </si>
  <si>
    <t xml:space="preserve">ads_ramp</t>
  </si>
  <si>
    <t xml:space="preserve">Ad demand ramp</t>
  </si>
  <si>
    <t xml:space="preserve">Customers</t>
  </si>
  <si>
    <t xml:space="preserve">memberships</t>
  </si>
  <si>
    <t xml:space="preserve">Memberships (customer-shop pairs)</t>
  </si>
  <si>
    <t xml:space="preserve">active_customers</t>
  </si>
  <si>
    <t xml:space="preserve">Active customers (unique)</t>
  </si>
  <si>
    <t xml:space="preserve">new_customers</t>
  </si>
  <si>
    <t xml:space="preserve">New / re-acquired customers</t>
  </si>
  <si>
    <t xml:space="preserve">Paying merchants by vertical (repair/auto gated by Pro, others by Plus)</t>
  </si>
  <si>
    <t xml:space="preserve">paid_food_bev</t>
  </si>
  <si>
    <t xml:space="preserve">Paying — Cafes, restaurants, bakeries</t>
  </si>
  <si>
    <t xml:space="preserve">paid_retail</t>
  </si>
  <si>
    <t xml:space="preserve">Paying — Independent retail</t>
  </si>
  <si>
    <t xml:space="preserve">paid_repair_auto</t>
  </si>
  <si>
    <t xml:space="preserve">Paying — Repair, auto, alterations, print</t>
  </si>
  <si>
    <t xml:space="preserve">paid_personal_services</t>
  </si>
  <si>
    <t xml:space="preserve">Paying — Salons, barbers, fitness, pets</t>
  </si>
  <si>
    <t xml:space="preserve">paid_pharmacy</t>
  </si>
  <si>
    <t xml:space="preserve">Paying — Independent pharmacies (front store only)</t>
  </si>
  <si>
    <t xml:space="preserve">paid_total</t>
  </si>
  <si>
    <t xml:space="preserve">Paying merchants (total)</t>
  </si>
  <si>
    <t xml:space="preserve">plus_merchants</t>
  </si>
  <si>
    <t xml:space="preserve">Plus merchants</t>
  </si>
  <si>
    <t xml:space="preserve">pro_merchants</t>
  </si>
  <si>
    <t xml:space="preserve">Pro merchants</t>
  </si>
  <si>
    <t xml:space="preserve">new_conversions</t>
  </si>
  <si>
    <t xml:space="preserve">New paid conversions</t>
  </si>
  <si>
    <t xml:space="preserve">Revenue (CAD)</t>
  </si>
  <si>
    <t xml:space="preserve">rev_plus</t>
  </si>
  <si>
    <t xml:space="preserve">Plus subscriptions</t>
  </si>
  <si>
    <t xml:space="preserve">rev_pro</t>
  </si>
  <si>
    <t xml:space="preserve">Pro subscriptions</t>
  </si>
  <si>
    <t xml:space="preserve">gmv_in_app</t>
  </si>
  <si>
    <t xml:space="preserve">In-app payment volume (GMV)</t>
  </si>
  <si>
    <t xml:space="preserve">rev_payments</t>
  </si>
  <si>
    <t xml:space="preserve">Platform fee on payments (0.75%)</t>
  </si>
  <si>
    <t xml:space="preserve">rev_ads_impressions</t>
  </si>
  <si>
    <t xml:space="preserve">Sponsored listings/promos (CPM)</t>
  </si>
  <si>
    <t xml:space="preserve">rev_map_pins</t>
  </si>
  <si>
    <t xml:space="preserve">Featured map pins</t>
  </si>
  <si>
    <t xml:space="preserve">rev_push_boosts</t>
  </si>
  <si>
    <t xml:space="preserve">Nearby push boosts</t>
  </si>
  <si>
    <t xml:space="preserve">bia_campaigns</t>
  </si>
  <si>
    <t xml:space="preserve">BIA campaigns sold (expected)</t>
  </si>
  <si>
    <t xml:space="preserve">rev_bia</t>
  </si>
  <si>
    <t xml:space="preserve">BIA neighbourhood campaigns</t>
  </si>
  <si>
    <t xml:space="preserve">rev_total</t>
  </si>
  <si>
    <t xml:space="preserve">Total revenue</t>
  </si>
  <si>
    <t xml:space="preserve">mrr_subscriptions</t>
  </si>
  <si>
    <t xml:space="preserve">Subscription MRR</t>
  </si>
  <si>
    <t xml:space="preserve">Variable costs (CAD)</t>
  </si>
  <si>
    <t xml:space="preserve">cost_free_merchants</t>
  </si>
  <si>
    <t xml:space="preserve">Free-tier merchant cost (infra + support)</t>
  </si>
  <si>
    <t xml:space="preserve">cost_paid_support</t>
  </si>
  <si>
    <t xml:space="preserve">Extra support, paying merchants</t>
  </si>
  <si>
    <t xml:space="preserve">cost_customer_infra</t>
  </si>
  <si>
    <t xml:space="preserve">Customer infra</t>
  </si>
  <si>
    <t xml:space="preserve">cost_sms</t>
  </si>
  <si>
    <t xml:space="preserve">SMS (Twilio)</t>
  </si>
  <si>
    <t xml:space="preserve">cost_payments</t>
  </si>
  <si>
    <t xml:space="preserve">Stripe Connect platform costs</t>
  </si>
  <si>
    <t xml:space="preserve">cost_billing</t>
  </si>
  <si>
    <t xml:space="preserve">cost_network_perks</t>
  </si>
  <si>
    <t xml:space="preserve">Platform-funded network perks</t>
  </si>
  <si>
    <t xml:space="preserve">cost_ads_ops</t>
  </si>
  <si>
    <t xml:space="preserve">Ad operations</t>
  </si>
  <si>
    <t xml:space="preserve">cost_bia</t>
  </si>
  <si>
    <t xml:space="preserve">BIA campaign delivery</t>
  </si>
  <si>
    <t xml:space="preserve">variable_total</t>
  </si>
  <si>
    <t xml:space="preserve">Total variable costs</t>
  </si>
  <si>
    <t xml:space="preserve">gross_profit</t>
  </si>
  <si>
    <t xml:space="preserve">Gross profit</t>
  </si>
  <si>
    <t xml:space="preserve">Merchant acquisition (CAC) spend (CAD)</t>
  </si>
  <si>
    <t xml:space="preserve">Rep hourly wage (indexed each Oct 1)</t>
  </si>
  <si>
    <t xml:space="preserve">cac_rep_wages</t>
  </si>
  <si>
    <t xml:space="preserve">Rep wages incl. payroll burden</t>
  </si>
  <si>
    <t xml:space="preserve">cac_activation_bonus</t>
  </si>
  <si>
    <t xml:space="preserve">Activation bonuses incl. burden</t>
  </si>
  <si>
    <t xml:space="preserve">cac_kits</t>
  </si>
  <si>
    <t xml:space="preserve">Counter kits</t>
  </si>
  <si>
    <t xml:space="preserve">cac_strip_launch</t>
  </si>
  <si>
    <t xml:space="preserve">Strip launch events</t>
  </si>
  <si>
    <t xml:space="preserve">cac_upsell</t>
  </si>
  <si>
    <t xml:space="preserve">Paid upsell cost</t>
  </si>
  <si>
    <t xml:space="preserve">cac_total</t>
  </si>
  <si>
    <t xml:space="preserve">Total acquisition spend</t>
  </si>
  <si>
    <t xml:space="preserve">Fixed operating costs (CAD)</t>
  </si>
  <si>
    <t xml:space="preserve">opex_fixed_overhead</t>
  </si>
  <si>
    <t xml:space="preserve">Fixed overhead</t>
  </si>
  <si>
    <t xml:space="preserve">opex_developer</t>
  </si>
  <si>
    <t xml:space="preserve">Part-time developer</t>
  </si>
  <si>
    <t xml:space="preserve">opex_customer_success</t>
  </si>
  <si>
    <t xml:space="preserve">Account / BIA manager</t>
  </si>
  <si>
    <t xml:space="preserve">opex_founder_salary</t>
  </si>
  <si>
    <t xml:space="preserve">opex_one_time</t>
  </si>
  <si>
    <t xml:space="preserve">One-time costs</t>
  </si>
  <si>
    <t xml:space="preserve">opex_total</t>
  </si>
  <si>
    <t xml:space="preserve">Total fixed opex</t>
  </si>
  <si>
    <t xml:space="preserve">Bottom line (CAD)</t>
  </si>
  <si>
    <t xml:space="preserve">ebitda</t>
  </si>
  <si>
    <t xml:space="preserve">EBITDA / net cash flow</t>
  </si>
  <si>
    <t xml:space="preserve">cum_cash</t>
  </si>
  <si>
    <t xml:space="preserve">Cumulative cash (from starting cash)</t>
  </si>
  <si>
    <t xml:space="preserve">merchant_paid_stripe_fees</t>
  </si>
  <si>
    <t xml:space="preserve">Info: Stripe fees paid by merchants (not ours)</t>
  </si>
  <si>
    <t xml:space="preserve">Break-even helpers</t>
  </si>
  <si>
    <t xml:space="preserve">pos_flag</t>
  </si>
  <si>
    <t xml:space="preserve">EBITDA &gt;= 0</t>
  </si>
  <si>
    <t xml:space="preserve">stays36</t>
  </si>
  <si>
    <t xml:space="preserve">EBITDA &gt;= 0 from here to month 36</t>
  </si>
  <si>
    <t xml:space="preserve">stays60</t>
  </si>
  <si>
    <t xml:space="preserve">EBITDA &gt;= 0 from here to month 60</t>
  </si>
  <si>
    <t xml:space="preserve">Key outputs</t>
  </si>
  <si>
    <t xml:space="preserve">Break-even month (EBITDA &gt;= 0 through month 36)</t>
  </si>
  <si>
    <t xml:space="preserve">Break-even month, extended run (EBITDA &gt;= 0 through month 60)</t>
  </si>
  <si>
    <t xml:space="preserve">First month with EBITDA &gt;= 0 (36m)</t>
  </si>
  <si>
    <t xml:space="preserve">Month of cash trough (36m)</t>
  </si>
  <si>
    <t xml:space="preserve">Peak cash need, months 1-60 (to break-even)</t>
  </si>
  <si>
    <t xml:space="preserve">BIA campaigns unlock month</t>
  </si>
  <si>
    <t xml:space="preserve">Local Loyalty — monthly model: Bear scenario (CAD)</t>
  </si>
  <si>
    <t xml:space="preserve">Every cell is a formula driven by the Assumptions sheet (column D). Months 1-36 = projection; grey months 37-60 = extension used only to locate break-even.</t>
  </si>
  <si>
    <t xml:space="preserve">Local Loyalty — monthly model: Base + reco gates scenario (CAD)</t>
  </si>
  <si>
    <t xml:space="preserve">Every cell is a formula driven by the Assumptions sheet (column E). Months 1-36 = projection; grey months 37-60 = extension used only to locate break-even.</t>
  </si>
  <si>
    <t xml:space="preserve">Local Loyalty — monthly model: Lean plan scenario (CAD)</t>
  </si>
  <si>
    <t xml:space="preserve">Every cell is a formula driven by the Assumptions sheet (column F). Months 1-36 = projection; grey months 37-60 = extension used only to locate break-even.</t>
  </si>
  <si>
    <t xml:space="preserve">Local Loyalty — monthly model: Bull scenario (CAD)</t>
  </si>
  <si>
    <t xml:space="preserve">Every cell is a formula driven by the Assumptions sheet (column G). Months 1-36 = projection; grey months 37-60 = extension used only to locate break-even.</t>
  </si>
  <si>
    <t xml:space="preserve">Sensitivity (static values pasted from model.py output/sensitivity.csv — re-run model.py to refresh)</t>
  </si>
  <si>
    <t xml:space="preserve">scenario</t>
  </si>
  <si>
    <t xml:space="preserve">lever</t>
  </si>
  <si>
    <t xml:space="preserve">value</t>
  </si>
  <si>
    <t xml:space="preserve">breakeven_month_36m</t>
  </si>
  <si>
    <t xml:space="preserve">breakeven_month_60m</t>
  </si>
  <si>
    <t xml:space="preserve">peak_cash_need_36m</t>
  </si>
  <si>
    <t xml:space="preserve">peak_cash_need_to_breakeven_60m</t>
  </si>
  <si>
    <t xml:space="preserve">m36_revenue</t>
  </si>
  <si>
    <t xml:space="preserve">m36_ebitda</t>
  </si>
  <si>
    <t xml:space="preserve">m36_paying_merchants</t>
  </si>
  <si>
    <t xml:space="preserve">ltv_cac</t>
  </si>
  <si>
    <t xml:space="preserve">payback_months</t>
  </si>
  <si>
    <t xml:space="preserve">base</t>
  </si>
  <si>
    <t xml:space="preserve">none</t>
  </si>
  <si>
    <t xml:space="preserve">developer_spend_multiplier</t>
  </si>
  <si>
    <t xml:space="preserve">lean_plan</t>
  </si>
  <si>
    <t xml:space="preserve">base: conversion_multiplier \ paid_churn (cell = cash needed to break-even / break-even month, 60m run)</t>
  </si>
  <si>
    <t xml:space="preserve">401897 / 60</t>
  </si>
  <si>
    <t xml:space="preserve">410367 / 60</t>
  </si>
  <si>
    <t xml:space="preserve">422220 / none</t>
  </si>
  <si>
    <t xml:space="preserve">432316 / none</t>
  </si>
  <si>
    <t xml:space="preserve">371344 / 54</t>
  </si>
  <si>
    <t xml:space="preserve">378366 / 54</t>
  </si>
  <si>
    <t xml:space="preserve">389556 / 57</t>
  </si>
  <si>
    <t xml:space="preserve">400967 / 60</t>
  </si>
  <si>
    <t xml:space="preserve">350973 / 51</t>
  </si>
  <si>
    <t xml:space="preserve">357308 / 51</t>
  </si>
  <si>
    <t xml:space="preserve">367151 / 54</t>
  </si>
  <si>
    <t xml:space="preserve">377223 / 57</t>
  </si>
  <si>
    <t xml:space="preserve">336477 / 48</t>
  </si>
  <si>
    <t xml:space="preserve">341789 / 49</t>
  </si>
  <si>
    <t xml:space="preserve">350854 / 51</t>
  </si>
  <si>
    <t xml:space="preserve">360015 / 54</t>
  </si>
  <si>
    <t xml:space="preserve">325113 / 46</t>
  </si>
  <si>
    <t xml:space="preserve">330154 / 48</t>
  </si>
  <si>
    <t xml:space="preserve">338085 / 49</t>
  </si>
  <si>
    <t xml:space="preserve">346871 / 51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</si>
</sst>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\$#,##0;&quot;($&quot;#,##0\);\-"/>
    <numFmt numFmtId="169" formatCode="0"/>
    <numFmt numFmtId="170" formatCode="#,##0;\(#,##0\);\-"/>
    <numFmt numFmtId="171" formatCode="0.0\x"/>
    <numFmt numFmtId="172" formatCode="#,##0.0;\(#,##0.0\);\-"/>
    <numFmt numFmtId="173" formatCode="0;0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sz val="8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3EA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DDE3EA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E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4"/>
    <col collapsed="false" customWidth="true" hidden="false" outlineLevel="0" max="7" min="3" style="0" width="14"/>
    <col collapsed="false" customWidth="true" hidden="false" outlineLevel="0" max="8" min="8" style="0" width="24"/>
    <col collapsed="false" customWidth="true" hidden="false" outlineLevel="0" max="9" min="9" style="0" width="9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</row>
    <row r="6" customFormat="false" ht="15" hidden="false" customHeight="false" outlineLevel="0" collapsed="false">
      <c r="A6" s="5" t="s">
        <v>11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</row>
    <row r="7" customFormat="false" ht="15" hidden="false" customHeight="false" outlineLevel="0" collapsed="false">
      <c r="A7" s="6" t="s">
        <v>12</v>
      </c>
      <c r="B7" s="6" t="s">
        <v>13</v>
      </c>
      <c r="C7" s="7" t="n">
        <v>36</v>
      </c>
      <c r="D7" s="6" t="n">
        <f aca="false">$C$7</f>
        <v>36</v>
      </c>
      <c r="E7" s="6" t="n">
        <f aca="false">$C$7</f>
        <v>36</v>
      </c>
      <c r="F7" s="6" t="n">
        <f aca="false">$C$7</f>
        <v>36</v>
      </c>
      <c r="G7" s="6" t="n">
        <f aca="false">$C$7</f>
        <v>36</v>
      </c>
      <c r="H7" s="6" t="s">
        <v>12</v>
      </c>
      <c r="I7" s="6" t="s">
        <v>14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</row>
    <row r="8" customFormat="false" ht="15" hidden="false" customHeight="false" outlineLevel="0" collapsed="false">
      <c r="A8" s="6" t="s">
        <v>15</v>
      </c>
      <c r="B8" s="6" t="s">
        <v>16</v>
      </c>
      <c r="C8" s="7" t="n">
        <v>60</v>
      </c>
      <c r="D8" s="6" t="n">
        <f aca="false">$C$8</f>
        <v>60</v>
      </c>
      <c r="E8" s="6" t="n">
        <f aca="false">$C$8</f>
        <v>60</v>
      </c>
      <c r="F8" s="6" t="n">
        <f aca="false">$C$8</f>
        <v>60</v>
      </c>
      <c r="G8" s="6" t="n">
        <f aca="false">$C$8</f>
        <v>60</v>
      </c>
      <c r="H8" s="6" t="s">
        <v>12</v>
      </c>
      <c r="I8" s="6" t="s">
        <v>17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</row>
    <row r="9" customFormat="false" ht="15" hidden="false" customHeight="false" outlineLevel="0" collapsed="false">
      <c r="A9" s="6" t="s">
        <v>18</v>
      </c>
      <c r="B9" s="6" t="s">
        <v>19</v>
      </c>
      <c r="C9" s="8" t="n">
        <v>0</v>
      </c>
      <c r="D9" s="9" t="n">
        <f aca="false">$C$9</f>
        <v>0</v>
      </c>
      <c r="E9" s="9" t="n">
        <f aca="false">$C$9</f>
        <v>0</v>
      </c>
      <c r="F9" s="9" t="n">
        <f aca="false">$C$9</f>
        <v>0</v>
      </c>
      <c r="G9" s="9" t="n">
        <f aca="false">$C$9</f>
        <v>0</v>
      </c>
      <c r="H9" s="6" t="s">
        <v>20</v>
      </c>
      <c r="I9" s="6" t="s">
        <v>21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</row>
    <row r="10" customFormat="false" ht="15" hidden="false" customHeight="false" outlineLevel="0" collapsed="false">
      <c r="A10" s="6" t="s">
        <v>22</v>
      </c>
      <c r="B10" s="6" t="s">
        <v>23</v>
      </c>
      <c r="C10" s="7" t="n">
        <v>27.2</v>
      </c>
      <c r="D10" s="10" t="n">
        <v>20.4</v>
      </c>
      <c r="E10" s="6" t="n">
        <f aca="false">$C$10</f>
        <v>27.2</v>
      </c>
      <c r="F10" s="6" t="n">
        <f aca="false">$C$10</f>
        <v>27.2</v>
      </c>
      <c r="G10" s="10" t="n">
        <v>32.3</v>
      </c>
      <c r="H10" s="6" t="s">
        <v>24</v>
      </c>
      <c r="I10" s="6" t="s">
        <v>25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</row>
    <row r="11" customFormat="false" ht="15" hidden="false" customHeight="false" outlineLevel="0" collapsed="false">
      <c r="A11" s="6" t="s">
        <v>26</v>
      </c>
      <c r="B11" s="6" t="s">
        <v>27</v>
      </c>
      <c r="C11" s="11" t="n">
        <v>0.6</v>
      </c>
      <c r="D11" s="12" t="n">
        <v>0.5</v>
      </c>
      <c r="E11" s="13" t="n">
        <f aca="false">$C$11</f>
        <v>0.6</v>
      </c>
      <c r="F11" s="13" t="n">
        <f aca="false">$C$11</f>
        <v>0.6</v>
      </c>
      <c r="G11" s="12" t="n">
        <v>0.7</v>
      </c>
      <c r="H11" s="6" t="s">
        <v>28</v>
      </c>
      <c r="I11" s="6" t="s">
        <v>29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</row>
    <row r="12" customFormat="false" ht="15" hidden="false" customHeight="false" outlineLevel="0" collapsed="false">
      <c r="A12" s="6" t="s">
        <v>30</v>
      </c>
      <c r="B12" s="6" t="s">
        <v>31</v>
      </c>
      <c r="C12" s="11" t="n">
        <v>0.015</v>
      </c>
      <c r="D12" s="12" t="n">
        <v>0.025</v>
      </c>
      <c r="E12" s="13" t="n">
        <f aca="false">$C$12</f>
        <v>0.015</v>
      </c>
      <c r="F12" s="13" t="n">
        <f aca="false">$C$12</f>
        <v>0.015</v>
      </c>
      <c r="G12" s="12" t="n">
        <v>0.01</v>
      </c>
      <c r="H12" s="6" t="s">
        <v>32</v>
      </c>
      <c r="I12" s="6" t="s">
        <v>33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</row>
    <row r="13" customFormat="false" ht="15" hidden="false" customHeight="false" outlineLevel="0" collapsed="false">
      <c r="A13" s="6" t="s">
        <v>34</v>
      </c>
      <c r="B13" s="6" t="s">
        <v>35</v>
      </c>
      <c r="C13" s="7" t="n">
        <v>75</v>
      </c>
      <c r="D13" s="10" t="n">
        <v>50</v>
      </c>
      <c r="E13" s="6" t="n">
        <f aca="false">$C$13</f>
        <v>75</v>
      </c>
      <c r="F13" s="6" t="n">
        <f aca="false">$C$13</f>
        <v>75</v>
      </c>
      <c r="G13" s="10" t="n">
        <v>100</v>
      </c>
      <c r="H13" s="6" t="s">
        <v>36</v>
      </c>
      <c r="I13" s="6" t="s">
        <v>37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</row>
    <row r="14" customFormat="false" ht="15" hidden="false" customHeight="false" outlineLevel="0" collapsed="false">
      <c r="A14" s="6" t="s">
        <v>38</v>
      </c>
      <c r="B14" s="6" t="s">
        <v>39</v>
      </c>
      <c r="C14" s="11" t="n">
        <v>0.35</v>
      </c>
      <c r="D14" s="13" t="n">
        <f aca="false">$C$14</f>
        <v>0.35</v>
      </c>
      <c r="E14" s="13" t="n">
        <f aca="false">$C$14</f>
        <v>0.35</v>
      </c>
      <c r="F14" s="13" t="n">
        <f aca="false">$C$14</f>
        <v>0.35</v>
      </c>
      <c r="G14" s="13" t="n">
        <f aca="false">$C$14</f>
        <v>0.35</v>
      </c>
      <c r="H14" s="6" t="s">
        <v>40</v>
      </c>
      <c r="I14" s="6" t="s">
        <v>41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</row>
    <row r="15" customFormat="false" ht="15" hidden="false" customHeight="false" outlineLevel="0" collapsed="false">
      <c r="A15" s="6" t="s">
        <v>42</v>
      </c>
      <c r="B15" s="6" t="s">
        <v>43</v>
      </c>
      <c r="C15" s="7" t="n">
        <v>1.4</v>
      </c>
      <c r="D15" s="6" t="n">
        <f aca="false">$C$15</f>
        <v>1.4</v>
      </c>
      <c r="E15" s="6" t="n">
        <f aca="false">$C$15</f>
        <v>1.4</v>
      </c>
      <c r="F15" s="6" t="n">
        <f aca="false">$C$15</f>
        <v>1.4</v>
      </c>
      <c r="G15" s="6" t="n">
        <f aca="false">$C$15</f>
        <v>1.4</v>
      </c>
      <c r="H15" s="6" t="s">
        <v>44</v>
      </c>
      <c r="I15" s="6" t="s">
        <v>45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</row>
    <row r="16" customFormat="false" ht="15" hidden="false" customHeight="false" outlineLevel="0" collapsed="false">
      <c r="A16" s="6" t="s">
        <v>46</v>
      </c>
      <c r="B16" s="6" t="s">
        <v>47</v>
      </c>
      <c r="C16" s="11" t="n">
        <v>0.04</v>
      </c>
      <c r="D16" s="13" t="n">
        <f aca="false">$C$16</f>
        <v>0.04</v>
      </c>
      <c r="E16" s="13" t="n">
        <f aca="false">$C$16</f>
        <v>0.04</v>
      </c>
      <c r="F16" s="13" t="n">
        <f aca="false">$C$16</f>
        <v>0.04</v>
      </c>
      <c r="G16" s="13" t="n">
        <f aca="false">$C$16</f>
        <v>0.04</v>
      </c>
      <c r="H16" s="6" t="s">
        <v>32</v>
      </c>
      <c r="I16" s="6" t="s">
        <v>48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</row>
    <row r="17" customFormat="false" ht="15" hidden="false" customHeight="false" outlineLevel="0" collapsed="false">
      <c r="A17" s="6" t="s">
        <v>49</v>
      </c>
      <c r="B17" s="6" t="s">
        <v>50</v>
      </c>
      <c r="C17" s="11" t="n">
        <v>0.35</v>
      </c>
      <c r="D17" s="13" t="n">
        <f aca="false">$C$17</f>
        <v>0.35</v>
      </c>
      <c r="E17" s="13" t="n">
        <f aca="false">$C$17</f>
        <v>0.35</v>
      </c>
      <c r="F17" s="13" t="n">
        <f aca="false">$C$17</f>
        <v>0.35</v>
      </c>
      <c r="G17" s="13" t="n">
        <f aca="false">$C$17</f>
        <v>0.35</v>
      </c>
      <c r="H17" s="6" t="s">
        <v>51</v>
      </c>
      <c r="I17" s="6" t="s">
        <v>52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</row>
    <row r="18" customFormat="false" ht="15" hidden="false" customHeight="false" outlineLevel="0" collapsed="false">
      <c r="A18" s="6" t="s">
        <v>53</v>
      </c>
      <c r="B18" s="6" t="s">
        <v>54</v>
      </c>
      <c r="C18" s="7" t="n">
        <v>150</v>
      </c>
      <c r="D18" s="6" t="n">
        <f aca="false">$C$18</f>
        <v>150</v>
      </c>
      <c r="E18" s="10" t="n">
        <v>100</v>
      </c>
      <c r="F18" s="10" t="n">
        <v>100</v>
      </c>
      <c r="G18" s="6" t="n">
        <f aca="false">$C$18</f>
        <v>150</v>
      </c>
      <c r="H18" s="6" t="s">
        <v>55</v>
      </c>
      <c r="I18" s="6" t="s">
        <v>56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</row>
    <row r="19" customFormat="false" ht="15" hidden="false" customHeight="false" outlineLevel="0" collapsed="false">
      <c r="A19" s="6" t="s">
        <v>57</v>
      </c>
      <c r="B19" s="6" t="s">
        <v>58</v>
      </c>
      <c r="C19" s="7" t="n">
        <v>10</v>
      </c>
      <c r="D19" s="6" t="n">
        <f aca="false">$C$19</f>
        <v>10</v>
      </c>
      <c r="E19" s="6" t="n">
        <f aca="false">$C$19</f>
        <v>10</v>
      </c>
      <c r="F19" s="6" t="n">
        <f aca="false">$C$19</f>
        <v>10</v>
      </c>
      <c r="G19" s="6" t="n">
        <f aca="false">$C$19</f>
        <v>10</v>
      </c>
      <c r="H19" s="6" t="s">
        <v>59</v>
      </c>
      <c r="I19" s="6" t="s">
        <v>60</v>
      </c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</row>
    <row r="20" customFormat="false" ht="15" hidden="false" customHeight="false" outlineLevel="0" collapsed="false">
      <c r="A20" s="6" t="s">
        <v>61</v>
      </c>
      <c r="B20" s="6" t="s">
        <v>62</v>
      </c>
      <c r="C20" s="7" t="n">
        <v>150</v>
      </c>
      <c r="D20" s="6" t="n">
        <f aca="false">$C$20</f>
        <v>150</v>
      </c>
      <c r="E20" s="10" t="n">
        <v>40</v>
      </c>
      <c r="F20" s="10" t="n">
        <v>40</v>
      </c>
      <c r="G20" s="6" t="n">
        <f aca="false">$C$20</f>
        <v>150</v>
      </c>
      <c r="H20" s="6" t="s">
        <v>55</v>
      </c>
      <c r="I20" s="6" t="s">
        <v>63</v>
      </c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</row>
    <row r="21" customFormat="false" ht="15" hidden="false" customHeight="false" outlineLevel="0" collapsed="false">
      <c r="A21" s="6" t="s">
        <v>64</v>
      </c>
      <c r="B21" s="6" t="s">
        <v>65</v>
      </c>
      <c r="C21" s="7" t="n">
        <v>10</v>
      </c>
      <c r="D21" s="6" t="n">
        <f aca="false">$C$21</f>
        <v>10</v>
      </c>
      <c r="E21" s="10" t="n">
        <v>8</v>
      </c>
      <c r="F21" s="10" t="n">
        <v>8</v>
      </c>
      <c r="G21" s="6" t="n">
        <f aca="false">$C$21</f>
        <v>10</v>
      </c>
      <c r="H21" s="6" t="s">
        <v>59</v>
      </c>
      <c r="I21" s="6" t="s">
        <v>60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</row>
    <row r="22" customFormat="false" ht="15" hidden="false" customHeight="false" outlineLevel="0" collapsed="false">
      <c r="A22" s="6" t="s">
        <v>66</v>
      </c>
      <c r="B22" s="6" t="s">
        <v>67</v>
      </c>
      <c r="C22" s="7" t="n">
        <v>100</v>
      </c>
      <c r="D22" s="6" t="n">
        <f aca="false">$C$22</f>
        <v>100</v>
      </c>
      <c r="E22" s="6" t="n">
        <f aca="false">$C$22</f>
        <v>100</v>
      </c>
      <c r="F22" s="6" t="n">
        <f aca="false">$C$22</f>
        <v>100</v>
      </c>
      <c r="G22" s="6" t="n">
        <f aca="false">$C$22</f>
        <v>100</v>
      </c>
      <c r="H22" s="6" t="s">
        <v>55</v>
      </c>
      <c r="I22" s="6" t="s">
        <v>68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</row>
    <row r="23" customFormat="false" ht="15" hidden="false" customHeight="false" outlineLevel="0" collapsed="false">
      <c r="A23" s="6" t="s">
        <v>69</v>
      </c>
      <c r="B23" s="6" t="s">
        <v>70</v>
      </c>
      <c r="C23" s="7" t="n">
        <v>400</v>
      </c>
      <c r="D23" s="6" t="n">
        <f aca="false">$C$23</f>
        <v>400</v>
      </c>
      <c r="E23" s="10" t="n">
        <v>300</v>
      </c>
      <c r="F23" s="10" t="n">
        <v>300</v>
      </c>
      <c r="G23" s="6" t="n">
        <f aca="false">$C$23</f>
        <v>400</v>
      </c>
      <c r="H23" s="6" t="s">
        <v>55</v>
      </c>
      <c r="I23" s="6" t="s">
        <v>71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</row>
    <row r="24" customFormat="false" ht="15" hidden="false" customHeight="false" outlineLevel="0" collapsed="false">
      <c r="A24" s="6" t="s">
        <v>72</v>
      </c>
      <c r="B24" s="6" t="s">
        <v>73</v>
      </c>
      <c r="C24" s="7" t="n">
        <v>18</v>
      </c>
      <c r="D24" s="6" t="n">
        <f aca="false">$C$24</f>
        <v>18</v>
      </c>
      <c r="E24" s="6" t="n">
        <f aca="false">$C$24</f>
        <v>18</v>
      </c>
      <c r="F24" s="6" t="n">
        <f aca="false">$C$24</f>
        <v>18</v>
      </c>
      <c r="G24" s="6" t="n">
        <f aca="false">$C$24</f>
        <v>18</v>
      </c>
      <c r="H24" s="6" t="s">
        <v>59</v>
      </c>
      <c r="I24" s="6" t="s">
        <v>74</v>
      </c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</row>
    <row r="25" customFormat="false" ht="15" hidden="false" customHeight="false" outlineLevel="0" collapsed="false">
      <c r="A25" s="6" t="s">
        <v>75</v>
      </c>
      <c r="B25" s="6" t="s">
        <v>76</v>
      </c>
      <c r="C25" s="11" t="n">
        <v>0.35</v>
      </c>
      <c r="D25" s="13" t="n">
        <f aca="false">$C$25</f>
        <v>0.35</v>
      </c>
      <c r="E25" s="13" t="n">
        <f aca="false">$C$25</f>
        <v>0.35</v>
      </c>
      <c r="F25" s="13" t="n">
        <f aca="false">$C$25</f>
        <v>0.35</v>
      </c>
      <c r="G25" s="13" t="n">
        <f aca="false">$C$25</f>
        <v>0.35</v>
      </c>
      <c r="H25" s="6" t="s">
        <v>77</v>
      </c>
      <c r="I25" s="6" t="s">
        <v>78</v>
      </c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</row>
    <row r="26" customFormat="false" ht="15" hidden="false" customHeight="false" outlineLevel="0" collapsed="false">
      <c r="A26" s="6" t="s">
        <v>79</v>
      </c>
      <c r="B26" s="6" t="s">
        <v>80</v>
      </c>
      <c r="C26" s="11" t="n">
        <v>0.25</v>
      </c>
      <c r="D26" s="13" t="n">
        <f aca="false">$C$26</f>
        <v>0.25</v>
      </c>
      <c r="E26" s="13" t="n">
        <f aca="false">$C$26</f>
        <v>0.25</v>
      </c>
      <c r="F26" s="13" t="n">
        <f aca="false">$C$26</f>
        <v>0.25</v>
      </c>
      <c r="G26" s="13" t="n">
        <f aca="false">$C$26</f>
        <v>0.25</v>
      </c>
      <c r="H26" s="6" t="s">
        <v>77</v>
      </c>
      <c r="I26" s="6" t="s">
        <v>3</v>
      </c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</row>
    <row r="27" customFormat="false" ht="15" hidden="false" customHeight="false" outlineLevel="0" collapsed="false">
      <c r="A27" s="6" t="s">
        <v>81</v>
      </c>
      <c r="B27" s="6" t="s">
        <v>82</v>
      </c>
      <c r="C27" s="11" t="n">
        <v>0.2</v>
      </c>
      <c r="D27" s="13" t="n">
        <f aca="false">$C$27</f>
        <v>0.2</v>
      </c>
      <c r="E27" s="13" t="n">
        <f aca="false">$C$27</f>
        <v>0.2</v>
      </c>
      <c r="F27" s="13" t="n">
        <f aca="false">$C$27</f>
        <v>0.2</v>
      </c>
      <c r="G27" s="13" t="n">
        <f aca="false">$C$27</f>
        <v>0.2</v>
      </c>
      <c r="H27" s="6" t="s">
        <v>77</v>
      </c>
      <c r="I27" s="6" t="s">
        <v>83</v>
      </c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</row>
    <row r="28" customFormat="false" ht="15" hidden="false" customHeight="false" outlineLevel="0" collapsed="false">
      <c r="A28" s="6" t="s">
        <v>84</v>
      </c>
      <c r="B28" s="6" t="s">
        <v>85</v>
      </c>
      <c r="C28" s="11" t="n">
        <v>0.12</v>
      </c>
      <c r="D28" s="13" t="n">
        <f aca="false">$C$28</f>
        <v>0.12</v>
      </c>
      <c r="E28" s="13" t="n">
        <f aca="false">$C$28</f>
        <v>0.12</v>
      </c>
      <c r="F28" s="13" t="n">
        <f aca="false">$C$28</f>
        <v>0.12</v>
      </c>
      <c r="G28" s="13" t="n">
        <f aca="false">$C$28</f>
        <v>0.12</v>
      </c>
      <c r="H28" s="6" t="s">
        <v>77</v>
      </c>
      <c r="I28" s="6" t="s">
        <v>3</v>
      </c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</row>
    <row r="29" customFormat="false" ht="15" hidden="false" customHeight="false" outlineLevel="0" collapsed="false">
      <c r="A29" s="6" t="s">
        <v>86</v>
      </c>
      <c r="B29" s="6" t="s">
        <v>87</v>
      </c>
      <c r="C29" s="11" t="n">
        <v>0.08</v>
      </c>
      <c r="D29" s="13" t="n">
        <f aca="false">$C$29</f>
        <v>0.08</v>
      </c>
      <c r="E29" s="13" t="n">
        <f aca="false">$C$29</f>
        <v>0.08</v>
      </c>
      <c r="F29" s="13" t="n">
        <f aca="false">$C$29</f>
        <v>0.08</v>
      </c>
      <c r="G29" s="13" t="n">
        <f aca="false">$C$29</f>
        <v>0.08</v>
      </c>
      <c r="H29" s="6" t="s">
        <v>77</v>
      </c>
      <c r="I29" s="6" t="s">
        <v>3</v>
      </c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</row>
    <row r="30" customFormat="false" ht="15" hidden="false" customHeight="false" outlineLevel="0" collapsed="false">
      <c r="A30" s="6" t="s">
        <v>88</v>
      </c>
      <c r="B30" s="6" t="s">
        <v>89</v>
      </c>
      <c r="C30" s="11" t="n">
        <v>0.43</v>
      </c>
      <c r="D30" s="13" t="n">
        <f aca="false">$C$30</f>
        <v>0.43</v>
      </c>
      <c r="E30" s="13" t="n">
        <f aca="false">$C$30</f>
        <v>0.43</v>
      </c>
      <c r="F30" s="13" t="n">
        <f aca="false">$C$30</f>
        <v>0.43</v>
      </c>
      <c r="G30" s="13" t="n">
        <f aca="false">$C$30</f>
        <v>0.43</v>
      </c>
      <c r="H30" s="6" t="s">
        <v>90</v>
      </c>
      <c r="I30" s="6" t="s">
        <v>91</v>
      </c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</row>
    <row r="31" customFormat="false" ht="15" hidden="false" customHeight="false" outlineLevel="0" collapsed="false">
      <c r="A31" s="6" t="s">
        <v>92</v>
      </c>
      <c r="B31" s="6" t="s">
        <v>93</v>
      </c>
      <c r="C31" s="11" t="n">
        <v>0.26</v>
      </c>
      <c r="D31" s="13" t="n">
        <f aca="false">$C$31</f>
        <v>0.26</v>
      </c>
      <c r="E31" s="13" t="n">
        <f aca="false">$C$31</f>
        <v>0.26</v>
      </c>
      <c r="F31" s="13" t="n">
        <f aca="false">$C$31</f>
        <v>0.26</v>
      </c>
      <c r="G31" s="13" t="n">
        <f aca="false">$C$31</f>
        <v>0.26</v>
      </c>
      <c r="H31" s="6" t="s">
        <v>90</v>
      </c>
      <c r="I31" s="6" t="s">
        <v>94</v>
      </c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</row>
    <row r="32" customFormat="false" ht="15" hidden="false" customHeight="false" outlineLevel="0" collapsed="false">
      <c r="A32" s="6" t="s">
        <v>95</v>
      </c>
      <c r="B32" s="6" t="s">
        <v>96</v>
      </c>
      <c r="C32" s="11" t="n">
        <v>0.45</v>
      </c>
      <c r="D32" s="13" t="n">
        <f aca="false">$C$32</f>
        <v>0.45</v>
      </c>
      <c r="E32" s="13" t="n">
        <f aca="false">$C$32</f>
        <v>0.45</v>
      </c>
      <c r="F32" s="13" t="n">
        <f aca="false">$C$32</f>
        <v>0.45</v>
      </c>
      <c r="G32" s="13" t="n">
        <f aca="false">$C$32</f>
        <v>0.45</v>
      </c>
      <c r="H32" s="6" t="s">
        <v>90</v>
      </c>
      <c r="I32" s="6" t="s">
        <v>97</v>
      </c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</row>
    <row r="33" customFormat="false" ht="15" hidden="false" customHeight="false" outlineLevel="0" collapsed="false">
      <c r="A33" s="6" t="s">
        <v>98</v>
      </c>
      <c r="B33" s="6" t="s">
        <v>99</v>
      </c>
      <c r="C33" s="11" t="n">
        <v>0.32</v>
      </c>
      <c r="D33" s="13" t="n">
        <f aca="false">$C$33</f>
        <v>0.32</v>
      </c>
      <c r="E33" s="13" t="n">
        <f aca="false">$C$33</f>
        <v>0.32</v>
      </c>
      <c r="F33" s="13" t="n">
        <f aca="false">$C$33</f>
        <v>0.32</v>
      </c>
      <c r="G33" s="13" t="n">
        <f aca="false">$C$33</f>
        <v>0.32</v>
      </c>
      <c r="H33" s="6" t="s">
        <v>90</v>
      </c>
      <c r="I33" s="6" t="s">
        <v>100</v>
      </c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</row>
    <row r="34" customFormat="false" ht="15" hidden="false" customHeight="false" outlineLevel="0" collapsed="false">
      <c r="A34" s="6" t="s">
        <v>101</v>
      </c>
      <c r="B34" s="6" t="s">
        <v>102</v>
      </c>
      <c r="C34" s="11" t="n">
        <v>0.1</v>
      </c>
      <c r="D34" s="13" t="n">
        <f aca="false">$C$34</f>
        <v>0.1</v>
      </c>
      <c r="E34" s="13" t="n">
        <f aca="false">$C$34</f>
        <v>0.1</v>
      </c>
      <c r="F34" s="13" t="n">
        <f aca="false">$C$34</f>
        <v>0.1</v>
      </c>
      <c r="G34" s="13" t="n">
        <f aca="false">$C$34</f>
        <v>0.1</v>
      </c>
      <c r="H34" s="6" t="s">
        <v>90</v>
      </c>
      <c r="I34" s="6" t="s">
        <v>103</v>
      </c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</row>
    <row r="35" customFormat="false" ht="15" hidden="false" customHeight="false" outlineLevel="0" collapsed="false">
      <c r="A35" s="6" t="s">
        <v>104</v>
      </c>
      <c r="B35" s="6" t="s">
        <v>105</v>
      </c>
      <c r="C35" s="11" t="n">
        <v>0.05</v>
      </c>
      <c r="D35" s="13" t="n">
        <f aca="false">$C$35</f>
        <v>0.05</v>
      </c>
      <c r="E35" s="13" t="n">
        <f aca="false">$C$35</f>
        <v>0.05</v>
      </c>
      <c r="F35" s="13" t="n">
        <f aca="false">$C$35</f>
        <v>0.05</v>
      </c>
      <c r="G35" s="13" t="n">
        <f aca="false">$C$35</f>
        <v>0.05</v>
      </c>
      <c r="H35" s="6" t="s">
        <v>106</v>
      </c>
      <c r="I35" s="6" t="s">
        <v>3</v>
      </c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</row>
    <row r="36" customFormat="false" ht="15" hidden="false" customHeight="false" outlineLevel="0" collapsed="false">
      <c r="A36" s="6" t="s">
        <v>107</v>
      </c>
      <c r="B36" s="6" t="s">
        <v>108</v>
      </c>
      <c r="C36" s="11" t="n">
        <v>0.05</v>
      </c>
      <c r="D36" s="13" t="n">
        <f aca="false">$C$36</f>
        <v>0.05</v>
      </c>
      <c r="E36" s="13" t="n">
        <f aca="false">$C$36</f>
        <v>0.05</v>
      </c>
      <c r="F36" s="13" t="n">
        <f aca="false">$C$36</f>
        <v>0.05</v>
      </c>
      <c r="G36" s="13" t="n">
        <f aca="false">$C$36</f>
        <v>0.05</v>
      </c>
      <c r="H36" s="6" t="s">
        <v>106</v>
      </c>
      <c r="I36" s="6" t="s">
        <v>3</v>
      </c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</row>
    <row r="37" customFormat="false" ht="15" hidden="false" customHeight="false" outlineLevel="0" collapsed="false">
      <c r="A37" s="6" t="s">
        <v>109</v>
      </c>
      <c r="B37" s="6" t="s">
        <v>110</v>
      </c>
      <c r="C37" s="11" t="n">
        <v>0.85</v>
      </c>
      <c r="D37" s="13" t="n">
        <f aca="false">$C$37</f>
        <v>0.85</v>
      </c>
      <c r="E37" s="13" t="n">
        <f aca="false">$C$37</f>
        <v>0.85</v>
      </c>
      <c r="F37" s="13" t="n">
        <f aca="false">$C$37</f>
        <v>0.85</v>
      </c>
      <c r="G37" s="13" t="n">
        <f aca="false">$C$37</f>
        <v>0.85</v>
      </c>
      <c r="H37" s="6" t="s">
        <v>106</v>
      </c>
      <c r="I37" s="6" t="s">
        <v>111</v>
      </c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</row>
    <row r="38" customFormat="false" ht="15" hidden="false" customHeight="false" outlineLevel="0" collapsed="false">
      <c r="A38" s="6" t="s">
        <v>112</v>
      </c>
      <c r="B38" s="6" t="s">
        <v>113</v>
      </c>
      <c r="C38" s="11" t="n">
        <v>0.3</v>
      </c>
      <c r="D38" s="13" t="n">
        <f aca="false">$C$38</f>
        <v>0.3</v>
      </c>
      <c r="E38" s="13" t="n">
        <f aca="false">$C$38</f>
        <v>0.3</v>
      </c>
      <c r="F38" s="13" t="n">
        <f aca="false">$C$38</f>
        <v>0.3</v>
      </c>
      <c r="G38" s="13" t="n">
        <f aca="false">$C$38</f>
        <v>0.3</v>
      </c>
      <c r="H38" s="6" t="s">
        <v>106</v>
      </c>
      <c r="I38" s="6" t="s">
        <v>114</v>
      </c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</row>
    <row r="39" customFormat="false" ht="15" hidden="false" customHeight="false" outlineLevel="0" collapsed="false">
      <c r="A39" s="6" t="s">
        <v>115</v>
      </c>
      <c r="B39" s="6" t="s">
        <v>116</v>
      </c>
      <c r="C39" s="11" t="n">
        <v>0</v>
      </c>
      <c r="D39" s="13" t="n">
        <f aca="false">$C$39</f>
        <v>0</v>
      </c>
      <c r="E39" s="13" t="n">
        <f aca="false">$C$39</f>
        <v>0</v>
      </c>
      <c r="F39" s="13" t="n">
        <f aca="false">$C$39</f>
        <v>0</v>
      </c>
      <c r="G39" s="13" t="n">
        <f aca="false">$C$39</f>
        <v>0</v>
      </c>
      <c r="H39" s="6" t="s">
        <v>106</v>
      </c>
      <c r="I39" s="6" t="s">
        <v>3</v>
      </c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</row>
    <row r="40" customFormat="false" ht="15" hidden="false" customHeight="false" outlineLevel="0" collapsed="false">
      <c r="A40" s="6" t="s">
        <v>117</v>
      </c>
      <c r="B40" s="6" t="s">
        <v>118</v>
      </c>
      <c r="C40" s="7" t="n">
        <v>1</v>
      </c>
      <c r="D40" s="10" t="n">
        <v>0.513</v>
      </c>
      <c r="E40" s="6" t="n">
        <f aca="false">$C$40</f>
        <v>1</v>
      </c>
      <c r="F40" s="6" t="n">
        <f aca="false">$C$40</f>
        <v>1</v>
      </c>
      <c r="G40" s="10" t="n">
        <v>1.385</v>
      </c>
      <c r="H40" s="6" t="s">
        <v>119</v>
      </c>
      <c r="I40" s="6" t="s">
        <v>120</v>
      </c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</row>
    <row r="41" customFormat="false" ht="15" hidden="false" customHeight="false" outlineLevel="0" collapsed="false">
      <c r="A41" s="6" t="s">
        <v>121</v>
      </c>
      <c r="B41" s="6" t="s">
        <v>122</v>
      </c>
      <c r="C41" s="11" t="n">
        <v>0.03</v>
      </c>
      <c r="D41" s="12" t="n">
        <v>0.045</v>
      </c>
      <c r="E41" s="13" t="n">
        <f aca="false">$C$41</f>
        <v>0.03</v>
      </c>
      <c r="F41" s="13" t="n">
        <f aca="false">$C$41</f>
        <v>0.03</v>
      </c>
      <c r="G41" s="12" t="n">
        <v>0.0225</v>
      </c>
      <c r="H41" s="6" t="s">
        <v>32</v>
      </c>
      <c r="I41" s="6" t="s">
        <v>123</v>
      </c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</row>
    <row r="42" customFormat="false" ht="15" hidden="false" customHeight="false" outlineLevel="0" collapsed="false">
      <c r="A42" s="6" t="s">
        <v>124</v>
      </c>
      <c r="B42" s="6" t="s">
        <v>125</v>
      </c>
      <c r="C42" s="8" t="n">
        <v>39</v>
      </c>
      <c r="D42" s="9" t="n">
        <f aca="false">$C$42</f>
        <v>39</v>
      </c>
      <c r="E42" s="9" t="n">
        <f aca="false">$C$42</f>
        <v>39</v>
      </c>
      <c r="F42" s="9" t="n">
        <f aca="false">$C$42</f>
        <v>39</v>
      </c>
      <c r="G42" s="9" t="n">
        <f aca="false">$C$42</f>
        <v>39</v>
      </c>
      <c r="H42" s="6" t="s">
        <v>126</v>
      </c>
      <c r="I42" s="6" t="s">
        <v>127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</row>
    <row r="43" customFormat="false" ht="15" hidden="false" customHeight="false" outlineLevel="0" collapsed="false">
      <c r="A43" s="6" t="s">
        <v>128</v>
      </c>
      <c r="B43" s="6" t="s">
        <v>129</v>
      </c>
      <c r="C43" s="8" t="n">
        <v>79</v>
      </c>
      <c r="D43" s="9" t="n">
        <f aca="false">$C$43</f>
        <v>79</v>
      </c>
      <c r="E43" s="9" t="n">
        <f aca="false">$C$43</f>
        <v>79</v>
      </c>
      <c r="F43" s="9" t="n">
        <f aca="false">$C$43</f>
        <v>79</v>
      </c>
      <c r="G43" s="9" t="n">
        <f aca="false">$C$43</f>
        <v>79</v>
      </c>
      <c r="H43" s="6" t="s">
        <v>126</v>
      </c>
      <c r="I43" s="6" t="s">
        <v>130</v>
      </c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</row>
    <row r="44" customFormat="false" ht="15" hidden="false" customHeight="false" outlineLevel="0" collapsed="false">
      <c r="A44" s="6" t="s">
        <v>131</v>
      </c>
      <c r="B44" s="6" t="s">
        <v>132</v>
      </c>
      <c r="C44" s="14" t="n">
        <v>0.0075</v>
      </c>
      <c r="D44" s="15" t="n">
        <f aca="false">$C$44</f>
        <v>0.0075</v>
      </c>
      <c r="E44" s="15" t="n">
        <f aca="false">$C$44</f>
        <v>0.0075</v>
      </c>
      <c r="F44" s="15" t="n">
        <f aca="false">$C$44</f>
        <v>0.0075</v>
      </c>
      <c r="G44" s="15" t="n">
        <f aca="false">$C$44</f>
        <v>0.0075</v>
      </c>
      <c r="H44" s="6" t="s">
        <v>133</v>
      </c>
      <c r="I44" s="6" t="s">
        <v>134</v>
      </c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</row>
    <row r="45" customFormat="false" ht="15" hidden="false" customHeight="false" outlineLevel="0" collapsed="false">
      <c r="A45" s="6" t="s">
        <v>135</v>
      </c>
      <c r="B45" s="6" t="s">
        <v>136</v>
      </c>
      <c r="C45" s="11" t="n">
        <v>0.6</v>
      </c>
      <c r="D45" s="12" t="n">
        <v>0.4</v>
      </c>
      <c r="E45" s="13" t="n">
        <f aca="false">$C$45</f>
        <v>0.6</v>
      </c>
      <c r="F45" s="13" t="n">
        <f aca="false">$C$45</f>
        <v>0.6</v>
      </c>
      <c r="G45" s="12" t="n">
        <v>0.75</v>
      </c>
      <c r="H45" s="6" t="s">
        <v>137</v>
      </c>
      <c r="I45" s="6" t="s">
        <v>138</v>
      </c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</row>
    <row r="46" customFormat="false" ht="15" hidden="false" customHeight="false" outlineLevel="0" collapsed="false">
      <c r="A46" s="6" t="s">
        <v>139</v>
      </c>
      <c r="B46" s="6" t="s">
        <v>140</v>
      </c>
      <c r="C46" s="8" t="n">
        <v>2500</v>
      </c>
      <c r="D46" s="9" t="n">
        <f aca="false">$C$46</f>
        <v>2500</v>
      </c>
      <c r="E46" s="9" t="n">
        <f aca="false">$C$46</f>
        <v>2500</v>
      </c>
      <c r="F46" s="9" t="n">
        <f aca="false">$C$46</f>
        <v>2500</v>
      </c>
      <c r="G46" s="9" t="n">
        <f aca="false">$C$46</f>
        <v>2500</v>
      </c>
      <c r="H46" s="6" t="s">
        <v>126</v>
      </c>
      <c r="I46" s="6" t="s">
        <v>141</v>
      </c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</row>
    <row r="47" customFormat="false" ht="15" hidden="false" customHeight="false" outlineLevel="0" collapsed="false">
      <c r="A47" s="6" t="s">
        <v>142</v>
      </c>
      <c r="B47" s="6" t="s">
        <v>143</v>
      </c>
      <c r="C47" s="8" t="n">
        <v>6000</v>
      </c>
      <c r="D47" s="9" t="n">
        <f aca="false">$C$47</f>
        <v>6000</v>
      </c>
      <c r="E47" s="9" t="n">
        <f aca="false">$C$47</f>
        <v>6000</v>
      </c>
      <c r="F47" s="9" t="n">
        <f aca="false">$C$47</f>
        <v>6000</v>
      </c>
      <c r="G47" s="9" t="n">
        <f aca="false">$C$47</f>
        <v>6000</v>
      </c>
      <c r="H47" s="6" t="s">
        <v>126</v>
      </c>
      <c r="I47" s="6" t="s">
        <v>144</v>
      </c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</row>
    <row r="48" customFormat="false" ht="15" hidden="false" customHeight="false" outlineLevel="0" collapsed="false">
      <c r="A48" s="6" t="s">
        <v>145</v>
      </c>
      <c r="B48" s="6" t="s">
        <v>146</v>
      </c>
      <c r="C48" s="8" t="n">
        <v>35</v>
      </c>
      <c r="D48" s="9" t="n">
        <f aca="false">$C$48</f>
        <v>35</v>
      </c>
      <c r="E48" s="9" t="n">
        <f aca="false">$C$48</f>
        <v>35</v>
      </c>
      <c r="F48" s="9" t="n">
        <f aca="false">$C$48</f>
        <v>35</v>
      </c>
      <c r="G48" s="9" t="n">
        <f aca="false">$C$48</f>
        <v>35</v>
      </c>
      <c r="H48" s="6" t="s">
        <v>20</v>
      </c>
      <c r="I48" s="6" t="s">
        <v>147</v>
      </c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</row>
    <row r="49" customFormat="false" ht="15" hidden="false" customHeight="false" outlineLevel="0" collapsed="false">
      <c r="A49" s="6" t="s">
        <v>148</v>
      </c>
      <c r="B49" s="6" t="s">
        <v>149</v>
      </c>
      <c r="C49" s="14" t="n">
        <v>0.029</v>
      </c>
      <c r="D49" s="15" t="n">
        <f aca="false">$C$49</f>
        <v>0.029</v>
      </c>
      <c r="E49" s="15" t="n">
        <f aca="false">$C$49</f>
        <v>0.029</v>
      </c>
      <c r="F49" s="15" t="n">
        <f aca="false">$C$49</f>
        <v>0.029</v>
      </c>
      <c r="G49" s="15" t="n">
        <f aca="false">$C$49</f>
        <v>0.029</v>
      </c>
      <c r="H49" s="6" t="s">
        <v>150</v>
      </c>
      <c r="I49" s="6" t="s">
        <v>151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</row>
    <row r="50" customFormat="false" ht="15" hidden="false" customHeight="false" outlineLevel="0" collapsed="false">
      <c r="A50" s="6" t="s">
        <v>152</v>
      </c>
      <c r="B50" s="6" t="s">
        <v>153</v>
      </c>
      <c r="C50" s="8" t="n">
        <v>0.3</v>
      </c>
      <c r="D50" s="9" t="n">
        <f aca="false">$C$50</f>
        <v>0.3</v>
      </c>
      <c r="E50" s="9" t="n">
        <f aca="false">$C$50</f>
        <v>0.3</v>
      </c>
      <c r="F50" s="9" t="n">
        <f aca="false">$C$50</f>
        <v>0.3</v>
      </c>
      <c r="G50" s="9" t="n">
        <f aca="false">$C$50</f>
        <v>0.3</v>
      </c>
      <c r="H50" s="6" t="s">
        <v>154</v>
      </c>
      <c r="I50" s="6" t="s">
        <v>155</v>
      </c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</row>
    <row r="51" customFormat="false" ht="15" hidden="false" customHeight="false" outlineLevel="0" collapsed="false">
      <c r="A51" s="6" t="s">
        <v>156</v>
      </c>
      <c r="B51" s="6" t="s">
        <v>157</v>
      </c>
      <c r="C51" s="14" t="n">
        <v>0.0025</v>
      </c>
      <c r="D51" s="15" t="n">
        <f aca="false">$C$51</f>
        <v>0.0025</v>
      </c>
      <c r="E51" s="15" t="n">
        <f aca="false">$C$51</f>
        <v>0.0025</v>
      </c>
      <c r="F51" s="15" t="n">
        <f aca="false">$C$51</f>
        <v>0.0025</v>
      </c>
      <c r="G51" s="15" t="n">
        <f aca="false">$C$51</f>
        <v>0.0025</v>
      </c>
      <c r="H51" s="6" t="s">
        <v>150</v>
      </c>
      <c r="I51" s="6" t="s">
        <v>158</v>
      </c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</row>
    <row r="52" customFormat="false" ht="15" hidden="false" customHeight="false" outlineLevel="0" collapsed="false">
      <c r="A52" s="6" t="s">
        <v>159</v>
      </c>
      <c r="B52" s="6" t="s">
        <v>160</v>
      </c>
      <c r="C52" s="8" t="n">
        <v>2</v>
      </c>
      <c r="D52" s="9" t="n">
        <f aca="false">$C$52</f>
        <v>2</v>
      </c>
      <c r="E52" s="9" t="n">
        <f aca="false">$C$52</f>
        <v>2</v>
      </c>
      <c r="F52" s="9" t="n">
        <f aca="false">$C$52</f>
        <v>2</v>
      </c>
      <c r="G52" s="9" t="n">
        <f aca="false">$C$52</f>
        <v>2</v>
      </c>
      <c r="H52" s="6" t="s">
        <v>161</v>
      </c>
      <c r="I52" s="6" t="s">
        <v>162</v>
      </c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</row>
    <row r="53" customFormat="false" ht="15" hidden="false" customHeight="false" outlineLevel="0" collapsed="false">
      <c r="A53" s="6" t="s">
        <v>163</v>
      </c>
      <c r="B53" s="6" t="s">
        <v>164</v>
      </c>
      <c r="C53" s="11" t="n">
        <v>0.034</v>
      </c>
      <c r="D53" s="13" t="n">
        <f aca="false">$C$53</f>
        <v>0.034</v>
      </c>
      <c r="E53" s="13" t="n">
        <f aca="false">$C$53</f>
        <v>0.034</v>
      </c>
      <c r="F53" s="13" t="n">
        <f aca="false">$C$53</f>
        <v>0.034</v>
      </c>
      <c r="G53" s="13" t="n">
        <f aca="false">$C$53</f>
        <v>0.034</v>
      </c>
      <c r="H53" s="6" t="s">
        <v>165</v>
      </c>
      <c r="I53" s="6" t="s">
        <v>166</v>
      </c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</row>
    <row r="54" customFormat="false" ht="15" hidden="false" customHeight="false" outlineLevel="0" collapsed="false">
      <c r="A54" s="6" t="s">
        <v>167</v>
      </c>
      <c r="B54" s="6" t="s">
        <v>168</v>
      </c>
      <c r="C54" s="8" t="n">
        <v>0.3</v>
      </c>
      <c r="D54" s="9" t="n">
        <f aca="false">$C$54</f>
        <v>0.3</v>
      </c>
      <c r="E54" s="9" t="n">
        <f aca="false">$C$54</f>
        <v>0.3</v>
      </c>
      <c r="F54" s="9" t="n">
        <f aca="false">$C$54</f>
        <v>0.3</v>
      </c>
      <c r="G54" s="9" t="n">
        <f aca="false">$C$54</f>
        <v>0.3</v>
      </c>
      <c r="H54" s="6" t="s">
        <v>169</v>
      </c>
      <c r="I54" s="6" t="s">
        <v>170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</row>
    <row r="55" customFormat="false" ht="15" hidden="false" customHeight="false" outlineLevel="0" collapsed="false">
      <c r="A55" s="6" t="s">
        <v>171</v>
      </c>
      <c r="B55" s="6" t="s">
        <v>172</v>
      </c>
      <c r="C55" s="8" t="n">
        <v>0.022</v>
      </c>
      <c r="D55" s="9" t="n">
        <f aca="false">$C$55</f>
        <v>0.022</v>
      </c>
      <c r="E55" s="9" t="n">
        <f aca="false">$C$55</f>
        <v>0.022</v>
      </c>
      <c r="F55" s="9" t="n">
        <f aca="false">$C$55</f>
        <v>0.022</v>
      </c>
      <c r="G55" s="9" t="n">
        <f aca="false">$C$55</f>
        <v>0.022</v>
      </c>
      <c r="H55" s="6" t="s">
        <v>173</v>
      </c>
      <c r="I55" s="6" t="s">
        <v>174</v>
      </c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</row>
    <row r="56" customFormat="false" ht="15" hidden="false" customHeight="false" outlineLevel="0" collapsed="false">
      <c r="A56" s="6" t="s">
        <v>175</v>
      </c>
      <c r="B56" s="6" t="s">
        <v>176</v>
      </c>
      <c r="C56" s="7" t="n">
        <v>300</v>
      </c>
      <c r="D56" s="6" t="n">
        <f aca="false">$C$56</f>
        <v>300</v>
      </c>
      <c r="E56" s="6" t="n">
        <f aca="false">$C$56</f>
        <v>300</v>
      </c>
      <c r="F56" s="6" t="n">
        <f aca="false">$C$56</f>
        <v>300</v>
      </c>
      <c r="G56" s="6" t="n">
        <f aca="false">$C$56</f>
        <v>300</v>
      </c>
      <c r="H56" s="6" t="s">
        <v>177</v>
      </c>
      <c r="I56" s="6" t="s">
        <v>178</v>
      </c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</row>
    <row r="57" customFormat="false" ht="15" hidden="false" customHeight="false" outlineLevel="0" collapsed="false">
      <c r="A57" s="6" t="s">
        <v>179</v>
      </c>
      <c r="B57" s="6" t="s">
        <v>180</v>
      </c>
      <c r="C57" s="7" t="n">
        <v>900</v>
      </c>
      <c r="D57" s="6" t="n">
        <f aca="false">$C$57</f>
        <v>900</v>
      </c>
      <c r="E57" s="6" t="n">
        <f aca="false">$C$57</f>
        <v>900</v>
      </c>
      <c r="F57" s="6" t="n">
        <f aca="false">$C$57</f>
        <v>900</v>
      </c>
      <c r="G57" s="6" t="n">
        <f aca="false">$C$57</f>
        <v>900</v>
      </c>
      <c r="H57" s="6" t="s">
        <v>177</v>
      </c>
      <c r="I57" s="6" t="s">
        <v>181</v>
      </c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</row>
    <row r="58" customFormat="false" ht="15" hidden="false" customHeight="false" outlineLevel="0" collapsed="false">
      <c r="A58" s="6" t="s">
        <v>182</v>
      </c>
      <c r="B58" s="6" t="s">
        <v>183</v>
      </c>
      <c r="C58" s="7" t="n">
        <v>1.5</v>
      </c>
      <c r="D58" s="6" t="n">
        <f aca="false">$C$58</f>
        <v>1.5</v>
      </c>
      <c r="E58" s="6" t="n">
        <f aca="false">$C$58</f>
        <v>1.5</v>
      </c>
      <c r="F58" s="6" t="n">
        <f aca="false">$C$58</f>
        <v>1.5</v>
      </c>
      <c r="G58" s="6" t="n">
        <f aca="false">$C$58</f>
        <v>1.5</v>
      </c>
      <c r="H58" s="6" t="s">
        <v>184</v>
      </c>
      <c r="I58" s="6" t="s">
        <v>185</v>
      </c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</row>
    <row r="59" customFormat="false" ht="15" hidden="false" customHeight="false" outlineLevel="0" collapsed="false">
      <c r="A59" s="6" t="s">
        <v>186</v>
      </c>
      <c r="B59" s="6" t="s">
        <v>187</v>
      </c>
      <c r="C59" s="7" t="n">
        <v>0</v>
      </c>
      <c r="D59" s="6" t="n">
        <f aca="false">$C$59</f>
        <v>0</v>
      </c>
      <c r="E59" s="6" t="n">
        <f aca="false">$C$59</f>
        <v>0</v>
      </c>
      <c r="F59" s="6" t="n">
        <f aca="false">$C$59</f>
        <v>0</v>
      </c>
      <c r="G59" s="6" t="n">
        <f aca="false">$C$59</f>
        <v>0</v>
      </c>
      <c r="H59" s="6" t="s">
        <v>177</v>
      </c>
      <c r="I59" s="6" t="s">
        <v>188</v>
      </c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</row>
    <row r="60" customFormat="false" ht="15" hidden="false" customHeight="false" outlineLevel="0" collapsed="false">
      <c r="A60" s="6" t="s">
        <v>189</v>
      </c>
      <c r="B60" s="6" t="s">
        <v>190</v>
      </c>
      <c r="C60" s="8" t="n">
        <v>0.6</v>
      </c>
      <c r="D60" s="9" t="n">
        <f aca="false">$C$60</f>
        <v>0.6</v>
      </c>
      <c r="E60" s="9" t="n">
        <f aca="false">$C$60</f>
        <v>0.6</v>
      </c>
      <c r="F60" s="9" t="n">
        <f aca="false">$C$60</f>
        <v>0.6</v>
      </c>
      <c r="G60" s="9" t="n">
        <f aca="false">$C$60</f>
        <v>0.6</v>
      </c>
      <c r="H60" s="6" t="s">
        <v>126</v>
      </c>
      <c r="I60" s="6" t="s">
        <v>191</v>
      </c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</row>
    <row r="61" customFormat="false" ht="15" hidden="false" customHeight="false" outlineLevel="0" collapsed="false">
      <c r="A61" s="6" t="s">
        <v>192</v>
      </c>
      <c r="B61" s="6" t="s">
        <v>193</v>
      </c>
      <c r="C61" s="8" t="n">
        <v>0.01</v>
      </c>
      <c r="D61" s="9" t="n">
        <f aca="false">$C$61</f>
        <v>0.01</v>
      </c>
      <c r="E61" s="9" t="n">
        <f aca="false">$C$61</f>
        <v>0.01</v>
      </c>
      <c r="F61" s="9" t="n">
        <f aca="false">$C$61</f>
        <v>0.01</v>
      </c>
      <c r="G61" s="9" t="n">
        <f aca="false">$C$61</f>
        <v>0.01</v>
      </c>
      <c r="H61" s="6" t="s">
        <v>126</v>
      </c>
      <c r="I61" s="6" t="s">
        <v>194</v>
      </c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</row>
    <row r="62" customFormat="false" ht="15" hidden="false" customHeight="false" outlineLevel="0" collapsed="false">
      <c r="A62" s="6" t="s">
        <v>195</v>
      </c>
      <c r="B62" s="6" t="s">
        <v>196</v>
      </c>
      <c r="C62" s="8" t="n">
        <v>25</v>
      </c>
      <c r="D62" s="9" t="n">
        <f aca="false">$C$62</f>
        <v>25</v>
      </c>
      <c r="E62" s="9" t="n">
        <f aca="false">$C$62</f>
        <v>25</v>
      </c>
      <c r="F62" s="9" t="n">
        <f aca="false">$C$62</f>
        <v>25</v>
      </c>
      <c r="G62" s="9" t="n">
        <f aca="false">$C$62</f>
        <v>25</v>
      </c>
      <c r="H62" s="6" t="s">
        <v>197</v>
      </c>
      <c r="I62" s="6" t="s">
        <v>198</v>
      </c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</row>
    <row r="63" customFormat="false" ht="15" hidden="false" customHeight="false" outlineLevel="0" collapsed="false">
      <c r="A63" s="6" t="s">
        <v>199</v>
      </c>
      <c r="B63" s="6" t="s">
        <v>200</v>
      </c>
      <c r="C63" s="7" t="n">
        <v>5</v>
      </c>
      <c r="D63" s="6" t="n">
        <f aca="false">$C$63</f>
        <v>5</v>
      </c>
      <c r="E63" s="6" t="n">
        <f aca="false">$C$63</f>
        <v>5</v>
      </c>
      <c r="F63" s="6" t="n">
        <f aca="false">$C$63</f>
        <v>5</v>
      </c>
      <c r="G63" s="6" t="n">
        <f aca="false">$C$63</f>
        <v>5</v>
      </c>
      <c r="H63" s="6" t="s">
        <v>201</v>
      </c>
      <c r="I63" s="6" t="s">
        <v>3</v>
      </c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</row>
    <row r="64" customFormat="false" ht="15" hidden="false" customHeight="false" outlineLevel="0" collapsed="false">
      <c r="A64" s="6" t="s">
        <v>202</v>
      </c>
      <c r="B64" s="6" t="s">
        <v>203</v>
      </c>
      <c r="C64" s="7" t="n">
        <v>15</v>
      </c>
      <c r="D64" s="6" t="n">
        <f aca="false">$C$64</f>
        <v>15</v>
      </c>
      <c r="E64" s="6" t="n">
        <f aca="false">$C$64</f>
        <v>15</v>
      </c>
      <c r="F64" s="6" t="n">
        <f aca="false">$C$64</f>
        <v>15</v>
      </c>
      <c r="G64" s="6" t="n">
        <f aca="false">$C$64</f>
        <v>15</v>
      </c>
      <c r="H64" s="6" t="s">
        <v>201</v>
      </c>
      <c r="I64" s="6" t="s">
        <v>204</v>
      </c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</row>
    <row r="65" customFormat="false" ht="15" hidden="false" customHeight="false" outlineLevel="0" collapsed="false">
      <c r="A65" s="6" t="s">
        <v>205</v>
      </c>
      <c r="B65" s="6" t="s">
        <v>206</v>
      </c>
      <c r="C65" s="11" t="n">
        <v>0.15</v>
      </c>
      <c r="D65" s="13" t="n">
        <f aca="false">$C$65</f>
        <v>0.15</v>
      </c>
      <c r="E65" s="13" t="n">
        <f aca="false">$C$65</f>
        <v>0.15</v>
      </c>
      <c r="F65" s="13" t="n">
        <f aca="false">$C$65</f>
        <v>0.15</v>
      </c>
      <c r="G65" s="13" t="n">
        <f aca="false">$C$65</f>
        <v>0.15</v>
      </c>
      <c r="H65" s="6" t="s">
        <v>207</v>
      </c>
      <c r="I65" s="6" t="s">
        <v>208</v>
      </c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</row>
    <row r="66" customFormat="false" ht="15" hidden="false" customHeight="false" outlineLevel="0" collapsed="false">
      <c r="A66" s="6" t="s">
        <v>209</v>
      </c>
      <c r="B66" s="6" t="s">
        <v>210</v>
      </c>
      <c r="C66" s="8" t="n">
        <v>3</v>
      </c>
      <c r="D66" s="9" t="n">
        <f aca="false">$C$66</f>
        <v>3</v>
      </c>
      <c r="E66" s="9" t="n">
        <f aca="false">$C$66</f>
        <v>3</v>
      </c>
      <c r="F66" s="9" t="n">
        <f aca="false">$C$66</f>
        <v>3</v>
      </c>
      <c r="G66" s="9" t="n">
        <f aca="false">$C$66</f>
        <v>3</v>
      </c>
      <c r="H66" s="6" t="s">
        <v>20</v>
      </c>
      <c r="I66" s="6" t="s">
        <v>211</v>
      </c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</row>
    <row r="67" customFormat="false" ht="15" hidden="false" customHeight="false" outlineLevel="0" collapsed="false">
      <c r="A67" s="6" t="s">
        <v>212</v>
      </c>
      <c r="B67" s="6" t="s">
        <v>213</v>
      </c>
      <c r="C67" s="11" t="n">
        <v>0.6</v>
      </c>
      <c r="D67" s="13" t="n">
        <f aca="false">$C$67</f>
        <v>0.6</v>
      </c>
      <c r="E67" s="13" t="n">
        <f aca="false">$C$67</f>
        <v>0.6</v>
      </c>
      <c r="F67" s="13" t="n">
        <f aca="false">$C$67</f>
        <v>0.6</v>
      </c>
      <c r="G67" s="13" t="n">
        <f aca="false">$C$67</f>
        <v>0.6</v>
      </c>
      <c r="H67" s="6" t="s">
        <v>214</v>
      </c>
      <c r="I67" s="6" t="s">
        <v>215</v>
      </c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</row>
    <row r="68" customFormat="false" ht="15" hidden="false" customHeight="false" outlineLevel="0" collapsed="false">
      <c r="A68" s="6" t="s">
        <v>216</v>
      </c>
      <c r="B68" s="6" t="s">
        <v>217</v>
      </c>
      <c r="C68" s="7" t="n">
        <v>6</v>
      </c>
      <c r="D68" s="6" t="n">
        <f aca="false">$C$68</f>
        <v>6</v>
      </c>
      <c r="E68" s="6" t="n">
        <f aca="false">$C$68</f>
        <v>6</v>
      </c>
      <c r="F68" s="6" t="n">
        <f aca="false">$C$68</f>
        <v>6</v>
      </c>
      <c r="G68" s="6" t="n">
        <f aca="false">$C$68</f>
        <v>6</v>
      </c>
      <c r="H68" s="6" t="s">
        <v>218</v>
      </c>
      <c r="I68" s="6" t="s">
        <v>3</v>
      </c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</row>
    <row r="69" customFormat="false" ht="15" hidden="false" customHeight="false" outlineLevel="0" collapsed="false">
      <c r="A69" s="6" t="s">
        <v>219</v>
      </c>
      <c r="B69" s="6" t="s">
        <v>220</v>
      </c>
      <c r="C69" s="7" t="n">
        <v>2</v>
      </c>
      <c r="D69" s="6" t="n">
        <f aca="false">$C$69</f>
        <v>2</v>
      </c>
      <c r="E69" s="6" t="n">
        <f aca="false">$C$69</f>
        <v>2</v>
      </c>
      <c r="F69" s="6" t="n">
        <f aca="false">$C$69</f>
        <v>2</v>
      </c>
      <c r="G69" s="6" t="n">
        <f aca="false">$C$69</f>
        <v>2</v>
      </c>
      <c r="H69" s="6" t="s">
        <v>221</v>
      </c>
      <c r="I69" s="6" t="s">
        <v>222</v>
      </c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</row>
    <row r="70" customFormat="false" ht="15" hidden="false" customHeight="false" outlineLevel="0" collapsed="false">
      <c r="A70" s="6" t="s">
        <v>223</v>
      </c>
      <c r="B70" s="6" t="s">
        <v>224</v>
      </c>
      <c r="C70" s="11" t="n">
        <v>0.2</v>
      </c>
      <c r="D70" s="12" t="n">
        <v>0.1</v>
      </c>
      <c r="E70" s="13" t="n">
        <f aca="false">$C$70</f>
        <v>0.2</v>
      </c>
      <c r="F70" s="13" t="n">
        <f aca="false">$C$70</f>
        <v>0.2</v>
      </c>
      <c r="G70" s="12" t="n">
        <v>0.3</v>
      </c>
      <c r="H70" s="6" t="s">
        <v>225</v>
      </c>
      <c r="I70" s="6" t="s">
        <v>226</v>
      </c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</row>
    <row r="71" customFormat="false" ht="15" hidden="false" customHeight="false" outlineLevel="0" collapsed="false">
      <c r="A71" s="6" t="s">
        <v>227</v>
      </c>
      <c r="B71" s="6" t="s">
        <v>228</v>
      </c>
      <c r="C71" s="8" t="n">
        <v>12</v>
      </c>
      <c r="D71" s="16" t="n">
        <v>8</v>
      </c>
      <c r="E71" s="9" t="n">
        <f aca="false">$C$71</f>
        <v>12</v>
      </c>
      <c r="F71" s="9" t="n">
        <f aca="false">$C$71</f>
        <v>12</v>
      </c>
      <c r="G71" s="16" t="n">
        <v>15</v>
      </c>
      <c r="H71" s="6" t="s">
        <v>229</v>
      </c>
      <c r="I71" s="6" t="s">
        <v>230</v>
      </c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</row>
    <row r="72" customFormat="false" ht="15" hidden="false" customHeight="false" outlineLevel="0" collapsed="false">
      <c r="A72" s="6" t="s">
        <v>231</v>
      </c>
      <c r="B72" s="6" t="s">
        <v>232</v>
      </c>
      <c r="C72" s="11" t="n">
        <v>0.03</v>
      </c>
      <c r="D72" s="13" t="n">
        <f aca="false">$C$72</f>
        <v>0.03</v>
      </c>
      <c r="E72" s="13" t="n">
        <f aca="false">$C$72</f>
        <v>0.03</v>
      </c>
      <c r="F72" s="13" t="n">
        <f aca="false">$C$72</f>
        <v>0.03</v>
      </c>
      <c r="G72" s="13" t="n">
        <f aca="false">$C$72</f>
        <v>0.03</v>
      </c>
      <c r="H72" s="6" t="s">
        <v>233</v>
      </c>
      <c r="I72" s="6" t="s">
        <v>234</v>
      </c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</row>
    <row r="73" customFormat="false" ht="15" hidden="false" customHeight="false" outlineLevel="0" collapsed="false">
      <c r="A73" s="6" t="s">
        <v>235</v>
      </c>
      <c r="B73" s="6" t="s">
        <v>236</v>
      </c>
      <c r="C73" s="8" t="n">
        <v>75</v>
      </c>
      <c r="D73" s="9" t="n">
        <f aca="false">$C$73</f>
        <v>75</v>
      </c>
      <c r="E73" s="9" t="n">
        <f aca="false">$C$73</f>
        <v>75</v>
      </c>
      <c r="F73" s="9" t="n">
        <f aca="false">$C$73</f>
        <v>75</v>
      </c>
      <c r="G73" s="9" t="n">
        <f aca="false">$C$73</f>
        <v>75</v>
      </c>
      <c r="H73" s="6" t="s">
        <v>126</v>
      </c>
      <c r="I73" s="6" t="s">
        <v>237</v>
      </c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</row>
    <row r="74" customFormat="false" ht="15" hidden="false" customHeight="false" outlineLevel="0" collapsed="false">
      <c r="A74" s="6" t="s">
        <v>238</v>
      </c>
      <c r="B74" s="6" t="s">
        <v>239</v>
      </c>
      <c r="C74" s="11" t="n">
        <v>0.04</v>
      </c>
      <c r="D74" s="13" t="n">
        <f aca="false">$C$74</f>
        <v>0.04</v>
      </c>
      <c r="E74" s="13" t="n">
        <f aca="false">$C$74</f>
        <v>0.04</v>
      </c>
      <c r="F74" s="13" t="n">
        <f aca="false">$C$74</f>
        <v>0.04</v>
      </c>
      <c r="G74" s="13" t="n">
        <f aca="false">$C$74</f>
        <v>0.04</v>
      </c>
      <c r="H74" s="6" t="s">
        <v>233</v>
      </c>
      <c r="I74" s="6" t="s">
        <v>240</v>
      </c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</row>
    <row r="75" customFormat="false" ht="15" hidden="false" customHeight="false" outlineLevel="0" collapsed="false">
      <c r="A75" s="6" t="s">
        <v>241</v>
      </c>
      <c r="B75" s="6" t="s">
        <v>242</v>
      </c>
      <c r="C75" s="7" t="n">
        <v>2</v>
      </c>
      <c r="D75" s="6" t="n">
        <f aca="false">$C$75</f>
        <v>2</v>
      </c>
      <c r="E75" s="6" t="n">
        <f aca="false">$C$75</f>
        <v>2</v>
      </c>
      <c r="F75" s="6" t="n">
        <f aca="false">$C$75</f>
        <v>2</v>
      </c>
      <c r="G75" s="6" t="n">
        <f aca="false">$C$75</f>
        <v>2</v>
      </c>
      <c r="H75" s="6" t="s">
        <v>243</v>
      </c>
      <c r="I75" s="6" t="s">
        <v>3</v>
      </c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</row>
    <row r="76" customFormat="false" ht="15" hidden="false" customHeight="false" outlineLevel="0" collapsed="false">
      <c r="A76" s="6" t="s">
        <v>244</v>
      </c>
      <c r="B76" s="6" t="s">
        <v>245</v>
      </c>
      <c r="C76" s="8" t="n">
        <v>25</v>
      </c>
      <c r="D76" s="9" t="n">
        <f aca="false">$C$76</f>
        <v>25</v>
      </c>
      <c r="E76" s="9" t="n">
        <f aca="false">$C$76</f>
        <v>25</v>
      </c>
      <c r="F76" s="9" t="n">
        <f aca="false">$C$76</f>
        <v>25</v>
      </c>
      <c r="G76" s="9" t="n">
        <f aca="false">$C$76</f>
        <v>25</v>
      </c>
      <c r="H76" s="6" t="s">
        <v>246</v>
      </c>
      <c r="I76" s="6" t="s">
        <v>3</v>
      </c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</row>
    <row r="77" customFormat="false" ht="15" hidden="false" customHeight="false" outlineLevel="0" collapsed="false">
      <c r="A77" s="6" t="s">
        <v>247</v>
      </c>
      <c r="B77" s="6" t="s">
        <v>248</v>
      </c>
      <c r="C77" s="7" t="n">
        <v>6</v>
      </c>
      <c r="D77" s="6" t="n">
        <f aca="false">$C$77</f>
        <v>6</v>
      </c>
      <c r="E77" s="6" t="n">
        <f aca="false">$C$77</f>
        <v>6</v>
      </c>
      <c r="F77" s="6" t="n">
        <f aca="false">$C$77</f>
        <v>6</v>
      </c>
      <c r="G77" s="6" t="n">
        <f aca="false">$C$77</f>
        <v>6</v>
      </c>
      <c r="H77" s="6" t="s">
        <v>12</v>
      </c>
      <c r="I77" s="6" t="s">
        <v>249</v>
      </c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</row>
    <row r="78" customFormat="false" ht="15" hidden="false" customHeight="false" outlineLevel="0" collapsed="false">
      <c r="A78" s="6" t="s">
        <v>250</v>
      </c>
      <c r="B78" s="6" t="s">
        <v>251</v>
      </c>
      <c r="C78" s="11" t="n">
        <v>0.1</v>
      </c>
      <c r="D78" s="13" t="n">
        <f aca="false">$C$78</f>
        <v>0.1</v>
      </c>
      <c r="E78" s="13" t="n">
        <f aca="false">$C$78</f>
        <v>0.1</v>
      </c>
      <c r="F78" s="13" t="n">
        <f aca="false">$C$78</f>
        <v>0.1</v>
      </c>
      <c r="G78" s="13" t="n">
        <f aca="false">$C$78</f>
        <v>0.1</v>
      </c>
      <c r="H78" s="6" t="s">
        <v>252</v>
      </c>
      <c r="I78" s="6" t="s">
        <v>253</v>
      </c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</row>
    <row r="79" customFormat="false" ht="15" hidden="false" customHeight="false" outlineLevel="0" collapsed="false">
      <c r="A79" s="6" t="s">
        <v>254</v>
      </c>
      <c r="B79" s="6" t="s">
        <v>255</v>
      </c>
      <c r="C79" s="7" t="n">
        <v>6</v>
      </c>
      <c r="D79" s="6" t="n">
        <f aca="false">$C$79</f>
        <v>6</v>
      </c>
      <c r="E79" s="6" t="n">
        <f aca="false">$C$79</f>
        <v>6</v>
      </c>
      <c r="F79" s="6" t="n">
        <f aca="false">$C$79</f>
        <v>6</v>
      </c>
      <c r="G79" s="6" t="n">
        <f aca="false">$C$79</f>
        <v>6</v>
      </c>
      <c r="H79" s="6" t="s">
        <v>12</v>
      </c>
      <c r="I79" s="6" t="s">
        <v>256</v>
      </c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</row>
    <row r="80" customFormat="false" ht="15" hidden="false" customHeight="false" outlineLevel="0" collapsed="false">
      <c r="A80" s="6" t="s">
        <v>257</v>
      </c>
      <c r="B80" s="6" t="s">
        <v>258</v>
      </c>
      <c r="C80" s="7" t="n">
        <v>1</v>
      </c>
      <c r="D80" s="10" t="n">
        <v>0.5</v>
      </c>
      <c r="E80" s="6" t="n">
        <f aca="false">$C$80</f>
        <v>1</v>
      </c>
      <c r="F80" s="10" t="n">
        <v>2</v>
      </c>
      <c r="G80" s="10" t="n">
        <v>1.5</v>
      </c>
      <c r="H80" s="6" t="s">
        <v>259</v>
      </c>
      <c r="I80" s="6" t="s">
        <v>3</v>
      </c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</row>
    <row r="81" customFormat="false" ht="15" hidden="false" customHeight="false" outlineLevel="0" collapsed="false">
      <c r="A81" s="6" t="s">
        <v>260</v>
      </c>
      <c r="B81" s="6" t="s">
        <v>261</v>
      </c>
      <c r="C81" s="8" t="n">
        <v>2250</v>
      </c>
      <c r="D81" s="9" t="n">
        <f aca="false">$C$81</f>
        <v>2250</v>
      </c>
      <c r="E81" s="9" t="n">
        <f aca="false">$C$81</f>
        <v>2250</v>
      </c>
      <c r="F81" s="9" t="n">
        <f aca="false">$C$81</f>
        <v>2250</v>
      </c>
      <c r="G81" s="9" t="n">
        <f aca="false">$C$81</f>
        <v>2250</v>
      </c>
      <c r="H81" s="6" t="s">
        <v>262</v>
      </c>
      <c r="I81" s="6" t="s">
        <v>263</v>
      </c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</row>
    <row r="82" customFormat="false" ht="15" hidden="false" customHeight="false" outlineLevel="0" collapsed="false">
      <c r="A82" s="6" t="s">
        <v>264</v>
      </c>
      <c r="B82" s="6" t="s">
        <v>265</v>
      </c>
      <c r="C82" s="11" t="n">
        <v>0.3</v>
      </c>
      <c r="D82" s="13" t="n">
        <f aca="false">$C$82</f>
        <v>0.3</v>
      </c>
      <c r="E82" s="13" t="n">
        <f aca="false">$C$82</f>
        <v>0.3</v>
      </c>
      <c r="F82" s="13" t="n">
        <f aca="false">$C$82</f>
        <v>0.3</v>
      </c>
      <c r="G82" s="13" t="n">
        <f aca="false">$C$82</f>
        <v>0.3</v>
      </c>
      <c r="H82" s="6" t="s">
        <v>266</v>
      </c>
      <c r="I82" s="6" t="s">
        <v>267</v>
      </c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</row>
    <row r="83" customFormat="false" ht="15" hidden="false" customHeight="false" outlineLevel="0" collapsed="false">
      <c r="A83" s="6" t="s">
        <v>268</v>
      </c>
      <c r="B83" s="6" t="s">
        <v>269</v>
      </c>
      <c r="C83" s="8" t="n">
        <v>17.95</v>
      </c>
      <c r="D83" s="9" t="n">
        <f aca="false">$C$83</f>
        <v>17.95</v>
      </c>
      <c r="E83" s="9" t="n">
        <f aca="false">$C$83</f>
        <v>17.95</v>
      </c>
      <c r="F83" s="9" t="n">
        <f aca="false">$C$83</f>
        <v>17.95</v>
      </c>
      <c r="G83" s="9" t="n">
        <f aca="false">$C$83</f>
        <v>17.95</v>
      </c>
      <c r="H83" s="6" t="s">
        <v>197</v>
      </c>
      <c r="I83" s="6" t="s">
        <v>270</v>
      </c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</row>
    <row r="84" customFormat="false" ht="15" hidden="false" customHeight="false" outlineLevel="0" collapsed="false">
      <c r="A84" s="6" t="s">
        <v>271</v>
      </c>
      <c r="B84" s="6" t="s">
        <v>272</v>
      </c>
      <c r="C84" s="11" t="n">
        <v>0.025</v>
      </c>
      <c r="D84" s="13" t="n">
        <f aca="false">$C$84</f>
        <v>0.025</v>
      </c>
      <c r="E84" s="13" t="n">
        <f aca="false">$C$84</f>
        <v>0.025</v>
      </c>
      <c r="F84" s="13" t="n">
        <f aca="false">$C$84</f>
        <v>0.025</v>
      </c>
      <c r="G84" s="13" t="n">
        <f aca="false">$C$84</f>
        <v>0.025</v>
      </c>
      <c r="H84" s="6" t="s">
        <v>273</v>
      </c>
      <c r="I84" s="6" t="s">
        <v>274</v>
      </c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</row>
    <row r="85" customFormat="false" ht="15" hidden="false" customHeight="false" outlineLevel="0" collapsed="false">
      <c r="A85" s="6" t="s">
        <v>275</v>
      </c>
      <c r="B85" s="6" t="s">
        <v>276</v>
      </c>
      <c r="C85" s="11" t="n">
        <v>0.13</v>
      </c>
      <c r="D85" s="13" t="n">
        <f aca="false">$C$85</f>
        <v>0.13</v>
      </c>
      <c r="E85" s="13" t="n">
        <f aca="false">$C$85</f>
        <v>0.13</v>
      </c>
      <c r="F85" s="13" t="n">
        <f aca="false">$C$85</f>
        <v>0.13</v>
      </c>
      <c r="G85" s="13" t="n">
        <f aca="false">$C$85</f>
        <v>0.13</v>
      </c>
      <c r="H85" s="6" t="s">
        <v>277</v>
      </c>
      <c r="I85" s="6" t="s">
        <v>278</v>
      </c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</row>
    <row r="86" customFormat="false" ht="15" hidden="false" customHeight="false" outlineLevel="0" collapsed="false">
      <c r="A86" s="6" t="s">
        <v>279</v>
      </c>
      <c r="B86" s="6" t="s">
        <v>280</v>
      </c>
      <c r="C86" s="7" t="n">
        <v>2.5</v>
      </c>
      <c r="D86" s="10" t="n">
        <v>3.5</v>
      </c>
      <c r="E86" s="6" t="n">
        <f aca="false">$C$86</f>
        <v>2.5</v>
      </c>
      <c r="F86" s="6" t="n">
        <f aca="false">$C$86</f>
        <v>2.5</v>
      </c>
      <c r="G86" s="10" t="n">
        <v>2</v>
      </c>
      <c r="H86" s="6" t="s">
        <v>281</v>
      </c>
      <c r="I86" s="6" t="s">
        <v>282</v>
      </c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</row>
    <row r="87" customFormat="false" ht="15" hidden="false" customHeight="false" outlineLevel="0" collapsed="false">
      <c r="A87" s="6" t="s">
        <v>283</v>
      </c>
      <c r="B87" s="6" t="s">
        <v>284</v>
      </c>
      <c r="C87" s="8" t="n">
        <v>25</v>
      </c>
      <c r="D87" s="9" t="n">
        <f aca="false">$C$87</f>
        <v>25</v>
      </c>
      <c r="E87" s="9" t="n">
        <f aca="false">$C$87</f>
        <v>25</v>
      </c>
      <c r="F87" s="9" t="n">
        <f aca="false">$C$87</f>
        <v>25</v>
      </c>
      <c r="G87" s="9" t="n">
        <f aca="false">$C$87</f>
        <v>25</v>
      </c>
      <c r="H87" s="6" t="s">
        <v>285</v>
      </c>
      <c r="I87" s="6" t="s">
        <v>286</v>
      </c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</row>
    <row r="88" customFormat="false" ht="15" hidden="false" customHeight="false" outlineLevel="0" collapsed="false">
      <c r="A88" s="6" t="s">
        <v>287</v>
      </c>
      <c r="B88" s="6" t="s">
        <v>288</v>
      </c>
      <c r="C88" s="8" t="n">
        <v>15</v>
      </c>
      <c r="D88" s="9" t="n">
        <f aca="false">$C$88</f>
        <v>15</v>
      </c>
      <c r="E88" s="9" t="n">
        <f aca="false">$C$88</f>
        <v>15</v>
      </c>
      <c r="F88" s="9" t="n">
        <f aca="false">$C$88</f>
        <v>15</v>
      </c>
      <c r="G88" s="9" t="n">
        <f aca="false">$C$88</f>
        <v>15</v>
      </c>
      <c r="H88" s="6" t="s">
        <v>289</v>
      </c>
      <c r="I88" s="6" t="s">
        <v>290</v>
      </c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</row>
    <row r="89" customFormat="false" ht="15" hidden="false" customHeight="false" outlineLevel="0" collapsed="false">
      <c r="A89" s="6" t="s">
        <v>291</v>
      </c>
      <c r="B89" s="6" t="s">
        <v>292</v>
      </c>
      <c r="C89" s="8" t="n">
        <v>750</v>
      </c>
      <c r="D89" s="9" t="n">
        <f aca="false">$C$89</f>
        <v>750</v>
      </c>
      <c r="E89" s="9" t="n">
        <f aca="false">$C$89</f>
        <v>750</v>
      </c>
      <c r="F89" s="9" t="n">
        <f aca="false">$C$89</f>
        <v>750</v>
      </c>
      <c r="G89" s="9" t="n">
        <f aca="false">$C$89</f>
        <v>750</v>
      </c>
      <c r="H89" s="6" t="s">
        <v>293</v>
      </c>
      <c r="I89" s="6" t="s">
        <v>294</v>
      </c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</row>
    <row r="90" customFormat="false" ht="15" hidden="false" customHeight="false" outlineLevel="0" collapsed="false">
      <c r="A90" s="6" t="s">
        <v>295</v>
      </c>
      <c r="B90" s="6" t="s">
        <v>296</v>
      </c>
      <c r="C90" s="11" t="n">
        <v>50</v>
      </c>
      <c r="D90" s="13" t="n">
        <f aca="false">$C$90</f>
        <v>50</v>
      </c>
      <c r="E90" s="13" t="n">
        <f aca="false">$C$90</f>
        <v>50</v>
      </c>
      <c r="F90" s="13" t="n">
        <f aca="false">$C$90</f>
        <v>50</v>
      </c>
      <c r="G90" s="13" t="n">
        <f aca="false">$C$90</f>
        <v>50</v>
      </c>
      <c r="H90" s="6" t="s">
        <v>297</v>
      </c>
      <c r="I90" s="6" t="s">
        <v>298</v>
      </c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</row>
    <row r="91" customFormat="false" ht="15" hidden="false" customHeight="false" outlineLevel="0" collapsed="false">
      <c r="A91" s="6" t="s">
        <v>299</v>
      </c>
      <c r="B91" s="6" t="s">
        <v>300</v>
      </c>
      <c r="C91" s="7" t="n">
        <v>1</v>
      </c>
      <c r="D91" s="6" t="n">
        <f aca="false">$C$91</f>
        <v>1</v>
      </c>
      <c r="E91" s="6" t="n">
        <f aca="false">$C$91</f>
        <v>1</v>
      </c>
      <c r="F91" s="6" t="n">
        <f aca="false">$C$91</f>
        <v>1</v>
      </c>
      <c r="G91" s="6" t="n">
        <f aca="false">$C$91</f>
        <v>1</v>
      </c>
      <c r="H91" s="6" t="s">
        <v>119</v>
      </c>
      <c r="I91" s="6" t="s">
        <v>301</v>
      </c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</row>
    <row r="92" customFormat="false" ht="15" hidden="false" customHeight="false" outlineLevel="0" collapsed="false">
      <c r="A92" s="6" t="s">
        <v>302</v>
      </c>
      <c r="B92" s="6" t="s">
        <v>303</v>
      </c>
      <c r="C92" s="8" t="n">
        <v>250</v>
      </c>
      <c r="D92" s="9" t="n">
        <f aca="false">$C$92</f>
        <v>250</v>
      </c>
      <c r="E92" s="9" t="n">
        <f aca="false">$C$92</f>
        <v>250</v>
      </c>
      <c r="F92" s="9" t="n">
        <f aca="false">$C$92</f>
        <v>250</v>
      </c>
      <c r="G92" s="9" t="n">
        <f aca="false">$C$92</f>
        <v>250</v>
      </c>
      <c r="H92" s="6" t="s">
        <v>126</v>
      </c>
      <c r="I92" s="6" t="s">
        <v>304</v>
      </c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</row>
    <row r="93" customFormat="false" ht="15" hidden="false" customHeight="false" outlineLevel="0" collapsed="false">
      <c r="A93" s="6" t="s">
        <v>305</v>
      </c>
      <c r="B93" s="6" t="s">
        <v>306</v>
      </c>
      <c r="C93" s="8" t="n">
        <v>250</v>
      </c>
      <c r="D93" s="9" t="n">
        <f aca="false">$C$93</f>
        <v>250</v>
      </c>
      <c r="E93" s="9" t="n">
        <f aca="false">$C$93</f>
        <v>250</v>
      </c>
      <c r="F93" s="9" t="n">
        <f aca="false">$C$93</f>
        <v>250</v>
      </c>
      <c r="G93" s="9" t="n">
        <f aca="false">$C$93</f>
        <v>250</v>
      </c>
      <c r="H93" s="6" t="s">
        <v>126</v>
      </c>
      <c r="I93" s="6" t="s">
        <v>307</v>
      </c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</row>
    <row r="94" customFormat="false" ht="15" hidden="false" customHeight="false" outlineLevel="0" collapsed="false">
      <c r="A94" s="6" t="s">
        <v>308</v>
      </c>
      <c r="B94" s="6" t="s">
        <v>309</v>
      </c>
      <c r="C94" s="8" t="n">
        <v>150</v>
      </c>
      <c r="D94" s="9" t="n">
        <f aca="false">$C$94</f>
        <v>150</v>
      </c>
      <c r="E94" s="9" t="n">
        <f aca="false">$C$94</f>
        <v>150</v>
      </c>
      <c r="F94" s="9" t="n">
        <f aca="false">$C$94</f>
        <v>150</v>
      </c>
      <c r="G94" s="9" t="n">
        <f aca="false">$C$94</f>
        <v>150</v>
      </c>
      <c r="H94" s="6" t="s">
        <v>126</v>
      </c>
      <c r="I94" s="6" t="s">
        <v>310</v>
      </c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</row>
    <row r="95" customFormat="false" ht="15" hidden="false" customHeight="false" outlineLevel="0" collapsed="false">
      <c r="A95" s="6" t="s">
        <v>311</v>
      </c>
      <c r="B95" s="6" t="s">
        <v>312</v>
      </c>
      <c r="C95" s="8" t="n">
        <v>250</v>
      </c>
      <c r="D95" s="9" t="n">
        <f aca="false">$C$95</f>
        <v>250</v>
      </c>
      <c r="E95" s="9" t="n">
        <f aca="false">$C$95</f>
        <v>250</v>
      </c>
      <c r="F95" s="9" t="n">
        <f aca="false">$C$95</f>
        <v>250</v>
      </c>
      <c r="G95" s="9" t="n">
        <f aca="false">$C$95</f>
        <v>250</v>
      </c>
      <c r="H95" s="6" t="s">
        <v>126</v>
      </c>
      <c r="I95" s="6" t="s">
        <v>313</v>
      </c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</row>
    <row r="96" customFormat="false" ht="15" hidden="false" customHeight="false" outlineLevel="0" collapsed="false">
      <c r="A96" s="6" t="s">
        <v>314</v>
      </c>
      <c r="B96" s="6" t="s">
        <v>315</v>
      </c>
      <c r="C96" s="8" t="n">
        <v>15</v>
      </c>
      <c r="D96" s="9" t="n">
        <f aca="false">$C$96</f>
        <v>15</v>
      </c>
      <c r="E96" s="9" t="n">
        <f aca="false">$C$96</f>
        <v>15</v>
      </c>
      <c r="F96" s="9" t="n">
        <f aca="false">$C$96</f>
        <v>15</v>
      </c>
      <c r="G96" s="9" t="n">
        <f aca="false">$C$96</f>
        <v>15</v>
      </c>
      <c r="H96" s="6" t="s">
        <v>126</v>
      </c>
      <c r="I96" s="6" t="s">
        <v>316</v>
      </c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</row>
    <row r="97" customFormat="false" ht="15" hidden="false" customHeight="false" outlineLevel="0" collapsed="false">
      <c r="A97" s="6" t="s">
        <v>317</v>
      </c>
      <c r="B97" s="6" t="s">
        <v>318</v>
      </c>
      <c r="C97" s="8" t="n">
        <v>100</v>
      </c>
      <c r="D97" s="9" t="n">
        <f aca="false">$C$97</f>
        <v>100</v>
      </c>
      <c r="E97" s="9" t="n">
        <f aca="false">$C$97</f>
        <v>100</v>
      </c>
      <c r="F97" s="9" t="n">
        <f aca="false">$C$97</f>
        <v>100</v>
      </c>
      <c r="G97" s="9" t="n">
        <f aca="false">$C$97</f>
        <v>100</v>
      </c>
      <c r="H97" s="6" t="s">
        <v>126</v>
      </c>
      <c r="I97" s="6" t="s">
        <v>3</v>
      </c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</row>
    <row r="98" customFormat="false" ht="15" hidden="false" customHeight="false" outlineLevel="0" collapsed="false">
      <c r="A98" s="6" t="s">
        <v>319</v>
      </c>
      <c r="B98" s="6" t="s">
        <v>320</v>
      </c>
      <c r="C98" s="8" t="n">
        <v>300</v>
      </c>
      <c r="D98" s="9" t="n">
        <f aca="false">$C$98</f>
        <v>300</v>
      </c>
      <c r="E98" s="9" t="n">
        <f aca="false">$C$98</f>
        <v>300</v>
      </c>
      <c r="F98" s="9" t="n">
        <f aca="false">$C$98</f>
        <v>300</v>
      </c>
      <c r="G98" s="9" t="n">
        <f aca="false">$C$98</f>
        <v>300</v>
      </c>
      <c r="H98" s="6" t="s">
        <v>126</v>
      </c>
      <c r="I98" s="6" t="s">
        <v>321</v>
      </c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</row>
    <row r="99" customFormat="false" ht="15" hidden="false" customHeight="false" outlineLevel="0" collapsed="false">
      <c r="A99" s="6" t="s">
        <v>322</v>
      </c>
      <c r="B99" s="6" t="s">
        <v>323</v>
      </c>
      <c r="C99" s="8" t="n">
        <v>150</v>
      </c>
      <c r="D99" s="9" t="n">
        <f aca="false">$C$99</f>
        <v>150</v>
      </c>
      <c r="E99" s="9" t="n">
        <f aca="false">$C$99</f>
        <v>150</v>
      </c>
      <c r="F99" s="9" t="n">
        <f aca="false">$C$99</f>
        <v>150</v>
      </c>
      <c r="G99" s="9" t="n">
        <f aca="false">$C$99</f>
        <v>150</v>
      </c>
      <c r="H99" s="6" t="s">
        <v>126</v>
      </c>
      <c r="I99" s="6" t="s">
        <v>324</v>
      </c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</row>
    <row r="100" customFormat="false" ht="15" hidden="false" customHeight="false" outlineLevel="0" collapsed="false">
      <c r="A100" s="6" t="s">
        <v>325</v>
      </c>
      <c r="B100" s="6" t="s">
        <v>326</v>
      </c>
      <c r="C100" s="8" t="n">
        <v>4000</v>
      </c>
      <c r="D100" s="9" t="n">
        <f aca="false">$C$100</f>
        <v>4000</v>
      </c>
      <c r="E100" s="9" t="n">
        <f aca="false">$C$100</f>
        <v>4000</v>
      </c>
      <c r="F100" s="16" t="n">
        <v>2000</v>
      </c>
      <c r="G100" s="9" t="n">
        <f aca="false">$C$100</f>
        <v>4000</v>
      </c>
      <c r="H100" s="6" t="s">
        <v>126</v>
      </c>
      <c r="I100" s="6" t="s">
        <v>327</v>
      </c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</row>
    <row r="101" customFormat="false" ht="15" hidden="false" customHeight="false" outlineLevel="0" collapsed="false">
      <c r="A101" s="6" t="s">
        <v>328</v>
      </c>
      <c r="B101" s="6" t="s">
        <v>329</v>
      </c>
      <c r="C101" s="8" t="n">
        <v>5000</v>
      </c>
      <c r="D101" s="9" t="n">
        <f aca="false">$C$101</f>
        <v>5000</v>
      </c>
      <c r="E101" s="9" t="n">
        <f aca="false">$C$101</f>
        <v>5000</v>
      </c>
      <c r="F101" s="16" t="n">
        <v>2500</v>
      </c>
      <c r="G101" s="9" t="n">
        <f aca="false">$C$101</f>
        <v>5000</v>
      </c>
      <c r="H101" s="6" t="s">
        <v>126</v>
      </c>
      <c r="I101" s="6" t="s">
        <v>330</v>
      </c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</row>
    <row r="102" customFormat="false" ht="15" hidden="false" customHeight="false" outlineLevel="0" collapsed="false">
      <c r="A102" s="6" t="s">
        <v>331</v>
      </c>
      <c r="B102" s="6" t="s">
        <v>332</v>
      </c>
      <c r="C102" s="8" t="n">
        <v>6000</v>
      </c>
      <c r="D102" s="9" t="n">
        <f aca="false">$C$102</f>
        <v>6000</v>
      </c>
      <c r="E102" s="9" t="n">
        <f aca="false">$C$102</f>
        <v>6000</v>
      </c>
      <c r="F102" s="16" t="n">
        <v>3000</v>
      </c>
      <c r="G102" s="9" t="n">
        <f aca="false">$C$102</f>
        <v>6000</v>
      </c>
      <c r="H102" s="6" t="s">
        <v>126</v>
      </c>
      <c r="I102" s="6" t="s">
        <v>333</v>
      </c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</row>
    <row r="103" customFormat="false" ht="15" hidden="false" customHeight="false" outlineLevel="0" collapsed="false">
      <c r="A103" s="6" t="s">
        <v>334</v>
      </c>
      <c r="B103" s="6" t="s">
        <v>335</v>
      </c>
      <c r="C103" s="7" t="n">
        <v>1000</v>
      </c>
      <c r="D103" s="6" t="n">
        <f aca="false">$C$103</f>
        <v>1000</v>
      </c>
      <c r="E103" s="6" t="n">
        <f aca="false">$C$103</f>
        <v>1000</v>
      </c>
      <c r="F103" s="6" t="n">
        <f aca="false">$C$103</f>
        <v>1000</v>
      </c>
      <c r="G103" s="6" t="n">
        <f aca="false">$C$103</f>
        <v>1000</v>
      </c>
      <c r="H103" s="6" t="s">
        <v>336</v>
      </c>
      <c r="I103" s="6" t="s">
        <v>337</v>
      </c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</row>
    <row r="104" customFormat="false" ht="15" hidden="false" customHeight="false" outlineLevel="0" collapsed="false">
      <c r="A104" s="6" t="s">
        <v>338</v>
      </c>
      <c r="B104" s="6" t="s">
        <v>339</v>
      </c>
      <c r="C104" s="8" t="n">
        <v>4200</v>
      </c>
      <c r="D104" s="9" t="n">
        <f aca="false">$C$104</f>
        <v>4200</v>
      </c>
      <c r="E104" s="9" t="n">
        <f aca="false">$C$104</f>
        <v>4200</v>
      </c>
      <c r="F104" s="9" t="n">
        <f aca="false">$C$104</f>
        <v>4200</v>
      </c>
      <c r="G104" s="9" t="n">
        <f aca="false">$C$104</f>
        <v>4200</v>
      </c>
      <c r="H104" s="6" t="s">
        <v>126</v>
      </c>
      <c r="I104" s="6" t="s">
        <v>340</v>
      </c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</row>
    <row r="105" customFormat="false" ht="15" hidden="false" customHeight="false" outlineLevel="0" collapsed="false">
      <c r="A105" s="6" t="s">
        <v>341</v>
      </c>
      <c r="B105" s="6" t="s">
        <v>342</v>
      </c>
      <c r="C105" s="8" t="n">
        <v>0</v>
      </c>
      <c r="D105" s="9" t="n">
        <f aca="false">$C$105</f>
        <v>0</v>
      </c>
      <c r="E105" s="9" t="n">
        <f aca="false">$C$105</f>
        <v>0</v>
      </c>
      <c r="F105" s="9" t="n">
        <f aca="false">$C$105</f>
        <v>0</v>
      </c>
      <c r="G105" s="9" t="n">
        <f aca="false">$C$105</f>
        <v>0</v>
      </c>
      <c r="H105" s="6" t="s">
        <v>126</v>
      </c>
      <c r="I105" s="6" t="s">
        <v>343</v>
      </c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</row>
    <row r="106" customFormat="false" ht="15" hidden="false" customHeight="false" outlineLevel="0" collapsed="false">
      <c r="A106" s="6" t="s">
        <v>344</v>
      </c>
      <c r="B106" s="6" t="s">
        <v>345</v>
      </c>
      <c r="C106" s="7" t="n">
        <v>999</v>
      </c>
      <c r="D106" s="6" t="n">
        <f aca="false">$C$106</f>
        <v>999</v>
      </c>
      <c r="E106" s="6" t="n">
        <f aca="false">$C$106</f>
        <v>999</v>
      </c>
      <c r="F106" s="6" t="n">
        <f aca="false">$C$106</f>
        <v>999</v>
      </c>
      <c r="G106" s="6" t="n">
        <f aca="false">$C$106</f>
        <v>999</v>
      </c>
      <c r="H106" s="6" t="s">
        <v>59</v>
      </c>
      <c r="I106" s="6" t="s">
        <v>346</v>
      </c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</row>
    <row r="107" customFormat="false" ht="15" hidden="false" customHeight="false" outlineLevel="0" collapsed="false">
      <c r="A107" s="6" t="s">
        <v>347</v>
      </c>
      <c r="B107" s="6" t="s">
        <v>348</v>
      </c>
      <c r="C107" s="8" t="n">
        <v>5000</v>
      </c>
      <c r="D107" s="9" t="n">
        <f aca="false">$C$107</f>
        <v>5000</v>
      </c>
      <c r="E107" s="9" t="n">
        <f aca="false">$C$107</f>
        <v>5000</v>
      </c>
      <c r="F107" s="9" t="n">
        <f aca="false">$C$107</f>
        <v>5000</v>
      </c>
      <c r="G107" s="9" t="n">
        <f aca="false">$C$107</f>
        <v>5000</v>
      </c>
      <c r="H107" s="6" t="s">
        <v>126</v>
      </c>
      <c r="I107" s="6" t="s">
        <v>349</v>
      </c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</row>
    <row r="108" customFormat="false" ht="15" hidden="false" customHeight="false" outlineLevel="0" collapsed="false">
      <c r="A108" s="6" t="s">
        <v>350</v>
      </c>
      <c r="B108" s="5" t="s">
        <v>351</v>
      </c>
      <c r="C108" s="17" t="n">
        <f aca="false">C92+C93+C94+C95+C96+C97+C98+C99</f>
        <v>1465</v>
      </c>
      <c r="D108" s="17" t="n">
        <f aca="false">D92+D93+D94+D95+D96+D97+D98+D99</f>
        <v>1465</v>
      </c>
      <c r="E108" s="17" t="n">
        <f aca="false">E92+E93+E94+E95+E96+E97+E98+E99</f>
        <v>1465</v>
      </c>
      <c r="F108" s="17" t="n">
        <f aca="false">F92+F93+F94+F95+F96+F97+F98+F99</f>
        <v>1465</v>
      </c>
      <c r="G108" s="17" t="n">
        <f aca="false">G92+G93+G94+G95+G96+G97+G98+G99</f>
        <v>1465</v>
      </c>
      <c r="H108" s="2" t="s">
        <v>126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</row>
    <row r="109" customFormat="false" ht="1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</row>
    <row r="110" customFormat="false" ht="15" hidden="false" customHeight="false" outlineLevel="0" collapsed="false">
      <c r="A110" s="5" t="s">
        <v>352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</row>
    <row r="111" customFormat="false" ht="15" hidden="false" customHeight="false" outlineLevel="0" collapsed="false">
      <c r="A111" s="6" t="s">
        <v>353</v>
      </c>
      <c r="B111" s="6" t="s">
        <v>354</v>
      </c>
      <c r="C111" s="11" t="n">
        <v>0.25</v>
      </c>
      <c r="D111" s="13" t="n">
        <f aca="false">$C$111</f>
        <v>0.25</v>
      </c>
      <c r="E111" s="13" t="n">
        <f aca="false">$C$111</f>
        <v>0.25</v>
      </c>
      <c r="F111" s="13" t="n">
        <f aca="false">$C$111</f>
        <v>0.25</v>
      </c>
      <c r="G111" s="13" t="n">
        <f aca="false">$C$111</f>
        <v>0.25</v>
      </c>
      <c r="H111" s="6" t="s">
        <v>355</v>
      </c>
      <c r="I111" s="6" t="s">
        <v>3</v>
      </c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</row>
    <row r="112" customFormat="false" ht="15" hidden="false" customHeight="false" outlineLevel="0" collapsed="false">
      <c r="A112" s="6" t="s">
        <v>356</v>
      </c>
      <c r="B112" s="6" t="s">
        <v>357</v>
      </c>
      <c r="C112" s="11" t="n">
        <v>0.22</v>
      </c>
      <c r="D112" s="13" t="n">
        <f aca="false">$C$112</f>
        <v>0.22</v>
      </c>
      <c r="E112" s="13" t="n">
        <f aca="false">$C$112</f>
        <v>0.22</v>
      </c>
      <c r="F112" s="13" t="n">
        <f aca="false">$C$112</f>
        <v>0.22</v>
      </c>
      <c r="G112" s="13" t="n">
        <f aca="false">$C$112</f>
        <v>0.22</v>
      </c>
      <c r="H112" s="6" t="s">
        <v>355</v>
      </c>
      <c r="I112" s="6" t="s">
        <v>3</v>
      </c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</row>
    <row r="113" customFormat="false" ht="15" hidden="false" customHeight="false" outlineLevel="0" collapsed="false">
      <c r="A113" s="6" t="s">
        <v>358</v>
      </c>
      <c r="B113" s="6" t="s">
        <v>359</v>
      </c>
      <c r="C113" s="11" t="n">
        <v>0.15</v>
      </c>
      <c r="D113" s="13" t="n">
        <f aca="false">$C$113</f>
        <v>0.15</v>
      </c>
      <c r="E113" s="13" t="n">
        <f aca="false">$C$113</f>
        <v>0.15</v>
      </c>
      <c r="F113" s="13" t="n">
        <f aca="false">$C$113</f>
        <v>0.15</v>
      </c>
      <c r="G113" s="13" t="n">
        <f aca="false">$C$113</f>
        <v>0.15</v>
      </c>
      <c r="H113" s="6" t="s">
        <v>355</v>
      </c>
      <c r="I113" s="6" t="s">
        <v>3</v>
      </c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</row>
    <row r="114" customFormat="false" ht="15" hidden="false" customHeight="false" outlineLevel="0" collapsed="false">
      <c r="A114" s="6" t="s">
        <v>360</v>
      </c>
      <c r="B114" s="6" t="s">
        <v>361</v>
      </c>
      <c r="C114" s="11" t="n">
        <v>0.1</v>
      </c>
      <c r="D114" s="13" t="n">
        <f aca="false">$C$114</f>
        <v>0.1</v>
      </c>
      <c r="E114" s="13" t="n">
        <f aca="false">$C$114</f>
        <v>0.1</v>
      </c>
      <c r="F114" s="13" t="n">
        <f aca="false">$C$114</f>
        <v>0.1</v>
      </c>
      <c r="G114" s="13" t="n">
        <f aca="false">$C$114</f>
        <v>0.1</v>
      </c>
      <c r="H114" s="6" t="s">
        <v>355</v>
      </c>
      <c r="I114" s="6" t="s">
        <v>3</v>
      </c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</row>
    <row r="115" customFormat="false" ht="15" hidden="false" customHeight="false" outlineLevel="0" collapsed="false">
      <c r="A115" s="6" t="s">
        <v>362</v>
      </c>
      <c r="B115" s="6" t="s">
        <v>363</v>
      </c>
      <c r="C115" s="11" t="n">
        <v>0.06</v>
      </c>
      <c r="D115" s="13" t="n">
        <f aca="false">$C$115</f>
        <v>0.06</v>
      </c>
      <c r="E115" s="13" t="n">
        <f aca="false">$C$115</f>
        <v>0.06</v>
      </c>
      <c r="F115" s="13" t="n">
        <f aca="false">$C$115</f>
        <v>0.06</v>
      </c>
      <c r="G115" s="13" t="n">
        <f aca="false">$C$115</f>
        <v>0.06</v>
      </c>
      <c r="H115" s="6" t="s">
        <v>355</v>
      </c>
      <c r="I115" s="6" t="s">
        <v>3</v>
      </c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</row>
    <row r="116" customFormat="false" ht="15" hidden="false" customHeight="false" outlineLevel="0" collapsed="false">
      <c r="A116" s="6" t="s">
        <v>364</v>
      </c>
      <c r="B116" s="6" t="s">
        <v>365</v>
      </c>
      <c r="C116" s="11" t="n">
        <v>0.05</v>
      </c>
      <c r="D116" s="13" t="n">
        <f aca="false">$C$116</f>
        <v>0.05</v>
      </c>
      <c r="E116" s="13" t="n">
        <f aca="false">$C$116</f>
        <v>0.05</v>
      </c>
      <c r="F116" s="13" t="n">
        <f aca="false">$C$116</f>
        <v>0.05</v>
      </c>
      <c r="G116" s="13" t="n">
        <f aca="false">$C$116</f>
        <v>0.05</v>
      </c>
      <c r="H116" s="6" t="s">
        <v>355</v>
      </c>
      <c r="I116" s="6" t="s">
        <v>3</v>
      </c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</row>
    <row r="117" customFormat="false" ht="15" hidden="false" customHeight="false" outlineLevel="0" collapsed="false">
      <c r="A117" s="6" t="s">
        <v>366</v>
      </c>
      <c r="B117" s="6" t="s">
        <v>367</v>
      </c>
      <c r="C117" s="11" t="n">
        <v>0.01</v>
      </c>
      <c r="D117" s="13" t="n">
        <f aca="false">$C$117</f>
        <v>0.01</v>
      </c>
      <c r="E117" s="13" t="n">
        <f aca="false">$C$117</f>
        <v>0.01</v>
      </c>
      <c r="F117" s="13" t="n">
        <f aca="false">$C$117</f>
        <v>0.01</v>
      </c>
      <c r="G117" s="13" t="n">
        <f aca="false">$C$117</f>
        <v>0.01</v>
      </c>
      <c r="H117" s="6" t="s">
        <v>355</v>
      </c>
      <c r="I117" s="6" t="s">
        <v>3</v>
      </c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</row>
    <row r="118" customFormat="false" ht="15" hidden="false" customHeight="false" outlineLevel="0" collapsed="false">
      <c r="A118" s="6" t="s">
        <v>368</v>
      </c>
      <c r="B118" s="6" t="s">
        <v>369</v>
      </c>
      <c r="C118" s="11" t="n">
        <v>0.01</v>
      </c>
      <c r="D118" s="13" t="n">
        <f aca="false">$C$118</f>
        <v>0.01</v>
      </c>
      <c r="E118" s="13" t="n">
        <f aca="false">$C$118</f>
        <v>0.01</v>
      </c>
      <c r="F118" s="13" t="n">
        <f aca="false">$C$118</f>
        <v>0.01</v>
      </c>
      <c r="G118" s="13" t="n">
        <f aca="false">$C$118</f>
        <v>0.01</v>
      </c>
      <c r="H118" s="6" t="s">
        <v>355</v>
      </c>
      <c r="I118" s="6" t="s">
        <v>3</v>
      </c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</row>
    <row r="119" customFormat="false" ht="15" hidden="false" customHeight="false" outlineLevel="0" collapsed="false">
      <c r="A119" s="6" t="s">
        <v>370</v>
      </c>
      <c r="B119" s="6" t="s">
        <v>371</v>
      </c>
      <c r="C119" s="11" t="n">
        <v>0.01</v>
      </c>
      <c r="D119" s="13" t="n">
        <f aca="false">$C$119</f>
        <v>0.01</v>
      </c>
      <c r="E119" s="13" t="n">
        <f aca="false">$C$119</f>
        <v>0.01</v>
      </c>
      <c r="F119" s="13" t="n">
        <f aca="false">$C$119</f>
        <v>0.01</v>
      </c>
      <c r="G119" s="13" t="n">
        <f aca="false">$C$119</f>
        <v>0.01</v>
      </c>
      <c r="H119" s="6" t="s">
        <v>355</v>
      </c>
      <c r="I119" s="6" t="s">
        <v>3</v>
      </c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</row>
    <row r="120" customFormat="false" ht="15" hidden="false" customHeight="false" outlineLevel="0" collapsed="false">
      <c r="A120" s="6" t="s">
        <v>372</v>
      </c>
      <c r="B120" s="6" t="s">
        <v>373</v>
      </c>
      <c r="C120" s="11" t="n">
        <v>0.01</v>
      </c>
      <c r="D120" s="13" t="n">
        <f aca="false">$C$120</f>
        <v>0.01</v>
      </c>
      <c r="E120" s="13" t="n">
        <f aca="false">$C$120</f>
        <v>0.01</v>
      </c>
      <c r="F120" s="13" t="n">
        <f aca="false">$C$120</f>
        <v>0.01</v>
      </c>
      <c r="G120" s="13" t="n">
        <f aca="false">$C$120</f>
        <v>0.01</v>
      </c>
      <c r="H120" s="6" t="s">
        <v>355</v>
      </c>
      <c r="I120" s="6" t="s">
        <v>3</v>
      </c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</row>
    <row r="121" customFormat="false" ht="15" hidden="false" customHeight="false" outlineLevel="0" collapsed="false">
      <c r="A121" s="6" t="s">
        <v>374</v>
      </c>
      <c r="B121" s="6" t="s">
        <v>375</v>
      </c>
      <c r="C121" s="11" t="n">
        <v>0.01</v>
      </c>
      <c r="D121" s="13" t="n">
        <f aca="false">$C$121</f>
        <v>0.01</v>
      </c>
      <c r="E121" s="13" t="n">
        <f aca="false">$C$121</f>
        <v>0.01</v>
      </c>
      <c r="F121" s="13" t="n">
        <f aca="false">$C$121</f>
        <v>0.01</v>
      </c>
      <c r="G121" s="13" t="n">
        <f aca="false">$C$121</f>
        <v>0.01</v>
      </c>
      <c r="H121" s="6" t="s">
        <v>355</v>
      </c>
      <c r="I121" s="6" t="s">
        <v>3</v>
      </c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</row>
    <row r="122" customFormat="false" ht="15" hidden="false" customHeight="false" outlineLevel="0" collapsed="false">
      <c r="A122" s="6" t="s">
        <v>376</v>
      </c>
      <c r="B122" s="6" t="s">
        <v>377</v>
      </c>
      <c r="C122" s="11" t="n">
        <v>0.01</v>
      </c>
      <c r="D122" s="13" t="n">
        <f aca="false">$C$122</f>
        <v>0.01</v>
      </c>
      <c r="E122" s="13" t="n">
        <f aca="false">$C$122</f>
        <v>0.01</v>
      </c>
      <c r="F122" s="13" t="n">
        <f aca="false">$C$122</f>
        <v>0.01</v>
      </c>
      <c r="G122" s="13" t="n">
        <f aca="false">$C$122</f>
        <v>0.01</v>
      </c>
      <c r="H122" s="6" t="s">
        <v>355</v>
      </c>
      <c r="I122" s="6" t="s">
        <v>3</v>
      </c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</row>
    <row r="123" customFormat="false" ht="15" hidden="false" customHeight="false" outlineLevel="0" collapsed="false">
      <c r="A123" s="6" t="s">
        <v>378</v>
      </c>
      <c r="B123" s="6" t="s">
        <v>379</v>
      </c>
      <c r="C123" s="11" t="n">
        <v>0.01</v>
      </c>
      <c r="D123" s="13" t="n">
        <f aca="false">$C$123</f>
        <v>0.01</v>
      </c>
      <c r="E123" s="13" t="n">
        <f aca="false">$C$123</f>
        <v>0.01</v>
      </c>
      <c r="F123" s="13" t="n">
        <f aca="false">$C$123</f>
        <v>0.01</v>
      </c>
      <c r="G123" s="13" t="n">
        <f aca="false">$C$123</f>
        <v>0.01</v>
      </c>
      <c r="H123" s="6" t="s">
        <v>355</v>
      </c>
      <c r="I123" s="6" t="s">
        <v>3</v>
      </c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</row>
    <row r="124" customFormat="false" ht="15" hidden="false" customHeight="false" outlineLevel="0" collapsed="false">
      <c r="A124" s="6" t="s">
        <v>380</v>
      </c>
      <c r="B124" s="6" t="s">
        <v>381</v>
      </c>
      <c r="C124" s="11" t="n">
        <v>0.01</v>
      </c>
      <c r="D124" s="13" t="n">
        <f aca="false">$C$124</f>
        <v>0.01</v>
      </c>
      <c r="E124" s="13" t="n">
        <f aca="false">$C$124</f>
        <v>0.01</v>
      </c>
      <c r="F124" s="13" t="n">
        <f aca="false">$C$124</f>
        <v>0.01</v>
      </c>
      <c r="G124" s="13" t="n">
        <f aca="false">$C$124</f>
        <v>0.01</v>
      </c>
      <c r="H124" s="6" t="s">
        <v>355</v>
      </c>
      <c r="I124" s="6" t="s">
        <v>3</v>
      </c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</row>
    <row r="125" customFormat="false" ht="15" hidden="false" customHeight="false" outlineLevel="0" collapsed="false">
      <c r="A125" s="6" t="s">
        <v>382</v>
      </c>
      <c r="B125" s="6" t="s">
        <v>383</v>
      </c>
      <c r="C125" s="11" t="n">
        <v>0.01</v>
      </c>
      <c r="D125" s="13" t="n">
        <f aca="false">$C$125</f>
        <v>0.01</v>
      </c>
      <c r="E125" s="13" t="n">
        <f aca="false">$C$125</f>
        <v>0.01</v>
      </c>
      <c r="F125" s="13" t="n">
        <f aca="false">$C$125</f>
        <v>0.01</v>
      </c>
      <c r="G125" s="13" t="n">
        <f aca="false">$C$125</f>
        <v>0.01</v>
      </c>
      <c r="H125" s="6" t="s">
        <v>355</v>
      </c>
      <c r="I125" s="6" t="s">
        <v>3</v>
      </c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</row>
    <row r="126" customFormat="false" ht="15" hidden="false" customHeight="false" outlineLevel="0" collapsed="false">
      <c r="A126" s="6" t="s">
        <v>384</v>
      </c>
      <c r="B126" s="6" t="s">
        <v>385</v>
      </c>
      <c r="C126" s="11" t="n">
        <v>0.01</v>
      </c>
      <c r="D126" s="13" t="n">
        <f aca="false">$C$126</f>
        <v>0.01</v>
      </c>
      <c r="E126" s="13" t="n">
        <f aca="false">$C$126</f>
        <v>0.01</v>
      </c>
      <c r="F126" s="13" t="n">
        <f aca="false">$C$126</f>
        <v>0.01</v>
      </c>
      <c r="G126" s="13" t="n">
        <f aca="false">$C$126</f>
        <v>0.01</v>
      </c>
      <c r="H126" s="6" t="s">
        <v>355</v>
      </c>
      <c r="I126" s="6" t="s">
        <v>3</v>
      </c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</row>
    <row r="127" customFormat="false" ht="15" hidden="false" customHeight="false" outlineLevel="0" collapsed="false">
      <c r="A127" s="6" t="s">
        <v>386</v>
      </c>
      <c r="B127" s="6" t="s">
        <v>387</v>
      </c>
      <c r="C127" s="11" t="n">
        <v>0.01</v>
      </c>
      <c r="D127" s="13" t="n">
        <f aca="false">$C$127</f>
        <v>0.01</v>
      </c>
      <c r="E127" s="13" t="n">
        <f aca="false">$C$127</f>
        <v>0.01</v>
      </c>
      <c r="F127" s="13" t="n">
        <f aca="false">$C$127</f>
        <v>0.01</v>
      </c>
      <c r="G127" s="13" t="n">
        <f aca="false">$C$127</f>
        <v>0.01</v>
      </c>
      <c r="H127" s="6" t="s">
        <v>355</v>
      </c>
      <c r="I127" s="6" t="s">
        <v>3</v>
      </c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</row>
    <row r="128" customFormat="false" ht="15" hidden="false" customHeight="false" outlineLevel="0" collapsed="false">
      <c r="A128" s="6" t="s">
        <v>388</v>
      </c>
      <c r="B128" s="6" t="s">
        <v>389</v>
      </c>
      <c r="C128" s="11" t="n">
        <v>0.01</v>
      </c>
      <c r="D128" s="13" t="n">
        <f aca="false">$C$128</f>
        <v>0.01</v>
      </c>
      <c r="E128" s="13" t="n">
        <f aca="false">$C$128</f>
        <v>0.01</v>
      </c>
      <c r="F128" s="13" t="n">
        <f aca="false">$C$128</f>
        <v>0.01</v>
      </c>
      <c r="G128" s="13" t="n">
        <f aca="false">$C$128</f>
        <v>0.01</v>
      </c>
      <c r="H128" s="6" t="s">
        <v>355</v>
      </c>
      <c r="I128" s="6" t="s">
        <v>3</v>
      </c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</row>
    <row r="129" customFormat="false" ht="15" hidden="false" customHeight="false" outlineLevel="0" collapsed="false">
      <c r="A129" s="6" t="s">
        <v>390</v>
      </c>
      <c r="B129" s="6" t="s">
        <v>391</v>
      </c>
      <c r="C129" s="11" t="n">
        <v>0.01</v>
      </c>
      <c r="D129" s="13" t="n">
        <f aca="false">$C$129</f>
        <v>0.01</v>
      </c>
      <c r="E129" s="13" t="n">
        <f aca="false">$C$129</f>
        <v>0.01</v>
      </c>
      <c r="F129" s="13" t="n">
        <f aca="false">$C$129</f>
        <v>0.01</v>
      </c>
      <c r="G129" s="13" t="n">
        <f aca="false">$C$129</f>
        <v>0.01</v>
      </c>
      <c r="H129" s="6" t="s">
        <v>355</v>
      </c>
      <c r="I129" s="6" t="s">
        <v>3</v>
      </c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</row>
    <row r="130" customFormat="false" ht="15" hidden="false" customHeight="false" outlineLevel="0" collapsed="false">
      <c r="A130" s="6" t="s">
        <v>392</v>
      </c>
      <c r="B130" s="6" t="s">
        <v>393</v>
      </c>
      <c r="C130" s="11" t="n">
        <v>0.01</v>
      </c>
      <c r="D130" s="13" t="n">
        <f aca="false">$C$130</f>
        <v>0.01</v>
      </c>
      <c r="E130" s="13" t="n">
        <f aca="false">$C$130</f>
        <v>0.01</v>
      </c>
      <c r="F130" s="13" t="n">
        <f aca="false">$C$130</f>
        <v>0.01</v>
      </c>
      <c r="G130" s="13" t="n">
        <f aca="false">$C$130</f>
        <v>0.01</v>
      </c>
      <c r="H130" s="6" t="s">
        <v>355</v>
      </c>
      <c r="I130" s="6" t="s">
        <v>3</v>
      </c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</row>
    <row r="131" customFormat="false" ht="15" hidden="false" customHeight="false" outlineLevel="0" collapsed="false">
      <c r="A131" s="6" t="s">
        <v>394</v>
      </c>
      <c r="B131" s="6" t="s">
        <v>395</v>
      </c>
      <c r="C131" s="11" t="n">
        <v>0.01</v>
      </c>
      <c r="D131" s="13" t="n">
        <f aca="false">$C$131</f>
        <v>0.01</v>
      </c>
      <c r="E131" s="13" t="n">
        <f aca="false">$C$131</f>
        <v>0.01</v>
      </c>
      <c r="F131" s="13" t="n">
        <f aca="false">$C$131</f>
        <v>0.01</v>
      </c>
      <c r="G131" s="13" t="n">
        <f aca="false">$C$131</f>
        <v>0.01</v>
      </c>
      <c r="H131" s="6" t="s">
        <v>355</v>
      </c>
      <c r="I131" s="6" t="s">
        <v>3</v>
      </c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</row>
    <row r="132" customFormat="false" ht="15" hidden="false" customHeight="false" outlineLevel="0" collapsed="false">
      <c r="A132" s="6" t="s">
        <v>396</v>
      </c>
      <c r="B132" s="6" t="s">
        <v>397</v>
      </c>
      <c r="C132" s="11" t="n">
        <v>0.01</v>
      </c>
      <c r="D132" s="13" t="n">
        <f aca="false">$C$132</f>
        <v>0.01</v>
      </c>
      <c r="E132" s="13" t="n">
        <f aca="false">$C$132</f>
        <v>0.01</v>
      </c>
      <c r="F132" s="13" t="n">
        <f aca="false">$C$132</f>
        <v>0.01</v>
      </c>
      <c r="G132" s="13" t="n">
        <f aca="false">$C$132</f>
        <v>0.01</v>
      </c>
      <c r="H132" s="6" t="s">
        <v>355</v>
      </c>
      <c r="I132" s="6" t="s">
        <v>3</v>
      </c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</row>
    <row r="133" customFormat="false" ht="15" hidden="false" customHeight="false" outlineLevel="0" collapsed="false">
      <c r="A133" s="6" t="s">
        <v>398</v>
      </c>
      <c r="B133" s="6" t="s">
        <v>399</v>
      </c>
      <c r="C133" s="11" t="n">
        <v>0.01</v>
      </c>
      <c r="D133" s="13" t="n">
        <f aca="false">$C$133</f>
        <v>0.01</v>
      </c>
      <c r="E133" s="13" t="n">
        <f aca="false">$C$133</f>
        <v>0.01</v>
      </c>
      <c r="F133" s="13" t="n">
        <f aca="false">$C$133</f>
        <v>0.01</v>
      </c>
      <c r="G133" s="13" t="n">
        <f aca="false">$C$133</f>
        <v>0.01</v>
      </c>
      <c r="H133" s="6" t="s">
        <v>355</v>
      </c>
      <c r="I133" s="6" t="s">
        <v>3</v>
      </c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</row>
    <row r="134" customFormat="false" ht="15" hidden="false" customHeight="false" outlineLevel="0" collapsed="false">
      <c r="A134" s="2"/>
      <c r="B134" s="5" t="s">
        <v>400</v>
      </c>
      <c r="C134" s="18" t="n">
        <f aca="false">SUM(C111:C133)</f>
        <v>1</v>
      </c>
      <c r="D134" s="18" t="n">
        <f aca="false">SUM(D111:D133)</f>
        <v>1</v>
      </c>
      <c r="E134" s="18" t="n">
        <f aca="false">SUM(E111:E133)</f>
        <v>1</v>
      </c>
      <c r="F134" s="18" t="n">
        <f aca="false">SUM(F111:F133)</f>
        <v>1</v>
      </c>
      <c r="G134" s="18" t="n">
        <f aca="false">SUM(G111:G133)</f>
        <v>1</v>
      </c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</row>
    <row r="135" customFormat="false" ht="15" hidden="false" customHeight="fals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</row>
    <row r="136" customFormat="false" ht="15" hidden="false" customHeight="false" outlineLevel="0" collapsed="false">
      <c r="A136" s="5" t="s">
        <v>401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</row>
    <row r="137" customFormat="false" ht="15" hidden="false" customHeight="false" outlineLevel="0" collapsed="false">
      <c r="A137" s="2"/>
      <c r="B137" s="5" t="s">
        <v>402</v>
      </c>
      <c r="C137" s="4" t="n">
        <v>1</v>
      </c>
      <c r="D137" s="4" t="n">
        <v>2</v>
      </c>
      <c r="E137" s="4" t="n">
        <v>3</v>
      </c>
      <c r="F137" s="4" t="n">
        <v>4</v>
      </c>
      <c r="G137" s="4" t="n">
        <v>5</v>
      </c>
      <c r="H137" s="4" t="n">
        <v>6</v>
      </c>
      <c r="I137" s="4" t="n">
        <v>7</v>
      </c>
      <c r="J137" s="4" t="n">
        <v>8</v>
      </c>
      <c r="K137" s="4" t="n">
        <v>9</v>
      </c>
      <c r="L137" s="4" t="n">
        <v>10</v>
      </c>
      <c r="M137" s="4" t="n">
        <v>11</v>
      </c>
      <c r="N137" s="4" t="n">
        <v>12</v>
      </c>
      <c r="O137" s="4" t="n">
        <v>13</v>
      </c>
      <c r="P137" s="4" t="n">
        <v>14</v>
      </c>
      <c r="Q137" s="4" t="n">
        <v>15</v>
      </c>
      <c r="R137" s="4" t="n">
        <v>16</v>
      </c>
      <c r="S137" s="4" t="n">
        <v>17</v>
      </c>
      <c r="T137" s="4" t="n">
        <v>18</v>
      </c>
      <c r="U137" s="4" t="n">
        <v>19</v>
      </c>
      <c r="V137" s="4" t="n">
        <v>20</v>
      </c>
      <c r="W137" s="4" t="n">
        <v>21</v>
      </c>
      <c r="X137" s="4" t="n">
        <v>22</v>
      </c>
      <c r="Y137" s="4" t="n">
        <v>23</v>
      </c>
      <c r="Z137" s="4" t="n">
        <v>24</v>
      </c>
      <c r="AA137" s="4" t="n">
        <v>25</v>
      </c>
      <c r="AB137" s="4" t="n">
        <v>26</v>
      </c>
      <c r="AC137" s="4" t="n">
        <v>27</v>
      </c>
      <c r="AD137" s="4" t="n">
        <v>28</v>
      </c>
      <c r="AE137" s="4" t="n">
        <v>29</v>
      </c>
      <c r="AF137" s="4" t="n">
        <v>30</v>
      </c>
      <c r="AG137" s="4" t="n">
        <v>31</v>
      </c>
      <c r="AH137" s="4" t="n">
        <v>32</v>
      </c>
      <c r="AI137" s="4" t="n">
        <v>33</v>
      </c>
      <c r="AJ137" s="4" t="n">
        <v>34</v>
      </c>
      <c r="AK137" s="4" t="n">
        <v>35</v>
      </c>
      <c r="AL137" s="4" t="n">
        <v>36</v>
      </c>
      <c r="AM137" s="19" t="n">
        <v>37</v>
      </c>
      <c r="AN137" s="19" t="n">
        <v>38</v>
      </c>
      <c r="AO137" s="19" t="n">
        <v>39</v>
      </c>
      <c r="AP137" s="19" t="n">
        <v>40</v>
      </c>
      <c r="AQ137" s="19" t="n">
        <v>41</v>
      </c>
      <c r="AR137" s="19" t="n">
        <v>42</v>
      </c>
      <c r="AS137" s="19" t="n">
        <v>43</v>
      </c>
      <c r="AT137" s="19" t="n">
        <v>44</v>
      </c>
      <c r="AU137" s="19" t="n">
        <v>45</v>
      </c>
      <c r="AV137" s="19" t="n">
        <v>46</v>
      </c>
      <c r="AW137" s="19" t="n">
        <v>47</v>
      </c>
      <c r="AX137" s="19" t="n">
        <v>48</v>
      </c>
      <c r="AY137" s="19" t="n">
        <v>49</v>
      </c>
      <c r="AZ137" s="19" t="n">
        <v>50</v>
      </c>
      <c r="BA137" s="19" t="n">
        <v>51</v>
      </c>
      <c r="BB137" s="19" t="n">
        <v>52</v>
      </c>
      <c r="BC137" s="19" t="n">
        <v>53</v>
      </c>
      <c r="BD137" s="19" t="n">
        <v>54</v>
      </c>
      <c r="BE137" s="19" t="n">
        <v>55</v>
      </c>
      <c r="BF137" s="19" t="n">
        <v>56</v>
      </c>
      <c r="BG137" s="19" t="n">
        <v>57</v>
      </c>
      <c r="BH137" s="19" t="n">
        <v>58</v>
      </c>
      <c r="BI137" s="19" t="n">
        <v>59</v>
      </c>
      <c r="BJ137" s="19" t="n">
        <v>60</v>
      </c>
      <c r="BK137" s="2"/>
    </row>
    <row r="138" customFormat="false" ht="15" hidden="false" customHeight="false" outlineLevel="0" collapsed="false">
      <c r="A138" s="2"/>
      <c r="B138" s="5" t="s">
        <v>403</v>
      </c>
      <c r="C138" s="2" t="s">
        <v>404</v>
      </c>
      <c r="D138" s="2" t="s">
        <v>405</v>
      </c>
      <c r="E138" s="2" t="s">
        <v>406</v>
      </c>
      <c r="F138" s="2" t="s">
        <v>407</v>
      </c>
      <c r="G138" s="2" t="s">
        <v>408</v>
      </c>
      <c r="H138" s="2" t="s">
        <v>409</v>
      </c>
      <c r="I138" s="2" t="s">
        <v>410</v>
      </c>
      <c r="J138" s="2" t="s">
        <v>411</v>
      </c>
      <c r="K138" s="2" t="s">
        <v>412</v>
      </c>
      <c r="L138" s="2" t="s">
        <v>413</v>
      </c>
      <c r="M138" s="2" t="s">
        <v>414</v>
      </c>
      <c r="N138" s="2" t="s">
        <v>415</v>
      </c>
      <c r="O138" s="2" t="s">
        <v>416</v>
      </c>
      <c r="P138" s="2" t="s">
        <v>417</v>
      </c>
      <c r="Q138" s="2" t="s">
        <v>418</v>
      </c>
      <c r="R138" s="2" t="s">
        <v>419</v>
      </c>
      <c r="S138" s="2" t="s">
        <v>420</v>
      </c>
      <c r="T138" s="2" t="s">
        <v>421</v>
      </c>
      <c r="U138" s="2" t="s">
        <v>422</v>
      </c>
      <c r="V138" s="2" t="s">
        <v>423</v>
      </c>
      <c r="W138" s="2" t="s">
        <v>424</v>
      </c>
      <c r="X138" s="2" t="s">
        <v>425</v>
      </c>
      <c r="Y138" s="2" t="s">
        <v>426</v>
      </c>
      <c r="Z138" s="2" t="s">
        <v>427</v>
      </c>
      <c r="AA138" s="2" t="s">
        <v>428</v>
      </c>
      <c r="AB138" s="2" t="s">
        <v>429</v>
      </c>
      <c r="AC138" s="2" t="s">
        <v>430</v>
      </c>
      <c r="AD138" s="2" t="s">
        <v>431</v>
      </c>
      <c r="AE138" s="2" t="s">
        <v>432</v>
      </c>
      <c r="AF138" s="2" t="s">
        <v>433</v>
      </c>
      <c r="AG138" s="2" t="s">
        <v>434</v>
      </c>
      <c r="AH138" s="2" t="s">
        <v>435</v>
      </c>
      <c r="AI138" s="2" t="s">
        <v>436</v>
      </c>
      <c r="AJ138" s="2" t="s">
        <v>437</v>
      </c>
      <c r="AK138" s="2" t="s">
        <v>438</v>
      </c>
      <c r="AL138" s="2" t="s">
        <v>439</v>
      </c>
      <c r="AM138" s="2" t="s">
        <v>440</v>
      </c>
      <c r="AN138" s="2" t="s">
        <v>441</v>
      </c>
      <c r="AO138" s="2" t="s">
        <v>442</v>
      </c>
      <c r="AP138" s="2" t="s">
        <v>443</v>
      </c>
      <c r="AQ138" s="2" t="s">
        <v>444</v>
      </c>
      <c r="AR138" s="2" t="s">
        <v>445</v>
      </c>
      <c r="AS138" s="2" t="s">
        <v>446</v>
      </c>
      <c r="AT138" s="2" t="s">
        <v>447</v>
      </c>
      <c r="AU138" s="2" t="s">
        <v>448</v>
      </c>
      <c r="AV138" s="2" t="s">
        <v>449</v>
      </c>
      <c r="AW138" s="2" t="s">
        <v>450</v>
      </c>
      <c r="AX138" s="2" t="s">
        <v>451</v>
      </c>
      <c r="AY138" s="2" t="s">
        <v>452</v>
      </c>
      <c r="AZ138" s="2" t="s">
        <v>453</v>
      </c>
      <c r="BA138" s="2" t="s">
        <v>454</v>
      </c>
      <c r="BB138" s="2" t="s">
        <v>455</v>
      </c>
      <c r="BC138" s="2" t="s">
        <v>456</v>
      </c>
      <c r="BD138" s="2" t="s">
        <v>457</v>
      </c>
      <c r="BE138" s="2" t="s">
        <v>458</v>
      </c>
      <c r="BF138" s="2" t="s">
        <v>459</v>
      </c>
      <c r="BG138" s="2" t="s">
        <v>460</v>
      </c>
      <c r="BH138" s="2" t="s">
        <v>461</v>
      </c>
      <c r="BI138" s="2" t="s">
        <v>462</v>
      </c>
      <c r="BJ138" s="2" t="s">
        <v>463</v>
      </c>
      <c r="BK138" s="2"/>
    </row>
    <row r="139" customFormat="false" ht="15" hidden="false" customHeight="false" outlineLevel="0" collapsed="false">
      <c r="A139" s="2" t="s">
        <v>464</v>
      </c>
      <c r="B139" s="6" t="s">
        <v>465</v>
      </c>
      <c r="C139" s="7" t="n">
        <v>0</v>
      </c>
      <c r="D139" s="7" t="n">
        <v>0</v>
      </c>
      <c r="E139" s="7" t="n">
        <v>0</v>
      </c>
      <c r="F139" s="7" t="n">
        <v>0</v>
      </c>
      <c r="G139" s="7" t="n">
        <v>1</v>
      </c>
      <c r="H139" s="7" t="n">
        <v>0</v>
      </c>
      <c r="I139" s="7" t="n">
        <v>0</v>
      </c>
      <c r="J139" s="7" t="n">
        <v>1</v>
      </c>
      <c r="K139" s="7" t="n">
        <v>0</v>
      </c>
      <c r="L139" s="7" t="n">
        <v>0</v>
      </c>
      <c r="M139" s="7" t="n">
        <v>1</v>
      </c>
      <c r="N139" s="7" t="n">
        <v>1</v>
      </c>
      <c r="O139" s="7" t="n">
        <v>0</v>
      </c>
      <c r="P139" s="7" t="n">
        <v>1</v>
      </c>
      <c r="Q139" s="7" t="n">
        <v>1</v>
      </c>
      <c r="R139" s="7" t="n">
        <v>0</v>
      </c>
      <c r="S139" s="7" t="n">
        <v>1</v>
      </c>
      <c r="T139" s="7" t="n">
        <v>1</v>
      </c>
      <c r="U139" s="7" t="n">
        <v>1</v>
      </c>
      <c r="V139" s="7" t="n">
        <v>1</v>
      </c>
      <c r="W139" s="7" t="n">
        <v>1</v>
      </c>
      <c r="X139" s="7" t="n">
        <v>1</v>
      </c>
      <c r="Y139" s="7" t="n">
        <v>1</v>
      </c>
      <c r="Z139" s="7" t="n">
        <v>1</v>
      </c>
      <c r="AA139" s="7" t="n">
        <v>1</v>
      </c>
      <c r="AB139" s="7" t="n">
        <v>1</v>
      </c>
      <c r="AC139" s="7" t="n">
        <v>1</v>
      </c>
      <c r="AD139" s="7" t="n">
        <v>1</v>
      </c>
      <c r="AE139" s="7" t="n">
        <v>2</v>
      </c>
      <c r="AF139" s="7" t="n">
        <v>1</v>
      </c>
      <c r="AG139" s="7" t="n">
        <v>1</v>
      </c>
      <c r="AH139" s="7" t="n">
        <v>2</v>
      </c>
      <c r="AI139" s="7" t="n">
        <v>1</v>
      </c>
      <c r="AJ139" s="7" t="n">
        <v>1</v>
      </c>
      <c r="AK139" s="7" t="n">
        <v>2</v>
      </c>
      <c r="AL139" s="7" t="n">
        <v>1</v>
      </c>
      <c r="AM139" s="7" t="n">
        <v>1</v>
      </c>
      <c r="AN139" s="7" t="n">
        <v>2</v>
      </c>
      <c r="AO139" s="7" t="n">
        <v>1</v>
      </c>
      <c r="AP139" s="7" t="n">
        <v>1</v>
      </c>
      <c r="AQ139" s="7" t="n">
        <v>2</v>
      </c>
      <c r="AR139" s="7" t="n">
        <v>1</v>
      </c>
      <c r="AS139" s="7" t="n">
        <v>1</v>
      </c>
      <c r="AT139" s="7" t="n">
        <v>2</v>
      </c>
      <c r="AU139" s="7" t="n">
        <v>1</v>
      </c>
      <c r="AV139" s="7" t="n">
        <v>1</v>
      </c>
      <c r="AW139" s="7" t="n">
        <v>2</v>
      </c>
      <c r="AX139" s="7" t="n">
        <v>1</v>
      </c>
      <c r="AY139" s="7" t="n">
        <v>1</v>
      </c>
      <c r="AZ139" s="7" t="n">
        <v>2</v>
      </c>
      <c r="BA139" s="7" t="n">
        <v>1</v>
      </c>
      <c r="BB139" s="7" t="n">
        <v>1</v>
      </c>
      <c r="BC139" s="7" t="n">
        <v>2</v>
      </c>
      <c r="BD139" s="7" t="n">
        <v>1</v>
      </c>
      <c r="BE139" s="7" t="n">
        <v>1</v>
      </c>
      <c r="BF139" s="7" t="n">
        <v>2</v>
      </c>
      <c r="BG139" s="7" t="n">
        <v>1</v>
      </c>
      <c r="BH139" s="7" t="n">
        <v>1</v>
      </c>
      <c r="BI139" s="7" t="n">
        <v>2</v>
      </c>
      <c r="BJ139" s="7" t="n">
        <v>1</v>
      </c>
      <c r="BK139" s="2" t="s">
        <v>466</v>
      </c>
    </row>
    <row r="140" customFormat="false" ht="15" hidden="false" customHeight="false" outlineLevel="0" collapsed="false">
      <c r="A140" s="2" t="s">
        <v>467</v>
      </c>
      <c r="B140" s="6" t="s">
        <v>468</v>
      </c>
      <c r="C140" s="7" t="n">
        <v>0</v>
      </c>
      <c r="D140" s="7" t="n">
        <v>0</v>
      </c>
      <c r="E140" s="7" t="n">
        <v>0</v>
      </c>
      <c r="F140" s="7" t="n">
        <v>0</v>
      </c>
      <c r="G140" s="7" t="n">
        <v>1</v>
      </c>
      <c r="H140" s="7" t="n">
        <v>0</v>
      </c>
      <c r="I140" s="7" t="n">
        <v>0</v>
      </c>
      <c r="J140" s="7" t="n">
        <v>0</v>
      </c>
      <c r="K140" s="7" t="n">
        <v>0</v>
      </c>
      <c r="L140" s="7" t="n">
        <v>0</v>
      </c>
      <c r="M140" s="7" t="n">
        <v>1</v>
      </c>
      <c r="N140" s="7" t="n">
        <v>0</v>
      </c>
      <c r="O140" s="7" t="n">
        <v>0</v>
      </c>
      <c r="P140" s="7" t="n">
        <v>1</v>
      </c>
      <c r="Q140" s="7" t="n">
        <v>0</v>
      </c>
      <c r="R140" s="7" t="n">
        <v>0</v>
      </c>
      <c r="S140" s="7" t="n">
        <v>1</v>
      </c>
      <c r="T140" s="7" t="n">
        <v>1</v>
      </c>
      <c r="U140" s="7" t="n">
        <v>0</v>
      </c>
      <c r="V140" s="7" t="n">
        <v>1</v>
      </c>
      <c r="W140" s="7" t="n">
        <v>1</v>
      </c>
      <c r="X140" s="7" t="n">
        <v>0</v>
      </c>
      <c r="Y140" s="7" t="n">
        <v>1</v>
      </c>
      <c r="Z140" s="7" t="n">
        <v>1</v>
      </c>
      <c r="AA140" s="7" t="n">
        <v>0</v>
      </c>
      <c r="AB140" s="7" t="n">
        <v>1</v>
      </c>
      <c r="AC140" s="7" t="n">
        <v>1</v>
      </c>
      <c r="AD140" s="7" t="n">
        <v>1</v>
      </c>
      <c r="AE140" s="7" t="n">
        <v>1</v>
      </c>
      <c r="AF140" s="7" t="n">
        <v>1</v>
      </c>
      <c r="AG140" s="7" t="n">
        <v>1</v>
      </c>
      <c r="AH140" s="7" t="n">
        <v>1</v>
      </c>
      <c r="AI140" s="7" t="n">
        <v>1</v>
      </c>
      <c r="AJ140" s="7" t="n">
        <v>1</v>
      </c>
      <c r="AK140" s="7" t="n">
        <v>1</v>
      </c>
      <c r="AL140" s="7" t="n">
        <v>1</v>
      </c>
      <c r="AM140" s="7" t="n">
        <v>1</v>
      </c>
      <c r="AN140" s="7" t="n">
        <v>1</v>
      </c>
      <c r="AO140" s="7" t="n">
        <v>1</v>
      </c>
      <c r="AP140" s="7" t="n">
        <v>1</v>
      </c>
      <c r="AQ140" s="7" t="n">
        <v>1</v>
      </c>
      <c r="AR140" s="7" t="n">
        <v>1</v>
      </c>
      <c r="AS140" s="7" t="n">
        <v>1</v>
      </c>
      <c r="AT140" s="7" t="n">
        <v>1</v>
      </c>
      <c r="AU140" s="7" t="n">
        <v>1</v>
      </c>
      <c r="AV140" s="7" t="n">
        <v>1</v>
      </c>
      <c r="AW140" s="7" t="n">
        <v>1</v>
      </c>
      <c r="AX140" s="7" t="n">
        <v>1</v>
      </c>
      <c r="AY140" s="7" t="n">
        <v>1</v>
      </c>
      <c r="AZ140" s="7" t="n">
        <v>1</v>
      </c>
      <c r="BA140" s="7" t="n">
        <v>1</v>
      </c>
      <c r="BB140" s="7" t="n">
        <v>1</v>
      </c>
      <c r="BC140" s="7" t="n">
        <v>1</v>
      </c>
      <c r="BD140" s="7" t="n">
        <v>1</v>
      </c>
      <c r="BE140" s="7" t="n">
        <v>1</v>
      </c>
      <c r="BF140" s="7" t="n">
        <v>1</v>
      </c>
      <c r="BG140" s="7" t="n">
        <v>1</v>
      </c>
      <c r="BH140" s="7" t="n">
        <v>1</v>
      </c>
      <c r="BI140" s="7" t="n">
        <v>1</v>
      </c>
      <c r="BJ140" s="7" t="n">
        <v>1</v>
      </c>
      <c r="BK140" s="2" t="s">
        <v>469</v>
      </c>
    </row>
    <row r="141" customFormat="false" ht="15" hidden="false" customHeight="false" outlineLevel="0" collapsed="false">
      <c r="A141" s="2" t="s">
        <v>470</v>
      </c>
      <c r="B141" s="6" t="s">
        <v>471</v>
      </c>
      <c r="C141" s="7" t="n">
        <v>0</v>
      </c>
      <c r="D141" s="7" t="n">
        <v>0</v>
      </c>
      <c r="E141" s="7" t="n">
        <v>0</v>
      </c>
      <c r="F141" s="7" t="n">
        <v>0</v>
      </c>
      <c r="G141" s="7" t="n">
        <v>1</v>
      </c>
      <c r="H141" s="7" t="n">
        <v>0</v>
      </c>
      <c r="I141" s="7" t="n">
        <v>0</v>
      </c>
      <c r="J141" s="7" t="n">
        <v>1</v>
      </c>
      <c r="K141" s="7" t="n">
        <v>0</v>
      </c>
      <c r="L141" s="7" t="n">
        <v>0</v>
      </c>
      <c r="M141" s="7" t="n">
        <v>1</v>
      </c>
      <c r="N141" s="7" t="n">
        <v>1</v>
      </c>
      <c r="O141" s="7" t="n">
        <v>0</v>
      </c>
      <c r="P141" s="7" t="n">
        <v>1</v>
      </c>
      <c r="Q141" s="7" t="n">
        <v>1</v>
      </c>
      <c r="R141" s="7" t="n">
        <v>0</v>
      </c>
      <c r="S141" s="7" t="n">
        <v>1</v>
      </c>
      <c r="T141" s="7" t="n">
        <v>1</v>
      </c>
      <c r="U141" s="7" t="n">
        <v>1</v>
      </c>
      <c r="V141" s="7" t="n">
        <v>1</v>
      </c>
      <c r="W141" s="7" t="n">
        <v>1</v>
      </c>
      <c r="X141" s="7" t="n">
        <v>1</v>
      </c>
      <c r="Y141" s="7" t="n">
        <v>1</v>
      </c>
      <c r="Z141" s="7" t="n">
        <v>1</v>
      </c>
      <c r="AA141" s="7" t="n">
        <v>1</v>
      </c>
      <c r="AB141" s="7" t="n">
        <v>1</v>
      </c>
      <c r="AC141" s="7" t="n">
        <v>1</v>
      </c>
      <c r="AD141" s="7" t="n">
        <v>1</v>
      </c>
      <c r="AE141" s="7" t="n">
        <v>2</v>
      </c>
      <c r="AF141" s="7" t="n">
        <v>1</v>
      </c>
      <c r="AG141" s="7" t="n">
        <v>1</v>
      </c>
      <c r="AH141" s="7" t="n">
        <v>2</v>
      </c>
      <c r="AI141" s="7" t="n">
        <v>1</v>
      </c>
      <c r="AJ141" s="7" t="n">
        <v>1</v>
      </c>
      <c r="AK141" s="7" t="n">
        <v>2</v>
      </c>
      <c r="AL141" s="7" t="n">
        <v>1</v>
      </c>
      <c r="AM141" s="7" t="n">
        <v>1</v>
      </c>
      <c r="AN141" s="7" t="n">
        <v>2</v>
      </c>
      <c r="AO141" s="7" t="n">
        <v>1</v>
      </c>
      <c r="AP141" s="7" t="n">
        <v>1</v>
      </c>
      <c r="AQ141" s="7" t="n">
        <v>2</v>
      </c>
      <c r="AR141" s="7" t="n">
        <v>1</v>
      </c>
      <c r="AS141" s="7" t="n">
        <v>1</v>
      </c>
      <c r="AT141" s="7" t="n">
        <v>2</v>
      </c>
      <c r="AU141" s="7" t="n">
        <v>1</v>
      </c>
      <c r="AV141" s="7" t="n">
        <v>1</v>
      </c>
      <c r="AW141" s="7" t="n">
        <v>2</v>
      </c>
      <c r="AX141" s="7" t="n">
        <v>1</v>
      </c>
      <c r="AY141" s="7" t="n">
        <v>1</v>
      </c>
      <c r="AZ141" s="7" t="n">
        <v>2</v>
      </c>
      <c r="BA141" s="7" t="n">
        <v>1</v>
      </c>
      <c r="BB141" s="7" t="n">
        <v>1</v>
      </c>
      <c r="BC141" s="7" t="n">
        <v>2</v>
      </c>
      <c r="BD141" s="7" t="n">
        <v>1</v>
      </c>
      <c r="BE141" s="7" t="n">
        <v>1</v>
      </c>
      <c r="BF141" s="7" t="n">
        <v>2</v>
      </c>
      <c r="BG141" s="7" t="n">
        <v>1</v>
      </c>
      <c r="BH141" s="7" t="n">
        <v>1</v>
      </c>
      <c r="BI141" s="7" t="n">
        <v>2</v>
      </c>
      <c r="BJ141" s="7" t="n">
        <v>1</v>
      </c>
      <c r="BK141" s="2" t="s">
        <v>466</v>
      </c>
    </row>
    <row r="142" customFormat="false" ht="15" hidden="false" customHeight="false" outlineLevel="0" collapsed="false">
      <c r="A142" s="2" t="s">
        <v>472</v>
      </c>
      <c r="B142" s="6" t="s">
        <v>473</v>
      </c>
      <c r="C142" s="7" t="n">
        <v>0</v>
      </c>
      <c r="D142" s="7" t="n">
        <v>0</v>
      </c>
      <c r="E142" s="7" t="n">
        <v>0</v>
      </c>
      <c r="F142" s="7" t="n">
        <v>0</v>
      </c>
      <c r="G142" s="7" t="n">
        <v>1</v>
      </c>
      <c r="H142" s="7" t="n">
        <v>0</v>
      </c>
      <c r="I142" s="7" t="n">
        <v>0</v>
      </c>
      <c r="J142" s="7" t="n">
        <v>1</v>
      </c>
      <c r="K142" s="7" t="n">
        <v>1</v>
      </c>
      <c r="L142" s="7" t="n">
        <v>0</v>
      </c>
      <c r="M142" s="7" t="n">
        <v>1</v>
      </c>
      <c r="N142" s="7" t="n">
        <v>1</v>
      </c>
      <c r="O142" s="7" t="n">
        <v>1</v>
      </c>
      <c r="P142" s="7" t="n">
        <v>1</v>
      </c>
      <c r="Q142" s="7" t="n">
        <v>1</v>
      </c>
      <c r="R142" s="7" t="n">
        <v>1</v>
      </c>
      <c r="S142" s="7" t="n">
        <v>1</v>
      </c>
      <c r="T142" s="7" t="n">
        <v>1</v>
      </c>
      <c r="U142" s="7" t="n">
        <v>1</v>
      </c>
      <c r="V142" s="7" t="n">
        <v>2</v>
      </c>
      <c r="W142" s="7" t="n">
        <v>1</v>
      </c>
      <c r="X142" s="7" t="n">
        <v>1</v>
      </c>
      <c r="Y142" s="7" t="n">
        <v>2</v>
      </c>
      <c r="Z142" s="7" t="n">
        <v>1</v>
      </c>
      <c r="AA142" s="7" t="n">
        <v>1</v>
      </c>
      <c r="AB142" s="7" t="n">
        <v>2</v>
      </c>
      <c r="AC142" s="7" t="n">
        <v>2</v>
      </c>
      <c r="AD142" s="7" t="n">
        <v>1</v>
      </c>
      <c r="AE142" s="7" t="n">
        <v>2</v>
      </c>
      <c r="AF142" s="7" t="n">
        <v>2</v>
      </c>
      <c r="AG142" s="7" t="n">
        <v>1</v>
      </c>
      <c r="AH142" s="7" t="n">
        <v>2</v>
      </c>
      <c r="AI142" s="7" t="n">
        <v>2</v>
      </c>
      <c r="AJ142" s="7" t="n">
        <v>2</v>
      </c>
      <c r="AK142" s="7" t="n">
        <v>2</v>
      </c>
      <c r="AL142" s="7" t="n">
        <v>2</v>
      </c>
      <c r="AM142" s="7" t="n">
        <v>2</v>
      </c>
      <c r="AN142" s="7" t="n">
        <v>2</v>
      </c>
      <c r="AO142" s="7" t="n">
        <v>2</v>
      </c>
      <c r="AP142" s="7" t="n">
        <v>2</v>
      </c>
      <c r="AQ142" s="7" t="n">
        <v>2</v>
      </c>
      <c r="AR142" s="7" t="n">
        <v>2</v>
      </c>
      <c r="AS142" s="7" t="n">
        <v>2</v>
      </c>
      <c r="AT142" s="7" t="n">
        <v>2</v>
      </c>
      <c r="AU142" s="7" t="n">
        <v>2</v>
      </c>
      <c r="AV142" s="7" t="n">
        <v>2</v>
      </c>
      <c r="AW142" s="7" t="n">
        <v>2</v>
      </c>
      <c r="AX142" s="7" t="n">
        <v>2</v>
      </c>
      <c r="AY142" s="7" t="n">
        <v>2</v>
      </c>
      <c r="AZ142" s="7" t="n">
        <v>2</v>
      </c>
      <c r="BA142" s="7" t="n">
        <v>2</v>
      </c>
      <c r="BB142" s="7" t="n">
        <v>2</v>
      </c>
      <c r="BC142" s="7" t="n">
        <v>2</v>
      </c>
      <c r="BD142" s="7" t="n">
        <v>2</v>
      </c>
      <c r="BE142" s="7" t="n">
        <v>2</v>
      </c>
      <c r="BF142" s="7" t="n">
        <v>2</v>
      </c>
      <c r="BG142" s="7" t="n">
        <v>2</v>
      </c>
      <c r="BH142" s="7" t="n">
        <v>2</v>
      </c>
      <c r="BI142" s="7" t="n">
        <v>2</v>
      </c>
      <c r="BJ142" s="7" t="n">
        <v>2</v>
      </c>
      <c r="BK142" s="2" t="s">
        <v>474</v>
      </c>
    </row>
    <row r="143" customFormat="false" ht="15" hidden="false" customHeight="false" outlineLevel="0" collapsed="false">
      <c r="A143" s="2" t="s">
        <v>475</v>
      </c>
      <c r="B143" s="6" t="s">
        <v>476</v>
      </c>
      <c r="C143" s="7" t="n">
        <v>0</v>
      </c>
      <c r="D143" s="7" t="n">
        <v>0</v>
      </c>
      <c r="E143" s="7" t="n">
        <v>0</v>
      </c>
      <c r="F143" s="7" t="n">
        <v>0</v>
      </c>
      <c r="G143" s="7" t="n">
        <v>1</v>
      </c>
      <c r="H143" s="7" t="n">
        <v>0</v>
      </c>
      <c r="I143" s="7" t="n">
        <v>0</v>
      </c>
      <c r="J143" s="7" t="n">
        <v>1</v>
      </c>
      <c r="K143" s="7" t="n">
        <v>1</v>
      </c>
      <c r="L143" s="7" t="n">
        <v>0</v>
      </c>
      <c r="M143" s="7" t="n">
        <v>1</v>
      </c>
      <c r="N143" s="7" t="n">
        <v>1</v>
      </c>
      <c r="O143" s="7" t="n">
        <v>1</v>
      </c>
      <c r="P143" s="7" t="n">
        <v>1</v>
      </c>
      <c r="Q143" s="7" t="n">
        <v>1</v>
      </c>
      <c r="R143" s="7" t="n">
        <v>1</v>
      </c>
      <c r="S143" s="7" t="n">
        <v>1</v>
      </c>
      <c r="T143" s="7" t="n">
        <v>1</v>
      </c>
      <c r="U143" s="7" t="n">
        <v>1</v>
      </c>
      <c r="V143" s="7" t="n">
        <v>2</v>
      </c>
      <c r="W143" s="7" t="n">
        <v>1</v>
      </c>
      <c r="X143" s="7" t="n">
        <v>1</v>
      </c>
      <c r="Y143" s="7" t="n">
        <v>2</v>
      </c>
      <c r="Z143" s="7" t="n">
        <v>1</v>
      </c>
      <c r="AA143" s="7" t="n">
        <v>1</v>
      </c>
      <c r="AB143" s="7" t="n">
        <v>2</v>
      </c>
      <c r="AC143" s="7" t="n">
        <v>2</v>
      </c>
      <c r="AD143" s="7" t="n">
        <v>1</v>
      </c>
      <c r="AE143" s="7" t="n">
        <v>2</v>
      </c>
      <c r="AF143" s="7" t="n">
        <v>2</v>
      </c>
      <c r="AG143" s="7" t="n">
        <v>1</v>
      </c>
      <c r="AH143" s="7" t="n">
        <v>2</v>
      </c>
      <c r="AI143" s="7" t="n">
        <v>2</v>
      </c>
      <c r="AJ143" s="7" t="n">
        <v>2</v>
      </c>
      <c r="AK143" s="7" t="n">
        <v>2</v>
      </c>
      <c r="AL143" s="7" t="n">
        <v>2</v>
      </c>
      <c r="AM143" s="7" t="n">
        <v>2</v>
      </c>
      <c r="AN143" s="7" t="n">
        <v>2</v>
      </c>
      <c r="AO143" s="7" t="n">
        <v>2</v>
      </c>
      <c r="AP143" s="7" t="n">
        <v>2</v>
      </c>
      <c r="AQ143" s="7" t="n">
        <v>2</v>
      </c>
      <c r="AR143" s="7" t="n">
        <v>2</v>
      </c>
      <c r="AS143" s="7" t="n">
        <v>2</v>
      </c>
      <c r="AT143" s="7" t="n">
        <v>2</v>
      </c>
      <c r="AU143" s="7" t="n">
        <v>2</v>
      </c>
      <c r="AV143" s="7" t="n">
        <v>2</v>
      </c>
      <c r="AW143" s="7" t="n">
        <v>2</v>
      </c>
      <c r="AX143" s="7" t="n">
        <v>2</v>
      </c>
      <c r="AY143" s="7" t="n">
        <v>2</v>
      </c>
      <c r="AZ143" s="7" t="n">
        <v>2</v>
      </c>
      <c r="BA143" s="7" t="n">
        <v>2</v>
      </c>
      <c r="BB143" s="7" t="n">
        <v>2</v>
      </c>
      <c r="BC143" s="7" t="n">
        <v>2</v>
      </c>
      <c r="BD143" s="7" t="n">
        <v>2</v>
      </c>
      <c r="BE143" s="7" t="n">
        <v>2</v>
      </c>
      <c r="BF143" s="7" t="n">
        <v>2</v>
      </c>
      <c r="BG143" s="7" t="n">
        <v>2</v>
      </c>
      <c r="BH143" s="7" t="n">
        <v>2</v>
      </c>
      <c r="BI143" s="7" t="n">
        <v>2</v>
      </c>
      <c r="BJ143" s="7" t="n">
        <v>2</v>
      </c>
      <c r="BK143" s="2" t="s">
        <v>474</v>
      </c>
    </row>
    <row r="144" customFormat="false" ht="15" hidden="false" customHeight="false" outlineLevel="0" collapsed="false">
      <c r="A144" s="2" t="s">
        <v>477</v>
      </c>
      <c r="B144" s="6" t="s">
        <v>478</v>
      </c>
      <c r="C144" s="20" t="n">
        <v>3500</v>
      </c>
      <c r="D144" s="20" t="n">
        <v>1500</v>
      </c>
      <c r="E144" s="20" t="n">
        <v>3000</v>
      </c>
      <c r="F144" s="20" t="n">
        <v>0</v>
      </c>
      <c r="G144" s="20" t="n">
        <v>0</v>
      </c>
      <c r="H144" s="20" t="n">
        <v>0</v>
      </c>
      <c r="I144" s="20" t="n">
        <v>0</v>
      </c>
      <c r="J144" s="20" t="n">
        <v>0</v>
      </c>
      <c r="K144" s="20" t="n">
        <v>0</v>
      </c>
      <c r="L144" s="20" t="n">
        <v>0</v>
      </c>
      <c r="M144" s="20" t="n">
        <v>0</v>
      </c>
      <c r="N144" s="20" t="n">
        <v>0</v>
      </c>
      <c r="O144" s="20" t="n">
        <v>0</v>
      </c>
      <c r="P144" s="20" t="n">
        <v>0</v>
      </c>
      <c r="Q144" s="20" t="n">
        <v>0</v>
      </c>
      <c r="R144" s="20" t="n">
        <v>0</v>
      </c>
      <c r="S144" s="20" t="n">
        <v>0</v>
      </c>
      <c r="T144" s="20" t="n">
        <v>0</v>
      </c>
      <c r="U144" s="20" t="n">
        <v>0</v>
      </c>
      <c r="V144" s="20" t="n">
        <v>0</v>
      </c>
      <c r="W144" s="20" t="n">
        <v>0</v>
      </c>
      <c r="X144" s="20" t="n">
        <v>0</v>
      </c>
      <c r="Y144" s="20" t="n">
        <v>0</v>
      </c>
      <c r="Z144" s="20" t="n">
        <v>0</v>
      </c>
      <c r="AA144" s="20" t="n">
        <v>0</v>
      </c>
      <c r="AB144" s="20" t="n">
        <v>0</v>
      </c>
      <c r="AC144" s="20" t="n">
        <v>0</v>
      </c>
      <c r="AD144" s="20" t="n">
        <v>0</v>
      </c>
      <c r="AE144" s="20" t="n">
        <v>0</v>
      </c>
      <c r="AF144" s="20" t="n">
        <v>0</v>
      </c>
      <c r="AG144" s="20" t="n">
        <v>0</v>
      </c>
      <c r="AH144" s="20" t="n">
        <v>0</v>
      </c>
      <c r="AI144" s="20" t="n">
        <v>0</v>
      </c>
      <c r="AJ144" s="20" t="n">
        <v>0</v>
      </c>
      <c r="AK144" s="20" t="n">
        <v>0</v>
      </c>
      <c r="AL144" s="20" t="n">
        <v>0</v>
      </c>
      <c r="AM144" s="20" t="n">
        <v>0</v>
      </c>
      <c r="AN144" s="20" t="n">
        <v>0</v>
      </c>
      <c r="AO144" s="20" t="n">
        <v>0</v>
      </c>
      <c r="AP144" s="20" t="n">
        <v>0</v>
      </c>
      <c r="AQ144" s="20" t="n">
        <v>0</v>
      </c>
      <c r="AR144" s="20" t="n">
        <v>0</v>
      </c>
      <c r="AS144" s="20" t="n">
        <v>0</v>
      </c>
      <c r="AT144" s="20" t="n">
        <v>0</v>
      </c>
      <c r="AU144" s="20" t="n">
        <v>0</v>
      </c>
      <c r="AV144" s="20" t="n">
        <v>0</v>
      </c>
      <c r="AW144" s="20" t="n">
        <v>0</v>
      </c>
      <c r="AX144" s="20" t="n">
        <v>0</v>
      </c>
      <c r="AY144" s="20" t="n">
        <v>0</v>
      </c>
      <c r="AZ144" s="20" t="n">
        <v>0</v>
      </c>
      <c r="BA144" s="20" t="n">
        <v>0</v>
      </c>
      <c r="BB144" s="20" t="n">
        <v>0</v>
      </c>
      <c r="BC144" s="20" t="n">
        <v>0</v>
      </c>
      <c r="BD144" s="20" t="n">
        <v>0</v>
      </c>
      <c r="BE144" s="20" t="n">
        <v>0</v>
      </c>
      <c r="BF144" s="20" t="n">
        <v>0</v>
      </c>
      <c r="BG144" s="20" t="n">
        <v>0</v>
      </c>
      <c r="BH144" s="20" t="n">
        <v>0</v>
      </c>
      <c r="BI144" s="20" t="n">
        <v>0</v>
      </c>
      <c r="BJ144" s="20" t="n">
        <v>0</v>
      </c>
      <c r="BK144" s="2" t="s">
        <v>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6" min="2" style="0" width="18"/>
  </cols>
  <sheetData>
    <row r="1" customFormat="false" ht="17.35" hidden="false" customHeight="false" outlineLevel="0" collapsed="false">
      <c r="A1" s="1" t="s">
        <v>480</v>
      </c>
    </row>
    <row r="2" customFormat="false" ht="15" hidden="false" customHeight="false" outlineLevel="0" collapsed="false">
      <c r="A2" s="3" t="s">
        <v>481</v>
      </c>
    </row>
    <row r="4" customFormat="false" ht="15" hidden="false" customHeight="false" outlineLevel="0" collapsed="false">
      <c r="A4" s="5" t="s">
        <v>482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</row>
    <row r="5" customFormat="false" ht="15" hidden="false" customHeight="false" outlineLevel="0" collapsed="false">
      <c r="A5" s="6" t="s">
        <v>483</v>
      </c>
      <c r="B5" s="21" t="str">
        <f aca="false">Monthly!$C$85</f>
        <v>none</v>
      </c>
      <c r="C5" s="21" t="str">
        <f aca="false">Monthly_Bear!$C$85</f>
        <v>none</v>
      </c>
      <c r="D5" s="21" t="str">
        <f aca="false">Monthly_RecoGates!$C$85</f>
        <v>none</v>
      </c>
      <c r="E5" s="21" t="n">
        <f aca="false">Monthly_Lean!$C$85</f>
        <v>35</v>
      </c>
      <c r="F5" s="21" t="n">
        <f aca="false">Monthly_Bull!$C$85</f>
        <v>36</v>
      </c>
    </row>
    <row r="6" customFormat="false" ht="15" hidden="false" customHeight="false" outlineLevel="0" collapsed="false">
      <c r="A6" s="6" t="s">
        <v>484</v>
      </c>
      <c r="B6" s="21" t="n">
        <f aca="false">Monthly!$C$86</f>
        <v>51</v>
      </c>
      <c r="C6" s="21" t="str">
        <f aca="false">Monthly_Bear!$C$86</f>
        <v>none</v>
      </c>
      <c r="D6" s="21" t="n">
        <f aca="false">Monthly_RecoGates!$C$86</f>
        <v>51</v>
      </c>
      <c r="E6" s="21" t="n">
        <f aca="false">Monthly_Lean!$C$86</f>
        <v>35</v>
      </c>
      <c r="F6" s="21" t="n">
        <f aca="false">Monthly_Bull!$C$86</f>
        <v>36</v>
      </c>
    </row>
    <row r="7" customFormat="false" ht="15" hidden="false" customHeight="false" outlineLevel="0" collapsed="false">
      <c r="A7" s="6" t="s">
        <v>485</v>
      </c>
      <c r="B7" s="21" t="str">
        <f aca="false">Monthly!$C$87</f>
        <v>none</v>
      </c>
      <c r="C7" s="21" t="str">
        <f aca="false">Monthly_Bear!$C$87</f>
        <v>none</v>
      </c>
      <c r="D7" s="21" t="str">
        <f aca="false">Monthly_RecoGates!$C$87</f>
        <v>none</v>
      </c>
      <c r="E7" s="21" t="n">
        <f aca="false">Monthly_Lean!$C$87</f>
        <v>35</v>
      </c>
      <c r="F7" s="21" t="n">
        <f aca="false">Monthly_Bull!$C$87</f>
        <v>36</v>
      </c>
    </row>
    <row r="8" customFormat="false" ht="15" hidden="false" customHeight="false" outlineLevel="0" collapsed="false">
      <c r="A8" s="6" t="s">
        <v>486</v>
      </c>
      <c r="B8" s="22" t="n">
        <f aca="false">Monthly!$C$88</f>
        <v>302027.687749425</v>
      </c>
      <c r="C8" s="22" t="n">
        <f aca="false">Monthly_Bear!$C$88</f>
        <v>297612.539848851</v>
      </c>
      <c r="D8" s="22" t="n">
        <f aca="false">Monthly_RecoGates!$C$88</f>
        <v>291058.981830323</v>
      </c>
      <c r="E8" s="22" t="n">
        <f aca="false">Monthly_Lean!$C$88</f>
        <v>167965.244447227</v>
      </c>
      <c r="F8" s="22" t="n">
        <f aca="false">Monthly_Bull!$C$88</f>
        <v>250864.010024987</v>
      </c>
    </row>
    <row r="9" customFormat="false" ht="15" hidden="false" customHeight="false" outlineLevel="0" collapsed="false">
      <c r="A9" s="6" t="s">
        <v>487</v>
      </c>
      <c r="B9" s="22" t="n">
        <f aca="false">Monthly!$C$90</f>
        <v>357308.242979656</v>
      </c>
      <c r="C9" s="22" t="n">
        <f aca="false">Monthly_Bear!$C$90</f>
        <v>516374.868884205</v>
      </c>
      <c r="D9" s="22" t="n">
        <f aca="false">Monthly_RecoGates!$C$90</f>
        <v>334997.369380474</v>
      </c>
      <c r="E9" s="22" t="n">
        <f aca="false">Monthly_Lean!$C$90</f>
        <v>167965.244447227</v>
      </c>
      <c r="F9" s="22" t="n">
        <f aca="false">Monthly_Bull!$C$90</f>
        <v>250864.010024987</v>
      </c>
    </row>
    <row r="10" customFormat="false" ht="15" hidden="false" customHeight="false" outlineLevel="0" collapsed="false">
      <c r="A10" s="6" t="s">
        <v>488</v>
      </c>
      <c r="B10" s="21" t="n">
        <f aca="false">Monthly!$C$89</f>
        <v>36</v>
      </c>
      <c r="C10" s="21" t="n">
        <f aca="false">Monthly_Bear!$C$89</f>
        <v>36</v>
      </c>
      <c r="D10" s="21" t="n">
        <f aca="false">Monthly_RecoGates!$C$89</f>
        <v>36</v>
      </c>
      <c r="E10" s="21" t="n">
        <f aca="false">Monthly_Lean!$C$89</f>
        <v>34</v>
      </c>
      <c r="F10" s="21" t="n">
        <f aca="false">Monthly_Bull!$C$89</f>
        <v>35</v>
      </c>
    </row>
    <row r="11" customFormat="false" ht="15" hidden="false" customHeight="false" outlineLevel="0" collapsed="false">
      <c r="A11" s="6" t="s">
        <v>489</v>
      </c>
      <c r="B11" s="21" t="n">
        <f aca="false">Monthly!$C$91</f>
        <v>24</v>
      </c>
      <c r="C11" s="21" t="str">
        <f aca="false">Monthly_Bear!$C$91</f>
        <v>none</v>
      </c>
      <c r="D11" s="21" t="n">
        <f aca="false">Monthly_RecoGates!$C$91</f>
        <v>20</v>
      </c>
      <c r="E11" s="21" t="n">
        <f aca="false">Monthly_Lean!$C$91</f>
        <v>17</v>
      </c>
      <c r="F11" s="21" t="n">
        <f aca="false">Monthly_Bull!$C$91</f>
        <v>17</v>
      </c>
    </row>
    <row r="12" customFormat="false" ht="15" hidden="false" customHeight="false" outlineLevel="0" collapsed="false">
      <c r="A12" s="6" t="s">
        <v>490</v>
      </c>
      <c r="B12" s="21" t="n">
        <f aca="false">Monthly!$C$92</f>
        <v>24</v>
      </c>
      <c r="C12" s="21" t="str">
        <f aca="false">Monthly_Bear!$C$92</f>
        <v>none</v>
      </c>
      <c r="D12" s="21" t="n">
        <f aca="false">Monthly_RecoGates!$C$92</f>
        <v>13</v>
      </c>
      <c r="E12" s="21" t="n">
        <f aca="false">Monthly_Lean!$C$92</f>
        <v>12</v>
      </c>
      <c r="F12" s="21" t="n">
        <f aca="false">Monthly_Bull!$C$92</f>
        <v>17</v>
      </c>
    </row>
    <row r="13" customFormat="false" ht="15" hidden="false" customHeight="false" outlineLevel="0" collapsed="false">
      <c r="A13" s="6" t="s">
        <v>491</v>
      </c>
      <c r="B13" s="21" t="n">
        <f aca="false">Monthly!$C$93</f>
        <v>20</v>
      </c>
      <c r="C13" s="21" t="n">
        <f aca="false">Monthly_Bear!$C$93</f>
        <v>32</v>
      </c>
      <c r="D13" s="21" t="n">
        <f aca="false">Monthly_RecoGates!$C$93</f>
        <v>20</v>
      </c>
      <c r="E13" s="21" t="n">
        <f aca="false">Monthly_Lean!$C$93</f>
        <v>17</v>
      </c>
      <c r="F13" s="21" t="n">
        <f aca="false">Monthly_Bull!$C$93</f>
        <v>14</v>
      </c>
    </row>
    <row r="14" customFormat="false" ht="15" hidden="false" customHeight="false" outlineLevel="0" collapsed="false">
      <c r="A14" s="6" t="s">
        <v>492</v>
      </c>
      <c r="B14" s="21" t="str">
        <f aca="false">Monthly!$C$94</f>
        <v>none</v>
      </c>
      <c r="C14" s="21" t="str">
        <f aca="false">Monthly_Bear!$C$94</f>
        <v>none</v>
      </c>
      <c r="D14" s="21" t="n">
        <f aca="false">Monthly_RecoGates!$C$94</f>
        <v>34</v>
      </c>
      <c r="E14" s="21" t="n">
        <f aca="false">Monthly_Lean!$C$94</f>
        <v>29</v>
      </c>
      <c r="F14" s="21" t="n">
        <f aca="false">Monthly_Bull!$C$94</f>
        <v>28</v>
      </c>
    </row>
    <row r="15" customFormat="false" ht="15" hidden="false" customHeight="false" outlineLevel="0" collapsed="false">
      <c r="A15" s="6" t="s">
        <v>493</v>
      </c>
      <c r="B15" s="23" t="n">
        <f aca="false">Monthly!$C$95</f>
        <v>338.946407731599</v>
      </c>
      <c r="C15" s="23" t="n">
        <f aca="false">Monthly_Bear!$C$95</f>
        <v>132.276445079573</v>
      </c>
      <c r="D15" s="23" t="n">
        <f aca="false">Monthly_RecoGates!$C$95</f>
        <v>338.946407731599</v>
      </c>
      <c r="E15" s="23" t="n">
        <f aca="false">Monthly_Lean!$C$95</f>
        <v>464.110957471505</v>
      </c>
      <c r="F15" s="23" t="n">
        <f aca="false">Monthly_Bull!$C$95</f>
        <v>677.764757697361</v>
      </c>
    </row>
    <row r="16" customFormat="false" ht="15" hidden="false" customHeight="false" outlineLevel="0" collapsed="false">
      <c r="A16" s="6" t="s">
        <v>494</v>
      </c>
      <c r="B16" s="23" t="n">
        <f aca="false">Monthly!$C$96</f>
        <v>82.4442386045144</v>
      </c>
      <c r="C16" s="23" t="n">
        <f aca="false">Monthly_Bear!$C$96</f>
        <v>0</v>
      </c>
      <c r="D16" s="23" t="n">
        <f aca="false">Monthly_RecoGates!$C$96</f>
        <v>90.0053576101844</v>
      </c>
      <c r="E16" s="23" t="n">
        <f aca="false">Monthly_Lean!$C$96</f>
        <v>125.970041205955</v>
      </c>
      <c r="F16" s="23" t="n">
        <f aca="false">Monthly_Bull!$C$96</f>
        <v>240.748893778546</v>
      </c>
    </row>
    <row r="17" customFormat="false" ht="15" hidden="false" customHeight="false" outlineLevel="0" collapsed="false">
      <c r="A17" s="6" t="s">
        <v>495</v>
      </c>
      <c r="B17" s="23" t="n">
        <f aca="false">Monthly!$C$97</f>
        <v>16553.7425473492</v>
      </c>
      <c r="C17" s="23" t="n">
        <f aca="false">Monthly_Bear!$C$97</f>
        <v>4285.30614615474</v>
      </c>
      <c r="D17" s="23" t="n">
        <f aca="false">Monthly_RecoGates!$C$97</f>
        <v>16553.7425473492</v>
      </c>
      <c r="E17" s="23" t="n">
        <f aca="false">Monthly_Lean!$C$97</f>
        <v>22616.6893550718</v>
      </c>
      <c r="F17" s="23" t="n">
        <f aca="false">Monthly_Bull!$C$97</f>
        <v>43931.6724975602</v>
      </c>
    </row>
    <row r="18" customFormat="false" ht="15" hidden="false" customHeight="false" outlineLevel="0" collapsed="false">
      <c r="A18" s="6" t="s">
        <v>496</v>
      </c>
      <c r="B18" s="22" t="n">
        <f aca="false">Monthly!$C$98</f>
        <v>9375.51342227172</v>
      </c>
      <c r="C18" s="22" t="n">
        <f aca="false">Monthly_Bear!$C$98</f>
        <v>1312.5</v>
      </c>
      <c r="D18" s="22" t="n">
        <f aca="false">Monthly_RecoGates!$C$98</f>
        <v>10702.3868110042</v>
      </c>
      <c r="E18" s="22" t="n">
        <f aca="false">Monthly_Lean!$C$98</f>
        <v>21390.1929037585</v>
      </c>
      <c r="F18" s="22" t="n">
        <f aca="false">Monthly_Bull!$C$98</f>
        <v>28620.1580911932</v>
      </c>
    </row>
    <row r="19" customFormat="false" ht="15" hidden="false" customHeight="false" outlineLevel="0" collapsed="false">
      <c r="A19" s="6" t="s">
        <v>497</v>
      </c>
      <c r="B19" s="22" t="n">
        <f aca="false">Monthly!$C$99</f>
        <v>-7694.6640079276</v>
      </c>
      <c r="C19" s="22" t="n">
        <f aca="false">Monthly_Bear!$C$99</f>
        <v>-10215.7217501954</v>
      </c>
      <c r="D19" s="22" t="n">
        <f aca="false">Monthly_RecoGates!$C$99</f>
        <v>-6629.49119840982</v>
      </c>
      <c r="E19" s="22" t="n">
        <f aca="false">Monthly_Lean!$C$99</f>
        <v>921.197511327672</v>
      </c>
      <c r="F19" s="22" t="n">
        <f aca="false">Monthly_Bull!$C$99</f>
        <v>430.293985142287</v>
      </c>
    </row>
    <row r="20" customFormat="false" ht="15" hidden="false" customHeight="false" outlineLevel="0" collapsed="false">
      <c r="A20" s="6" t="s">
        <v>498</v>
      </c>
      <c r="B20" s="22" t="n">
        <f aca="false">Monthly!$C$100</f>
        <v>0</v>
      </c>
      <c r="C20" s="22" t="n">
        <f aca="false">Monthly_Bear!$C$100</f>
        <v>0</v>
      </c>
      <c r="D20" s="22" t="n">
        <f aca="false">Monthly_RecoGates!$C$100</f>
        <v>0</v>
      </c>
      <c r="E20" s="22" t="n">
        <f aca="false">Monthly_Lean!$C$100</f>
        <v>45.7008852013079</v>
      </c>
      <c r="F20" s="22" t="n">
        <f aca="false">Monthly_Bull!$C$100</f>
        <v>0</v>
      </c>
    </row>
    <row r="21" customFormat="false" ht="15" hidden="false" customHeight="false" outlineLevel="0" collapsed="false">
      <c r="A21" s="6" t="s">
        <v>499</v>
      </c>
      <c r="B21" s="22" t="n">
        <f aca="false">Monthly!$C$101</f>
        <v>6385.73170154312</v>
      </c>
      <c r="C21" s="22" t="n">
        <f aca="false">Monthly_Bear!$C$101</f>
        <v>0</v>
      </c>
      <c r="D21" s="22" t="n">
        <f aca="false">Monthly_RecoGates!$C$101</f>
        <v>13064.8970513457</v>
      </c>
      <c r="E21" s="22" t="n">
        <f aca="false">Monthly_Lean!$C$101</f>
        <v>35645.8842022033</v>
      </c>
      <c r="F21" s="22" t="n">
        <f aca="false">Monthly_Bull!$C$101</f>
        <v>41038.7022331088</v>
      </c>
    </row>
    <row r="22" customFormat="false" ht="15" hidden="false" customHeight="false" outlineLevel="0" collapsed="false">
      <c r="A22" s="6" t="s">
        <v>500</v>
      </c>
      <c r="B22" s="22" t="n">
        <f aca="false">Monthly!$C$102</f>
        <v>69415.5087592027</v>
      </c>
      <c r="C22" s="22" t="n">
        <f aca="false">Monthly_Bear!$C$102</f>
        <v>5625</v>
      </c>
      <c r="D22" s="22" t="n">
        <f aca="false">Monthly_RecoGates!$C$102</f>
        <v>80785.7410244381</v>
      </c>
      <c r="E22" s="22" t="n">
        <f aca="false">Monthly_Lean!$C$102</f>
        <v>167203.253698663</v>
      </c>
      <c r="F22" s="22" t="n">
        <f aca="false">Monthly_Bull!$C$102</f>
        <v>220522.713713244</v>
      </c>
    </row>
    <row r="23" customFormat="false" ht="15" hidden="false" customHeight="false" outlineLevel="0" collapsed="false">
      <c r="A23" s="6" t="s">
        <v>501</v>
      </c>
      <c r="B23" s="22" t="n">
        <f aca="false">Monthly!$C$103</f>
        <v>-83052.6617770423</v>
      </c>
      <c r="C23" s="22" t="n">
        <f aca="false">Monthly_Bear!$C$103</f>
        <v>-78226.0225619652</v>
      </c>
      <c r="D23" s="22" t="n">
        <f aca="false">Monthly_RecoGates!$C$103</f>
        <v>-83052.6617770423</v>
      </c>
      <c r="E23" s="22" t="n">
        <f aca="false">Monthly_Lean!$C$103</f>
        <v>-61710.6859599728</v>
      </c>
      <c r="F23" s="22" t="n">
        <f aca="false">Monthly_Bull!$C$103</f>
        <v>-87019.9448331733</v>
      </c>
    </row>
    <row r="24" customFormat="false" ht="15" hidden="false" customHeight="false" outlineLevel="0" collapsed="false">
      <c r="A24" s="6" t="s">
        <v>502</v>
      </c>
      <c r="B24" s="22" t="n">
        <f aca="false">Monthly!$C$104</f>
        <v>-108342.592544754</v>
      </c>
      <c r="C24" s="22" t="n">
        <f aca="false">Monthly_Bear!$C$104</f>
        <v>-96777.4129391878</v>
      </c>
      <c r="D24" s="22" t="n">
        <f aca="false">Monthly_RecoGates!$C$104</f>
        <v>-105191.533074551</v>
      </c>
      <c r="E24" s="22" t="n">
        <f aca="false">Monthly_Lean!$C$104</f>
        <v>-74142.7084230542</v>
      </c>
      <c r="F24" s="22" t="n">
        <f aca="false">Monthly_Bull!$C$104</f>
        <v>-110163.341546724</v>
      </c>
    </row>
    <row r="25" customFormat="false" ht="15" hidden="false" customHeight="false" outlineLevel="0" collapsed="false">
      <c r="A25" s="6" t="s">
        <v>503</v>
      </c>
      <c r="B25" s="22" t="n">
        <f aca="false">Monthly!$C$105</f>
        <v>-110632.433427629</v>
      </c>
      <c r="C25" s="22" t="n">
        <f aca="false">Monthly_Bear!$C$105</f>
        <v>-122609.104347698</v>
      </c>
      <c r="D25" s="22" t="n">
        <f aca="false">Monthly_RecoGates!$C$105</f>
        <v>-102814.78697873</v>
      </c>
      <c r="E25" s="22" t="n">
        <f aca="false">Monthly_Lean!$C$105</f>
        <v>-30969.6569246612</v>
      </c>
      <c r="F25" s="22" t="n">
        <f aca="false">Monthly_Bull!$C$105</f>
        <v>-53250.4296599474</v>
      </c>
    </row>
    <row r="27" customFormat="false" ht="15" hidden="false" customHeight="false" outlineLevel="0" collapsed="false">
      <c r="A27" s="6" t="s">
        <v>504</v>
      </c>
      <c r="B27" s="24" t="n">
        <f aca="false">'Unit Economics'!B22</f>
        <v>3.63129833709933</v>
      </c>
      <c r="C27" s="24" t="n">
        <f aca="false">'Unit Economics'!C22</f>
        <v>1.02671458133814</v>
      </c>
      <c r="D27" s="24" t="n">
        <f aca="false">'Unit Economics'!D22</f>
        <v>3.63129833709933</v>
      </c>
      <c r="E27" s="24" t="n">
        <f aca="false">'Unit Economics'!E22</f>
        <v>3.63129833709933</v>
      </c>
      <c r="F27" s="24" t="n">
        <f aca="false">'Unit Economics'!F22</f>
        <v>7.39915549965518</v>
      </c>
    </row>
    <row r="28" customFormat="false" ht="15" hidden="false" customHeight="false" outlineLevel="0" collapsed="false">
      <c r="A28" s="6" t="s">
        <v>505</v>
      </c>
      <c r="B28" s="25" t="n">
        <f aca="false">'Unit Economics'!B23</f>
        <v>9.17945325306427</v>
      </c>
      <c r="C28" s="25" t="n">
        <f aca="false">'Unit Economics'!C23</f>
        <v>21.644011516092</v>
      </c>
      <c r="D28" s="25" t="n">
        <f aca="false">'Unit Economics'!D23</f>
        <v>9.17945325306427</v>
      </c>
      <c r="E28" s="25" t="n">
        <f aca="false">'Unit Economics'!E23</f>
        <v>9.17945325306427</v>
      </c>
      <c r="F28" s="25" t="n">
        <f aca="false">'Unit Economics'!F23</f>
        <v>6.00669149966042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8"/>
  </cols>
  <sheetData>
    <row r="1" customFormat="false" ht="17.35" hidden="false" customHeight="false" outlineLevel="0" collapsed="false">
      <c r="A1" s="1" t="s">
        <v>506</v>
      </c>
    </row>
    <row r="2" customFormat="false" ht="15" hidden="false" customHeight="false" outlineLevel="0" collapsed="false">
      <c r="A2" s="3" t="s">
        <v>507</v>
      </c>
    </row>
    <row r="4" customFormat="false" ht="15" hidden="false" customHeight="false" outlineLevel="0" collapsed="false">
      <c r="A4" s="5" t="s">
        <v>482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</row>
    <row r="5" customFormat="false" ht="15" hidden="false" customHeight="false" outlineLevel="0" collapsed="false">
      <c r="A5" s="6" t="s">
        <v>508</v>
      </c>
      <c r="B5" s="26" t="n">
        <f aca="false">Assumptions!$C$13/Assumptions!$C$15</f>
        <v>53.5714285714286</v>
      </c>
      <c r="C5" s="26" t="n">
        <f aca="false">Assumptions!$D$13/Assumptions!$D$15</f>
        <v>35.7142857142857</v>
      </c>
      <c r="D5" s="26" t="n">
        <f aca="false">Assumptions!$E$13/Assumptions!$E$15</f>
        <v>53.5714285714286</v>
      </c>
      <c r="E5" s="26" t="n">
        <f aca="false">Assumptions!$F$13/Assumptions!$F$15</f>
        <v>53.5714285714286</v>
      </c>
      <c r="F5" s="26" t="n">
        <f aca="false">Assumptions!$G$13/Assumptions!$G$15</f>
        <v>71.4285714285714</v>
      </c>
    </row>
    <row r="6" customFormat="false" ht="15" hidden="false" customHeight="false" outlineLevel="0" collapsed="false">
      <c r="A6" s="6" t="s">
        <v>509</v>
      </c>
      <c r="B6" s="9" t="n">
        <f aca="false">Assumptions!$C$60+Assumptions!$C$63/60*Assumptions!$C$62</f>
        <v>2.68333333333333</v>
      </c>
      <c r="C6" s="9" t="n">
        <f aca="false">Assumptions!$D$60+Assumptions!$D$63/60*Assumptions!$D$62</f>
        <v>2.68333333333333</v>
      </c>
      <c r="D6" s="9" t="n">
        <f aca="false">Assumptions!$E$60+Assumptions!$E$63/60*Assumptions!$E$62</f>
        <v>2.68333333333333</v>
      </c>
      <c r="E6" s="9" t="n">
        <f aca="false">Assumptions!$F$60+Assumptions!$F$63/60*Assumptions!$F$62</f>
        <v>2.68333333333333</v>
      </c>
      <c r="F6" s="9" t="n">
        <f aca="false">Assumptions!$G$60+Assumptions!$G$63/60*Assumptions!$G$62</f>
        <v>2.68333333333333</v>
      </c>
    </row>
    <row r="7" customFormat="false" ht="15" hidden="false" customHeight="false" outlineLevel="0" collapsed="false">
      <c r="A7" s="6" t="s">
        <v>510</v>
      </c>
      <c r="B7" s="9" t="n">
        <f aca="false">B5*(Assumptions!$C$61+Assumptions!$C$59*Assumptions!$C$55+Assumptions!$C$16*(Assumptions!$C$58*Assumptions!$C$55+Assumptions!$C$65*Assumptions!$C$66*Assumptions!$C$67))</f>
        <v>1.185</v>
      </c>
      <c r="C7" s="9" t="n">
        <f aca="false">C5*(Assumptions!$D$61+Assumptions!$D$59*Assumptions!$D$55+Assumptions!$D$16*(Assumptions!$D$58*Assumptions!$D$55+Assumptions!$D$65*Assumptions!$D$66*Assumptions!$D$67))</f>
        <v>0.79</v>
      </c>
      <c r="D7" s="9" t="n">
        <f aca="false">D5*(Assumptions!$E$61+Assumptions!$E$59*Assumptions!$E$55+Assumptions!$E$16*(Assumptions!$E$58*Assumptions!$E$55+Assumptions!$E$65*Assumptions!$E$66*Assumptions!$E$67))</f>
        <v>1.185</v>
      </c>
      <c r="E7" s="9" t="n">
        <f aca="false">E5*(Assumptions!$F$61+Assumptions!$F$59*Assumptions!$F$55+Assumptions!$F$16*(Assumptions!$F$58*Assumptions!$F$55+Assumptions!$F$65*Assumptions!$F$66*Assumptions!$F$67))</f>
        <v>1.185</v>
      </c>
      <c r="F7" s="9" t="n">
        <f aca="false">F5*(Assumptions!$G$61+Assumptions!$G$59*Assumptions!$G$55+Assumptions!$G$16*(Assumptions!$G$58*Assumptions!$G$55+Assumptions!$G$65*Assumptions!$G$66*Assumptions!$G$67))</f>
        <v>1.58</v>
      </c>
    </row>
    <row r="8" customFormat="false" ht="15" hidden="false" customHeight="false" outlineLevel="0" collapsed="false">
      <c r="A8" s="6" t="s">
        <v>511</v>
      </c>
      <c r="B8" s="9" t="n">
        <f aca="false">B6+B7</f>
        <v>3.86833333333333</v>
      </c>
      <c r="C8" s="9" t="n">
        <f aca="false">C6+C7</f>
        <v>3.47333333333333</v>
      </c>
      <c r="D8" s="9" t="n">
        <f aca="false">D6+D7</f>
        <v>3.86833333333333</v>
      </c>
      <c r="E8" s="9" t="n">
        <f aca="false">E6+E7</f>
        <v>3.86833333333333</v>
      </c>
      <c r="F8" s="9" t="n">
        <f aca="false">F6+F7</f>
        <v>4.26333333333333</v>
      </c>
    </row>
    <row r="9" customFormat="false" ht="15" hidden="false" customHeight="false" outlineLevel="0" collapsed="false">
      <c r="A9" s="6" t="s">
        <v>512</v>
      </c>
      <c r="B9" s="13" t="n">
        <f aca="false">Assumptions!$C$25*(1-(1-((1-(1-Assumptions!$C$30)^(1/12))*Assumptions!$C$40))^24)+Assumptions!$C$26*(1-(1-((1-(1-Assumptions!$C$31)^(1/12))*Assumptions!$C$40))^24)+Assumptions!$C$27*(1-(1-((1-(1-Assumptions!$C$32)^(1/12))*Assumptions!$C$40))^24)+Assumptions!$C$28*(1-(1-((1-(1-Assumptions!$C$33)^(1/12))*Assumptions!$C$40))^24)+Assumptions!$C$29*(1-(1-((1-(1-Assumptions!$C$34)^(1/12))*Assumptions!$C$40))^24)</f>
        <v>0.568597</v>
      </c>
      <c r="C9" s="13" t="n">
        <f aca="false">Assumptions!$D$25*(1-(1-((1-(1-Assumptions!$D$30)^(1/12))*Assumptions!$D$40))^24)+Assumptions!$D$26*(1-(1-((1-(1-Assumptions!$D$31)^(1/12))*Assumptions!$D$40))^24)+Assumptions!$D$27*(1-(1-((1-(1-Assumptions!$D$32)^(1/12))*Assumptions!$D$40))^24)+Assumptions!$D$28*(1-(1-((1-(1-Assumptions!$D$33)^(1/12))*Assumptions!$D$40))^24)+Assumptions!$D$29*(1-(1-((1-(1-Assumptions!$D$34)^(1/12))*Assumptions!$D$40))^24)</f>
        <v>0.356223604879864</v>
      </c>
      <c r="D9" s="13" t="n">
        <f aca="false">Assumptions!$E$25*(1-(1-((1-(1-Assumptions!$E$30)^(1/12))*Assumptions!$E$40))^24)+Assumptions!$E$26*(1-(1-((1-(1-Assumptions!$E$31)^(1/12))*Assumptions!$E$40))^24)+Assumptions!$E$27*(1-(1-((1-(1-Assumptions!$E$32)^(1/12))*Assumptions!$E$40))^24)+Assumptions!$E$28*(1-(1-((1-(1-Assumptions!$E$33)^(1/12))*Assumptions!$E$40))^24)+Assumptions!$E$29*(1-(1-((1-(1-Assumptions!$E$34)^(1/12))*Assumptions!$E$40))^24)</f>
        <v>0.568597</v>
      </c>
      <c r="E9" s="13" t="n">
        <f aca="false">Assumptions!$F$25*(1-(1-((1-(1-Assumptions!$F$30)^(1/12))*Assumptions!$F$40))^24)+Assumptions!$F$26*(1-(1-((1-(1-Assumptions!$F$31)^(1/12))*Assumptions!$F$40))^24)+Assumptions!$F$27*(1-(1-((1-(1-Assumptions!$F$32)^(1/12))*Assumptions!$F$40))^24)+Assumptions!$F$28*(1-(1-((1-(1-Assumptions!$F$33)^(1/12))*Assumptions!$F$40))^24)+Assumptions!$F$29*(1-(1-((1-(1-Assumptions!$F$34)^(1/12))*Assumptions!$F$40))^24)</f>
        <v>0.568597</v>
      </c>
      <c r="F9" s="13" t="n">
        <f aca="false">Assumptions!$G$25*(1-(1-((1-(1-Assumptions!$G$30)^(1/12))*Assumptions!$G$40))^24)+Assumptions!$G$26*(1-(1-((1-(1-Assumptions!$G$31)^(1/12))*Assumptions!$G$40))^24)+Assumptions!$G$27*(1-(1-((1-(1-Assumptions!$G$32)^(1/12))*Assumptions!$G$40))^24)+Assumptions!$G$28*(1-(1-((1-(1-Assumptions!$G$33)^(1/12))*Assumptions!$G$40))^24)+Assumptions!$G$29*(1-(1-((1-(1-Assumptions!$G$34)^(1/12))*Assumptions!$G$40))^24)</f>
        <v>0.680930565905113</v>
      </c>
    </row>
    <row r="10" customFormat="false" ht="15" hidden="false" customHeight="false" outlineLevel="0" collapsed="false">
      <c r="A10" s="6" t="s">
        <v>513</v>
      </c>
      <c r="B10" s="13" t="n">
        <f aca="false">(Assumptions!$C$25*(1-(1-((1-(1-Assumptions!$C$30)^(1/12))*Assumptions!$C$40))^24)*Assumptions!$C$35+Assumptions!$C$26*(1-(1-((1-(1-Assumptions!$C$31)^(1/12))*Assumptions!$C$40))^24)*Assumptions!$C$36+Assumptions!$C$27*(1-(1-((1-(1-Assumptions!$C$32)^(1/12))*Assumptions!$C$40))^24)*Assumptions!$C$37+Assumptions!$C$28*(1-(1-((1-(1-Assumptions!$C$33)^(1/12))*Assumptions!$C$40))^24)*Assumptions!$C$38+Assumptions!$C$29*(1-(1-((1-(1-Assumptions!$C$34)^(1/12))*Assumptions!$C$40))^24)*Assumptions!$C$39)/B9</f>
        <v>0.273300509851441</v>
      </c>
      <c r="C10" s="13" t="n">
        <f aca="false">(Assumptions!$D$25*(1-(1-((1-(1-Assumptions!$D$30)^(1/12))*Assumptions!$D$40))^24)*Assumptions!$D$35+Assumptions!$D$26*(1-(1-((1-(1-Assumptions!$D$31)^(1/12))*Assumptions!$D$40))^24)*Assumptions!$D$36+Assumptions!$D$27*(1-(1-((1-(1-Assumptions!$D$32)^(1/12))*Assumptions!$D$40))^24)*Assumptions!$D$37+Assumptions!$D$28*(1-(1-((1-(1-Assumptions!$D$33)^(1/12))*Assumptions!$D$40))^24)*Assumptions!$D$38+Assumptions!$D$29*(1-(1-((1-(1-Assumptions!$D$34)^(1/12))*Assumptions!$D$40))^24)*Assumptions!$D$39)/C9</f>
        <v>0.28030987296017</v>
      </c>
      <c r="D10" s="13" t="n">
        <f aca="false">(Assumptions!$E$25*(1-(1-((1-(1-Assumptions!$E$30)^(1/12))*Assumptions!$E$40))^24)*Assumptions!$E$35+Assumptions!$E$26*(1-(1-((1-(1-Assumptions!$E$31)^(1/12))*Assumptions!$E$40))^24)*Assumptions!$E$36+Assumptions!$E$27*(1-(1-((1-(1-Assumptions!$E$32)^(1/12))*Assumptions!$E$40))^24)*Assumptions!$E$37+Assumptions!$E$28*(1-(1-((1-(1-Assumptions!$E$33)^(1/12))*Assumptions!$E$40))^24)*Assumptions!$E$38+Assumptions!$E$29*(1-(1-((1-(1-Assumptions!$E$34)^(1/12))*Assumptions!$E$40))^24)*Assumptions!$E$39)/D9</f>
        <v>0.273300509851441</v>
      </c>
      <c r="E10" s="13" t="n">
        <f aca="false">(Assumptions!$F$25*(1-(1-((1-(1-Assumptions!$F$30)^(1/12))*Assumptions!$F$40))^24)*Assumptions!$F$35+Assumptions!$F$26*(1-(1-((1-(1-Assumptions!$F$31)^(1/12))*Assumptions!$F$40))^24)*Assumptions!$F$36+Assumptions!$F$27*(1-(1-((1-(1-Assumptions!$F$32)^(1/12))*Assumptions!$F$40))^24)*Assumptions!$F$37+Assumptions!$F$28*(1-(1-((1-(1-Assumptions!$F$33)^(1/12))*Assumptions!$F$40))^24)*Assumptions!$F$38+Assumptions!$F$29*(1-(1-((1-(1-Assumptions!$F$34)^(1/12))*Assumptions!$F$40))^24)*Assumptions!$F$39)/E9</f>
        <v>0.273300509851441</v>
      </c>
      <c r="F10" s="13" t="n">
        <f aca="false">(Assumptions!$G$25*(1-(1-((1-(1-Assumptions!$G$30)^(1/12))*Assumptions!$G$40))^24)*Assumptions!$G$35+Assumptions!$G$26*(1-(1-((1-(1-Assumptions!$G$31)^(1/12))*Assumptions!$G$40))^24)*Assumptions!$G$36+Assumptions!$G$27*(1-(1-((1-(1-Assumptions!$G$32)^(1/12))*Assumptions!$G$40))^24)*Assumptions!$G$37+Assumptions!$G$28*(1-(1-((1-(1-Assumptions!$G$33)^(1/12))*Assumptions!$G$40))^24)*Assumptions!$G$38+Assumptions!$G$29*(1-(1-((1-(1-Assumptions!$G$34)^(1/12))*Assumptions!$G$40))^24)*Assumptions!$G$39)/F9</f>
        <v>0.268376363716052</v>
      </c>
    </row>
    <row r="11" customFormat="false" ht="15" hidden="false" customHeight="false" outlineLevel="0" collapsed="false">
      <c r="A11" s="6" t="s">
        <v>514</v>
      </c>
      <c r="B11" s="9" t="n">
        <f aca="false">Assumptions!$C$42*(1-B10)+Assumptions!$C$43*B10</f>
        <v>49.9320203940577</v>
      </c>
      <c r="C11" s="9" t="n">
        <f aca="false">Assumptions!$D$42*(1-C10)+Assumptions!$D$43*C10</f>
        <v>50.2123949184068</v>
      </c>
      <c r="D11" s="9" t="n">
        <f aca="false">Assumptions!$E$42*(1-D10)+Assumptions!$E$43*D10</f>
        <v>49.9320203940577</v>
      </c>
      <c r="E11" s="9" t="n">
        <f aca="false">Assumptions!$F$42*(1-E10)+Assumptions!$F$43*E10</f>
        <v>49.9320203940577</v>
      </c>
      <c r="F11" s="9" t="n">
        <f aca="false">Assumptions!$G$42*(1-F10)+Assumptions!$G$43*F10</f>
        <v>49.7350545486421</v>
      </c>
    </row>
    <row r="12" customFormat="false" ht="15" hidden="false" customHeight="false" outlineLevel="0" collapsed="false">
      <c r="A12" s="6" t="s">
        <v>515</v>
      </c>
      <c r="B12" s="9" t="n">
        <f aca="false">Assumptions!$C$45*((Assumptions!$C$46*(1-B10)+Assumptions!$C$47*B10)*(Assumptions!$C$44-Assumptions!$C$51)-Assumptions!$C$52)</f>
        <v>9.16965535344013</v>
      </c>
      <c r="C12" s="9" t="n">
        <f aca="false">Assumptions!$D$45*((Assumptions!$D$46*(1-C10)+Assumptions!$D$47*C10)*(Assumptions!$D$44-Assumptions!$D$51)-Assumptions!$D$52)</f>
        <v>6.16216911072119</v>
      </c>
      <c r="D12" s="9" t="n">
        <f aca="false">Assumptions!$E$45*((Assumptions!$E$46*(1-D10)+Assumptions!$E$47*D10)*(Assumptions!$E$44-Assumptions!$E$51)-Assumptions!$E$52)</f>
        <v>9.16965535344013</v>
      </c>
      <c r="E12" s="9" t="n">
        <f aca="false">Assumptions!$F$45*((Assumptions!$F$46*(1-E10)+Assumptions!$F$47*E10)*(Assumptions!$F$44-Assumptions!$F$51)-Assumptions!$F$52)</f>
        <v>9.16965535344013</v>
      </c>
      <c r="F12" s="9" t="n">
        <f aca="false">Assumptions!$G$45*((Assumptions!$G$46*(1-F10)+Assumptions!$G$47*F10)*(Assumptions!$G$44-Assumptions!$G$51)-Assumptions!$G$52)</f>
        <v>11.3974397737732</v>
      </c>
    </row>
    <row r="13" customFormat="false" ht="15" hidden="false" customHeight="false" outlineLevel="0" collapsed="false">
      <c r="A13" s="6" t="s">
        <v>516</v>
      </c>
      <c r="B13" s="9" t="n">
        <f aca="false">(Assumptions!$C$56*(1-B10)+Assumptions!$C$57*B10)*Assumptions!$C$55</f>
        <v>10.207566730039</v>
      </c>
      <c r="C13" s="9" t="n">
        <f aca="false">(Assumptions!$D$56*(1-C10)+Assumptions!$D$57*C10)*Assumptions!$D$55</f>
        <v>10.3000903230742</v>
      </c>
      <c r="D13" s="9" t="n">
        <f aca="false">(Assumptions!$E$56*(1-D10)+Assumptions!$E$57*D10)*Assumptions!$E$55</f>
        <v>10.207566730039</v>
      </c>
      <c r="E13" s="9" t="n">
        <f aca="false">(Assumptions!$F$56*(1-E10)+Assumptions!$F$57*E10)*Assumptions!$F$55</f>
        <v>10.207566730039</v>
      </c>
      <c r="F13" s="9" t="n">
        <f aca="false">(Assumptions!$G$56*(1-F10)+Assumptions!$G$57*F10)*Assumptions!$G$55</f>
        <v>10.1425680010519</v>
      </c>
    </row>
    <row r="14" customFormat="false" ht="15" hidden="false" customHeight="false" outlineLevel="0" collapsed="false">
      <c r="A14" s="6" t="s">
        <v>517</v>
      </c>
      <c r="B14" s="9" t="n">
        <f aca="false">B11*Assumptions!$C$53+Assumptions!$C$54</f>
        <v>1.99768869339796</v>
      </c>
      <c r="C14" s="9" t="n">
        <f aca="false">C11*Assumptions!$D$53+Assumptions!$D$54</f>
        <v>2.00722142722583</v>
      </c>
      <c r="D14" s="9" t="n">
        <f aca="false">D11*Assumptions!$E$53+Assumptions!$E$54</f>
        <v>1.99768869339796</v>
      </c>
      <c r="E14" s="9" t="n">
        <f aca="false">E11*Assumptions!$F$53+Assumptions!$F$54</f>
        <v>1.99768869339796</v>
      </c>
      <c r="F14" s="9" t="n">
        <f aca="false">F11*Assumptions!$G$53+Assumptions!$G$54</f>
        <v>1.99099185465383</v>
      </c>
    </row>
    <row r="15" customFormat="false" ht="15" hidden="false" customHeight="false" outlineLevel="0" collapsed="false">
      <c r="A15" s="6" t="s">
        <v>518</v>
      </c>
      <c r="B15" s="9" t="n">
        <f aca="false">Assumptions!$C$64/60*Assumptions!$C$62</f>
        <v>6.25</v>
      </c>
      <c r="C15" s="9" t="n">
        <f aca="false">Assumptions!$D$64/60*Assumptions!$D$62</f>
        <v>6.25</v>
      </c>
      <c r="D15" s="9" t="n">
        <f aca="false">Assumptions!$E$64/60*Assumptions!$E$62</f>
        <v>6.25</v>
      </c>
      <c r="E15" s="9" t="n">
        <f aca="false">Assumptions!$F$64/60*Assumptions!$F$62</f>
        <v>6.25</v>
      </c>
      <c r="F15" s="9" t="n">
        <f aca="false">Assumptions!$G$64/60*Assumptions!$G$62</f>
        <v>6.25</v>
      </c>
    </row>
    <row r="16" customFormat="false" ht="15" hidden="false" customHeight="false" outlineLevel="0" collapsed="false">
      <c r="A16" s="5" t="s">
        <v>519</v>
      </c>
      <c r="B16" s="9" t="n">
        <f aca="false">B11+B12-B13-B14-B15</f>
        <v>40.6464203240608</v>
      </c>
      <c r="C16" s="9" t="n">
        <f aca="false">C11+C12-C13-C14-C15</f>
        <v>37.8172522788279</v>
      </c>
      <c r="D16" s="9" t="n">
        <f aca="false">D11+D12-D13-D14-D15</f>
        <v>40.6464203240608</v>
      </c>
      <c r="E16" s="9" t="n">
        <f aca="false">E11+E12-E13-E14-E15</f>
        <v>40.6464203240608</v>
      </c>
      <c r="F16" s="9" t="n">
        <f aca="false">F11+F12-F13-F14-F15</f>
        <v>42.7489344667096</v>
      </c>
    </row>
    <row r="17" customFormat="false" ht="15" hidden="false" customHeight="false" outlineLevel="0" collapsed="false">
      <c r="A17" s="6" t="s">
        <v>520</v>
      </c>
      <c r="B17" s="9" t="n">
        <f aca="false">Assumptions!$C$91*(Assumptions!$C$86*Assumptions!$C$83*(1+Assumptions!$C$85)+Assumptions!$C$11*Assumptions!$C$87*(1+Assumptions!$C$85)+Assumptions!$C$88+Assumptions!$C$89/Assumptions!$C$10)</f>
        <v>110.232279411765</v>
      </c>
      <c r="C17" s="9" t="n">
        <f aca="false">Assumptions!$D$91*(Assumptions!$D$86*Assumptions!$D$83*(1+Assumptions!$D$85)+Assumptions!$D$11*Assumptions!$D$87*(1+Assumptions!$D$85)+Assumptions!$D$88+Assumptions!$D$89/Assumptions!$D$10)</f>
        <v>136.881955882353</v>
      </c>
      <c r="D17" s="9" t="n">
        <f aca="false">Assumptions!$E$91*(Assumptions!$E$86*Assumptions!$E$83*(1+Assumptions!$E$85)+Assumptions!$E$11*Assumptions!$E$87*(1+Assumptions!$E$85)+Assumptions!$E$88+Assumptions!$E$89/Assumptions!$E$10)</f>
        <v>110.232279411765</v>
      </c>
      <c r="E17" s="9" t="n">
        <f aca="false">Assumptions!$F$91*(Assumptions!$F$86*Assumptions!$F$83*(1+Assumptions!$F$85)+Assumptions!$F$11*Assumptions!$F$87*(1+Assumptions!$F$85)+Assumptions!$F$88+Assumptions!$F$89/Assumptions!$F$10)</f>
        <v>110.232279411765</v>
      </c>
      <c r="F17" s="9" t="n">
        <f aca="false">Assumptions!$G$91*(Assumptions!$G$86*Assumptions!$G$83*(1+Assumptions!$G$85)+Assumptions!$G$11*Assumptions!$G$87*(1+Assumptions!$G$85)+Assumptions!$G$88+Assumptions!$G$89/Assumptions!$G$10)</f>
        <v>98.5618142414861</v>
      </c>
    </row>
    <row r="18" customFormat="false" ht="15" hidden="false" customHeight="false" outlineLevel="0" collapsed="false">
      <c r="A18" s="6" t="s">
        <v>521</v>
      </c>
      <c r="B18" s="9" t="n">
        <f aca="false">B17/Assumptions!$C$11</f>
        <v>183.720465686275</v>
      </c>
      <c r="C18" s="9" t="n">
        <f aca="false">C17/Assumptions!$D$11</f>
        <v>273.763911764706</v>
      </c>
      <c r="D18" s="9" t="n">
        <f aca="false">D17/Assumptions!$E$11</f>
        <v>183.720465686275</v>
      </c>
      <c r="E18" s="9" t="n">
        <f aca="false">E17/Assumptions!$F$11</f>
        <v>183.720465686275</v>
      </c>
      <c r="F18" s="9" t="n">
        <f aca="false">F17/Assumptions!$G$11</f>
        <v>140.802591773552</v>
      </c>
    </row>
    <row r="19" customFormat="false" ht="15" hidden="false" customHeight="false" outlineLevel="0" collapsed="false">
      <c r="A19" s="5" t="s">
        <v>522</v>
      </c>
      <c r="B19" s="9" t="n">
        <f aca="false">B17/(Assumptions!$C$11*B9)+Assumptions!$C$90*Assumptions!$C$91</f>
        <v>373.111915269118</v>
      </c>
      <c r="C19" s="9" t="n">
        <f aca="false">C17/(Assumptions!$D$11*C9)+Assumptions!$D$90*Assumptions!$D$91</f>
        <v>818.517043829907</v>
      </c>
      <c r="D19" s="9" t="n">
        <f aca="false">D17/(Assumptions!$E$11*D9)+Assumptions!$E$90*Assumptions!$E$91</f>
        <v>373.111915269118</v>
      </c>
      <c r="E19" s="9" t="n">
        <f aca="false">E17/(Assumptions!$F$11*E9)+Assumptions!$F$90*Assumptions!$F$91</f>
        <v>373.111915269118</v>
      </c>
      <c r="F19" s="9" t="n">
        <f aca="false">F17/(Assumptions!$G$11*F9)+Assumptions!$G$90*Assumptions!$G$91</f>
        <v>256.779661280725</v>
      </c>
    </row>
    <row r="20" customFormat="false" ht="15" hidden="false" customHeight="false" outlineLevel="0" collapsed="false">
      <c r="A20" s="6" t="s">
        <v>523</v>
      </c>
      <c r="B20" s="26" t="n">
        <f aca="false">1/Assumptions!$C$41</f>
        <v>33.3333333333333</v>
      </c>
      <c r="C20" s="26" t="n">
        <f aca="false">1/Assumptions!$D$41</f>
        <v>22.2222222222222</v>
      </c>
      <c r="D20" s="26" t="n">
        <f aca="false">1/Assumptions!$E$41</f>
        <v>33.3333333333333</v>
      </c>
      <c r="E20" s="26" t="n">
        <f aca="false">1/Assumptions!$F$41</f>
        <v>33.3333333333333</v>
      </c>
      <c r="F20" s="26" t="n">
        <f aca="false">1/Assumptions!$G$41</f>
        <v>44.4444444444444</v>
      </c>
    </row>
    <row r="21" customFormat="false" ht="15" hidden="false" customHeight="false" outlineLevel="0" collapsed="false">
      <c r="A21" s="6" t="s">
        <v>524</v>
      </c>
      <c r="B21" s="17" t="n">
        <f aca="false">B16*B20</f>
        <v>1354.88067746869</v>
      </c>
      <c r="C21" s="17" t="n">
        <f aca="false">C16*C20</f>
        <v>840.383383973954</v>
      </c>
      <c r="D21" s="17" t="n">
        <f aca="false">D16*D20</f>
        <v>1354.88067746869</v>
      </c>
      <c r="E21" s="17" t="n">
        <f aca="false">E16*E20</f>
        <v>1354.88067746869</v>
      </c>
      <c r="F21" s="17" t="n">
        <f aca="false">F16*F20</f>
        <v>1899.95264296487</v>
      </c>
    </row>
    <row r="22" customFormat="false" ht="15" hidden="false" customHeight="false" outlineLevel="0" collapsed="false">
      <c r="A22" s="5" t="s">
        <v>525</v>
      </c>
      <c r="B22" s="27" t="n">
        <f aca="false">B21/B19</f>
        <v>3.63129833709933</v>
      </c>
      <c r="C22" s="27" t="n">
        <f aca="false">C21/C19</f>
        <v>1.02671458133814</v>
      </c>
      <c r="D22" s="27" t="n">
        <f aca="false">D21/D19</f>
        <v>3.63129833709933</v>
      </c>
      <c r="E22" s="27" t="n">
        <f aca="false">E21/E19</f>
        <v>3.63129833709933</v>
      </c>
      <c r="F22" s="27" t="n">
        <f aca="false">F21/F19</f>
        <v>7.39915549965518</v>
      </c>
    </row>
    <row r="23" customFormat="false" ht="15" hidden="false" customHeight="false" outlineLevel="0" collapsed="false">
      <c r="A23" s="6" t="s">
        <v>526</v>
      </c>
      <c r="B23" s="26" t="n">
        <f aca="false">B19/B16</f>
        <v>9.17945325306427</v>
      </c>
      <c r="C23" s="26" t="n">
        <f aca="false">C19/C16</f>
        <v>21.644011516092</v>
      </c>
      <c r="D23" s="26" t="n">
        <f aca="false">D19/D16</f>
        <v>9.17945325306427</v>
      </c>
      <c r="E23" s="26" t="n">
        <f aca="false">E19/E16</f>
        <v>9.17945325306427</v>
      </c>
      <c r="F23" s="26" t="n">
        <f aca="false">F19/F16</f>
        <v>6.00669149966042</v>
      </c>
    </row>
    <row r="24" customFormat="false" ht="15" hidden="false" customHeight="false" outlineLevel="0" collapsed="false">
      <c r="A24" s="6" t="s">
        <v>527</v>
      </c>
      <c r="B24" s="17" t="n">
        <f aca="false">(1-B9)/B9*B8*24</f>
        <v>70.439088704302</v>
      </c>
      <c r="C24" s="17" t="n">
        <f aca="false">(1-C9)/C9*C8*24</f>
        <v>150.650320647092</v>
      </c>
      <c r="D24" s="17" t="n">
        <f aca="false">(1-D9)/D9*D8*24</f>
        <v>70.439088704302</v>
      </c>
      <c r="E24" s="17" t="n">
        <f aca="false">(1-E9)/E9*E8*24</f>
        <v>70.439088704302</v>
      </c>
      <c r="F24" s="17" t="n">
        <f aca="false">(1-F9)/F9*F8*24</f>
        <v>47.9449537607306</v>
      </c>
    </row>
    <row r="25" customFormat="false" ht="15" hidden="false" customHeight="false" outlineLevel="0" collapsed="false">
      <c r="A25" s="6" t="s">
        <v>528</v>
      </c>
      <c r="B25" s="27" t="n">
        <f aca="false">B21/(B19+B24)</f>
        <v>3.05462205097362</v>
      </c>
      <c r="C25" s="27" t="n">
        <f aca="false">C21/(C19+C24)</f>
        <v>0.867118946403502</v>
      </c>
      <c r="D25" s="27" t="n">
        <f aca="false">D21/(D19+D24)</f>
        <v>3.05462205097362</v>
      </c>
      <c r="E25" s="27" t="n">
        <f aca="false">E21/(E19+E24)</f>
        <v>3.05462205097362</v>
      </c>
      <c r="F25" s="27" t="n">
        <f aca="false">F21/(F19+F24)</f>
        <v>6.2349825028293</v>
      </c>
    </row>
    <row r="26" customFormat="false" ht="15" hidden="false" customHeight="false" outlineLevel="0" collapsed="false">
      <c r="A26" s="6" t="s">
        <v>529</v>
      </c>
      <c r="B26" s="15" t="n">
        <f aca="false">Assumptions!$C$49+Assumptions!$C$50/Assumptions!$C$48+Assumptions!$C$44</f>
        <v>0.0450714285714286</v>
      </c>
      <c r="C26" s="15" t="n">
        <f aca="false">Assumptions!$D$49+Assumptions!$D$50/Assumptions!$D$48+Assumptions!$D$44</f>
        <v>0.0450714285714286</v>
      </c>
      <c r="D26" s="15" t="n">
        <f aca="false">Assumptions!$E$49+Assumptions!$E$50/Assumptions!$E$48+Assumptions!$E$44</f>
        <v>0.0450714285714286</v>
      </c>
      <c r="E26" s="15" t="n">
        <f aca="false">Assumptions!$F$49+Assumptions!$F$50/Assumptions!$F$48+Assumptions!$F$44</f>
        <v>0.0450714285714286</v>
      </c>
      <c r="F26" s="15" t="n">
        <f aca="false">Assumptions!$G$49+Assumptions!$G$50/Assumptions!$G$48+Assumptions!$G$44</f>
        <v>0.0450714285714286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6"/>
    <col collapsed="false" customWidth="true" hidden="false" outlineLevel="0" max="63" min="3" style="0" width="11"/>
  </cols>
  <sheetData>
    <row r="1" customFormat="false" ht="17.35" hidden="false" customHeight="false" outlineLevel="0" collapsed="false">
      <c r="A1" s="1" t="s">
        <v>530</v>
      </c>
    </row>
    <row r="2" customFormat="false" ht="15" hidden="false" customHeight="false" outlineLevel="0" collapsed="false">
      <c r="A2" s="3" t="s">
        <v>531</v>
      </c>
    </row>
    <row r="4" customFormat="false" ht="15" hidden="false" customHeight="false" outlineLevel="0" collapsed="false">
      <c r="B4" s="5" t="s">
        <v>532</v>
      </c>
      <c r="C4" s="4" t="n">
        <v>0</v>
      </c>
      <c r="D4" s="4" t="n">
        <v>1</v>
      </c>
      <c r="E4" s="4" t="n">
        <v>2</v>
      </c>
      <c r="F4" s="4" t="n">
        <v>3</v>
      </c>
      <c r="G4" s="4" t="n">
        <v>4</v>
      </c>
      <c r="H4" s="4" t="n">
        <v>5</v>
      </c>
      <c r="I4" s="4" t="n">
        <v>6</v>
      </c>
      <c r="J4" s="4" t="n">
        <v>7</v>
      </c>
      <c r="K4" s="4" t="n">
        <v>8</v>
      </c>
      <c r="L4" s="4" t="n">
        <v>9</v>
      </c>
      <c r="M4" s="4" t="n">
        <v>10</v>
      </c>
      <c r="N4" s="4" t="n">
        <v>11</v>
      </c>
      <c r="O4" s="4" t="n">
        <v>12</v>
      </c>
      <c r="P4" s="4" t="n">
        <v>13</v>
      </c>
      <c r="Q4" s="4" t="n">
        <v>14</v>
      </c>
      <c r="R4" s="4" t="n">
        <v>15</v>
      </c>
      <c r="S4" s="4" t="n">
        <v>16</v>
      </c>
      <c r="T4" s="4" t="n">
        <v>17</v>
      </c>
      <c r="U4" s="4" t="n">
        <v>18</v>
      </c>
      <c r="V4" s="4" t="n">
        <v>19</v>
      </c>
      <c r="W4" s="4" t="n">
        <v>20</v>
      </c>
      <c r="X4" s="4" t="n">
        <v>21</v>
      </c>
      <c r="Y4" s="4" t="n">
        <v>22</v>
      </c>
      <c r="Z4" s="4" t="n">
        <v>23</v>
      </c>
      <c r="AA4" s="4" t="n">
        <v>24</v>
      </c>
      <c r="AB4" s="4" t="n">
        <v>25</v>
      </c>
      <c r="AC4" s="4" t="n">
        <v>26</v>
      </c>
      <c r="AD4" s="4" t="n">
        <v>27</v>
      </c>
      <c r="AE4" s="4" t="n">
        <v>28</v>
      </c>
      <c r="AF4" s="4" t="n">
        <v>29</v>
      </c>
      <c r="AG4" s="4" t="n">
        <v>30</v>
      </c>
      <c r="AH4" s="4" t="n">
        <v>31</v>
      </c>
      <c r="AI4" s="4" t="n">
        <v>32</v>
      </c>
      <c r="AJ4" s="4" t="n">
        <v>33</v>
      </c>
      <c r="AK4" s="4" t="n">
        <v>34</v>
      </c>
      <c r="AL4" s="4" t="n">
        <v>35</v>
      </c>
      <c r="AM4" s="4" t="n">
        <v>36</v>
      </c>
      <c r="AN4" s="19" t="n">
        <v>37</v>
      </c>
      <c r="AO4" s="19" t="n">
        <v>38</v>
      </c>
      <c r="AP4" s="19" t="n">
        <v>39</v>
      </c>
      <c r="AQ4" s="19" t="n">
        <v>40</v>
      </c>
      <c r="AR4" s="19" t="n">
        <v>41</v>
      </c>
      <c r="AS4" s="19" t="n">
        <v>42</v>
      </c>
      <c r="AT4" s="19" t="n">
        <v>43</v>
      </c>
      <c r="AU4" s="19" t="n">
        <v>44</v>
      </c>
      <c r="AV4" s="19" t="n">
        <v>45</v>
      </c>
      <c r="AW4" s="19" t="n">
        <v>46</v>
      </c>
      <c r="AX4" s="19" t="n">
        <v>47</v>
      </c>
      <c r="AY4" s="19" t="n">
        <v>48</v>
      </c>
      <c r="AZ4" s="19" t="n">
        <v>49</v>
      </c>
      <c r="BA4" s="19" t="n">
        <v>50</v>
      </c>
      <c r="BB4" s="19" t="n">
        <v>51</v>
      </c>
      <c r="BC4" s="19" t="n">
        <v>52</v>
      </c>
      <c r="BD4" s="19" t="n">
        <v>53</v>
      </c>
      <c r="BE4" s="19" t="n">
        <v>54</v>
      </c>
      <c r="BF4" s="19" t="n">
        <v>55</v>
      </c>
      <c r="BG4" s="19" t="n">
        <v>56</v>
      </c>
      <c r="BH4" s="19" t="n">
        <v>57</v>
      </c>
      <c r="BI4" s="19" t="n">
        <v>58</v>
      </c>
      <c r="BJ4" s="19" t="n">
        <v>59</v>
      </c>
      <c r="BK4" s="19" t="n">
        <v>60</v>
      </c>
    </row>
    <row r="5" customFormat="false" ht="15" hidden="false" customHeight="false" outlineLevel="0" collapsed="false">
      <c r="B5" s="5" t="s">
        <v>403</v>
      </c>
      <c r="C5" s="5" t="s">
        <v>533</v>
      </c>
      <c r="D5" s="5" t="s">
        <v>404</v>
      </c>
      <c r="E5" s="5" t="s">
        <v>405</v>
      </c>
      <c r="F5" s="5" t="s">
        <v>406</v>
      </c>
      <c r="G5" s="5" t="s">
        <v>407</v>
      </c>
      <c r="H5" s="5" t="s">
        <v>408</v>
      </c>
      <c r="I5" s="5" t="s">
        <v>409</v>
      </c>
      <c r="J5" s="5" t="s">
        <v>410</v>
      </c>
      <c r="K5" s="5" t="s">
        <v>411</v>
      </c>
      <c r="L5" s="5" t="s">
        <v>412</v>
      </c>
      <c r="M5" s="5" t="s">
        <v>413</v>
      </c>
      <c r="N5" s="5" t="s">
        <v>414</v>
      </c>
      <c r="O5" s="5" t="s">
        <v>415</v>
      </c>
      <c r="P5" s="5" t="s">
        <v>416</v>
      </c>
      <c r="Q5" s="5" t="s">
        <v>417</v>
      </c>
      <c r="R5" s="5" t="s">
        <v>418</v>
      </c>
      <c r="S5" s="5" t="s">
        <v>419</v>
      </c>
      <c r="T5" s="5" t="s">
        <v>420</v>
      </c>
      <c r="U5" s="5" t="s">
        <v>421</v>
      </c>
      <c r="V5" s="5" t="s">
        <v>422</v>
      </c>
      <c r="W5" s="5" t="s">
        <v>423</v>
      </c>
      <c r="X5" s="5" t="s">
        <v>424</v>
      </c>
      <c r="Y5" s="5" t="s">
        <v>425</v>
      </c>
      <c r="Z5" s="5" t="s">
        <v>426</v>
      </c>
      <c r="AA5" s="5" t="s">
        <v>427</v>
      </c>
      <c r="AB5" s="5" t="s">
        <v>428</v>
      </c>
      <c r="AC5" s="5" t="s">
        <v>429</v>
      </c>
      <c r="AD5" s="5" t="s">
        <v>430</v>
      </c>
      <c r="AE5" s="5" t="s">
        <v>431</v>
      </c>
      <c r="AF5" s="5" t="s">
        <v>432</v>
      </c>
      <c r="AG5" s="5" t="s">
        <v>433</v>
      </c>
      <c r="AH5" s="5" t="s">
        <v>434</v>
      </c>
      <c r="AI5" s="5" t="s">
        <v>435</v>
      </c>
      <c r="AJ5" s="5" t="s">
        <v>436</v>
      </c>
      <c r="AK5" s="5" t="s">
        <v>437</v>
      </c>
      <c r="AL5" s="5" t="s">
        <v>438</v>
      </c>
      <c r="AM5" s="5" t="s">
        <v>439</v>
      </c>
      <c r="AN5" s="5" t="s">
        <v>440</v>
      </c>
      <c r="AO5" s="5" t="s">
        <v>441</v>
      </c>
      <c r="AP5" s="5" t="s">
        <v>442</v>
      </c>
      <c r="AQ5" s="5" t="s">
        <v>443</v>
      </c>
      <c r="AR5" s="5" t="s">
        <v>444</v>
      </c>
      <c r="AS5" s="5" t="s">
        <v>445</v>
      </c>
      <c r="AT5" s="5" t="s">
        <v>446</v>
      </c>
      <c r="AU5" s="5" t="s">
        <v>447</v>
      </c>
      <c r="AV5" s="5" t="s">
        <v>448</v>
      </c>
      <c r="AW5" s="5" t="s">
        <v>449</v>
      </c>
      <c r="AX5" s="5" t="s">
        <v>450</v>
      </c>
      <c r="AY5" s="5" t="s">
        <v>451</v>
      </c>
      <c r="AZ5" s="5" t="s">
        <v>452</v>
      </c>
      <c r="BA5" s="5" t="s">
        <v>453</v>
      </c>
      <c r="BB5" s="5" t="s">
        <v>454</v>
      </c>
      <c r="BC5" s="5" t="s">
        <v>455</v>
      </c>
      <c r="BD5" s="5" t="s">
        <v>456</v>
      </c>
      <c r="BE5" s="5" t="s">
        <v>457</v>
      </c>
      <c r="BF5" s="5" t="s">
        <v>458</v>
      </c>
      <c r="BG5" s="5" t="s">
        <v>459</v>
      </c>
      <c r="BH5" s="5" t="s">
        <v>460</v>
      </c>
      <c r="BI5" s="5" t="s">
        <v>461</v>
      </c>
      <c r="BJ5" s="5" t="s">
        <v>462</v>
      </c>
      <c r="BK5" s="5" t="s">
        <v>463</v>
      </c>
    </row>
    <row r="6" customFormat="false" ht="15" hidden="false" customHeight="false" outlineLevel="0" collapsed="false">
      <c r="B6" s="5" t="s">
        <v>534</v>
      </c>
    </row>
    <row r="7" customFormat="false" ht="15" hidden="false" customHeight="false" outlineLevel="0" collapsed="false">
      <c r="A7" s="28" t="s">
        <v>535</v>
      </c>
      <c r="B7" s="6" t="s">
        <v>532</v>
      </c>
      <c r="C7" s="29" t="n">
        <v>0</v>
      </c>
      <c r="D7" s="30" t="n">
        <v>1</v>
      </c>
      <c r="E7" s="30" t="n">
        <v>2</v>
      </c>
      <c r="F7" s="30" t="n">
        <v>3</v>
      </c>
      <c r="G7" s="30" t="n">
        <v>4</v>
      </c>
      <c r="H7" s="30" t="n">
        <v>5</v>
      </c>
      <c r="I7" s="30" t="n">
        <v>6</v>
      </c>
      <c r="J7" s="30" t="n">
        <v>7</v>
      </c>
      <c r="K7" s="30" t="n">
        <v>8</v>
      </c>
      <c r="L7" s="30" t="n">
        <v>9</v>
      </c>
      <c r="M7" s="30" t="n">
        <v>10</v>
      </c>
      <c r="N7" s="30" t="n">
        <v>11</v>
      </c>
      <c r="O7" s="30" t="n">
        <v>12</v>
      </c>
      <c r="P7" s="30" t="n">
        <v>13</v>
      </c>
      <c r="Q7" s="30" t="n">
        <v>14</v>
      </c>
      <c r="R7" s="30" t="n">
        <v>15</v>
      </c>
      <c r="S7" s="30" t="n">
        <v>16</v>
      </c>
      <c r="T7" s="30" t="n">
        <v>17</v>
      </c>
      <c r="U7" s="30" t="n">
        <v>18</v>
      </c>
      <c r="V7" s="30" t="n">
        <v>19</v>
      </c>
      <c r="W7" s="30" t="n">
        <v>20</v>
      </c>
      <c r="X7" s="30" t="n">
        <v>21</v>
      </c>
      <c r="Y7" s="30" t="n">
        <v>22</v>
      </c>
      <c r="Z7" s="30" t="n">
        <v>23</v>
      </c>
      <c r="AA7" s="30" t="n">
        <v>24</v>
      </c>
      <c r="AB7" s="30" t="n">
        <v>25</v>
      </c>
      <c r="AC7" s="30" t="n">
        <v>26</v>
      </c>
      <c r="AD7" s="30" t="n">
        <v>27</v>
      </c>
      <c r="AE7" s="30" t="n">
        <v>28</v>
      </c>
      <c r="AF7" s="30" t="n">
        <v>29</v>
      </c>
      <c r="AG7" s="30" t="n">
        <v>30</v>
      </c>
      <c r="AH7" s="30" t="n">
        <v>31</v>
      </c>
      <c r="AI7" s="30" t="n">
        <v>32</v>
      </c>
      <c r="AJ7" s="30" t="n">
        <v>33</v>
      </c>
      <c r="AK7" s="30" t="n">
        <v>34</v>
      </c>
      <c r="AL7" s="30" t="n">
        <v>35</v>
      </c>
      <c r="AM7" s="30" t="n">
        <v>36</v>
      </c>
      <c r="AN7" s="31" t="n">
        <v>37</v>
      </c>
      <c r="AO7" s="31" t="n">
        <v>38</v>
      </c>
      <c r="AP7" s="31" t="n">
        <v>39</v>
      </c>
      <c r="AQ7" s="31" t="n">
        <v>40</v>
      </c>
      <c r="AR7" s="31" t="n">
        <v>41</v>
      </c>
      <c r="AS7" s="31" t="n">
        <v>42</v>
      </c>
      <c r="AT7" s="31" t="n">
        <v>43</v>
      </c>
      <c r="AU7" s="31" t="n">
        <v>44</v>
      </c>
      <c r="AV7" s="31" t="n">
        <v>45</v>
      </c>
      <c r="AW7" s="31" t="n">
        <v>46</v>
      </c>
      <c r="AX7" s="31" t="n">
        <v>47</v>
      </c>
      <c r="AY7" s="31" t="n">
        <v>48</v>
      </c>
      <c r="AZ7" s="31" t="n">
        <v>49</v>
      </c>
      <c r="BA7" s="31" t="n">
        <v>50</v>
      </c>
      <c r="BB7" s="31" t="n">
        <v>51</v>
      </c>
      <c r="BC7" s="31" t="n">
        <v>52</v>
      </c>
      <c r="BD7" s="31" t="n">
        <v>53</v>
      </c>
      <c r="BE7" s="31" t="n">
        <v>54</v>
      </c>
      <c r="BF7" s="31" t="n">
        <v>55</v>
      </c>
      <c r="BG7" s="31" t="n">
        <v>56</v>
      </c>
      <c r="BH7" s="31" t="n">
        <v>57</v>
      </c>
      <c r="BI7" s="31" t="n">
        <v>58</v>
      </c>
      <c r="BJ7" s="31" t="n">
        <v>59</v>
      </c>
      <c r="BK7" s="31" t="n">
        <v>60</v>
      </c>
    </row>
    <row r="8" customFormat="false" ht="15" hidden="false" customHeight="false" outlineLevel="0" collapsed="false">
      <c r="A8" s="28" t="s">
        <v>536</v>
      </c>
      <c r="B8" s="6" t="s">
        <v>537</v>
      </c>
      <c r="C8" s="32" t="n">
        <v>0</v>
      </c>
      <c r="D8" s="23" t="n">
        <f aca="false">Assumptions!C$139</f>
        <v>0</v>
      </c>
      <c r="E8" s="23" t="n">
        <f aca="false">Assumptions!D$139</f>
        <v>0</v>
      </c>
      <c r="F8" s="23" t="n">
        <f aca="false">Assumptions!E$139</f>
        <v>0</v>
      </c>
      <c r="G8" s="23" t="n">
        <f aca="false">Assumptions!F$139</f>
        <v>0</v>
      </c>
      <c r="H8" s="23" t="n">
        <f aca="false">Assumptions!G$139</f>
        <v>1</v>
      </c>
      <c r="I8" s="23" t="n">
        <f aca="false">Assumptions!H$139</f>
        <v>0</v>
      </c>
      <c r="J8" s="23" t="n">
        <f aca="false">Assumptions!I$139</f>
        <v>0</v>
      </c>
      <c r="K8" s="23" t="n">
        <f aca="false">Assumptions!J$139</f>
        <v>1</v>
      </c>
      <c r="L8" s="23" t="n">
        <f aca="false">Assumptions!K$139</f>
        <v>0</v>
      </c>
      <c r="M8" s="23" t="n">
        <f aca="false">Assumptions!L$139</f>
        <v>0</v>
      </c>
      <c r="N8" s="23" t="n">
        <f aca="false">Assumptions!M$139</f>
        <v>1</v>
      </c>
      <c r="O8" s="23" t="n">
        <f aca="false">Assumptions!N$139</f>
        <v>1</v>
      </c>
      <c r="P8" s="23" t="n">
        <f aca="false">Assumptions!O$139</f>
        <v>0</v>
      </c>
      <c r="Q8" s="23" t="n">
        <f aca="false">Assumptions!P$139</f>
        <v>1</v>
      </c>
      <c r="R8" s="23" t="n">
        <f aca="false">Assumptions!Q$139</f>
        <v>1</v>
      </c>
      <c r="S8" s="23" t="n">
        <f aca="false">Assumptions!R$139</f>
        <v>0</v>
      </c>
      <c r="T8" s="23" t="n">
        <f aca="false">Assumptions!S$139</f>
        <v>1</v>
      </c>
      <c r="U8" s="23" t="n">
        <f aca="false">Assumptions!T$139</f>
        <v>1</v>
      </c>
      <c r="V8" s="23" t="n">
        <f aca="false">Assumptions!U$139</f>
        <v>1</v>
      </c>
      <c r="W8" s="23" t="n">
        <f aca="false">Assumptions!V$139</f>
        <v>1</v>
      </c>
      <c r="X8" s="23" t="n">
        <f aca="false">Assumptions!W$139</f>
        <v>1</v>
      </c>
      <c r="Y8" s="23" t="n">
        <f aca="false">Assumptions!X$139</f>
        <v>1</v>
      </c>
      <c r="Z8" s="23" t="n">
        <f aca="false">Assumptions!Y$139</f>
        <v>1</v>
      </c>
      <c r="AA8" s="23" t="n">
        <f aca="false">Assumptions!Z$139</f>
        <v>1</v>
      </c>
      <c r="AB8" s="23" t="n">
        <f aca="false">Assumptions!AA$139</f>
        <v>1</v>
      </c>
      <c r="AC8" s="23" t="n">
        <f aca="false">Assumptions!AB$139</f>
        <v>1</v>
      </c>
      <c r="AD8" s="23" t="n">
        <f aca="false">Assumptions!AC$139</f>
        <v>1</v>
      </c>
      <c r="AE8" s="23" t="n">
        <f aca="false">Assumptions!AD$139</f>
        <v>1</v>
      </c>
      <c r="AF8" s="23" t="n">
        <f aca="false">Assumptions!AE$139</f>
        <v>2</v>
      </c>
      <c r="AG8" s="23" t="n">
        <f aca="false">Assumptions!AF$139</f>
        <v>1</v>
      </c>
      <c r="AH8" s="23" t="n">
        <f aca="false">Assumptions!AG$139</f>
        <v>1</v>
      </c>
      <c r="AI8" s="23" t="n">
        <f aca="false">Assumptions!AH$139</f>
        <v>2</v>
      </c>
      <c r="AJ8" s="23" t="n">
        <f aca="false">Assumptions!AI$139</f>
        <v>1</v>
      </c>
      <c r="AK8" s="23" t="n">
        <f aca="false">Assumptions!AJ$139</f>
        <v>1</v>
      </c>
      <c r="AL8" s="23" t="n">
        <f aca="false">Assumptions!AK$139</f>
        <v>2</v>
      </c>
      <c r="AM8" s="23" t="n">
        <f aca="false">Assumptions!AL$139</f>
        <v>1</v>
      </c>
      <c r="AN8" s="33" t="n">
        <f aca="false">Assumptions!AM$139</f>
        <v>1</v>
      </c>
      <c r="AO8" s="33" t="n">
        <f aca="false">Assumptions!AN$139</f>
        <v>2</v>
      </c>
      <c r="AP8" s="33" t="n">
        <f aca="false">Assumptions!AO$139</f>
        <v>1</v>
      </c>
      <c r="AQ8" s="33" t="n">
        <f aca="false">Assumptions!AP$139</f>
        <v>1</v>
      </c>
      <c r="AR8" s="33" t="n">
        <f aca="false">Assumptions!AQ$139</f>
        <v>2</v>
      </c>
      <c r="AS8" s="33" t="n">
        <f aca="false">Assumptions!AR$139</f>
        <v>1</v>
      </c>
      <c r="AT8" s="33" t="n">
        <f aca="false">Assumptions!AS$139</f>
        <v>1</v>
      </c>
      <c r="AU8" s="33" t="n">
        <f aca="false">Assumptions!AT$139</f>
        <v>2</v>
      </c>
      <c r="AV8" s="33" t="n">
        <f aca="false">Assumptions!AU$139</f>
        <v>1</v>
      </c>
      <c r="AW8" s="33" t="n">
        <f aca="false">Assumptions!AV$139</f>
        <v>1</v>
      </c>
      <c r="AX8" s="33" t="n">
        <f aca="false">Assumptions!AW$139</f>
        <v>2</v>
      </c>
      <c r="AY8" s="33" t="n">
        <f aca="false">Assumptions!AX$139</f>
        <v>1</v>
      </c>
      <c r="AZ8" s="33" t="n">
        <f aca="false">Assumptions!AY$139</f>
        <v>1</v>
      </c>
      <c r="BA8" s="33" t="n">
        <f aca="false">Assumptions!AZ$139</f>
        <v>2</v>
      </c>
      <c r="BB8" s="33" t="n">
        <f aca="false">Assumptions!BA$139</f>
        <v>1</v>
      </c>
      <c r="BC8" s="33" t="n">
        <f aca="false">Assumptions!BB$139</f>
        <v>1</v>
      </c>
      <c r="BD8" s="33" t="n">
        <f aca="false">Assumptions!BC$139</f>
        <v>2</v>
      </c>
      <c r="BE8" s="33" t="n">
        <f aca="false">Assumptions!BD$139</f>
        <v>1</v>
      </c>
      <c r="BF8" s="33" t="n">
        <f aca="false">Assumptions!BE$139</f>
        <v>1</v>
      </c>
      <c r="BG8" s="33" t="n">
        <f aca="false">Assumptions!BF$139</f>
        <v>2</v>
      </c>
      <c r="BH8" s="33" t="n">
        <f aca="false">Assumptions!BG$139</f>
        <v>1</v>
      </c>
      <c r="BI8" s="33" t="n">
        <f aca="false">Assumptions!BH$139</f>
        <v>1</v>
      </c>
      <c r="BJ8" s="33" t="n">
        <f aca="false">Assumptions!BI$139</f>
        <v>2</v>
      </c>
      <c r="BK8" s="33" t="n">
        <f aca="false">Assumptions!BJ$139</f>
        <v>1</v>
      </c>
    </row>
    <row r="9" customFormat="false" ht="15" hidden="false" customHeight="false" outlineLevel="0" collapsed="false">
      <c r="A9" s="28" t="s">
        <v>538</v>
      </c>
      <c r="B9" s="6" t="s">
        <v>539</v>
      </c>
      <c r="C9" s="32" t="n">
        <v>0</v>
      </c>
      <c r="D9" s="34" t="n">
        <f aca="false">C9+D8</f>
        <v>0</v>
      </c>
      <c r="E9" s="34" t="n">
        <f aca="false">D9+E8</f>
        <v>0</v>
      </c>
      <c r="F9" s="34" t="n">
        <f aca="false">E9+F8</f>
        <v>0</v>
      </c>
      <c r="G9" s="34" t="n">
        <f aca="false">F9+G8</f>
        <v>0</v>
      </c>
      <c r="H9" s="34" t="n">
        <f aca="false">G9+H8</f>
        <v>1</v>
      </c>
      <c r="I9" s="34" t="n">
        <f aca="false">H9+I8</f>
        <v>1</v>
      </c>
      <c r="J9" s="34" t="n">
        <f aca="false">I9+J8</f>
        <v>1</v>
      </c>
      <c r="K9" s="34" t="n">
        <f aca="false">J9+K8</f>
        <v>2</v>
      </c>
      <c r="L9" s="34" t="n">
        <f aca="false">K9+L8</f>
        <v>2</v>
      </c>
      <c r="M9" s="34" t="n">
        <f aca="false">L9+M8</f>
        <v>2</v>
      </c>
      <c r="N9" s="34" t="n">
        <f aca="false">M9+N8</f>
        <v>3</v>
      </c>
      <c r="O9" s="34" t="n">
        <f aca="false">N9+O8</f>
        <v>4</v>
      </c>
      <c r="P9" s="34" t="n">
        <f aca="false">O9+P8</f>
        <v>4</v>
      </c>
      <c r="Q9" s="34" t="n">
        <f aca="false">P9+Q8</f>
        <v>5</v>
      </c>
      <c r="R9" s="34" t="n">
        <f aca="false">Q9+R8</f>
        <v>6</v>
      </c>
      <c r="S9" s="34" t="n">
        <f aca="false">R9+S8</f>
        <v>6</v>
      </c>
      <c r="T9" s="34" t="n">
        <f aca="false">S9+T8</f>
        <v>7</v>
      </c>
      <c r="U9" s="34" t="n">
        <f aca="false">T9+U8</f>
        <v>8</v>
      </c>
      <c r="V9" s="34" t="n">
        <f aca="false">U9+V8</f>
        <v>9</v>
      </c>
      <c r="W9" s="34" t="n">
        <f aca="false">V9+W8</f>
        <v>10</v>
      </c>
      <c r="X9" s="34" t="n">
        <f aca="false">W9+X8</f>
        <v>11</v>
      </c>
      <c r="Y9" s="34" t="n">
        <f aca="false">X9+Y8</f>
        <v>12</v>
      </c>
      <c r="Z9" s="34" t="n">
        <f aca="false">Y9+Z8</f>
        <v>13</v>
      </c>
      <c r="AA9" s="34" t="n">
        <f aca="false">Z9+AA8</f>
        <v>14</v>
      </c>
      <c r="AB9" s="34" t="n">
        <f aca="false">AA9+AB8</f>
        <v>15</v>
      </c>
      <c r="AC9" s="34" t="n">
        <f aca="false">AB9+AC8</f>
        <v>16</v>
      </c>
      <c r="AD9" s="34" t="n">
        <f aca="false">AC9+AD8</f>
        <v>17</v>
      </c>
      <c r="AE9" s="34" t="n">
        <f aca="false">AD9+AE8</f>
        <v>18</v>
      </c>
      <c r="AF9" s="34" t="n">
        <f aca="false">AE9+AF8</f>
        <v>20</v>
      </c>
      <c r="AG9" s="34" t="n">
        <f aca="false">AF9+AG8</f>
        <v>21</v>
      </c>
      <c r="AH9" s="34" t="n">
        <f aca="false">AG9+AH8</f>
        <v>22</v>
      </c>
      <c r="AI9" s="34" t="n">
        <f aca="false">AH9+AI8</f>
        <v>24</v>
      </c>
      <c r="AJ9" s="34" t="n">
        <f aca="false">AI9+AJ8</f>
        <v>25</v>
      </c>
      <c r="AK9" s="34" t="n">
        <f aca="false">AJ9+AK8</f>
        <v>26</v>
      </c>
      <c r="AL9" s="34" t="n">
        <f aca="false">AK9+AL8</f>
        <v>28</v>
      </c>
      <c r="AM9" s="34" t="n">
        <f aca="false">AL9+AM8</f>
        <v>29</v>
      </c>
      <c r="AN9" s="35" t="n">
        <f aca="false">AM9+AN8</f>
        <v>30</v>
      </c>
      <c r="AO9" s="35" t="n">
        <f aca="false">AN9+AO8</f>
        <v>32</v>
      </c>
      <c r="AP9" s="35" t="n">
        <f aca="false">AO9+AP8</f>
        <v>33</v>
      </c>
      <c r="AQ9" s="35" t="n">
        <f aca="false">AP9+AQ8</f>
        <v>34</v>
      </c>
      <c r="AR9" s="35" t="n">
        <f aca="false">AQ9+AR8</f>
        <v>36</v>
      </c>
      <c r="AS9" s="35" t="n">
        <f aca="false">AR9+AS8</f>
        <v>37</v>
      </c>
      <c r="AT9" s="35" t="n">
        <f aca="false">AS9+AT8</f>
        <v>38</v>
      </c>
      <c r="AU9" s="35" t="n">
        <f aca="false">AT9+AU8</f>
        <v>40</v>
      </c>
      <c r="AV9" s="35" t="n">
        <f aca="false">AU9+AV8</f>
        <v>41</v>
      </c>
      <c r="AW9" s="35" t="n">
        <f aca="false">AV9+AW8</f>
        <v>42</v>
      </c>
      <c r="AX9" s="35" t="n">
        <f aca="false">AW9+AX8</f>
        <v>44</v>
      </c>
      <c r="AY9" s="35" t="n">
        <f aca="false">AX9+AY8</f>
        <v>45</v>
      </c>
      <c r="AZ9" s="35" t="n">
        <f aca="false">AY9+AZ8</f>
        <v>46</v>
      </c>
      <c r="BA9" s="35" t="n">
        <f aca="false">AZ9+BA8</f>
        <v>48</v>
      </c>
      <c r="BB9" s="35" t="n">
        <f aca="false">BA9+BB8</f>
        <v>49</v>
      </c>
      <c r="BC9" s="35" t="n">
        <f aca="false">BB9+BC8</f>
        <v>50</v>
      </c>
      <c r="BD9" s="35" t="n">
        <f aca="false">BC9+BD8</f>
        <v>52</v>
      </c>
      <c r="BE9" s="35" t="n">
        <f aca="false">BD9+BE8</f>
        <v>53</v>
      </c>
      <c r="BF9" s="35" t="n">
        <f aca="false">BE9+BF8</f>
        <v>54</v>
      </c>
      <c r="BG9" s="35" t="n">
        <f aca="false">BF9+BG8</f>
        <v>56</v>
      </c>
      <c r="BH9" s="35" t="n">
        <f aca="false">BG9+BH8</f>
        <v>57</v>
      </c>
      <c r="BI9" s="35" t="n">
        <f aca="false">BH9+BI8</f>
        <v>58</v>
      </c>
      <c r="BJ9" s="35" t="n">
        <f aca="false">BI9+BJ8</f>
        <v>60</v>
      </c>
      <c r="BK9" s="35" t="n">
        <f aca="false">BJ9+BK8</f>
        <v>61</v>
      </c>
    </row>
    <row r="10" customFormat="false" ht="15" hidden="false" customHeight="false" outlineLevel="0" collapsed="false">
      <c r="A10" s="28" t="s">
        <v>540</v>
      </c>
      <c r="B10" s="6" t="s">
        <v>541</v>
      </c>
      <c r="C10" s="32" t="n">
        <v>0</v>
      </c>
      <c r="D10" s="34" t="n">
        <f aca="false">IF(D7&gt;Assumptions!$C$79,INDEX($D$9:$BK$9,D7-Assumptions!$C$79),0)</f>
        <v>0</v>
      </c>
      <c r="E10" s="34" t="n">
        <f aca="false">IF(E7&gt;Assumptions!$C$79,INDEX($D$9:$BK$9,E7-Assumptions!$C$79),0)</f>
        <v>0</v>
      </c>
      <c r="F10" s="34" t="n">
        <f aca="false">IF(F7&gt;Assumptions!$C$79,INDEX($D$9:$BK$9,F7-Assumptions!$C$79),0)</f>
        <v>0</v>
      </c>
      <c r="G10" s="34" t="n">
        <f aca="false">IF(G7&gt;Assumptions!$C$79,INDEX($D$9:$BK$9,G7-Assumptions!$C$79),0)</f>
        <v>0</v>
      </c>
      <c r="H10" s="34" t="n">
        <f aca="false">IF(H7&gt;Assumptions!$C$79,INDEX($D$9:$BK$9,H7-Assumptions!$C$79),0)</f>
        <v>0</v>
      </c>
      <c r="I10" s="34" t="n">
        <f aca="false">IF(I7&gt;Assumptions!$C$79,INDEX($D$9:$BK$9,I7-Assumptions!$C$79),0)</f>
        <v>0</v>
      </c>
      <c r="J10" s="34" t="n">
        <f aca="false">IF(J7&gt;Assumptions!$C$79,INDEX($D$9:$BK$9,J7-Assumptions!$C$79),0)</f>
        <v>0</v>
      </c>
      <c r="K10" s="34" t="n">
        <f aca="false">IF(K7&gt;Assumptions!$C$79,INDEX($D$9:$BK$9,K7-Assumptions!$C$79),0)</f>
        <v>0</v>
      </c>
      <c r="L10" s="34" t="n">
        <f aca="false">IF(L7&gt;Assumptions!$C$79,INDEX($D$9:$BK$9,L7-Assumptions!$C$79),0)</f>
        <v>0</v>
      </c>
      <c r="M10" s="34" t="n">
        <f aca="false">IF(M7&gt;Assumptions!$C$79,INDEX($D$9:$BK$9,M7-Assumptions!$C$79),0)</f>
        <v>0</v>
      </c>
      <c r="N10" s="34" t="n">
        <f aca="false">IF(N7&gt;Assumptions!$C$79,INDEX($D$9:$BK$9,N7-Assumptions!$C$79),0)</f>
        <v>1</v>
      </c>
      <c r="O10" s="34" t="n">
        <f aca="false">IF(O7&gt;Assumptions!$C$79,INDEX($D$9:$BK$9,O7-Assumptions!$C$79),0)</f>
        <v>1</v>
      </c>
      <c r="P10" s="34" t="n">
        <f aca="false">IF(P7&gt;Assumptions!$C$79,INDEX($D$9:$BK$9,P7-Assumptions!$C$79),0)</f>
        <v>1</v>
      </c>
      <c r="Q10" s="34" t="n">
        <f aca="false">IF(Q7&gt;Assumptions!$C$79,INDEX($D$9:$BK$9,Q7-Assumptions!$C$79),0)</f>
        <v>2</v>
      </c>
      <c r="R10" s="34" t="n">
        <f aca="false">IF(R7&gt;Assumptions!$C$79,INDEX($D$9:$BK$9,R7-Assumptions!$C$79),0)</f>
        <v>2</v>
      </c>
      <c r="S10" s="34" t="n">
        <f aca="false">IF(S7&gt;Assumptions!$C$79,INDEX($D$9:$BK$9,S7-Assumptions!$C$79),0)</f>
        <v>2</v>
      </c>
      <c r="T10" s="34" t="n">
        <f aca="false">IF(T7&gt;Assumptions!$C$79,INDEX($D$9:$BK$9,T7-Assumptions!$C$79),0)</f>
        <v>3</v>
      </c>
      <c r="U10" s="34" t="n">
        <f aca="false">IF(U7&gt;Assumptions!$C$79,INDEX($D$9:$BK$9,U7-Assumptions!$C$79),0)</f>
        <v>4</v>
      </c>
      <c r="V10" s="34" t="n">
        <f aca="false">IF(V7&gt;Assumptions!$C$79,INDEX($D$9:$BK$9,V7-Assumptions!$C$79),0)</f>
        <v>4</v>
      </c>
      <c r="W10" s="34" t="n">
        <f aca="false">IF(W7&gt;Assumptions!$C$79,INDEX($D$9:$BK$9,W7-Assumptions!$C$79),0)</f>
        <v>5</v>
      </c>
      <c r="X10" s="34" t="n">
        <f aca="false">IF(X7&gt;Assumptions!$C$79,INDEX($D$9:$BK$9,X7-Assumptions!$C$79),0)</f>
        <v>6</v>
      </c>
      <c r="Y10" s="34" t="n">
        <f aca="false">IF(Y7&gt;Assumptions!$C$79,INDEX($D$9:$BK$9,Y7-Assumptions!$C$79),0)</f>
        <v>6</v>
      </c>
      <c r="Z10" s="34" t="n">
        <f aca="false">IF(Z7&gt;Assumptions!$C$79,INDEX($D$9:$BK$9,Z7-Assumptions!$C$79),0)</f>
        <v>7</v>
      </c>
      <c r="AA10" s="34" t="n">
        <f aca="false">IF(AA7&gt;Assumptions!$C$79,INDEX($D$9:$BK$9,AA7-Assumptions!$C$79),0)</f>
        <v>8</v>
      </c>
      <c r="AB10" s="34" t="n">
        <f aca="false">IF(AB7&gt;Assumptions!$C$79,INDEX($D$9:$BK$9,AB7-Assumptions!$C$79),0)</f>
        <v>9</v>
      </c>
      <c r="AC10" s="34" t="n">
        <f aca="false">IF(AC7&gt;Assumptions!$C$79,INDEX($D$9:$BK$9,AC7-Assumptions!$C$79),0)</f>
        <v>10</v>
      </c>
      <c r="AD10" s="34" t="n">
        <f aca="false">IF(AD7&gt;Assumptions!$C$79,INDEX($D$9:$BK$9,AD7-Assumptions!$C$79),0)</f>
        <v>11</v>
      </c>
      <c r="AE10" s="34" t="n">
        <f aca="false">IF(AE7&gt;Assumptions!$C$79,INDEX($D$9:$BK$9,AE7-Assumptions!$C$79),0)</f>
        <v>12</v>
      </c>
      <c r="AF10" s="34" t="n">
        <f aca="false">IF(AF7&gt;Assumptions!$C$79,INDEX($D$9:$BK$9,AF7-Assumptions!$C$79),0)</f>
        <v>13</v>
      </c>
      <c r="AG10" s="34" t="n">
        <f aca="false">IF(AG7&gt;Assumptions!$C$79,INDEX($D$9:$BK$9,AG7-Assumptions!$C$79),0)</f>
        <v>14</v>
      </c>
      <c r="AH10" s="34" t="n">
        <f aca="false">IF(AH7&gt;Assumptions!$C$79,INDEX($D$9:$BK$9,AH7-Assumptions!$C$79),0)</f>
        <v>15</v>
      </c>
      <c r="AI10" s="34" t="n">
        <f aca="false">IF(AI7&gt;Assumptions!$C$79,INDEX($D$9:$BK$9,AI7-Assumptions!$C$79),0)</f>
        <v>16</v>
      </c>
      <c r="AJ10" s="34" t="n">
        <f aca="false">IF(AJ7&gt;Assumptions!$C$79,INDEX($D$9:$BK$9,AJ7-Assumptions!$C$79),0)</f>
        <v>17</v>
      </c>
      <c r="AK10" s="34" t="n">
        <f aca="false">IF(AK7&gt;Assumptions!$C$79,INDEX($D$9:$BK$9,AK7-Assumptions!$C$79),0)</f>
        <v>18</v>
      </c>
      <c r="AL10" s="34" t="n">
        <f aca="false">IF(AL7&gt;Assumptions!$C$79,INDEX($D$9:$BK$9,AL7-Assumptions!$C$79),0)</f>
        <v>20</v>
      </c>
      <c r="AM10" s="34" t="n">
        <f aca="false">IF(AM7&gt;Assumptions!$C$79,INDEX($D$9:$BK$9,AM7-Assumptions!$C$79),0)</f>
        <v>21</v>
      </c>
      <c r="AN10" s="35" t="n">
        <f aca="false">IF(AN7&gt;Assumptions!$C$79,INDEX($D$9:$BK$9,AN7-Assumptions!$C$79),0)</f>
        <v>22</v>
      </c>
      <c r="AO10" s="35" t="n">
        <f aca="false">IF(AO7&gt;Assumptions!$C$79,INDEX($D$9:$BK$9,AO7-Assumptions!$C$79),0)</f>
        <v>24</v>
      </c>
      <c r="AP10" s="35" t="n">
        <f aca="false">IF(AP7&gt;Assumptions!$C$79,INDEX($D$9:$BK$9,AP7-Assumptions!$C$79),0)</f>
        <v>25</v>
      </c>
      <c r="AQ10" s="35" t="n">
        <f aca="false">IF(AQ7&gt;Assumptions!$C$79,INDEX($D$9:$BK$9,AQ7-Assumptions!$C$79),0)</f>
        <v>26</v>
      </c>
      <c r="AR10" s="35" t="n">
        <f aca="false">IF(AR7&gt;Assumptions!$C$79,INDEX($D$9:$BK$9,AR7-Assumptions!$C$79),0)</f>
        <v>28</v>
      </c>
      <c r="AS10" s="35" t="n">
        <f aca="false">IF(AS7&gt;Assumptions!$C$79,INDEX($D$9:$BK$9,AS7-Assumptions!$C$79),0)</f>
        <v>29</v>
      </c>
      <c r="AT10" s="35" t="n">
        <f aca="false">IF(AT7&gt;Assumptions!$C$79,INDEX($D$9:$BK$9,AT7-Assumptions!$C$79),0)</f>
        <v>30</v>
      </c>
      <c r="AU10" s="35" t="n">
        <f aca="false">IF(AU7&gt;Assumptions!$C$79,INDEX($D$9:$BK$9,AU7-Assumptions!$C$79),0)</f>
        <v>32</v>
      </c>
      <c r="AV10" s="35" t="n">
        <f aca="false">IF(AV7&gt;Assumptions!$C$79,INDEX($D$9:$BK$9,AV7-Assumptions!$C$79),0)</f>
        <v>33</v>
      </c>
      <c r="AW10" s="35" t="n">
        <f aca="false">IF(AW7&gt;Assumptions!$C$79,INDEX($D$9:$BK$9,AW7-Assumptions!$C$79),0)</f>
        <v>34</v>
      </c>
      <c r="AX10" s="35" t="n">
        <f aca="false">IF(AX7&gt;Assumptions!$C$79,INDEX($D$9:$BK$9,AX7-Assumptions!$C$79),0)</f>
        <v>36</v>
      </c>
      <c r="AY10" s="35" t="n">
        <f aca="false">IF(AY7&gt;Assumptions!$C$79,INDEX($D$9:$BK$9,AY7-Assumptions!$C$79),0)</f>
        <v>37</v>
      </c>
      <c r="AZ10" s="35" t="n">
        <f aca="false">IF(AZ7&gt;Assumptions!$C$79,INDEX($D$9:$BK$9,AZ7-Assumptions!$C$79),0)</f>
        <v>38</v>
      </c>
      <c r="BA10" s="35" t="n">
        <f aca="false">IF(BA7&gt;Assumptions!$C$79,INDEX($D$9:$BK$9,BA7-Assumptions!$C$79),0)</f>
        <v>40</v>
      </c>
      <c r="BB10" s="35" t="n">
        <f aca="false">IF(BB7&gt;Assumptions!$C$79,INDEX($D$9:$BK$9,BB7-Assumptions!$C$79),0)</f>
        <v>41</v>
      </c>
      <c r="BC10" s="35" t="n">
        <f aca="false">IF(BC7&gt;Assumptions!$C$79,INDEX($D$9:$BK$9,BC7-Assumptions!$C$79),0)</f>
        <v>42</v>
      </c>
      <c r="BD10" s="35" t="n">
        <f aca="false">IF(BD7&gt;Assumptions!$C$79,INDEX($D$9:$BK$9,BD7-Assumptions!$C$79),0)</f>
        <v>44</v>
      </c>
      <c r="BE10" s="35" t="n">
        <f aca="false">IF(BE7&gt;Assumptions!$C$79,INDEX($D$9:$BK$9,BE7-Assumptions!$C$79),0)</f>
        <v>45</v>
      </c>
      <c r="BF10" s="35" t="n">
        <f aca="false">IF(BF7&gt;Assumptions!$C$79,INDEX($D$9:$BK$9,BF7-Assumptions!$C$79),0)</f>
        <v>46</v>
      </c>
      <c r="BG10" s="35" t="n">
        <f aca="false">IF(BG7&gt;Assumptions!$C$79,INDEX($D$9:$BK$9,BG7-Assumptions!$C$79),0)</f>
        <v>48</v>
      </c>
      <c r="BH10" s="35" t="n">
        <f aca="false">IF(BH7&gt;Assumptions!$C$79,INDEX($D$9:$BK$9,BH7-Assumptions!$C$79),0)</f>
        <v>49</v>
      </c>
      <c r="BI10" s="35" t="n">
        <f aca="false">IF(BI7&gt;Assumptions!$C$79,INDEX($D$9:$BK$9,BI7-Assumptions!$C$79),0)</f>
        <v>50</v>
      </c>
      <c r="BJ10" s="35" t="n">
        <f aca="false">IF(BJ7&gt;Assumptions!$C$79,INDEX($D$9:$BK$9,BJ7-Assumptions!$C$79),0)</f>
        <v>52</v>
      </c>
      <c r="BK10" s="35" t="n">
        <f aca="false">IF(BK7&gt;Assumptions!$C$79,INDEX($D$9:$BK$9,BK7-Assumptions!$C$79),0)</f>
        <v>53</v>
      </c>
    </row>
    <row r="11" customFormat="false" ht="15" hidden="false" customHeight="false" outlineLevel="0" collapsed="false">
      <c r="A11" s="28" t="s">
        <v>542</v>
      </c>
      <c r="B11" s="6" t="s">
        <v>543</v>
      </c>
      <c r="C11" s="36" t="n">
        <v>0</v>
      </c>
      <c r="D11" s="26" t="n">
        <f aca="false">Assumptions!$C$10*(D8*Assumptions!$C$111)</f>
        <v>0</v>
      </c>
      <c r="E11" s="26" t="n">
        <f aca="false">Assumptions!$C$10*(E8*Assumptions!$C$111+D8*Assumptions!$C$112)</f>
        <v>0</v>
      </c>
      <c r="F11" s="26" t="n">
        <f aca="false">Assumptions!$C$10*(F8*Assumptions!$C$111+E8*Assumptions!$C$112+D8*Assumptions!$C$113)</f>
        <v>0</v>
      </c>
      <c r="G11" s="26" t="n">
        <f aca="false">Assumptions!$C$10*(G8*Assumptions!$C$111+F8*Assumptions!$C$112+E8*Assumptions!$C$113+D8*Assumptions!$C$114)</f>
        <v>0</v>
      </c>
      <c r="H11" s="26" t="n">
        <f aca="false">Assumptions!$C$10*(H8*Assumptions!$C$111+G8*Assumptions!$C$112+F8*Assumptions!$C$113+E8*Assumptions!$C$114+D8*Assumptions!$C$115)</f>
        <v>6.8</v>
      </c>
      <c r="I11" s="26" t="n">
        <f aca="false">Assumptions!$C$10*(I8*Assumptions!$C$111+H8*Assumptions!$C$112+G8*Assumptions!$C$113+F8*Assumptions!$C$114+E8*Assumptions!$C$115+D8*Assumptions!$C$116)</f>
        <v>5.984</v>
      </c>
      <c r="J11" s="26" t="n">
        <f aca="false">Assumptions!$C$10*(J8*Assumptions!$C$111+I8*Assumptions!$C$112+H8*Assumptions!$C$113+G8*Assumptions!$C$114+F8*Assumptions!$C$115+E8*Assumptions!$C$116+D8*Assumptions!$C$117)</f>
        <v>4.08</v>
      </c>
      <c r="K11" s="26" t="n">
        <f aca="false">Assumptions!$C$10*(K8*Assumptions!$C$111+J8*Assumptions!$C$112+I8*Assumptions!$C$113+H8*Assumptions!$C$114+G8*Assumptions!$C$115+F8*Assumptions!$C$116+E8*Assumptions!$C$117+D8*Assumptions!$C$118)</f>
        <v>9.52</v>
      </c>
      <c r="L11" s="26" t="n">
        <f aca="false">Assumptions!$C$10*(L8*Assumptions!$C$111+K8*Assumptions!$C$112+J8*Assumptions!$C$113+I8*Assumptions!$C$114+H8*Assumptions!$C$115+G8*Assumptions!$C$116+F8*Assumptions!$C$117+E8*Assumptions!$C$118+D8*Assumptions!$C$119)</f>
        <v>7.616</v>
      </c>
      <c r="M11" s="26" t="n">
        <f aca="false">Assumptions!$C$10*(M8*Assumptions!$C$111+L8*Assumptions!$C$112+K8*Assumptions!$C$113+J8*Assumptions!$C$114+I8*Assumptions!$C$115+H8*Assumptions!$C$116+G8*Assumptions!$C$117+F8*Assumptions!$C$118+E8*Assumptions!$C$119+D8*Assumptions!$C$120)</f>
        <v>5.44</v>
      </c>
      <c r="N11" s="26" t="n">
        <f aca="false">Assumptions!$C$10*(N8*Assumptions!$C$111+M8*Assumptions!$C$112+L8*Assumptions!$C$113+K8*Assumptions!$C$114+J8*Assumptions!$C$115+I8*Assumptions!$C$116+H8*Assumptions!$C$117+G8*Assumptions!$C$118+F8*Assumptions!$C$119+E8*Assumptions!$C$120+D8*Assumptions!$C$121)</f>
        <v>9.792</v>
      </c>
      <c r="O11" s="26" t="n">
        <f aca="false">Assumptions!$C$10*(O8*Assumptions!$C$111+N8*Assumptions!$C$112+M8*Assumptions!$C$113+L8*Assumptions!$C$114+K8*Assumptions!$C$115+J8*Assumptions!$C$116+I8*Assumptions!$C$117+H8*Assumptions!$C$118+G8*Assumptions!$C$119+F8*Assumptions!$C$120+E8*Assumptions!$C$121+D8*Assumptions!$C$122)</f>
        <v>14.688</v>
      </c>
      <c r="P11" s="26" t="n">
        <f aca="false">Assumptions!$C$10*(P8*Assumptions!$C$111+O8*Assumptions!$C$112+N8*Assumptions!$C$113+M8*Assumptions!$C$114+L8*Assumptions!$C$115+K8*Assumptions!$C$116+J8*Assumptions!$C$117+I8*Assumptions!$C$118+H8*Assumptions!$C$119+G8*Assumptions!$C$120+F8*Assumptions!$C$121+E8*Assumptions!$C$122+D8*Assumptions!$C$123)</f>
        <v>11.696</v>
      </c>
      <c r="Q11" s="26" t="n">
        <f aca="false">Assumptions!$C$10*(Q8*Assumptions!$C$111+P8*Assumptions!$C$112+O8*Assumptions!$C$113+N8*Assumptions!$C$114+M8*Assumptions!$C$115+L8*Assumptions!$C$116+K8*Assumptions!$C$117+J8*Assumptions!$C$118+I8*Assumptions!$C$119+H8*Assumptions!$C$120+G8*Assumptions!$C$121+F8*Assumptions!$C$122+E8*Assumptions!$C$123+D8*Assumptions!$C$124)</f>
        <v>14.144</v>
      </c>
      <c r="R11" s="26" t="n">
        <f aca="false">Assumptions!$C$10*(R8*Assumptions!$C$111+Q8*Assumptions!$C$112+P8*Assumptions!$C$113+O8*Assumptions!$C$114+N8*Assumptions!$C$115+M8*Assumptions!$C$116+L8*Assumptions!$C$117+K8*Assumptions!$C$118+J8*Assumptions!$C$119+I8*Assumptions!$C$120+H8*Assumptions!$C$121+G8*Assumptions!$C$122+F8*Assumptions!$C$123+E8*Assumptions!$C$124+D8*Assumptions!$C$125)</f>
        <v>17.68</v>
      </c>
      <c r="S11" s="26" t="n">
        <f aca="false">Assumptions!$C$10*(S8*Assumptions!$C$111+R8*Assumptions!$C$112+Q8*Assumptions!$C$113+P8*Assumptions!$C$114+O8*Assumptions!$C$115+N8*Assumptions!$C$116+M8*Assumptions!$C$117+L8*Assumptions!$C$118+K8*Assumptions!$C$119+J8*Assumptions!$C$120+I8*Assumptions!$C$121+H8*Assumptions!$C$122+G8*Assumptions!$C$123+F8*Assumptions!$C$124+E8*Assumptions!$C$125+D8*Assumptions!$C$126)</f>
        <v>13.6</v>
      </c>
      <c r="T11" s="26" t="n">
        <f aca="false">Assumptions!$C$10*(T8*Assumptions!$C$111+S8*Assumptions!$C$112+R8*Assumptions!$C$113+Q8*Assumptions!$C$114+P8*Assumptions!$C$115+O8*Assumptions!$C$116+N8*Assumptions!$C$117+M8*Assumptions!$C$118+L8*Assumptions!$C$119+K8*Assumptions!$C$120+J8*Assumptions!$C$121+I8*Assumptions!$C$122+H8*Assumptions!$C$123+G8*Assumptions!$C$124+F8*Assumptions!$C$125+E8*Assumptions!$C$126+D8*Assumptions!$C$127)</f>
        <v>15.776</v>
      </c>
      <c r="U11" s="26" t="n">
        <f aca="false">Assumptions!$C$10*(U8*Assumptions!$C$111+T8*Assumptions!$C$112+S8*Assumptions!$C$113+R8*Assumptions!$C$114+Q8*Assumptions!$C$115+P8*Assumptions!$C$116+O8*Assumptions!$C$117+N8*Assumptions!$C$118+M8*Assumptions!$C$119+L8*Assumptions!$C$120+K8*Assumptions!$C$121+J8*Assumptions!$C$122+I8*Assumptions!$C$123+H8*Assumptions!$C$124+G8*Assumptions!$C$125+F8*Assumptions!$C$126+E8*Assumptions!$C$127+D8*Assumptions!$C$128)</f>
        <v>18.224</v>
      </c>
      <c r="V11" s="26" t="n">
        <f aca="false">Assumptions!$C$10*(V8*Assumptions!$C$111+U8*Assumptions!$C$112+T8*Assumptions!$C$113+S8*Assumptions!$C$114+R8*Assumptions!$C$115+Q8*Assumptions!$C$116+P8*Assumptions!$C$117+O8*Assumptions!$C$118+N8*Assumptions!$C$119+M8*Assumptions!$C$120+L8*Assumptions!$C$121+K8*Assumptions!$C$122+J8*Assumptions!$C$123+I8*Assumptions!$C$124+H8*Assumptions!$C$125+G8*Assumptions!$C$126+F8*Assumptions!$C$127+E8*Assumptions!$C$128+D8*Assumptions!$C$129)</f>
        <v>20.944</v>
      </c>
      <c r="W11" s="26" t="n">
        <f aca="false">Assumptions!$C$10*(W8*Assumptions!$C$111+V8*Assumptions!$C$112+U8*Assumptions!$C$113+T8*Assumptions!$C$114+S8*Assumptions!$C$115+R8*Assumptions!$C$116+Q8*Assumptions!$C$117+P8*Assumptions!$C$118+O8*Assumptions!$C$119+N8*Assumptions!$C$120+M8*Assumptions!$C$121+L8*Assumptions!$C$122+K8*Assumptions!$C$123+J8*Assumptions!$C$124+I8*Assumptions!$C$125+H8*Assumptions!$C$126+G8*Assumptions!$C$127+F8*Assumptions!$C$128+E8*Assumptions!$C$129+D8*Assumptions!$C$130)</f>
        <v>22.304</v>
      </c>
      <c r="X11" s="26" t="n">
        <f aca="false">Assumptions!$C$10*(X8*Assumptions!$C$111+W8*Assumptions!$C$112+V8*Assumptions!$C$113+U8*Assumptions!$C$114+T8*Assumptions!$C$115+S8*Assumptions!$C$116+R8*Assumptions!$C$117+Q8*Assumptions!$C$118+P8*Assumptions!$C$119+O8*Assumptions!$C$120+N8*Assumptions!$C$121+M8*Assumptions!$C$122+L8*Assumptions!$C$123+K8*Assumptions!$C$124+J8*Assumptions!$C$125+I8*Assumptions!$C$126+H8*Assumptions!$C$127+G8*Assumptions!$C$128+F8*Assumptions!$C$129+E8*Assumptions!$C$130+D8*Assumptions!$C$131)</f>
        <v>22.848</v>
      </c>
      <c r="Y11" s="26" t="n">
        <f aca="false">Assumptions!$C$10*(Y8*Assumptions!$C$111+X8*Assumptions!$C$112+W8*Assumptions!$C$113+V8*Assumptions!$C$114+U8*Assumptions!$C$115+T8*Assumptions!$C$116+S8*Assumptions!$C$117+R8*Assumptions!$C$118+Q8*Assumptions!$C$119+P8*Assumptions!$C$120+O8*Assumptions!$C$121+N8*Assumptions!$C$122+M8*Assumptions!$C$123+L8*Assumptions!$C$124+K8*Assumptions!$C$125+J8*Assumptions!$C$126+I8*Assumptions!$C$127+H8*Assumptions!$C$128+G8*Assumptions!$C$129+F8*Assumptions!$C$130+E8*Assumptions!$C$131+D8*Assumptions!$C$132)</f>
        <v>24.208</v>
      </c>
      <c r="Z11" s="26" t="n">
        <f aca="false">Assumptions!$C$10*(Z8*Assumptions!$C$111+Y8*Assumptions!$C$112+X8*Assumptions!$C$113+W8*Assumptions!$C$114+V8*Assumptions!$C$115+U8*Assumptions!$C$116+T8*Assumptions!$C$117+S8*Assumptions!$C$118+R8*Assumptions!$C$119+Q8*Assumptions!$C$120+P8*Assumptions!$C$121+O8*Assumptions!$C$122+N8*Assumptions!$C$123+M8*Assumptions!$C$124+L8*Assumptions!$C$125+K8*Assumptions!$C$126+J8*Assumptions!$C$127+I8*Assumptions!$C$128+H8*Assumptions!$C$129+G8*Assumptions!$C$130+F8*Assumptions!$C$131+E8*Assumptions!$C$132+D8*Assumptions!$C$133)</f>
        <v>24.48</v>
      </c>
      <c r="AA11" s="26" t="n">
        <f aca="false">Assumptions!$C$10*(AA8*Assumptions!$C$111+Z8*Assumptions!$C$112+Y8*Assumptions!$C$113+X8*Assumptions!$C$114+W8*Assumptions!$C$115+V8*Assumptions!$C$116+U8*Assumptions!$C$117+T8*Assumptions!$C$118+S8*Assumptions!$C$119+R8*Assumptions!$C$120+Q8*Assumptions!$C$121+P8*Assumptions!$C$122+O8*Assumptions!$C$123+N8*Assumptions!$C$124+M8*Assumptions!$C$125+L8*Assumptions!$C$126+K8*Assumptions!$C$127+J8*Assumptions!$C$128+I8*Assumptions!$C$129+H8*Assumptions!$C$130+G8*Assumptions!$C$131+F8*Assumptions!$C$132+E8*Assumptions!$C$133)</f>
        <v>24.752</v>
      </c>
      <c r="AB11" s="26" t="n">
        <f aca="false">Assumptions!$C$10*(AB8*Assumptions!$C$111+AA8*Assumptions!$C$112+Z8*Assumptions!$C$113+Y8*Assumptions!$C$114+X8*Assumptions!$C$115+W8*Assumptions!$C$116+V8*Assumptions!$C$117+U8*Assumptions!$C$118+T8*Assumptions!$C$119+S8*Assumptions!$C$120+R8*Assumptions!$C$121+Q8*Assumptions!$C$122+P8*Assumptions!$C$123+O8*Assumptions!$C$124+N8*Assumptions!$C$125+M8*Assumptions!$C$126+L8*Assumptions!$C$127+K8*Assumptions!$C$128+J8*Assumptions!$C$129+I8*Assumptions!$C$130+H8*Assumptions!$C$131+G8*Assumptions!$C$132+F8*Assumptions!$C$133)</f>
        <v>25.024</v>
      </c>
      <c r="AC11" s="26" t="n">
        <f aca="false">Assumptions!$C$10*(AC8*Assumptions!$C$111+AB8*Assumptions!$C$112+AA8*Assumptions!$C$113+Z8*Assumptions!$C$114+Y8*Assumptions!$C$115+X8*Assumptions!$C$116+W8*Assumptions!$C$117+V8*Assumptions!$C$118+U8*Assumptions!$C$119+T8*Assumptions!$C$120+S8*Assumptions!$C$121+R8*Assumptions!$C$122+Q8*Assumptions!$C$123+P8*Assumptions!$C$124+O8*Assumptions!$C$125+N8*Assumptions!$C$126+M8*Assumptions!$C$127+L8*Assumptions!$C$128+K8*Assumptions!$C$129+J8*Assumptions!$C$130+I8*Assumptions!$C$131+H8*Assumptions!$C$132+G8*Assumptions!$C$133)</f>
        <v>25.296</v>
      </c>
      <c r="AD11" s="26" t="n">
        <f aca="false">Assumptions!$C$10*(AD8*Assumptions!$C$111+AC8*Assumptions!$C$112+AB8*Assumptions!$C$113+AA8*Assumptions!$C$114+Z8*Assumptions!$C$115+Y8*Assumptions!$C$116+X8*Assumptions!$C$117+W8*Assumptions!$C$118+V8*Assumptions!$C$119+U8*Assumptions!$C$120+T8*Assumptions!$C$121+S8*Assumptions!$C$122+R8*Assumptions!$C$123+Q8*Assumptions!$C$124+P8*Assumptions!$C$125+O8*Assumptions!$C$126+N8*Assumptions!$C$127+M8*Assumptions!$C$128+L8*Assumptions!$C$129+K8*Assumptions!$C$130+J8*Assumptions!$C$131+I8*Assumptions!$C$132+H8*Assumptions!$C$133)</f>
        <v>25.568</v>
      </c>
      <c r="AE11" s="26" t="n">
        <f aca="false">Assumptions!$C$10*(AE8*Assumptions!$C$111+AD8*Assumptions!$C$112+AC8*Assumptions!$C$113+AB8*Assumptions!$C$114+AA8*Assumptions!$C$115+Z8*Assumptions!$C$116+Y8*Assumptions!$C$117+X8*Assumptions!$C$118+W8*Assumptions!$C$119+V8*Assumptions!$C$120+U8*Assumptions!$C$121+T8*Assumptions!$C$122+S8*Assumptions!$C$123+R8*Assumptions!$C$124+Q8*Assumptions!$C$125+P8*Assumptions!$C$126+O8*Assumptions!$C$127+N8*Assumptions!$C$128+M8*Assumptions!$C$129+L8*Assumptions!$C$130+K8*Assumptions!$C$131+J8*Assumptions!$C$132+I8*Assumptions!$C$133)</f>
        <v>25.568</v>
      </c>
      <c r="AF11" s="26" t="n">
        <f aca="false">Assumptions!$C$10*(AF8*Assumptions!$C$111+AE8*Assumptions!$C$112+AD8*Assumptions!$C$113+AC8*Assumptions!$C$114+AB8*Assumptions!$C$115+AA8*Assumptions!$C$116+Z8*Assumptions!$C$117+Y8*Assumptions!$C$118+X8*Assumptions!$C$119+W8*Assumptions!$C$120+V8*Assumptions!$C$121+U8*Assumptions!$C$122+T8*Assumptions!$C$123+S8*Assumptions!$C$124+R8*Assumptions!$C$125+Q8*Assumptions!$C$126+P8*Assumptions!$C$127+O8*Assumptions!$C$128+N8*Assumptions!$C$129+M8*Assumptions!$C$130+L8*Assumptions!$C$131+K8*Assumptions!$C$132+J8*Assumptions!$C$133)</f>
        <v>32.64</v>
      </c>
      <c r="AG11" s="26" t="n">
        <f aca="false">Assumptions!$C$10*(AG8*Assumptions!$C$111+AF8*Assumptions!$C$112+AE8*Assumptions!$C$113+AD8*Assumptions!$C$114+AC8*Assumptions!$C$115+AB8*Assumptions!$C$116+AA8*Assumptions!$C$117+Z8*Assumptions!$C$118+Y8*Assumptions!$C$119+X8*Assumptions!$C$120+W8*Assumptions!$C$121+V8*Assumptions!$C$122+U8*Assumptions!$C$123+T8*Assumptions!$C$124+S8*Assumptions!$C$125+R8*Assumptions!$C$126+Q8*Assumptions!$C$127+P8*Assumptions!$C$128+O8*Assumptions!$C$129+N8*Assumptions!$C$130+M8*Assumptions!$C$131+L8*Assumptions!$C$132+K8*Assumptions!$C$133)</f>
        <v>32.096</v>
      </c>
      <c r="AH11" s="26" t="n">
        <f aca="false">Assumptions!$C$10*(AH8*Assumptions!$C$111+AG8*Assumptions!$C$112+AF8*Assumptions!$C$113+AE8*Assumptions!$C$114+AD8*Assumptions!$C$115+AC8*Assumptions!$C$116+AB8*Assumptions!$C$117+AA8*Assumptions!$C$118+Z8*Assumptions!$C$119+Y8*Assumptions!$C$120+X8*Assumptions!$C$121+W8*Assumptions!$C$122+V8*Assumptions!$C$123+U8*Assumptions!$C$124+T8*Assumptions!$C$125+S8*Assumptions!$C$126+R8*Assumptions!$C$127+Q8*Assumptions!$C$128+P8*Assumptions!$C$129+O8*Assumptions!$C$130+N8*Assumptions!$C$131+M8*Assumptions!$C$132+L8*Assumptions!$C$133)</f>
        <v>30.192</v>
      </c>
      <c r="AI11" s="26" t="n">
        <f aca="false">Assumptions!$C$10*(AI8*Assumptions!$C$111+AH8*Assumptions!$C$112+AG8*Assumptions!$C$113+AF8*Assumptions!$C$114+AE8*Assumptions!$C$115+AD8*Assumptions!$C$116+AC8*Assumptions!$C$117+AB8*Assumptions!$C$118+AA8*Assumptions!$C$119+Z8*Assumptions!$C$120+Y8*Assumptions!$C$121+X8*Assumptions!$C$122+W8*Assumptions!$C$123+V8*Assumptions!$C$124+U8*Assumptions!$C$125+T8*Assumptions!$C$126+S8*Assumptions!$C$127+R8*Assumptions!$C$128+Q8*Assumptions!$C$129+P8*Assumptions!$C$130+O8*Assumptions!$C$131+N8*Assumptions!$C$132+M8*Assumptions!$C$133)</f>
        <v>35.904</v>
      </c>
      <c r="AJ11" s="26" t="n">
        <f aca="false">Assumptions!$C$10*(AJ8*Assumptions!$C$111+AI8*Assumptions!$C$112+AH8*Assumptions!$C$113+AG8*Assumptions!$C$114+AF8*Assumptions!$C$115+AE8*Assumptions!$C$116+AD8*Assumptions!$C$117+AC8*Assumptions!$C$118+AB8*Assumptions!$C$119+AA8*Assumptions!$C$120+Z8*Assumptions!$C$121+Y8*Assumptions!$C$122+X8*Assumptions!$C$123+W8*Assumptions!$C$124+V8*Assumptions!$C$125+U8*Assumptions!$C$126+T8*Assumptions!$C$127+S8*Assumptions!$C$128+R8*Assumptions!$C$129+Q8*Assumptions!$C$130+P8*Assumptions!$C$131+O8*Assumptions!$C$132+N8*Assumptions!$C$133)</f>
        <v>34.272</v>
      </c>
      <c r="AK11" s="26" t="n">
        <f aca="false">Assumptions!$C$10*(AK8*Assumptions!$C$111+AJ8*Assumptions!$C$112+AI8*Assumptions!$C$113+AH8*Assumptions!$C$114+AG8*Assumptions!$C$115+AF8*Assumptions!$C$116+AE8*Assumptions!$C$117+AD8*Assumptions!$C$118+AC8*Assumptions!$C$119+AB8*Assumptions!$C$120+AA8*Assumptions!$C$121+Z8*Assumptions!$C$122+Y8*Assumptions!$C$123+X8*Assumptions!$C$124+W8*Assumptions!$C$125+V8*Assumptions!$C$126+U8*Assumptions!$C$127+T8*Assumptions!$C$128+S8*Assumptions!$C$129+R8*Assumptions!$C$130+Q8*Assumptions!$C$131+P8*Assumptions!$C$132+O8*Assumptions!$C$133)</f>
        <v>32.096</v>
      </c>
      <c r="AL11" s="26" t="n">
        <f aca="false">Assumptions!$C$10*(AL8*Assumptions!$C$111+AK8*Assumptions!$C$112+AJ8*Assumptions!$C$113+AI8*Assumptions!$C$114+AH8*Assumptions!$C$115+AG8*Assumptions!$C$116+AF8*Assumptions!$C$117+AE8*Assumptions!$C$118+AD8*Assumptions!$C$119+AC8*Assumptions!$C$120+AB8*Assumptions!$C$121+AA8*Assumptions!$C$122+Z8*Assumptions!$C$123+Y8*Assumptions!$C$124+X8*Assumptions!$C$125+W8*Assumptions!$C$126+V8*Assumptions!$C$127+U8*Assumptions!$C$128+T8*Assumptions!$C$129+S8*Assumptions!$C$130+R8*Assumptions!$C$131+Q8*Assumptions!$C$132+P8*Assumptions!$C$133)</f>
        <v>36.448</v>
      </c>
      <c r="AM11" s="26" t="n">
        <f aca="false">Assumptions!$C$10*(AM8*Assumptions!$C$111+AL8*Assumptions!$C$112+AK8*Assumptions!$C$113+AJ8*Assumptions!$C$114+AI8*Assumptions!$C$115+AH8*Assumptions!$C$116+AG8*Assumptions!$C$117+AF8*Assumptions!$C$118+AE8*Assumptions!$C$119+AD8*Assumptions!$C$120+AC8*Assumptions!$C$121+AB8*Assumptions!$C$122+AA8*Assumptions!$C$123+Z8*Assumptions!$C$124+Y8*Assumptions!$C$125+X8*Assumptions!$C$126+W8*Assumptions!$C$127+V8*Assumptions!$C$128+U8*Assumptions!$C$129+T8*Assumptions!$C$130+S8*Assumptions!$C$131+R8*Assumptions!$C$132+Q8*Assumptions!$C$133)</f>
        <v>34.816</v>
      </c>
      <c r="AN11" s="37" t="n">
        <f aca="false">Assumptions!$C$10*(AN8*Assumptions!$C$111+AM8*Assumptions!$C$112+AL8*Assumptions!$C$113+AK8*Assumptions!$C$114+AJ8*Assumptions!$C$115+AI8*Assumptions!$C$116+AH8*Assumptions!$C$117+AG8*Assumptions!$C$118+AF8*Assumptions!$C$119+AE8*Assumptions!$C$120+AD8*Assumptions!$C$121+AC8*Assumptions!$C$122+AB8*Assumptions!$C$123+AA8*Assumptions!$C$124+Z8*Assumptions!$C$125+Y8*Assumptions!$C$126+X8*Assumptions!$C$127+W8*Assumptions!$C$128+V8*Assumptions!$C$129+U8*Assumptions!$C$130+T8*Assumptions!$C$131+S8*Assumptions!$C$132+R8*Assumptions!$C$133)</f>
        <v>32.64</v>
      </c>
      <c r="AO11" s="37" t="n">
        <f aca="false">Assumptions!$C$10*(AO8*Assumptions!$C$111+AN8*Assumptions!$C$112+AM8*Assumptions!$C$113+AL8*Assumptions!$C$114+AK8*Assumptions!$C$115+AJ8*Assumptions!$C$116+AI8*Assumptions!$C$117+AH8*Assumptions!$C$118+AG8*Assumptions!$C$119+AF8*Assumptions!$C$120+AE8*Assumptions!$C$121+AD8*Assumptions!$C$122+AC8*Assumptions!$C$123+AB8*Assumptions!$C$124+AA8*Assumptions!$C$125+Z8*Assumptions!$C$126+Y8*Assumptions!$C$127+X8*Assumptions!$C$128+W8*Assumptions!$C$129+V8*Assumptions!$C$130+U8*Assumptions!$C$131+T8*Assumptions!$C$132+S8*Assumptions!$C$133)</f>
        <v>36.992</v>
      </c>
      <c r="AP11" s="37" t="n">
        <f aca="false">Assumptions!$C$10*(AP8*Assumptions!$C$111+AO8*Assumptions!$C$112+AN8*Assumptions!$C$113+AM8*Assumptions!$C$114+AL8*Assumptions!$C$115+AK8*Assumptions!$C$116+AJ8*Assumptions!$C$117+AI8*Assumptions!$C$118+AH8*Assumptions!$C$119+AG8*Assumptions!$C$120+AF8*Assumptions!$C$121+AE8*Assumptions!$C$122+AD8*Assumptions!$C$123+AC8*Assumptions!$C$124+AB8*Assumptions!$C$125+AA8*Assumptions!$C$126+Z8*Assumptions!$C$127+Y8*Assumptions!$C$128+X8*Assumptions!$C$129+W8*Assumptions!$C$130+V8*Assumptions!$C$131+U8*Assumptions!$C$132+T8*Assumptions!$C$133)</f>
        <v>35.36</v>
      </c>
      <c r="AQ11" s="37" t="n">
        <f aca="false">Assumptions!$C$10*(AQ8*Assumptions!$C$111+AP8*Assumptions!$C$112+AO8*Assumptions!$C$113+AN8*Assumptions!$C$114+AM8*Assumptions!$C$115+AL8*Assumptions!$C$116+AK8*Assumptions!$C$117+AJ8*Assumptions!$C$118+AI8*Assumptions!$C$119+AH8*Assumptions!$C$120+AG8*Assumptions!$C$121+AF8*Assumptions!$C$122+AE8*Assumptions!$C$123+AD8*Assumptions!$C$124+AC8*Assumptions!$C$125+AB8*Assumptions!$C$126+AA8*Assumptions!$C$127+Z8*Assumptions!$C$128+Y8*Assumptions!$C$129+X8*Assumptions!$C$130+W8*Assumptions!$C$131+V8*Assumptions!$C$132+U8*Assumptions!$C$133)</f>
        <v>33.184</v>
      </c>
      <c r="AR11" s="37" t="n">
        <f aca="false">Assumptions!$C$10*(AR8*Assumptions!$C$111+AQ8*Assumptions!$C$112+AP8*Assumptions!$C$113+AO8*Assumptions!$C$114+AN8*Assumptions!$C$115+AM8*Assumptions!$C$116+AL8*Assumptions!$C$117+AK8*Assumptions!$C$118+AJ8*Assumptions!$C$119+AI8*Assumptions!$C$120+AH8*Assumptions!$C$121+AG8*Assumptions!$C$122+AF8*Assumptions!$C$123+AE8*Assumptions!$C$124+AD8*Assumptions!$C$125+AC8*Assumptions!$C$126+AB8*Assumptions!$C$127+AA8*Assumptions!$C$128+Z8*Assumptions!$C$129+Y8*Assumptions!$C$130+X8*Assumptions!$C$131+W8*Assumptions!$C$132+V8*Assumptions!$C$133)</f>
        <v>37.536</v>
      </c>
      <c r="AS11" s="37" t="n">
        <f aca="false">Assumptions!$C$10*(AS8*Assumptions!$C$111+AR8*Assumptions!$C$112+AQ8*Assumptions!$C$113+AP8*Assumptions!$C$114+AO8*Assumptions!$C$115+AN8*Assumptions!$C$116+AM8*Assumptions!$C$117+AL8*Assumptions!$C$118+AK8*Assumptions!$C$119+AJ8*Assumptions!$C$120+AI8*Assumptions!$C$121+AH8*Assumptions!$C$122+AG8*Assumptions!$C$123+AF8*Assumptions!$C$124+AE8*Assumptions!$C$125+AD8*Assumptions!$C$126+AC8*Assumptions!$C$127+AB8*Assumptions!$C$128+AA8*Assumptions!$C$129+Z8*Assumptions!$C$130+Y8*Assumptions!$C$131+X8*Assumptions!$C$132+W8*Assumptions!$C$133)</f>
        <v>35.632</v>
      </c>
      <c r="AT11" s="37" t="n">
        <f aca="false">Assumptions!$C$10*(AT8*Assumptions!$C$111+AS8*Assumptions!$C$112+AR8*Assumptions!$C$113+AQ8*Assumptions!$C$114+AP8*Assumptions!$C$115+AO8*Assumptions!$C$116+AN8*Assumptions!$C$117+AM8*Assumptions!$C$118+AL8*Assumptions!$C$119+AK8*Assumptions!$C$120+AJ8*Assumptions!$C$121+AI8*Assumptions!$C$122+AH8*Assumptions!$C$123+AG8*Assumptions!$C$124+AF8*Assumptions!$C$125+AE8*Assumptions!$C$126+AD8*Assumptions!$C$127+AC8*Assumptions!$C$128+AB8*Assumptions!$C$129+AA8*Assumptions!$C$130+Z8*Assumptions!$C$131+Y8*Assumptions!$C$132+X8*Assumptions!$C$133)</f>
        <v>33.456</v>
      </c>
      <c r="AU11" s="37" t="n">
        <f aca="false">Assumptions!$C$10*(AU8*Assumptions!$C$111+AT8*Assumptions!$C$112+AS8*Assumptions!$C$113+AR8*Assumptions!$C$114+AQ8*Assumptions!$C$115+AP8*Assumptions!$C$116+AO8*Assumptions!$C$117+AN8*Assumptions!$C$118+AM8*Assumptions!$C$119+AL8*Assumptions!$C$120+AK8*Assumptions!$C$121+AJ8*Assumptions!$C$122+AI8*Assumptions!$C$123+AH8*Assumptions!$C$124+AG8*Assumptions!$C$125+AF8*Assumptions!$C$126+AE8*Assumptions!$C$127+AD8*Assumptions!$C$128+AC8*Assumptions!$C$129+AB8*Assumptions!$C$130+AA8*Assumptions!$C$131+Z8*Assumptions!$C$132+Y8*Assumptions!$C$133)</f>
        <v>37.808</v>
      </c>
      <c r="AV11" s="37" t="n">
        <f aca="false">Assumptions!$C$10*(AV8*Assumptions!$C$111+AU8*Assumptions!$C$112+AT8*Assumptions!$C$113+AS8*Assumptions!$C$114+AR8*Assumptions!$C$115+AQ8*Assumptions!$C$116+AP8*Assumptions!$C$117+AO8*Assumptions!$C$118+AN8*Assumptions!$C$119+AM8*Assumptions!$C$120+AL8*Assumptions!$C$121+AK8*Assumptions!$C$122+AJ8*Assumptions!$C$123+AI8*Assumptions!$C$124+AH8*Assumptions!$C$125+AG8*Assumptions!$C$126+AF8*Assumptions!$C$127+AE8*Assumptions!$C$128+AD8*Assumptions!$C$129+AC8*Assumptions!$C$130+AB8*Assumptions!$C$131+AA8*Assumptions!$C$132+Z8*Assumptions!$C$133)</f>
        <v>35.904</v>
      </c>
      <c r="AW11" s="37" t="n">
        <f aca="false">Assumptions!$C$10*(AW8*Assumptions!$C$111+AV8*Assumptions!$C$112+AU8*Assumptions!$C$113+AT8*Assumptions!$C$114+AS8*Assumptions!$C$115+AR8*Assumptions!$C$116+AQ8*Assumptions!$C$117+AP8*Assumptions!$C$118+AO8*Assumptions!$C$119+AN8*Assumptions!$C$120+AM8*Assumptions!$C$121+AL8*Assumptions!$C$122+AK8*Assumptions!$C$123+AJ8*Assumptions!$C$124+AI8*Assumptions!$C$125+AH8*Assumptions!$C$126+AG8*Assumptions!$C$127+AF8*Assumptions!$C$128+AE8*Assumptions!$C$129+AD8*Assumptions!$C$130+AC8*Assumptions!$C$131+AB8*Assumptions!$C$132+AA8*Assumptions!$C$133)</f>
        <v>33.728</v>
      </c>
      <c r="AX11" s="37" t="n">
        <f aca="false">Assumptions!$C$10*(AX8*Assumptions!$C$111+AW8*Assumptions!$C$112+AV8*Assumptions!$C$113+AU8*Assumptions!$C$114+AT8*Assumptions!$C$115+AS8*Assumptions!$C$116+AR8*Assumptions!$C$117+AQ8*Assumptions!$C$118+AP8*Assumptions!$C$119+AO8*Assumptions!$C$120+AN8*Assumptions!$C$121+AM8*Assumptions!$C$122+AL8*Assumptions!$C$123+AK8*Assumptions!$C$124+AJ8*Assumptions!$C$125+AI8*Assumptions!$C$126+AH8*Assumptions!$C$127+AG8*Assumptions!$C$128+AF8*Assumptions!$C$129+AE8*Assumptions!$C$130+AD8*Assumptions!$C$131+AC8*Assumptions!$C$132+AB8*Assumptions!$C$133)</f>
        <v>38.08</v>
      </c>
      <c r="AY11" s="37" t="n">
        <f aca="false">Assumptions!$C$10*(AY8*Assumptions!$C$111+AX8*Assumptions!$C$112+AW8*Assumptions!$C$113+AV8*Assumptions!$C$114+AU8*Assumptions!$C$115+AT8*Assumptions!$C$116+AS8*Assumptions!$C$117+AR8*Assumptions!$C$118+AQ8*Assumptions!$C$119+AP8*Assumptions!$C$120+AO8*Assumptions!$C$121+AN8*Assumptions!$C$122+AM8*Assumptions!$C$123+AL8*Assumptions!$C$124+AK8*Assumptions!$C$125+AJ8*Assumptions!$C$126+AI8*Assumptions!$C$127+AH8*Assumptions!$C$128+AG8*Assumptions!$C$129+AF8*Assumptions!$C$130+AE8*Assumptions!$C$131+AD8*Assumptions!$C$132+AC8*Assumptions!$C$133)</f>
        <v>36.176</v>
      </c>
      <c r="AZ11" s="37" t="n">
        <f aca="false">Assumptions!$C$10*(AZ8*Assumptions!$C$111+AY8*Assumptions!$C$112+AX8*Assumptions!$C$113+AW8*Assumptions!$C$114+AV8*Assumptions!$C$115+AU8*Assumptions!$C$116+AT8*Assumptions!$C$117+AS8*Assumptions!$C$118+AR8*Assumptions!$C$119+AQ8*Assumptions!$C$120+AP8*Assumptions!$C$121+AO8*Assumptions!$C$122+AN8*Assumptions!$C$123+AM8*Assumptions!$C$124+AL8*Assumptions!$C$125+AK8*Assumptions!$C$126+AJ8*Assumptions!$C$127+AI8*Assumptions!$C$128+AH8*Assumptions!$C$129+AG8*Assumptions!$C$130+AF8*Assumptions!$C$131+AE8*Assumptions!$C$132+AD8*Assumptions!$C$133)</f>
        <v>34</v>
      </c>
      <c r="BA11" s="37" t="n">
        <f aca="false">Assumptions!$C$10*(BA8*Assumptions!$C$111+AZ8*Assumptions!$C$112+AY8*Assumptions!$C$113+AX8*Assumptions!$C$114+AW8*Assumptions!$C$115+AV8*Assumptions!$C$116+AU8*Assumptions!$C$117+AT8*Assumptions!$C$118+AS8*Assumptions!$C$119+AR8*Assumptions!$C$120+AQ8*Assumptions!$C$121+AP8*Assumptions!$C$122+AO8*Assumptions!$C$123+AN8*Assumptions!$C$124+AM8*Assumptions!$C$125+AL8*Assumptions!$C$126+AK8*Assumptions!$C$127+AJ8*Assumptions!$C$128+AI8*Assumptions!$C$129+AH8*Assumptions!$C$130+AG8*Assumptions!$C$131+AF8*Assumptions!$C$132+AE8*Assumptions!$C$133)</f>
        <v>38.352</v>
      </c>
      <c r="BB11" s="37" t="n">
        <f aca="false">Assumptions!$C$10*(BB8*Assumptions!$C$111+BA8*Assumptions!$C$112+AZ8*Assumptions!$C$113+AY8*Assumptions!$C$114+AX8*Assumptions!$C$115+AW8*Assumptions!$C$116+AV8*Assumptions!$C$117+AU8*Assumptions!$C$118+AT8*Assumptions!$C$119+AS8*Assumptions!$C$120+AR8*Assumptions!$C$121+AQ8*Assumptions!$C$122+AP8*Assumptions!$C$123+AO8*Assumptions!$C$124+AN8*Assumptions!$C$125+AM8*Assumptions!$C$126+AL8*Assumptions!$C$127+AK8*Assumptions!$C$128+AJ8*Assumptions!$C$129+AI8*Assumptions!$C$130+AH8*Assumptions!$C$131+AG8*Assumptions!$C$132+AF8*Assumptions!$C$133)</f>
        <v>36.448</v>
      </c>
      <c r="BC11" s="37" t="n">
        <f aca="false">Assumptions!$C$10*(BC8*Assumptions!$C$111+BB8*Assumptions!$C$112+BA8*Assumptions!$C$113+AZ8*Assumptions!$C$114+AY8*Assumptions!$C$115+AX8*Assumptions!$C$116+AW8*Assumptions!$C$117+AV8*Assumptions!$C$118+AU8*Assumptions!$C$119+AT8*Assumptions!$C$120+AS8*Assumptions!$C$121+AR8*Assumptions!$C$122+AQ8*Assumptions!$C$123+AP8*Assumptions!$C$124+AO8*Assumptions!$C$125+AN8*Assumptions!$C$126+AM8*Assumptions!$C$127+AL8*Assumptions!$C$128+AK8*Assumptions!$C$129+AJ8*Assumptions!$C$130+AI8*Assumptions!$C$131+AH8*Assumptions!$C$132+AG8*Assumptions!$C$133)</f>
        <v>34</v>
      </c>
      <c r="BD11" s="37" t="n">
        <f aca="false">Assumptions!$C$10*(BD8*Assumptions!$C$111+BC8*Assumptions!$C$112+BB8*Assumptions!$C$113+BA8*Assumptions!$C$114+AZ8*Assumptions!$C$115+AY8*Assumptions!$C$116+AX8*Assumptions!$C$117+AW8*Assumptions!$C$118+AV8*Assumptions!$C$119+AU8*Assumptions!$C$120+AT8*Assumptions!$C$121+AS8*Assumptions!$C$122+AR8*Assumptions!$C$123+AQ8*Assumptions!$C$124+AP8*Assumptions!$C$125+AO8*Assumptions!$C$126+AN8*Assumptions!$C$127+AM8*Assumptions!$C$128+AL8*Assumptions!$C$129+AK8*Assumptions!$C$130+AJ8*Assumptions!$C$131+AI8*Assumptions!$C$132+AH8*Assumptions!$C$133)</f>
        <v>38.352</v>
      </c>
      <c r="BE11" s="37" t="n">
        <f aca="false">Assumptions!$C$10*(BE8*Assumptions!$C$111+BD8*Assumptions!$C$112+BC8*Assumptions!$C$113+BB8*Assumptions!$C$114+BA8*Assumptions!$C$115+AZ8*Assumptions!$C$116+AY8*Assumptions!$C$117+AX8*Assumptions!$C$118+AW8*Assumptions!$C$119+AV8*Assumptions!$C$120+AU8*Assumptions!$C$121+AT8*Assumptions!$C$122+AS8*Assumptions!$C$123+AR8*Assumptions!$C$124+AQ8*Assumptions!$C$125+AP8*Assumptions!$C$126+AO8*Assumptions!$C$127+AN8*Assumptions!$C$128+AM8*Assumptions!$C$129+AL8*Assumptions!$C$130+AK8*Assumptions!$C$131+AJ8*Assumptions!$C$132+AI8*Assumptions!$C$133)</f>
        <v>36.448</v>
      </c>
      <c r="BF11" s="37" t="n">
        <f aca="false">Assumptions!$C$10*(BF8*Assumptions!$C$111+BE8*Assumptions!$C$112+BD8*Assumptions!$C$113+BC8*Assumptions!$C$114+BB8*Assumptions!$C$115+BA8*Assumptions!$C$116+AZ8*Assumptions!$C$117+AY8*Assumptions!$C$118+AX8*Assumptions!$C$119+AW8*Assumptions!$C$120+AV8*Assumptions!$C$121+AU8*Assumptions!$C$122+AT8*Assumptions!$C$123+AS8*Assumptions!$C$124+AR8*Assumptions!$C$125+AQ8*Assumptions!$C$126+AP8*Assumptions!$C$127+AO8*Assumptions!$C$128+AN8*Assumptions!$C$129+AM8*Assumptions!$C$130+AL8*Assumptions!$C$131+AK8*Assumptions!$C$132+AJ8*Assumptions!$C$133)</f>
        <v>34</v>
      </c>
      <c r="BG11" s="37" t="n">
        <f aca="false">Assumptions!$C$10*(BG8*Assumptions!$C$111+BF8*Assumptions!$C$112+BE8*Assumptions!$C$113+BD8*Assumptions!$C$114+BC8*Assumptions!$C$115+BB8*Assumptions!$C$116+BA8*Assumptions!$C$117+AZ8*Assumptions!$C$118+AY8*Assumptions!$C$119+AX8*Assumptions!$C$120+AW8*Assumptions!$C$121+AV8*Assumptions!$C$122+AU8*Assumptions!$C$123+AT8*Assumptions!$C$124+AS8*Assumptions!$C$125+AR8*Assumptions!$C$126+AQ8*Assumptions!$C$127+AP8*Assumptions!$C$128+AO8*Assumptions!$C$129+AN8*Assumptions!$C$130+AM8*Assumptions!$C$131+AL8*Assumptions!$C$132+AK8*Assumptions!$C$133)</f>
        <v>38.352</v>
      </c>
      <c r="BH11" s="37" t="n">
        <f aca="false">Assumptions!$C$10*(BH8*Assumptions!$C$111+BG8*Assumptions!$C$112+BF8*Assumptions!$C$113+BE8*Assumptions!$C$114+BD8*Assumptions!$C$115+BC8*Assumptions!$C$116+BB8*Assumptions!$C$117+BA8*Assumptions!$C$118+AZ8*Assumptions!$C$119+AY8*Assumptions!$C$120+AX8*Assumptions!$C$121+AW8*Assumptions!$C$122+AV8*Assumptions!$C$123+AU8*Assumptions!$C$124+AT8*Assumptions!$C$125+AS8*Assumptions!$C$126+AR8*Assumptions!$C$127+AQ8*Assumptions!$C$128+AP8*Assumptions!$C$129+AO8*Assumptions!$C$130+AN8*Assumptions!$C$131+AM8*Assumptions!$C$132+AL8*Assumptions!$C$133)</f>
        <v>36.448</v>
      </c>
      <c r="BI11" s="37" t="n">
        <f aca="false">Assumptions!$C$10*(BI8*Assumptions!$C$111+BH8*Assumptions!$C$112+BG8*Assumptions!$C$113+BF8*Assumptions!$C$114+BE8*Assumptions!$C$115+BD8*Assumptions!$C$116+BC8*Assumptions!$C$117+BB8*Assumptions!$C$118+BA8*Assumptions!$C$119+AZ8*Assumptions!$C$120+AY8*Assumptions!$C$121+AX8*Assumptions!$C$122+AW8*Assumptions!$C$123+AV8*Assumptions!$C$124+AU8*Assumptions!$C$125+AT8*Assumptions!$C$126+AS8*Assumptions!$C$127+AR8*Assumptions!$C$128+AQ8*Assumptions!$C$129+AP8*Assumptions!$C$130+AO8*Assumptions!$C$131+AN8*Assumptions!$C$132+AM8*Assumptions!$C$133)</f>
        <v>34</v>
      </c>
      <c r="BJ11" s="37" t="n">
        <f aca="false">Assumptions!$C$10*(BJ8*Assumptions!$C$111+BI8*Assumptions!$C$112+BH8*Assumptions!$C$113+BG8*Assumptions!$C$114+BF8*Assumptions!$C$115+BE8*Assumptions!$C$116+BD8*Assumptions!$C$117+BC8*Assumptions!$C$118+BB8*Assumptions!$C$119+BA8*Assumptions!$C$120+AZ8*Assumptions!$C$121+AY8*Assumptions!$C$122+AX8*Assumptions!$C$123+AW8*Assumptions!$C$124+AV8*Assumptions!$C$125+AU8*Assumptions!$C$126+AT8*Assumptions!$C$127+AS8*Assumptions!$C$128+AR8*Assumptions!$C$129+AQ8*Assumptions!$C$130+AP8*Assumptions!$C$131+AO8*Assumptions!$C$132+AN8*Assumptions!$C$133)</f>
        <v>38.352</v>
      </c>
      <c r="BK11" s="37" t="n">
        <f aca="false">Assumptions!$C$10*(BK8*Assumptions!$C$111+BJ8*Assumptions!$C$112+BI8*Assumptions!$C$113+BH8*Assumptions!$C$114+BG8*Assumptions!$C$115+BF8*Assumptions!$C$116+BE8*Assumptions!$C$117+BD8*Assumptions!$C$118+BC8*Assumptions!$C$119+BB8*Assumptions!$C$120+BA8*Assumptions!$C$121+AZ8*Assumptions!$C$122+AY8*Assumptions!$C$123+AX8*Assumptions!$C$124+AW8*Assumptions!$C$125+AV8*Assumptions!$C$126+AU8*Assumptions!$C$127+AT8*Assumptions!$C$128+AS8*Assumptions!$C$129+AR8*Assumptions!$C$130+AQ8*Assumptions!$C$131+AP8*Assumptions!$C$132+AO8*Assumptions!$C$133)</f>
        <v>36.448</v>
      </c>
    </row>
    <row r="12" customFormat="false" ht="15" hidden="false" customHeight="false" outlineLevel="0" collapsed="false">
      <c r="A12" s="28" t="s">
        <v>544</v>
      </c>
      <c r="B12" s="6" t="s">
        <v>545</v>
      </c>
      <c r="C12" s="36" t="n">
        <v>0</v>
      </c>
      <c r="D12" s="26" t="n">
        <f aca="false">C12*(1-Assumptions!$C$12)+D11</f>
        <v>0</v>
      </c>
      <c r="E12" s="26" t="n">
        <f aca="false">D12*(1-Assumptions!$C$12)+E11</f>
        <v>0</v>
      </c>
      <c r="F12" s="26" t="n">
        <f aca="false">E12*(1-Assumptions!$C$12)+F11</f>
        <v>0</v>
      </c>
      <c r="G12" s="26" t="n">
        <f aca="false">F12*(1-Assumptions!$C$12)+G11</f>
        <v>0</v>
      </c>
      <c r="H12" s="26" t="n">
        <f aca="false">G12*(1-Assumptions!$C$12)+H11</f>
        <v>6.8</v>
      </c>
      <c r="I12" s="26" t="n">
        <f aca="false">H12*(1-Assumptions!$C$12)+I11</f>
        <v>12.682</v>
      </c>
      <c r="J12" s="26" t="n">
        <f aca="false">I12*(1-Assumptions!$C$12)+J11</f>
        <v>16.57177</v>
      </c>
      <c r="K12" s="26" t="n">
        <f aca="false">J12*(1-Assumptions!$C$12)+K11</f>
        <v>25.84319345</v>
      </c>
      <c r="L12" s="26" t="n">
        <f aca="false">K12*(1-Assumptions!$C$12)+L11</f>
        <v>33.07154554825</v>
      </c>
      <c r="M12" s="26" t="n">
        <f aca="false">L12*(1-Assumptions!$C$12)+M11</f>
        <v>38.0154723650263</v>
      </c>
      <c r="N12" s="26" t="n">
        <f aca="false">M12*(1-Assumptions!$C$12)+N11</f>
        <v>47.2372402795509</v>
      </c>
      <c r="O12" s="26" t="n">
        <f aca="false">N12*(1-Assumptions!$C$12)+O11</f>
        <v>61.2166816753576</v>
      </c>
      <c r="P12" s="26" t="n">
        <f aca="false">O12*(1-Assumptions!$C$12)+P11</f>
        <v>71.9944314502272</v>
      </c>
      <c r="Q12" s="26" t="n">
        <f aca="false">P12*(1-Assumptions!$C$12)+Q11</f>
        <v>85.0585149784738</v>
      </c>
      <c r="R12" s="26" t="n">
        <f aca="false">Q12*(1-Assumptions!$C$12)+R11</f>
        <v>101.462637253797</v>
      </c>
      <c r="S12" s="26" t="n">
        <f aca="false">R12*(1-Assumptions!$C$12)+S11</f>
        <v>113.54069769499</v>
      </c>
      <c r="T12" s="26" t="n">
        <f aca="false">S12*(1-Assumptions!$C$12)+T11</f>
        <v>127.613587229565</v>
      </c>
      <c r="U12" s="26" t="n">
        <f aca="false">T12*(1-Assumptions!$C$12)+U11</f>
        <v>143.923383421121</v>
      </c>
      <c r="V12" s="26" t="n">
        <f aca="false">U12*(1-Assumptions!$C$12)+V11</f>
        <v>162.708532669805</v>
      </c>
      <c r="W12" s="26" t="n">
        <f aca="false">V12*(1-Assumptions!$C$12)+W11</f>
        <v>182.571904679758</v>
      </c>
      <c r="X12" s="26" t="n">
        <f aca="false">W12*(1-Assumptions!$C$12)+X11</f>
        <v>202.681326109561</v>
      </c>
      <c r="Y12" s="26" t="n">
        <f aca="false">X12*(1-Assumptions!$C$12)+Y11</f>
        <v>223.849106217918</v>
      </c>
      <c r="Z12" s="26" t="n">
        <f aca="false">Y12*(1-Assumptions!$C$12)+Z11</f>
        <v>244.971369624649</v>
      </c>
      <c r="AA12" s="26" t="n">
        <f aca="false">Z12*(1-Assumptions!$C$12)+AA11</f>
        <v>266.048799080279</v>
      </c>
      <c r="AB12" s="26" t="n">
        <f aca="false">AA12*(1-Assumptions!$C$12)+AB11</f>
        <v>287.082067094075</v>
      </c>
      <c r="AC12" s="26" t="n">
        <f aca="false">AB12*(1-Assumptions!$C$12)+AC11</f>
        <v>308.071836087664</v>
      </c>
      <c r="AD12" s="26" t="n">
        <f aca="false">AC12*(1-Assumptions!$C$12)+AD11</f>
        <v>329.018758546349</v>
      </c>
      <c r="AE12" s="26" t="n">
        <f aca="false">AD12*(1-Assumptions!$C$12)+AE11</f>
        <v>349.651477168154</v>
      </c>
      <c r="AF12" s="26" t="n">
        <f aca="false">AE12*(1-Assumptions!$C$12)+AF11</f>
        <v>377.046705010631</v>
      </c>
      <c r="AG12" s="26" t="n">
        <f aca="false">AF12*(1-Assumptions!$C$12)+AG11</f>
        <v>403.487004435472</v>
      </c>
      <c r="AH12" s="26" t="n">
        <f aca="false">AG12*(1-Assumptions!$C$12)+AH11</f>
        <v>427.62669936894</v>
      </c>
      <c r="AI12" s="26" t="n">
        <f aca="false">AH12*(1-Assumptions!$C$12)+AI11</f>
        <v>457.116298878406</v>
      </c>
      <c r="AJ12" s="26" t="n">
        <f aca="false">AI12*(1-Assumptions!$C$12)+AJ11</f>
        <v>484.53155439523</v>
      </c>
      <c r="AK12" s="26" t="n">
        <f aca="false">AJ12*(1-Assumptions!$C$12)+AK11</f>
        <v>509.359581079301</v>
      </c>
      <c r="AL12" s="26" t="n">
        <f aca="false">AK12*(1-Assumptions!$C$12)+AL11</f>
        <v>538.167187363112</v>
      </c>
      <c r="AM12" s="26" t="n">
        <f aca="false">AL12*(1-Assumptions!$C$12)+AM11</f>
        <v>564.910679552665</v>
      </c>
      <c r="AN12" s="37" t="n">
        <f aca="false">AM12*(1-Assumptions!$C$12)+AN11</f>
        <v>589.077019359375</v>
      </c>
      <c r="AO12" s="37" t="n">
        <f aca="false">AN12*(1-Assumptions!$C$12)+AO11</f>
        <v>617.232864068984</v>
      </c>
      <c r="AP12" s="37" t="n">
        <f aca="false">AO12*(1-Assumptions!$C$12)+AP11</f>
        <v>643.33437110795</v>
      </c>
      <c r="AQ12" s="37" t="n">
        <f aca="false">AP12*(1-Assumptions!$C$12)+AQ11</f>
        <v>666.86835554133</v>
      </c>
      <c r="AR12" s="37" t="n">
        <f aca="false">AQ12*(1-Assumptions!$C$12)+AR11</f>
        <v>694.40133020821</v>
      </c>
      <c r="AS12" s="37" t="n">
        <f aca="false">AR12*(1-Assumptions!$C$12)+AS11</f>
        <v>719.617310255087</v>
      </c>
      <c r="AT12" s="37" t="n">
        <f aca="false">AS12*(1-Assumptions!$C$12)+AT11</f>
        <v>742.279050601261</v>
      </c>
      <c r="AU12" s="37" t="n">
        <f aca="false">AT12*(1-Assumptions!$C$12)+AU11</f>
        <v>768.952864842242</v>
      </c>
      <c r="AV12" s="37" t="n">
        <f aca="false">AU12*(1-Assumptions!$C$12)+AV11</f>
        <v>793.322571869608</v>
      </c>
      <c r="AW12" s="37" t="n">
        <f aca="false">AV12*(1-Assumptions!$C$12)+AW11</f>
        <v>815.150733291564</v>
      </c>
      <c r="AX12" s="37" t="n">
        <f aca="false">AW12*(1-Assumptions!$C$12)+AX11</f>
        <v>841.003472292191</v>
      </c>
      <c r="AY12" s="37" t="n">
        <f aca="false">AX12*(1-Assumptions!$C$12)+AY11</f>
        <v>864.564420207808</v>
      </c>
      <c r="AZ12" s="37" t="n">
        <f aca="false">AY12*(1-Assumptions!$C$12)+AZ11</f>
        <v>885.595953904691</v>
      </c>
      <c r="BA12" s="37" t="n">
        <f aca="false">AZ12*(1-Assumptions!$C$12)+BA11</f>
        <v>910.66401459612</v>
      </c>
      <c r="BB12" s="37" t="n">
        <f aca="false">BA12*(1-Assumptions!$C$12)+BB11</f>
        <v>933.452054377179</v>
      </c>
      <c r="BC12" s="37" t="n">
        <f aca="false">BB12*(1-Assumptions!$C$12)+BC11</f>
        <v>953.450273561521</v>
      </c>
      <c r="BD12" s="37" t="n">
        <f aca="false">BC12*(1-Assumptions!$C$12)+BD11</f>
        <v>977.500519458098</v>
      </c>
      <c r="BE12" s="37" t="n">
        <f aca="false">BD12*(1-Assumptions!$C$12)+BE11</f>
        <v>999.286011666227</v>
      </c>
      <c r="BF12" s="37" t="n">
        <f aca="false">BE12*(1-Assumptions!$C$12)+BF11</f>
        <v>1018.29672149123</v>
      </c>
      <c r="BG12" s="37" t="n">
        <f aca="false">BF12*(1-Assumptions!$C$12)+BG11</f>
        <v>1041.37427066886</v>
      </c>
      <c r="BH12" s="37" t="n">
        <f aca="false">BG12*(1-Assumptions!$C$12)+BH11</f>
        <v>1062.20165660883</v>
      </c>
      <c r="BI12" s="37" t="n">
        <f aca="false">BH12*(1-Assumptions!$C$12)+BI11</f>
        <v>1080.2686317597</v>
      </c>
      <c r="BJ12" s="37" t="n">
        <f aca="false">BI12*(1-Assumptions!$C$12)+BJ11</f>
        <v>1102.4166022833</v>
      </c>
      <c r="BK12" s="37" t="n">
        <f aca="false">BJ12*(1-Assumptions!$C$12)+BK11</f>
        <v>1122.32835324905</v>
      </c>
    </row>
    <row r="13" customFormat="false" ht="15" hidden="false" customHeight="false" outlineLevel="0" collapsed="false">
      <c r="A13" s="28" t="s">
        <v>546</v>
      </c>
      <c r="B13" s="6" t="s">
        <v>547</v>
      </c>
      <c r="C13" s="36" t="n">
        <v>0</v>
      </c>
      <c r="D13" s="26" t="n">
        <f aca="false">D12*Assumptions!$C$11</f>
        <v>0</v>
      </c>
      <c r="E13" s="26" t="n">
        <f aca="false">E12*Assumptions!$C$11</f>
        <v>0</v>
      </c>
      <c r="F13" s="26" t="n">
        <f aca="false">F12*Assumptions!$C$11</f>
        <v>0</v>
      </c>
      <c r="G13" s="26" t="n">
        <f aca="false">G12*Assumptions!$C$11</f>
        <v>0</v>
      </c>
      <c r="H13" s="26" t="n">
        <f aca="false">H12*Assumptions!$C$11</f>
        <v>4.08</v>
      </c>
      <c r="I13" s="26" t="n">
        <f aca="false">I12*Assumptions!$C$11</f>
        <v>7.6092</v>
      </c>
      <c r="J13" s="26" t="n">
        <f aca="false">J12*Assumptions!$C$11</f>
        <v>9.943062</v>
      </c>
      <c r="K13" s="26" t="n">
        <f aca="false">K12*Assumptions!$C$11</f>
        <v>15.50591607</v>
      </c>
      <c r="L13" s="26" t="n">
        <f aca="false">L12*Assumptions!$C$11</f>
        <v>19.84292732895</v>
      </c>
      <c r="M13" s="26" t="n">
        <f aca="false">M12*Assumptions!$C$11</f>
        <v>22.8092834190158</v>
      </c>
      <c r="N13" s="26" t="n">
        <f aca="false">N12*Assumptions!$C$11</f>
        <v>28.3423441677305</v>
      </c>
      <c r="O13" s="26" t="n">
        <f aca="false">O12*Assumptions!$C$11</f>
        <v>36.7300090052146</v>
      </c>
      <c r="P13" s="26" t="n">
        <f aca="false">P12*Assumptions!$C$11</f>
        <v>43.1966588701363</v>
      </c>
      <c r="Q13" s="26" t="n">
        <f aca="false">Q12*Assumptions!$C$11</f>
        <v>51.0351089870843</v>
      </c>
      <c r="R13" s="26" t="n">
        <f aca="false">R12*Assumptions!$C$11</f>
        <v>60.877582352278</v>
      </c>
      <c r="S13" s="26" t="n">
        <f aca="false">S12*Assumptions!$C$11</f>
        <v>68.1244186169939</v>
      </c>
      <c r="T13" s="26" t="n">
        <f aca="false">T12*Assumptions!$C$11</f>
        <v>76.568152337739</v>
      </c>
      <c r="U13" s="26" t="n">
        <f aca="false">U12*Assumptions!$C$11</f>
        <v>86.3540300526729</v>
      </c>
      <c r="V13" s="26" t="n">
        <f aca="false">V12*Assumptions!$C$11</f>
        <v>97.6251196018827</v>
      </c>
      <c r="W13" s="26" t="n">
        <f aca="false">W12*Assumptions!$C$11</f>
        <v>109.543142807855</v>
      </c>
      <c r="X13" s="26" t="n">
        <f aca="false">X12*Assumptions!$C$11</f>
        <v>121.608795665737</v>
      </c>
      <c r="Y13" s="26" t="n">
        <f aca="false">Y12*Assumptions!$C$11</f>
        <v>134.309463730751</v>
      </c>
      <c r="Z13" s="26" t="n">
        <f aca="false">Z12*Assumptions!$C$11</f>
        <v>146.982821774789</v>
      </c>
      <c r="AA13" s="26" t="n">
        <f aca="false">AA12*Assumptions!$C$11</f>
        <v>159.629279448168</v>
      </c>
      <c r="AB13" s="26" t="n">
        <f aca="false">AB12*Assumptions!$C$11</f>
        <v>172.249240256445</v>
      </c>
      <c r="AC13" s="26" t="n">
        <f aca="false">AC12*Assumptions!$C$11</f>
        <v>184.843101652598</v>
      </c>
      <c r="AD13" s="26" t="n">
        <f aca="false">AD12*Assumptions!$C$11</f>
        <v>197.411255127809</v>
      </c>
      <c r="AE13" s="26" t="n">
        <f aca="false">AE12*Assumptions!$C$11</f>
        <v>209.790886300892</v>
      </c>
      <c r="AF13" s="26" t="n">
        <f aca="false">AF12*Assumptions!$C$11</f>
        <v>226.228023006379</v>
      </c>
      <c r="AG13" s="26" t="n">
        <f aca="false">AG12*Assumptions!$C$11</f>
        <v>242.092202661283</v>
      </c>
      <c r="AH13" s="26" t="n">
        <f aca="false">AH12*Assumptions!$C$11</f>
        <v>256.576019621364</v>
      </c>
      <c r="AI13" s="26" t="n">
        <f aca="false">AI12*Assumptions!$C$11</f>
        <v>274.269779327043</v>
      </c>
      <c r="AJ13" s="26" t="n">
        <f aca="false">AJ12*Assumptions!$C$11</f>
        <v>290.718932637138</v>
      </c>
      <c r="AK13" s="26" t="n">
        <f aca="false">AK12*Assumptions!$C$11</f>
        <v>305.615748647581</v>
      </c>
      <c r="AL13" s="26" t="n">
        <f aca="false">AL12*Assumptions!$C$11</f>
        <v>322.900312417867</v>
      </c>
      <c r="AM13" s="26" t="n">
        <f aca="false">AM12*Assumptions!$C$11</f>
        <v>338.946407731599</v>
      </c>
      <c r="AN13" s="37" t="n">
        <f aca="false">AN12*Assumptions!$C$11</f>
        <v>353.446211615625</v>
      </c>
      <c r="AO13" s="37" t="n">
        <f aca="false">AO12*Assumptions!$C$11</f>
        <v>370.339718441391</v>
      </c>
      <c r="AP13" s="37" t="n">
        <f aca="false">AP12*Assumptions!$C$11</f>
        <v>386.00062266477</v>
      </c>
      <c r="AQ13" s="37" t="n">
        <f aca="false">AQ12*Assumptions!$C$11</f>
        <v>400.121013324798</v>
      </c>
      <c r="AR13" s="37" t="n">
        <f aca="false">AR12*Assumptions!$C$11</f>
        <v>416.640798124926</v>
      </c>
      <c r="AS13" s="37" t="n">
        <f aca="false">AS12*Assumptions!$C$11</f>
        <v>431.770386153052</v>
      </c>
      <c r="AT13" s="37" t="n">
        <f aca="false">AT12*Assumptions!$C$11</f>
        <v>445.367430360757</v>
      </c>
      <c r="AU13" s="37" t="n">
        <f aca="false">AU12*Assumptions!$C$11</f>
        <v>461.371718905345</v>
      </c>
      <c r="AV13" s="37" t="n">
        <f aca="false">AV12*Assumptions!$C$11</f>
        <v>475.993543121765</v>
      </c>
      <c r="AW13" s="37" t="n">
        <f aca="false">AW12*Assumptions!$C$11</f>
        <v>489.090439974938</v>
      </c>
      <c r="AX13" s="37" t="n">
        <f aca="false">AX12*Assumptions!$C$11</f>
        <v>504.602083375314</v>
      </c>
      <c r="AY13" s="37" t="n">
        <f aca="false">AY12*Assumptions!$C$11</f>
        <v>518.738652124685</v>
      </c>
      <c r="AZ13" s="37" t="n">
        <f aca="false">AZ12*Assumptions!$C$11</f>
        <v>531.357572342814</v>
      </c>
      <c r="BA13" s="37" t="n">
        <f aca="false">BA12*Assumptions!$C$11</f>
        <v>546.398408757672</v>
      </c>
      <c r="BB13" s="37" t="n">
        <f aca="false">BB12*Assumptions!$C$11</f>
        <v>560.071232626307</v>
      </c>
      <c r="BC13" s="37" t="n">
        <f aca="false">BC12*Assumptions!$C$11</f>
        <v>572.070164136913</v>
      </c>
      <c r="BD13" s="37" t="n">
        <f aca="false">BD12*Assumptions!$C$11</f>
        <v>586.500311674859</v>
      </c>
      <c r="BE13" s="37" t="n">
        <f aca="false">BE12*Assumptions!$C$11</f>
        <v>599.571606999736</v>
      </c>
      <c r="BF13" s="37" t="n">
        <f aca="false">BF12*Assumptions!$C$11</f>
        <v>610.97803289474</v>
      </c>
      <c r="BG13" s="37" t="n">
        <f aca="false">BG12*Assumptions!$C$11</f>
        <v>624.824562401319</v>
      </c>
      <c r="BH13" s="37" t="n">
        <f aca="false">BH12*Assumptions!$C$11</f>
        <v>637.320993965299</v>
      </c>
      <c r="BI13" s="37" t="n">
        <f aca="false">BI12*Assumptions!$C$11</f>
        <v>648.16117905582</v>
      </c>
      <c r="BJ13" s="37" t="n">
        <f aca="false">BJ12*Assumptions!$C$11</f>
        <v>661.449961369982</v>
      </c>
      <c r="BK13" s="37" t="n">
        <f aca="false">BK12*Assumptions!$C$11</f>
        <v>673.397011949433</v>
      </c>
    </row>
    <row r="14" customFormat="false" ht="15" hidden="false" customHeight="false" outlineLevel="0" collapsed="false">
      <c r="A14" s="28" t="s">
        <v>548</v>
      </c>
      <c r="B14" s="6" t="s">
        <v>549</v>
      </c>
      <c r="C14" s="36" t="n">
        <v>0</v>
      </c>
      <c r="D14" s="26" t="n">
        <f aca="false">D11*Assumptions!$C$11</f>
        <v>0</v>
      </c>
      <c r="E14" s="26" t="n">
        <f aca="false">E11*Assumptions!$C$11</f>
        <v>0</v>
      </c>
      <c r="F14" s="26" t="n">
        <f aca="false">F11*Assumptions!$C$11</f>
        <v>0</v>
      </c>
      <c r="G14" s="26" t="n">
        <f aca="false">G11*Assumptions!$C$11</f>
        <v>0</v>
      </c>
      <c r="H14" s="26" t="n">
        <f aca="false">H11*Assumptions!$C$11</f>
        <v>4.08</v>
      </c>
      <c r="I14" s="26" t="n">
        <f aca="false">I11*Assumptions!$C$11</f>
        <v>3.5904</v>
      </c>
      <c r="J14" s="26" t="n">
        <f aca="false">J11*Assumptions!$C$11</f>
        <v>2.448</v>
      </c>
      <c r="K14" s="26" t="n">
        <f aca="false">K11*Assumptions!$C$11</f>
        <v>5.712</v>
      </c>
      <c r="L14" s="26" t="n">
        <f aca="false">L11*Assumptions!$C$11</f>
        <v>4.5696</v>
      </c>
      <c r="M14" s="26" t="n">
        <f aca="false">M11*Assumptions!$C$11</f>
        <v>3.264</v>
      </c>
      <c r="N14" s="26" t="n">
        <f aca="false">N11*Assumptions!$C$11</f>
        <v>5.8752</v>
      </c>
      <c r="O14" s="26" t="n">
        <f aca="false">O11*Assumptions!$C$11</f>
        <v>8.8128</v>
      </c>
      <c r="P14" s="26" t="n">
        <f aca="false">P11*Assumptions!$C$11</f>
        <v>7.0176</v>
      </c>
      <c r="Q14" s="26" t="n">
        <f aca="false">Q11*Assumptions!$C$11</f>
        <v>8.4864</v>
      </c>
      <c r="R14" s="26" t="n">
        <f aca="false">R11*Assumptions!$C$11</f>
        <v>10.608</v>
      </c>
      <c r="S14" s="26" t="n">
        <f aca="false">S11*Assumptions!$C$11</f>
        <v>8.16</v>
      </c>
      <c r="T14" s="26" t="n">
        <f aca="false">T11*Assumptions!$C$11</f>
        <v>9.4656</v>
      </c>
      <c r="U14" s="26" t="n">
        <f aca="false">U11*Assumptions!$C$11</f>
        <v>10.9344</v>
      </c>
      <c r="V14" s="26" t="n">
        <f aca="false">V11*Assumptions!$C$11</f>
        <v>12.5664</v>
      </c>
      <c r="W14" s="26" t="n">
        <f aca="false">W11*Assumptions!$C$11</f>
        <v>13.3824</v>
      </c>
      <c r="X14" s="26" t="n">
        <f aca="false">X11*Assumptions!$C$11</f>
        <v>13.7088</v>
      </c>
      <c r="Y14" s="26" t="n">
        <f aca="false">Y11*Assumptions!$C$11</f>
        <v>14.5248</v>
      </c>
      <c r="Z14" s="26" t="n">
        <f aca="false">Z11*Assumptions!$C$11</f>
        <v>14.688</v>
      </c>
      <c r="AA14" s="26" t="n">
        <f aca="false">AA11*Assumptions!$C$11</f>
        <v>14.8512</v>
      </c>
      <c r="AB14" s="26" t="n">
        <f aca="false">AB11*Assumptions!$C$11</f>
        <v>15.0144</v>
      </c>
      <c r="AC14" s="26" t="n">
        <f aca="false">AC11*Assumptions!$C$11</f>
        <v>15.1776</v>
      </c>
      <c r="AD14" s="26" t="n">
        <f aca="false">AD11*Assumptions!$C$11</f>
        <v>15.3408</v>
      </c>
      <c r="AE14" s="26" t="n">
        <f aca="false">AE11*Assumptions!$C$11</f>
        <v>15.3408</v>
      </c>
      <c r="AF14" s="26" t="n">
        <f aca="false">AF11*Assumptions!$C$11</f>
        <v>19.584</v>
      </c>
      <c r="AG14" s="26" t="n">
        <f aca="false">AG11*Assumptions!$C$11</f>
        <v>19.2576</v>
      </c>
      <c r="AH14" s="26" t="n">
        <f aca="false">AH11*Assumptions!$C$11</f>
        <v>18.1152</v>
      </c>
      <c r="AI14" s="26" t="n">
        <f aca="false">AI11*Assumptions!$C$11</f>
        <v>21.5424</v>
      </c>
      <c r="AJ14" s="26" t="n">
        <f aca="false">AJ11*Assumptions!$C$11</f>
        <v>20.5632</v>
      </c>
      <c r="AK14" s="26" t="n">
        <f aca="false">AK11*Assumptions!$C$11</f>
        <v>19.2576</v>
      </c>
      <c r="AL14" s="26" t="n">
        <f aca="false">AL11*Assumptions!$C$11</f>
        <v>21.8688</v>
      </c>
      <c r="AM14" s="26" t="n">
        <f aca="false">AM11*Assumptions!$C$11</f>
        <v>20.8896</v>
      </c>
      <c r="AN14" s="37" t="n">
        <f aca="false">AN11*Assumptions!$C$11</f>
        <v>19.584</v>
      </c>
      <c r="AO14" s="37" t="n">
        <f aca="false">AO11*Assumptions!$C$11</f>
        <v>22.1952</v>
      </c>
      <c r="AP14" s="37" t="n">
        <f aca="false">AP11*Assumptions!$C$11</f>
        <v>21.216</v>
      </c>
      <c r="AQ14" s="37" t="n">
        <f aca="false">AQ11*Assumptions!$C$11</f>
        <v>19.9104</v>
      </c>
      <c r="AR14" s="37" t="n">
        <f aca="false">AR11*Assumptions!$C$11</f>
        <v>22.5216</v>
      </c>
      <c r="AS14" s="37" t="n">
        <f aca="false">AS11*Assumptions!$C$11</f>
        <v>21.3792</v>
      </c>
      <c r="AT14" s="37" t="n">
        <f aca="false">AT11*Assumptions!$C$11</f>
        <v>20.0736</v>
      </c>
      <c r="AU14" s="37" t="n">
        <f aca="false">AU11*Assumptions!$C$11</f>
        <v>22.6848</v>
      </c>
      <c r="AV14" s="37" t="n">
        <f aca="false">AV11*Assumptions!$C$11</f>
        <v>21.5424</v>
      </c>
      <c r="AW14" s="37" t="n">
        <f aca="false">AW11*Assumptions!$C$11</f>
        <v>20.2368</v>
      </c>
      <c r="AX14" s="37" t="n">
        <f aca="false">AX11*Assumptions!$C$11</f>
        <v>22.848</v>
      </c>
      <c r="AY14" s="37" t="n">
        <f aca="false">AY11*Assumptions!$C$11</f>
        <v>21.7056</v>
      </c>
      <c r="AZ14" s="37" t="n">
        <f aca="false">AZ11*Assumptions!$C$11</f>
        <v>20.4</v>
      </c>
      <c r="BA14" s="37" t="n">
        <f aca="false">BA11*Assumptions!$C$11</f>
        <v>23.0112</v>
      </c>
      <c r="BB14" s="37" t="n">
        <f aca="false">BB11*Assumptions!$C$11</f>
        <v>21.8688</v>
      </c>
      <c r="BC14" s="37" t="n">
        <f aca="false">BC11*Assumptions!$C$11</f>
        <v>20.4</v>
      </c>
      <c r="BD14" s="37" t="n">
        <f aca="false">BD11*Assumptions!$C$11</f>
        <v>23.0112</v>
      </c>
      <c r="BE14" s="37" t="n">
        <f aca="false">BE11*Assumptions!$C$11</f>
        <v>21.8688</v>
      </c>
      <c r="BF14" s="37" t="n">
        <f aca="false">BF11*Assumptions!$C$11</f>
        <v>20.4</v>
      </c>
      <c r="BG14" s="37" t="n">
        <f aca="false">BG11*Assumptions!$C$11</f>
        <v>23.0112</v>
      </c>
      <c r="BH14" s="37" t="n">
        <f aca="false">BH11*Assumptions!$C$11</f>
        <v>21.8688</v>
      </c>
      <c r="BI14" s="37" t="n">
        <f aca="false">BI11*Assumptions!$C$11</f>
        <v>20.4</v>
      </c>
      <c r="BJ14" s="37" t="n">
        <f aca="false">BJ11*Assumptions!$C$11</f>
        <v>23.0112</v>
      </c>
      <c r="BK14" s="37" t="n">
        <f aca="false">BK11*Assumptions!$C$11</f>
        <v>21.8688</v>
      </c>
    </row>
    <row r="15" customFormat="false" ht="15" hidden="false" customHeight="false" outlineLevel="0" collapsed="false">
      <c r="B15" s="5" t="s">
        <v>550</v>
      </c>
    </row>
    <row r="16" customFormat="false" ht="15" hidden="false" customHeight="false" outlineLevel="0" collapsed="false">
      <c r="A16" s="28" t="s">
        <v>551</v>
      </c>
      <c r="B16" s="6" t="s">
        <v>552</v>
      </c>
      <c r="C16" s="38" t="n">
        <v>0</v>
      </c>
      <c r="D16" s="39" t="n">
        <f aca="false">IF(OR(C16=1,AND(D13&gt;=Assumptions!$C$18,D7&gt;=Assumptions!$C$19)),1,0)</f>
        <v>0</v>
      </c>
      <c r="E16" s="39" t="n">
        <f aca="false">IF(OR(D16=1,AND(E13&gt;=Assumptions!$C$18,E7&gt;=Assumptions!$C$19)),1,0)</f>
        <v>0</v>
      </c>
      <c r="F16" s="39" t="n">
        <f aca="false">IF(OR(E16=1,AND(F13&gt;=Assumptions!$C$18,F7&gt;=Assumptions!$C$19)),1,0)</f>
        <v>0</v>
      </c>
      <c r="G16" s="39" t="n">
        <f aca="false">IF(OR(F16=1,AND(G13&gt;=Assumptions!$C$18,G7&gt;=Assumptions!$C$19)),1,0)</f>
        <v>0</v>
      </c>
      <c r="H16" s="39" t="n">
        <f aca="false">IF(OR(G16=1,AND(H13&gt;=Assumptions!$C$18,H7&gt;=Assumptions!$C$19)),1,0)</f>
        <v>0</v>
      </c>
      <c r="I16" s="39" t="n">
        <f aca="false">IF(OR(H16=1,AND(I13&gt;=Assumptions!$C$18,I7&gt;=Assumptions!$C$19)),1,0)</f>
        <v>0</v>
      </c>
      <c r="J16" s="39" t="n">
        <f aca="false">IF(OR(I16=1,AND(J13&gt;=Assumptions!$C$18,J7&gt;=Assumptions!$C$19)),1,0)</f>
        <v>0</v>
      </c>
      <c r="K16" s="39" t="n">
        <f aca="false">IF(OR(J16=1,AND(K13&gt;=Assumptions!$C$18,K7&gt;=Assumptions!$C$19)),1,0)</f>
        <v>0</v>
      </c>
      <c r="L16" s="39" t="n">
        <f aca="false">IF(OR(K16=1,AND(L13&gt;=Assumptions!$C$18,L7&gt;=Assumptions!$C$19)),1,0)</f>
        <v>0</v>
      </c>
      <c r="M16" s="39" t="n">
        <f aca="false">IF(OR(L16=1,AND(M13&gt;=Assumptions!$C$18,M7&gt;=Assumptions!$C$19)),1,0)</f>
        <v>0</v>
      </c>
      <c r="N16" s="39" t="n">
        <f aca="false">IF(OR(M16=1,AND(N13&gt;=Assumptions!$C$18,N7&gt;=Assumptions!$C$19)),1,0)</f>
        <v>0</v>
      </c>
      <c r="O16" s="39" t="n">
        <f aca="false">IF(OR(N16=1,AND(O13&gt;=Assumptions!$C$18,O7&gt;=Assumptions!$C$19)),1,0)</f>
        <v>0</v>
      </c>
      <c r="P16" s="39" t="n">
        <f aca="false">IF(OR(O16=1,AND(P13&gt;=Assumptions!$C$18,P7&gt;=Assumptions!$C$19)),1,0)</f>
        <v>0</v>
      </c>
      <c r="Q16" s="39" t="n">
        <f aca="false">IF(OR(P16=1,AND(Q13&gt;=Assumptions!$C$18,Q7&gt;=Assumptions!$C$19)),1,0)</f>
        <v>0</v>
      </c>
      <c r="R16" s="39" t="n">
        <f aca="false">IF(OR(Q16=1,AND(R13&gt;=Assumptions!$C$18,R7&gt;=Assumptions!$C$19)),1,0)</f>
        <v>0</v>
      </c>
      <c r="S16" s="39" t="n">
        <f aca="false">IF(OR(R16=1,AND(S13&gt;=Assumptions!$C$18,S7&gt;=Assumptions!$C$19)),1,0)</f>
        <v>0</v>
      </c>
      <c r="T16" s="39" t="n">
        <f aca="false">IF(OR(S16=1,AND(T13&gt;=Assumptions!$C$18,T7&gt;=Assumptions!$C$19)),1,0)</f>
        <v>0</v>
      </c>
      <c r="U16" s="39" t="n">
        <f aca="false">IF(OR(T16=1,AND(U13&gt;=Assumptions!$C$18,U7&gt;=Assumptions!$C$19)),1,0)</f>
        <v>0</v>
      </c>
      <c r="V16" s="39" t="n">
        <f aca="false">IF(OR(U16=1,AND(V13&gt;=Assumptions!$C$18,V7&gt;=Assumptions!$C$19)),1,0)</f>
        <v>0</v>
      </c>
      <c r="W16" s="39" t="n">
        <f aca="false">IF(OR(V16=1,AND(W13&gt;=Assumptions!$C$18,W7&gt;=Assumptions!$C$19)),1,0)</f>
        <v>0</v>
      </c>
      <c r="X16" s="39" t="n">
        <f aca="false">IF(OR(W16=1,AND(X13&gt;=Assumptions!$C$18,X7&gt;=Assumptions!$C$19)),1,0)</f>
        <v>0</v>
      </c>
      <c r="Y16" s="39" t="n">
        <f aca="false">IF(OR(X16=1,AND(Y13&gt;=Assumptions!$C$18,Y7&gt;=Assumptions!$C$19)),1,0)</f>
        <v>0</v>
      </c>
      <c r="Z16" s="39" t="n">
        <f aca="false">IF(OR(Y16=1,AND(Z13&gt;=Assumptions!$C$18,Z7&gt;=Assumptions!$C$19)),1,0)</f>
        <v>0</v>
      </c>
      <c r="AA16" s="39" t="n">
        <f aca="false">IF(OR(Z16=1,AND(AA13&gt;=Assumptions!$C$18,AA7&gt;=Assumptions!$C$19)),1,0)</f>
        <v>1</v>
      </c>
      <c r="AB16" s="39" t="n">
        <f aca="false">IF(OR(AA16=1,AND(AB13&gt;=Assumptions!$C$18,AB7&gt;=Assumptions!$C$19)),1,0)</f>
        <v>1</v>
      </c>
      <c r="AC16" s="39" t="n">
        <f aca="false">IF(OR(AB16=1,AND(AC13&gt;=Assumptions!$C$18,AC7&gt;=Assumptions!$C$19)),1,0)</f>
        <v>1</v>
      </c>
      <c r="AD16" s="39" t="n">
        <f aca="false">IF(OR(AC16=1,AND(AD13&gt;=Assumptions!$C$18,AD7&gt;=Assumptions!$C$19)),1,0)</f>
        <v>1</v>
      </c>
      <c r="AE16" s="39" t="n">
        <f aca="false">IF(OR(AD16=1,AND(AE13&gt;=Assumptions!$C$18,AE7&gt;=Assumptions!$C$19)),1,0)</f>
        <v>1</v>
      </c>
      <c r="AF16" s="39" t="n">
        <f aca="false">IF(OR(AE16=1,AND(AF13&gt;=Assumptions!$C$18,AF7&gt;=Assumptions!$C$19)),1,0)</f>
        <v>1</v>
      </c>
      <c r="AG16" s="39" t="n">
        <f aca="false">IF(OR(AF16=1,AND(AG13&gt;=Assumptions!$C$18,AG7&gt;=Assumptions!$C$19)),1,0)</f>
        <v>1</v>
      </c>
      <c r="AH16" s="39" t="n">
        <f aca="false">IF(OR(AG16=1,AND(AH13&gt;=Assumptions!$C$18,AH7&gt;=Assumptions!$C$19)),1,0)</f>
        <v>1</v>
      </c>
      <c r="AI16" s="39" t="n">
        <f aca="false">IF(OR(AH16=1,AND(AI13&gt;=Assumptions!$C$18,AI7&gt;=Assumptions!$C$19)),1,0)</f>
        <v>1</v>
      </c>
      <c r="AJ16" s="39" t="n">
        <f aca="false">IF(OR(AI16=1,AND(AJ13&gt;=Assumptions!$C$18,AJ7&gt;=Assumptions!$C$19)),1,0)</f>
        <v>1</v>
      </c>
      <c r="AK16" s="39" t="n">
        <f aca="false">IF(OR(AJ16=1,AND(AK13&gt;=Assumptions!$C$18,AK7&gt;=Assumptions!$C$19)),1,0)</f>
        <v>1</v>
      </c>
      <c r="AL16" s="39" t="n">
        <f aca="false">IF(OR(AK16=1,AND(AL13&gt;=Assumptions!$C$18,AL7&gt;=Assumptions!$C$19)),1,0)</f>
        <v>1</v>
      </c>
      <c r="AM16" s="39" t="n">
        <f aca="false">IF(OR(AL16=1,AND(AM13&gt;=Assumptions!$C$18,AM7&gt;=Assumptions!$C$19)),1,0)</f>
        <v>1</v>
      </c>
      <c r="AN16" s="40" t="n">
        <f aca="false">IF(OR(AM16=1,AND(AN13&gt;=Assumptions!$C$18,AN7&gt;=Assumptions!$C$19)),1,0)</f>
        <v>1</v>
      </c>
      <c r="AO16" s="40" t="n">
        <f aca="false">IF(OR(AN16=1,AND(AO13&gt;=Assumptions!$C$18,AO7&gt;=Assumptions!$C$19)),1,0)</f>
        <v>1</v>
      </c>
      <c r="AP16" s="40" t="n">
        <f aca="false">IF(OR(AO16=1,AND(AP13&gt;=Assumptions!$C$18,AP7&gt;=Assumptions!$C$19)),1,0)</f>
        <v>1</v>
      </c>
      <c r="AQ16" s="40" t="n">
        <f aca="false">IF(OR(AP16=1,AND(AQ13&gt;=Assumptions!$C$18,AQ7&gt;=Assumptions!$C$19)),1,0)</f>
        <v>1</v>
      </c>
      <c r="AR16" s="40" t="n">
        <f aca="false">IF(OR(AQ16=1,AND(AR13&gt;=Assumptions!$C$18,AR7&gt;=Assumptions!$C$19)),1,0)</f>
        <v>1</v>
      </c>
      <c r="AS16" s="40" t="n">
        <f aca="false">IF(OR(AR16=1,AND(AS13&gt;=Assumptions!$C$18,AS7&gt;=Assumptions!$C$19)),1,0)</f>
        <v>1</v>
      </c>
      <c r="AT16" s="40" t="n">
        <f aca="false">IF(OR(AS16=1,AND(AT13&gt;=Assumptions!$C$18,AT7&gt;=Assumptions!$C$19)),1,0)</f>
        <v>1</v>
      </c>
      <c r="AU16" s="40" t="n">
        <f aca="false">IF(OR(AT16=1,AND(AU13&gt;=Assumptions!$C$18,AU7&gt;=Assumptions!$C$19)),1,0)</f>
        <v>1</v>
      </c>
      <c r="AV16" s="40" t="n">
        <f aca="false">IF(OR(AU16=1,AND(AV13&gt;=Assumptions!$C$18,AV7&gt;=Assumptions!$C$19)),1,0)</f>
        <v>1</v>
      </c>
      <c r="AW16" s="40" t="n">
        <f aca="false">IF(OR(AV16=1,AND(AW13&gt;=Assumptions!$C$18,AW7&gt;=Assumptions!$C$19)),1,0)</f>
        <v>1</v>
      </c>
      <c r="AX16" s="40" t="n">
        <f aca="false">IF(OR(AW16=1,AND(AX13&gt;=Assumptions!$C$18,AX7&gt;=Assumptions!$C$19)),1,0)</f>
        <v>1</v>
      </c>
      <c r="AY16" s="40" t="n">
        <f aca="false">IF(OR(AX16=1,AND(AY13&gt;=Assumptions!$C$18,AY7&gt;=Assumptions!$C$19)),1,0)</f>
        <v>1</v>
      </c>
      <c r="AZ16" s="40" t="n">
        <f aca="false">IF(OR(AY16=1,AND(AZ13&gt;=Assumptions!$C$18,AZ7&gt;=Assumptions!$C$19)),1,0)</f>
        <v>1</v>
      </c>
      <c r="BA16" s="40" t="n">
        <f aca="false">IF(OR(AZ16=1,AND(BA13&gt;=Assumptions!$C$18,BA7&gt;=Assumptions!$C$19)),1,0)</f>
        <v>1</v>
      </c>
      <c r="BB16" s="40" t="n">
        <f aca="false">IF(OR(BA16=1,AND(BB13&gt;=Assumptions!$C$18,BB7&gt;=Assumptions!$C$19)),1,0)</f>
        <v>1</v>
      </c>
      <c r="BC16" s="40" t="n">
        <f aca="false">IF(OR(BB16=1,AND(BC13&gt;=Assumptions!$C$18,BC7&gt;=Assumptions!$C$19)),1,0)</f>
        <v>1</v>
      </c>
      <c r="BD16" s="40" t="n">
        <f aca="false">IF(OR(BC16=1,AND(BD13&gt;=Assumptions!$C$18,BD7&gt;=Assumptions!$C$19)),1,0)</f>
        <v>1</v>
      </c>
      <c r="BE16" s="40" t="n">
        <f aca="false">IF(OR(BD16=1,AND(BE13&gt;=Assumptions!$C$18,BE7&gt;=Assumptions!$C$19)),1,0)</f>
        <v>1</v>
      </c>
      <c r="BF16" s="40" t="n">
        <f aca="false">IF(OR(BE16=1,AND(BF13&gt;=Assumptions!$C$18,BF7&gt;=Assumptions!$C$19)),1,0)</f>
        <v>1</v>
      </c>
      <c r="BG16" s="40" t="n">
        <f aca="false">IF(OR(BF16=1,AND(BG13&gt;=Assumptions!$C$18,BG7&gt;=Assumptions!$C$19)),1,0)</f>
        <v>1</v>
      </c>
      <c r="BH16" s="40" t="n">
        <f aca="false">IF(OR(BG16=1,AND(BH13&gt;=Assumptions!$C$18,BH7&gt;=Assumptions!$C$19)),1,0)</f>
        <v>1</v>
      </c>
      <c r="BI16" s="40" t="n">
        <f aca="false">IF(OR(BH16=1,AND(BI13&gt;=Assumptions!$C$18,BI7&gt;=Assumptions!$C$19)),1,0)</f>
        <v>1</v>
      </c>
      <c r="BJ16" s="40" t="n">
        <f aca="false">IF(OR(BI16=1,AND(BJ13&gt;=Assumptions!$C$18,BJ7&gt;=Assumptions!$C$19)),1,0)</f>
        <v>1</v>
      </c>
      <c r="BK16" s="40" t="n">
        <f aca="false">IF(OR(BJ16=1,AND(BK13&gt;=Assumptions!$C$18,BK7&gt;=Assumptions!$C$19)),1,0)</f>
        <v>1</v>
      </c>
    </row>
    <row r="17" customFormat="false" ht="15" hidden="false" customHeight="false" outlineLevel="0" collapsed="false">
      <c r="A17" s="28" t="s">
        <v>553</v>
      </c>
      <c r="B17" s="6" t="s">
        <v>554</v>
      </c>
      <c r="C17" s="38" t="n">
        <v>0</v>
      </c>
      <c r="D17" s="39" t="n">
        <f aca="false">IF(OR(C17=1,AND(D13&gt;=Assumptions!$C$20,D7&gt;=Assumptions!$C$21)),1,0)</f>
        <v>0</v>
      </c>
      <c r="E17" s="39" t="n">
        <f aca="false">IF(OR(D17=1,AND(E13&gt;=Assumptions!$C$20,E7&gt;=Assumptions!$C$21)),1,0)</f>
        <v>0</v>
      </c>
      <c r="F17" s="39" t="n">
        <f aca="false">IF(OR(E17=1,AND(F13&gt;=Assumptions!$C$20,F7&gt;=Assumptions!$C$21)),1,0)</f>
        <v>0</v>
      </c>
      <c r="G17" s="39" t="n">
        <f aca="false">IF(OR(F17=1,AND(G13&gt;=Assumptions!$C$20,G7&gt;=Assumptions!$C$21)),1,0)</f>
        <v>0</v>
      </c>
      <c r="H17" s="39" t="n">
        <f aca="false">IF(OR(G17=1,AND(H13&gt;=Assumptions!$C$20,H7&gt;=Assumptions!$C$21)),1,0)</f>
        <v>0</v>
      </c>
      <c r="I17" s="39" t="n">
        <f aca="false">IF(OR(H17=1,AND(I13&gt;=Assumptions!$C$20,I7&gt;=Assumptions!$C$21)),1,0)</f>
        <v>0</v>
      </c>
      <c r="J17" s="39" t="n">
        <f aca="false">IF(OR(I17=1,AND(J13&gt;=Assumptions!$C$20,J7&gt;=Assumptions!$C$21)),1,0)</f>
        <v>0</v>
      </c>
      <c r="K17" s="39" t="n">
        <f aca="false">IF(OR(J17=1,AND(K13&gt;=Assumptions!$C$20,K7&gt;=Assumptions!$C$21)),1,0)</f>
        <v>0</v>
      </c>
      <c r="L17" s="39" t="n">
        <f aca="false">IF(OR(K17=1,AND(L13&gt;=Assumptions!$C$20,L7&gt;=Assumptions!$C$21)),1,0)</f>
        <v>0</v>
      </c>
      <c r="M17" s="39" t="n">
        <f aca="false">IF(OR(L17=1,AND(M13&gt;=Assumptions!$C$20,M7&gt;=Assumptions!$C$21)),1,0)</f>
        <v>0</v>
      </c>
      <c r="N17" s="39" t="n">
        <f aca="false">IF(OR(M17=1,AND(N13&gt;=Assumptions!$C$20,N7&gt;=Assumptions!$C$21)),1,0)</f>
        <v>0</v>
      </c>
      <c r="O17" s="39" t="n">
        <f aca="false">IF(OR(N17=1,AND(O13&gt;=Assumptions!$C$20,O7&gt;=Assumptions!$C$21)),1,0)</f>
        <v>0</v>
      </c>
      <c r="P17" s="39" t="n">
        <f aca="false">IF(OR(O17=1,AND(P13&gt;=Assumptions!$C$20,P7&gt;=Assumptions!$C$21)),1,0)</f>
        <v>0</v>
      </c>
      <c r="Q17" s="39" t="n">
        <f aca="false">IF(OR(P17=1,AND(Q13&gt;=Assumptions!$C$20,Q7&gt;=Assumptions!$C$21)),1,0)</f>
        <v>0</v>
      </c>
      <c r="R17" s="39" t="n">
        <f aca="false">IF(OR(Q17=1,AND(R13&gt;=Assumptions!$C$20,R7&gt;=Assumptions!$C$21)),1,0)</f>
        <v>0</v>
      </c>
      <c r="S17" s="39" t="n">
        <f aca="false">IF(OR(R17=1,AND(S13&gt;=Assumptions!$C$20,S7&gt;=Assumptions!$C$21)),1,0)</f>
        <v>0</v>
      </c>
      <c r="T17" s="39" t="n">
        <f aca="false">IF(OR(S17=1,AND(T13&gt;=Assumptions!$C$20,T7&gt;=Assumptions!$C$21)),1,0)</f>
        <v>0</v>
      </c>
      <c r="U17" s="39" t="n">
        <f aca="false">IF(OR(T17=1,AND(U13&gt;=Assumptions!$C$20,U7&gt;=Assumptions!$C$21)),1,0)</f>
        <v>0</v>
      </c>
      <c r="V17" s="39" t="n">
        <f aca="false">IF(OR(U17=1,AND(V13&gt;=Assumptions!$C$20,V7&gt;=Assumptions!$C$21)),1,0)</f>
        <v>0</v>
      </c>
      <c r="W17" s="39" t="n">
        <f aca="false">IF(OR(V17=1,AND(W13&gt;=Assumptions!$C$20,W7&gt;=Assumptions!$C$21)),1,0)</f>
        <v>0</v>
      </c>
      <c r="X17" s="39" t="n">
        <f aca="false">IF(OR(W17=1,AND(X13&gt;=Assumptions!$C$20,X7&gt;=Assumptions!$C$21)),1,0)</f>
        <v>0</v>
      </c>
      <c r="Y17" s="39" t="n">
        <f aca="false">IF(OR(X17=1,AND(Y13&gt;=Assumptions!$C$20,Y7&gt;=Assumptions!$C$21)),1,0)</f>
        <v>0</v>
      </c>
      <c r="Z17" s="39" t="n">
        <f aca="false">IF(OR(Y17=1,AND(Z13&gt;=Assumptions!$C$20,Z7&gt;=Assumptions!$C$21)),1,0)</f>
        <v>0</v>
      </c>
      <c r="AA17" s="39" t="n">
        <f aca="false">IF(OR(Z17=1,AND(AA13&gt;=Assumptions!$C$20,AA7&gt;=Assumptions!$C$21)),1,0)</f>
        <v>1</v>
      </c>
      <c r="AB17" s="39" t="n">
        <f aca="false">IF(OR(AA17=1,AND(AB13&gt;=Assumptions!$C$20,AB7&gt;=Assumptions!$C$21)),1,0)</f>
        <v>1</v>
      </c>
      <c r="AC17" s="39" t="n">
        <f aca="false">IF(OR(AB17=1,AND(AC13&gt;=Assumptions!$C$20,AC7&gt;=Assumptions!$C$21)),1,0)</f>
        <v>1</v>
      </c>
      <c r="AD17" s="39" t="n">
        <f aca="false">IF(OR(AC17=1,AND(AD13&gt;=Assumptions!$C$20,AD7&gt;=Assumptions!$C$21)),1,0)</f>
        <v>1</v>
      </c>
      <c r="AE17" s="39" t="n">
        <f aca="false">IF(OR(AD17=1,AND(AE13&gt;=Assumptions!$C$20,AE7&gt;=Assumptions!$C$21)),1,0)</f>
        <v>1</v>
      </c>
      <c r="AF17" s="39" t="n">
        <f aca="false">IF(OR(AE17=1,AND(AF13&gt;=Assumptions!$C$20,AF7&gt;=Assumptions!$C$21)),1,0)</f>
        <v>1</v>
      </c>
      <c r="AG17" s="39" t="n">
        <f aca="false">IF(OR(AF17=1,AND(AG13&gt;=Assumptions!$C$20,AG7&gt;=Assumptions!$C$21)),1,0)</f>
        <v>1</v>
      </c>
      <c r="AH17" s="39" t="n">
        <f aca="false">IF(OR(AG17=1,AND(AH13&gt;=Assumptions!$C$20,AH7&gt;=Assumptions!$C$21)),1,0)</f>
        <v>1</v>
      </c>
      <c r="AI17" s="39" t="n">
        <f aca="false">IF(OR(AH17=1,AND(AI13&gt;=Assumptions!$C$20,AI7&gt;=Assumptions!$C$21)),1,0)</f>
        <v>1</v>
      </c>
      <c r="AJ17" s="39" t="n">
        <f aca="false">IF(OR(AI17=1,AND(AJ13&gt;=Assumptions!$C$20,AJ7&gt;=Assumptions!$C$21)),1,0)</f>
        <v>1</v>
      </c>
      <c r="AK17" s="39" t="n">
        <f aca="false">IF(OR(AJ17=1,AND(AK13&gt;=Assumptions!$C$20,AK7&gt;=Assumptions!$C$21)),1,0)</f>
        <v>1</v>
      </c>
      <c r="AL17" s="39" t="n">
        <f aca="false">IF(OR(AK17=1,AND(AL13&gt;=Assumptions!$C$20,AL7&gt;=Assumptions!$C$21)),1,0)</f>
        <v>1</v>
      </c>
      <c r="AM17" s="39" t="n">
        <f aca="false">IF(OR(AL17=1,AND(AM13&gt;=Assumptions!$C$20,AM7&gt;=Assumptions!$C$21)),1,0)</f>
        <v>1</v>
      </c>
      <c r="AN17" s="40" t="n">
        <f aca="false">IF(OR(AM17=1,AND(AN13&gt;=Assumptions!$C$20,AN7&gt;=Assumptions!$C$21)),1,0)</f>
        <v>1</v>
      </c>
      <c r="AO17" s="40" t="n">
        <f aca="false">IF(OR(AN17=1,AND(AO13&gt;=Assumptions!$C$20,AO7&gt;=Assumptions!$C$21)),1,0)</f>
        <v>1</v>
      </c>
      <c r="AP17" s="40" t="n">
        <f aca="false">IF(OR(AO17=1,AND(AP13&gt;=Assumptions!$C$20,AP7&gt;=Assumptions!$C$21)),1,0)</f>
        <v>1</v>
      </c>
      <c r="AQ17" s="40" t="n">
        <f aca="false">IF(OR(AP17=1,AND(AQ13&gt;=Assumptions!$C$20,AQ7&gt;=Assumptions!$C$21)),1,0)</f>
        <v>1</v>
      </c>
      <c r="AR17" s="40" t="n">
        <f aca="false">IF(OR(AQ17=1,AND(AR13&gt;=Assumptions!$C$20,AR7&gt;=Assumptions!$C$21)),1,0)</f>
        <v>1</v>
      </c>
      <c r="AS17" s="40" t="n">
        <f aca="false">IF(OR(AR17=1,AND(AS13&gt;=Assumptions!$C$20,AS7&gt;=Assumptions!$C$21)),1,0)</f>
        <v>1</v>
      </c>
      <c r="AT17" s="40" t="n">
        <f aca="false">IF(OR(AS17=1,AND(AT13&gt;=Assumptions!$C$20,AT7&gt;=Assumptions!$C$21)),1,0)</f>
        <v>1</v>
      </c>
      <c r="AU17" s="40" t="n">
        <f aca="false">IF(OR(AT17=1,AND(AU13&gt;=Assumptions!$C$20,AU7&gt;=Assumptions!$C$21)),1,0)</f>
        <v>1</v>
      </c>
      <c r="AV17" s="40" t="n">
        <f aca="false">IF(OR(AU17=1,AND(AV13&gt;=Assumptions!$C$20,AV7&gt;=Assumptions!$C$21)),1,0)</f>
        <v>1</v>
      </c>
      <c r="AW17" s="40" t="n">
        <f aca="false">IF(OR(AV17=1,AND(AW13&gt;=Assumptions!$C$20,AW7&gt;=Assumptions!$C$21)),1,0)</f>
        <v>1</v>
      </c>
      <c r="AX17" s="40" t="n">
        <f aca="false">IF(OR(AW17=1,AND(AX13&gt;=Assumptions!$C$20,AX7&gt;=Assumptions!$C$21)),1,0)</f>
        <v>1</v>
      </c>
      <c r="AY17" s="40" t="n">
        <f aca="false">IF(OR(AX17=1,AND(AY13&gt;=Assumptions!$C$20,AY7&gt;=Assumptions!$C$21)),1,0)</f>
        <v>1</v>
      </c>
      <c r="AZ17" s="40" t="n">
        <f aca="false">IF(OR(AY17=1,AND(AZ13&gt;=Assumptions!$C$20,AZ7&gt;=Assumptions!$C$21)),1,0)</f>
        <v>1</v>
      </c>
      <c r="BA17" s="40" t="n">
        <f aca="false">IF(OR(AZ17=1,AND(BA13&gt;=Assumptions!$C$20,BA7&gt;=Assumptions!$C$21)),1,0)</f>
        <v>1</v>
      </c>
      <c r="BB17" s="40" t="n">
        <f aca="false">IF(OR(BA17=1,AND(BB13&gt;=Assumptions!$C$20,BB7&gt;=Assumptions!$C$21)),1,0)</f>
        <v>1</v>
      </c>
      <c r="BC17" s="40" t="n">
        <f aca="false">IF(OR(BB17=1,AND(BC13&gt;=Assumptions!$C$20,BC7&gt;=Assumptions!$C$21)),1,0)</f>
        <v>1</v>
      </c>
      <c r="BD17" s="40" t="n">
        <f aca="false">IF(OR(BC17=1,AND(BD13&gt;=Assumptions!$C$20,BD7&gt;=Assumptions!$C$21)),1,0)</f>
        <v>1</v>
      </c>
      <c r="BE17" s="40" t="n">
        <f aca="false">IF(OR(BD17=1,AND(BE13&gt;=Assumptions!$C$20,BE7&gt;=Assumptions!$C$21)),1,0)</f>
        <v>1</v>
      </c>
      <c r="BF17" s="40" t="n">
        <f aca="false">IF(OR(BE17=1,AND(BF13&gt;=Assumptions!$C$20,BF7&gt;=Assumptions!$C$21)),1,0)</f>
        <v>1</v>
      </c>
      <c r="BG17" s="40" t="n">
        <f aca="false">IF(OR(BF17=1,AND(BG13&gt;=Assumptions!$C$20,BG7&gt;=Assumptions!$C$21)),1,0)</f>
        <v>1</v>
      </c>
      <c r="BH17" s="40" t="n">
        <f aca="false">IF(OR(BG17=1,AND(BH13&gt;=Assumptions!$C$20,BH7&gt;=Assumptions!$C$21)),1,0)</f>
        <v>1</v>
      </c>
      <c r="BI17" s="40" t="n">
        <f aca="false">IF(OR(BH17=1,AND(BI13&gt;=Assumptions!$C$20,BI7&gt;=Assumptions!$C$21)),1,0)</f>
        <v>1</v>
      </c>
      <c r="BJ17" s="40" t="n">
        <f aca="false">IF(OR(BI17=1,AND(BJ13&gt;=Assumptions!$C$20,BJ7&gt;=Assumptions!$C$21)),1,0)</f>
        <v>1</v>
      </c>
      <c r="BK17" s="40" t="n">
        <f aca="false">IF(OR(BJ17=1,AND(BK13&gt;=Assumptions!$C$20,BK7&gt;=Assumptions!$C$21)),1,0)</f>
        <v>1</v>
      </c>
    </row>
    <row r="18" customFormat="false" ht="15" hidden="false" customHeight="false" outlineLevel="0" collapsed="false">
      <c r="A18" s="28" t="s">
        <v>555</v>
      </c>
      <c r="B18" s="6" t="s">
        <v>556</v>
      </c>
      <c r="C18" s="38" t="n">
        <v>0</v>
      </c>
      <c r="D18" s="39" t="n">
        <f aca="false">IF(OR(C18=1,D13&gt;=Assumptions!$C$22),1,0)</f>
        <v>0</v>
      </c>
      <c r="E18" s="39" t="n">
        <f aca="false">IF(OR(D18=1,E13&gt;=Assumptions!$C$22),1,0)</f>
        <v>0</v>
      </c>
      <c r="F18" s="39" t="n">
        <f aca="false">IF(OR(E18=1,F13&gt;=Assumptions!$C$22),1,0)</f>
        <v>0</v>
      </c>
      <c r="G18" s="39" t="n">
        <f aca="false">IF(OR(F18=1,G13&gt;=Assumptions!$C$22),1,0)</f>
        <v>0</v>
      </c>
      <c r="H18" s="39" t="n">
        <f aca="false">IF(OR(G18=1,H13&gt;=Assumptions!$C$22),1,0)</f>
        <v>0</v>
      </c>
      <c r="I18" s="39" t="n">
        <f aca="false">IF(OR(H18=1,I13&gt;=Assumptions!$C$22),1,0)</f>
        <v>0</v>
      </c>
      <c r="J18" s="39" t="n">
        <f aca="false">IF(OR(I18=1,J13&gt;=Assumptions!$C$22),1,0)</f>
        <v>0</v>
      </c>
      <c r="K18" s="39" t="n">
        <f aca="false">IF(OR(J18=1,K13&gt;=Assumptions!$C$22),1,0)</f>
        <v>0</v>
      </c>
      <c r="L18" s="39" t="n">
        <f aca="false">IF(OR(K18=1,L13&gt;=Assumptions!$C$22),1,0)</f>
        <v>0</v>
      </c>
      <c r="M18" s="39" t="n">
        <f aca="false">IF(OR(L18=1,M13&gt;=Assumptions!$C$22),1,0)</f>
        <v>0</v>
      </c>
      <c r="N18" s="39" t="n">
        <f aca="false">IF(OR(M18=1,N13&gt;=Assumptions!$C$22),1,0)</f>
        <v>0</v>
      </c>
      <c r="O18" s="39" t="n">
        <f aca="false">IF(OR(N18=1,O13&gt;=Assumptions!$C$22),1,0)</f>
        <v>0</v>
      </c>
      <c r="P18" s="39" t="n">
        <f aca="false">IF(OR(O18=1,P13&gt;=Assumptions!$C$22),1,0)</f>
        <v>0</v>
      </c>
      <c r="Q18" s="39" t="n">
        <f aca="false">IF(OR(P18=1,Q13&gt;=Assumptions!$C$22),1,0)</f>
        <v>0</v>
      </c>
      <c r="R18" s="39" t="n">
        <f aca="false">IF(OR(Q18=1,R13&gt;=Assumptions!$C$22),1,0)</f>
        <v>0</v>
      </c>
      <c r="S18" s="39" t="n">
        <f aca="false">IF(OR(R18=1,S13&gt;=Assumptions!$C$22),1,0)</f>
        <v>0</v>
      </c>
      <c r="T18" s="39" t="n">
        <f aca="false">IF(OR(S18=1,T13&gt;=Assumptions!$C$22),1,0)</f>
        <v>0</v>
      </c>
      <c r="U18" s="39" t="n">
        <f aca="false">IF(OR(T18=1,U13&gt;=Assumptions!$C$22),1,0)</f>
        <v>0</v>
      </c>
      <c r="V18" s="39" t="n">
        <f aca="false">IF(OR(U18=1,V13&gt;=Assumptions!$C$22),1,0)</f>
        <v>0</v>
      </c>
      <c r="W18" s="39" t="n">
        <f aca="false">IF(OR(V18=1,W13&gt;=Assumptions!$C$22),1,0)</f>
        <v>1</v>
      </c>
      <c r="X18" s="39" t="n">
        <f aca="false">IF(OR(W18=1,X13&gt;=Assumptions!$C$22),1,0)</f>
        <v>1</v>
      </c>
      <c r="Y18" s="39" t="n">
        <f aca="false">IF(OR(X18=1,Y13&gt;=Assumptions!$C$22),1,0)</f>
        <v>1</v>
      </c>
      <c r="Z18" s="39" t="n">
        <f aca="false">IF(OR(Y18=1,Z13&gt;=Assumptions!$C$22),1,0)</f>
        <v>1</v>
      </c>
      <c r="AA18" s="39" t="n">
        <f aca="false">IF(OR(Z18=1,AA13&gt;=Assumptions!$C$22),1,0)</f>
        <v>1</v>
      </c>
      <c r="AB18" s="39" t="n">
        <f aca="false">IF(OR(AA18=1,AB13&gt;=Assumptions!$C$22),1,0)</f>
        <v>1</v>
      </c>
      <c r="AC18" s="39" t="n">
        <f aca="false">IF(OR(AB18=1,AC13&gt;=Assumptions!$C$22),1,0)</f>
        <v>1</v>
      </c>
      <c r="AD18" s="39" t="n">
        <f aca="false">IF(OR(AC18=1,AD13&gt;=Assumptions!$C$22),1,0)</f>
        <v>1</v>
      </c>
      <c r="AE18" s="39" t="n">
        <f aca="false">IF(OR(AD18=1,AE13&gt;=Assumptions!$C$22),1,0)</f>
        <v>1</v>
      </c>
      <c r="AF18" s="39" t="n">
        <f aca="false">IF(OR(AE18=1,AF13&gt;=Assumptions!$C$22),1,0)</f>
        <v>1</v>
      </c>
      <c r="AG18" s="39" t="n">
        <f aca="false">IF(OR(AF18=1,AG13&gt;=Assumptions!$C$22),1,0)</f>
        <v>1</v>
      </c>
      <c r="AH18" s="39" t="n">
        <f aca="false">IF(OR(AG18=1,AH13&gt;=Assumptions!$C$22),1,0)</f>
        <v>1</v>
      </c>
      <c r="AI18" s="39" t="n">
        <f aca="false">IF(OR(AH18=1,AI13&gt;=Assumptions!$C$22),1,0)</f>
        <v>1</v>
      </c>
      <c r="AJ18" s="39" t="n">
        <f aca="false">IF(OR(AI18=1,AJ13&gt;=Assumptions!$C$22),1,0)</f>
        <v>1</v>
      </c>
      <c r="AK18" s="39" t="n">
        <f aca="false">IF(OR(AJ18=1,AK13&gt;=Assumptions!$C$22),1,0)</f>
        <v>1</v>
      </c>
      <c r="AL18" s="39" t="n">
        <f aca="false">IF(OR(AK18=1,AL13&gt;=Assumptions!$C$22),1,0)</f>
        <v>1</v>
      </c>
      <c r="AM18" s="39" t="n">
        <f aca="false">IF(OR(AL18=1,AM13&gt;=Assumptions!$C$22),1,0)</f>
        <v>1</v>
      </c>
      <c r="AN18" s="40" t="n">
        <f aca="false">IF(OR(AM18=1,AN13&gt;=Assumptions!$C$22),1,0)</f>
        <v>1</v>
      </c>
      <c r="AO18" s="40" t="n">
        <f aca="false">IF(OR(AN18=1,AO13&gt;=Assumptions!$C$22),1,0)</f>
        <v>1</v>
      </c>
      <c r="AP18" s="40" t="n">
        <f aca="false">IF(OR(AO18=1,AP13&gt;=Assumptions!$C$22),1,0)</f>
        <v>1</v>
      </c>
      <c r="AQ18" s="40" t="n">
        <f aca="false">IF(OR(AP18=1,AQ13&gt;=Assumptions!$C$22),1,0)</f>
        <v>1</v>
      </c>
      <c r="AR18" s="40" t="n">
        <f aca="false">IF(OR(AQ18=1,AR13&gt;=Assumptions!$C$22),1,0)</f>
        <v>1</v>
      </c>
      <c r="AS18" s="40" t="n">
        <f aca="false">IF(OR(AR18=1,AS13&gt;=Assumptions!$C$22),1,0)</f>
        <v>1</v>
      </c>
      <c r="AT18" s="40" t="n">
        <f aca="false">IF(OR(AS18=1,AT13&gt;=Assumptions!$C$22),1,0)</f>
        <v>1</v>
      </c>
      <c r="AU18" s="40" t="n">
        <f aca="false">IF(OR(AT18=1,AU13&gt;=Assumptions!$C$22),1,0)</f>
        <v>1</v>
      </c>
      <c r="AV18" s="40" t="n">
        <f aca="false">IF(OR(AU18=1,AV13&gt;=Assumptions!$C$22),1,0)</f>
        <v>1</v>
      </c>
      <c r="AW18" s="40" t="n">
        <f aca="false">IF(OR(AV18=1,AW13&gt;=Assumptions!$C$22),1,0)</f>
        <v>1</v>
      </c>
      <c r="AX18" s="40" t="n">
        <f aca="false">IF(OR(AW18=1,AX13&gt;=Assumptions!$C$22),1,0)</f>
        <v>1</v>
      </c>
      <c r="AY18" s="40" t="n">
        <f aca="false">IF(OR(AX18=1,AY13&gt;=Assumptions!$C$22),1,0)</f>
        <v>1</v>
      </c>
      <c r="AZ18" s="40" t="n">
        <f aca="false">IF(OR(AY18=1,AZ13&gt;=Assumptions!$C$22),1,0)</f>
        <v>1</v>
      </c>
      <c r="BA18" s="40" t="n">
        <f aca="false">IF(OR(AZ18=1,BA13&gt;=Assumptions!$C$22),1,0)</f>
        <v>1</v>
      </c>
      <c r="BB18" s="40" t="n">
        <f aca="false">IF(OR(BA18=1,BB13&gt;=Assumptions!$C$22),1,0)</f>
        <v>1</v>
      </c>
      <c r="BC18" s="40" t="n">
        <f aca="false">IF(OR(BB18=1,BC13&gt;=Assumptions!$C$22),1,0)</f>
        <v>1</v>
      </c>
      <c r="BD18" s="40" t="n">
        <f aca="false">IF(OR(BC18=1,BD13&gt;=Assumptions!$C$22),1,0)</f>
        <v>1</v>
      </c>
      <c r="BE18" s="40" t="n">
        <f aca="false">IF(OR(BD18=1,BE13&gt;=Assumptions!$C$22),1,0)</f>
        <v>1</v>
      </c>
      <c r="BF18" s="40" t="n">
        <f aca="false">IF(OR(BE18=1,BF13&gt;=Assumptions!$C$22),1,0)</f>
        <v>1</v>
      </c>
      <c r="BG18" s="40" t="n">
        <f aca="false">IF(OR(BF18=1,BG13&gt;=Assumptions!$C$22),1,0)</f>
        <v>1</v>
      </c>
      <c r="BH18" s="40" t="n">
        <f aca="false">IF(OR(BG18=1,BH13&gt;=Assumptions!$C$22),1,0)</f>
        <v>1</v>
      </c>
      <c r="BI18" s="40" t="n">
        <f aca="false">IF(OR(BH18=1,BI13&gt;=Assumptions!$C$22),1,0)</f>
        <v>1</v>
      </c>
      <c r="BJ18" s="40" t="n">
        <f aca="false">IF(OR(BI18=1,BJ13&gt;=Assumptions!$C$22),1,0)</f>
        <v>1</v>
      </c>
      <c r="BK18" s="40" t="n">
        <f aca="false">IF(OR(BJ18=1,BK13&gt;=Assumptions!$C$22),1,0)</f>
        <v>1</v>
      </c>
    </row>
    <row r="19" customFormat="false" ht="15" hidden="false" customHeight="false" outlineLevel="0" collapsed="false">
      <c r="A19" s="28" t="s">
        <v>557</v>
      </c>
      <c r="B19" s="6" t="s">
        <v>558</v>
      </c>
      <c r="C19" s="38" t="n">
        <v>0</v>
      </c>
      <c r="D19" s="39" t="n">
        <f aca="false">IF(OR(C19=1,AND(D13&gt;=Assumptions!$C$23,D7&gt;=Assumptions!$C$24)),1,0)</f>
        <v>0</v>
      </c>
      <c r="E19" s="39" t="n">
        <f aca="false">IF(OR(D19=1,AND(E13&gt;=Assumptions!$C$23,E7&gt;=Assumptions!$C$24)),1,0)</f>
        <v>0</v>
      </c>
      <c r="F19" s="39" t="n">
        <f aca="false">IF(OR(E19=1,AND(F13&gt;=Assumptions!$C$23,F7&gt;=Assumptions!$C$24)),1,0)</f>
        <v>0</v>
      </c>
      <c r="G19" s="39" t="n">
        <f aca="false">IF(OR(F19=1,AND(G13&gt;=Assumptions!$C$23,G7&gt;=Assumptions!$C$24)),1,0)</f>
        <v>0</v>
      </c>
      <c r="H19" s="39" t="n">
        <f aca="false">IF(OR(G19=1,AND(H13&gt;=Assumptions!$C$23,H7&gt;=Assumptions!$C$24)),1,0)</f>
        <v>0</v>
      </c>
      <c r="I19" s="39" t="n">
        <f aca="false">IF(OR(H19=1,AND(I13&gt;=Assumptions!$C$23,I7&gt;=Assumptions!$C$24)),1,0)</f>
        <v>0</v>
      </c>
      <c r="J19" s="39" t="n">
        <f aca="false">IF(OR(I19=1,AND(J13&gt;=Assumptions!$C$23,J7&gt;=Assumptions!$C$24)),1,0)</f>
        <v>0</v>
      </c>
      <c r="K19" s="39" t="n">
        <f aca="false">IF(OR(J19=1,AND(K13&gt;=Assumptions!$C$23,K7&gt;=Assumptions!$C$24)),1,0)</f>
        <v>0</v>
      </c>
      <c r="L19" s="39" t="n">
        <f aca="false">IF(OR(K19=1,AND(L13&gt;=Assumptions!$C$23,L7&gt;=Assumptions!$C$24)),1,0)</f>
        <v>0</v>
      </c>
      <c r="M19" s="39" t="n">
        <f aca="false">IF(OR(L19=1,AND(M13&gt;=Assumptions!$C$23,M7&gt;=Assumptions!$C$24)),1,0)</f>
        <v>0</v>
      </c>
      <c r="N19" s="39" t="n">
        <f aca="false">IF(OR(M19=1,AND(N13&gt;=Assumptions!$C$23,N7&gt;=Assumptions!$C$24)),1,0)</f>
        <v>0</v>
      </c>
      <c r="O19" s="39" t="n">
        <f aca="false">IF(OR(N19=1,AND(O13&gt;=Assumptions!$C$23,O7&gt;=Assumptions!$C$24)),1,0)</f>
        <v>0</v>
      </c>
      <c r="P19" s="39" t="n">
        <f aca="false">IF(OR(O19=1,AND(P13&gt;=Assumptions!$C$23,P7&gt;=Assumptions!$C$24)),1,0)</f>
        <v>0</v>
      </c>
      <c r="Q19" s="39" t="n">
        <f aca="false">IF(OR(P19=1,AND(Q13&gt;=Assumptions!$C$23,Q7&gt;=Assumptions!$C$24)),1,0)</f>
        <v>0</v>
      </c>
      <c r="R19" s="39" t="n">
        <f aca="false">IF(OR(Q19=1,AND(R13&gt;=Assumptions!$C$23,R7&gt;=Assumptions!$C$24)),1,0)</f>
        <v>0</v>
      </c>
      <c r="S19" s="39" t="n">
        <f aca="false">IF(OR(R19=1,AND(S13&gt;=Assumptions!$C$23,S7&gt;=Assumptions!$C$24)),1,0)</f>
        <v>0</v>
      </c>
      <c r="T19" s="39" t="n">
        <f aca="false">IF(OR(S19=1,AND(T13&gt;=Assumptions!$C$23,T7&gt;=Assumptions!$C$24)),1,0)</f>
        <v>0</v>
      </c>
      <c r="U19" s="39" t="n">
        <f aca="false">IF(OR(T19=1,AND(U13&gt;=Assumptions!$C$23,U7&gt;=Assumptions!$C$24)),1,0)</f>
        <v>0</v>
      </c>
      <c r="V19" s="39" t="n">
        <f aca="false">IF(OR(U19=1,AND(V13&gt;=Assumptions!$C$23,V7&gt;=Assumptions!$C$24)),1,0)</f>
        <v>0</v>
      </c>
      <c r="W19" s="39" t="n">
        <f aca="false">IF(OR(V19=1,AND(W13&gt;=Assumptions!$C$23,W7&gt;=Assumptions!$C$24)),1,0)</f>
        <v>0</v>
      </c>
      <c r="X19" s="39" t="n">
        <f aca="false">IF(OR(W19=1,AND(X13&gt;=Assumptions!$C$23,X7&gt;=Assumptions!$C$24)),1,0)</f>
        <v>0</v>
      </c>
      <c r="Y19" s="39" t="n">
        <f aca="false">IF(OR(X19=1,AND(Y13&gt;=Assumptions!$C$23,Y7&gt;=Assumptions!$C$24)),1,0)</f>
        <v>0</v>
      </c>
      <c r="Z19" s="39" t="n">
        <f aca="false">IF(OR(Y19=1,AND(Z13&gt;=Assumptions!$C$23,Z7&gt;=Assumptions!$C$24)),1,0)</f>
        <v>0</v>
      </c>
      <c r="AA19" s="39" t="n">
        <f aca="false">IF(OR(Z19=1,AND(AA13&gt;=Assumptions!$C$23,AA7&gt;=Assumptions!$C$24)),1,0)</f>
        <v>0</v>
      </c>
      <c r="AB19" s="39" t="n">
        <f aca="false">IF(OR(AA19=1,AND(AB13&gt;=Assumptions!$C$23,AB7&gt;=Assumptions!$C$24)),1,0)</f>
        <v>0</v>
      </c>
      <c r="AC19" s="39" t="n">
        <f aca="false">IF(OR(AB19=1,AND(AC13&gt;=Assumptions!$C$23,AC7&gt;=Assumptions!$C$24)),1,0)</f>
        <v>0</v>
      </c>
      <c r="AD19" s="39" t="n">
        <f aca="false">IF(OR(AC19=1,AND(AD13&gt;=Assumptions!$C$23,AD7&gt;=Assumptions!$C$24)),1,0)</f>
        <v>0</v>
      </c>
      <c r="AE19" s="39" t="n">
        <f aca="false">IF(OR(AD19=1,AND(AE13&gt;=Assumptions!$C$23,AE7&gt;=Assumptions!$C$24)),1,0)</f>
        <v>0</v>
      </c>
      <c r="AF19" s="39" t="n">
        <f aca="false">IF(OR(AE19=1,AND(AF13&gt;=Assumptions!$C$23,AF7&gt;=Assumptions!$C$24)),1,0)</f>
        <v>0</v>
      </c>
      <c r="AG19" s="39" t="n">
        <f aca="false">IF(OR(AF19=1,AND(AG13&gt;=Assumptions!$C$23,AG7&gt;=Assumptions!$C$24)),1,0)</f>
        <v>0</v>
      </c>
      <c r="AH19" s="39" t="n">
        <f aca="false">IF(OR(AG19=1,AND(AH13&gt;=Assumptions!$C$23,AH7&gt;=Assumptions!$C$24)),1,0)</f>
        <v>0</v>
      </c>
      <c r="AI19" s="39" t="n">
        <f aca="false">IF(OR(AH19=1,AND(AI13&gt;=Assumptions!$C$23,AI7&gt;=Assumptions!$C$24)),1,0)</f>
        <v>0</v>
      </c>
      <c r="AJ19" s="39" t="n">
        <f aca="false">IF(OR(AI19=1,AND(AJ13&gt;=Assumptions!$C$23,AJ7&gt;=Assumptions!$C$24)),1,0)</f>
        <v>0</v>
      </c>
      <c r="AK19" s="39" t="n">
        <f aca="false">IF(OR(AJ19=1,AND(AK13&gt;=Assumptions!$C$23,AK7&gt;=Assumptions!$C$24)),1,0)</f>
        <v>0</v>
      </c>
      <c r="AL19" s="39" t="n">
        <f aca="false">IF(OR(AK19=1,AND(AL13&gt;=Assumptions!$C$23,AL7&gt;=Assumptions!$C$24)),1,0)</f>
        <v>0</v>
      </c>
      <c r="AM19" s="39" t="n">
        <f aca="false">IF(OR(AL19=1,AND(AM13&gt;=Assumptions!$C$23,AM7&gt;=Assumptions!$C$24)),1,0)</f>
        <v>0</v>
      </c>
      <c r="AN19" s="40" t="n">
        <f aca="false">IF(OR(AM19=1,AND(AN13&gt;=Assumptions!$C$23,AN7&gt;=Assumptions!$C$24)),1,0)</f>
        <v>0</v>
      </c>
      <c r="AO19" s="40" t="n">
        <f aca="false">IF(OR(AN19=1,AND(AO13&gt;=Assumptions!$C$23,AO7&gt;=Assumptions!$C$24)),1,0)</f>
        <v>0</v>
      </c>
      <c r="AP19" s="40" t="n">
        <f aca="false">IF(OR(AO19=1,AND(AP13&gt;=Assumptions!$C$23,AP7&gt;=Assumptions!$C$24)),1,0)</f>
        <v>0</v>
      </c>
      <c r="AQ19" s="40" t="n">
        <f aca="false">IF(OR(AP19=1,AND(AQ13&gt;=Assumptions!$C$23,AQ7&gt;=Assumptions!$C$24)),1,0)</f>
        <v>1</v>
      </c>
      <c r="AR19" s="40" t="n">
        <f aca="false">IF(OR(AQ19=1,AND(AR13&gt;=Assumptions!$C$23,AR7&gt;=Assumptions!$C$24)),1,0)</f>
        <v>1</v>
      </c>
      <c r="AS19" s="40" t="n">
        <f aca="false">IF(OR(AR19=1,AND(AS13&gt;=Assumptions!$C$23,AS7&gt;=Assumptions!$C$24)),1,0)</f>
        <v>1</v>
      </c>
      <c r="AT19" s="40" t="n">
        <f aca="false">IF(OR(AS19=1,AND(AT13&gt;=Assumptions!$C$23,AT7&gt;=Assumptions!$C$24)),1,0)</f>
        <v>1</v>
      </c>
      <c r="AU19" s="40" t="n">
        <f aca="false">IF(OR(AT19=1,AND(AU13&gt;=Assumptions!$C$23,AU7&gt;=Assumptions!$C$24)),1,0)</f>
        <v>1</v>
      </c>
      <c r="AV19" s="40" t="n">
        <f aca="false">IF(OR(AU19=1,AND(AV13&gt;=Assumptions!$C$23,AV7&gt;=Assumptions!$C$24)),1,0)</f>
        <v>1</v>
      </c>
      <c r="AW19" s="40" t="n">
        <f aca="false">IF(OR(AV19=1,AND(AW13&gt;=Assumptions!$C$23,AW7&gt;=Assumptions!$C$24)),1,0)</f>
        <v>1</v>
      </c>
      <c r="AX19" s="40" t="n">
        <f aca="false">IF(OR(AW19=1,AND(AX13&gt;=Assumptions!$C$23,AX7&gt;=Assumptions!$C$24)),1,0)</f>
        <v>1</v>
      </c>
      <c r="AY19" s="40" t="n">
        <f aca="false">IF(OR(AX19=1,AND(AY13&gt;=Assumptions!$C$23,AY7&gt;=Assumptions!$C$24)),1,0)</f>
        <v>1</v>
      </c>
      <c r="AZ19" s="40" t="n">
        <f aca="false">IF(OR(AY19=1,AND(AZ13&gt;=Assumptions!$C$23,AZ7&gt;=Assumptions!$C$24)),1,0)</f>
        <v>1</v>
      </c>
      <c r="BA19" s="40" t="n">
        <f aca="false">IF(OR(AZ19=1,AND(BA13&gt;=Assumptions!$C$23,BA7&gt;=Assumptions!$C$24)),1,0)</f>
        <v>1</v>
      </c>
      <c r="BB19" s="40" t="n">
        <f aca="false">IF(OR(BA19=1,AND(BB13&gt;=Assumptions!$C$23,BB7&gt;=Assumptions!$C$24)),1,0)</f>
        <v>1</v>
      </c>
      <c r="BC19" s="40" t="n">
        <f aca="false">IF(OR(BB19=1,AND(BC13&gt;=Assumptions!$C$23,BC7&gt;=Assumptions!$C$24)),1,0)</f>
        <v>1</v>
      </c>
      <c r="BD19" s="40" t="n">
        <f aca="false">IF(OR(BC19=1,AND(BD13&gt;=Assumptions!$C$23,BD7&gt;=Assumptions!$C$24)),1,0)</f>
        <v>1</v>
      </c>
      <c r="BE19" s="40" t="n">
        <f aca="false">IF(OR(BD19=1,AND(BE13&gt;=Assumptions!$C$23,BE7&gt;=Assumptions!$C$24)),1,0)</f>
        <v>1</v>
      </c>
      <c r="BF19" s="40" t="n">
        <f aca="false">IF(OR(BE19=1,AND(BF13&gt;=Assumptions!$C$23,BF7&gt;=Assumptions!$C$24)),1,0)</f>
        <v>1</v>
      </c>
      <c r="BG19" s="40" t="n">
        <f aca="false">IF(OR(BF19=1,AND(BG13&gt;=Assumptions!$C$23,BG7&gt;=Assumptions!$C$24)),1,0)</f>
        <v>1</v>
      </c>
      <c r="BH19" s="40" t="n">
        <f aca="false">IF(OR(BG19=1,AND(BH13&gt;=Assumptions!$C$23,BH7&gt;=Assumptions!$C$24)),1,0)</f>
        <v>1</v>
      </c>
      <c r="BI19" s="40" t="n">
        <f aca="false">IF(OR(BH19=1,AND(BI13&gt;=Assumptions!$C$23,BI7&gt;=Assumptions!$C$24)),1,0)</f>
        <v>1</v>
      </c>
      <c r="BJ19" s="40" t="n">
        <f aca="false">IF(OR(BI19=1,AND(BJ13&gt;=Assumptions!$C$23,BJ7&gt;=Assumptions!$C$24)),1,0)</f>
        <v>1</v>
      </c>
      <c r="BK19" s="40" t="n">
        <f aca="false">IF(OR(BJ19=1,AND(BK13&gt;=Assumptions!$C$23,BK7&gt;=Assumptions!$C$24)),1,0)</f>
        <v>1</v>
      </c>
    </row>
    <row r="20" customFormat="false" ht="15" hidden="false" customHeight="false" outlineLevel="0" collapsed="false">
      <c r="A20" s="28" t="s">
        <v>559</v>
      </c>
      <c r="B20" s="6" t="s">
        <v>560</v>
      </c>
      <c r="C20" s="32" t="n">
        <v>0</v>
      </c>
      <c r="D20" s="34" t="n">
        <f aca="false">IF(D19=1,C20+1,0)</f>
        <v>0</v>
      </c>
      <c r="E20" s="34" t="n">
        <f aca="false">IF(E19=1,D20+1,0)</f>
        <v>0</v>
      </c>
      <c r="F20" s="34" t="n">
        <f aca="false">IF(F19=1,E20+1,0)</f>
        <v>0</v>
      </c>
      <c r="G20" s="34" t="n">
        <f aca="false">IF(G19=1,F20+1,0)</f>
        <v>0</v>
      </c>
      <c r="H20" s="34" t="n">
        <f aca="false">IF(H19=1,G20+1,0)</f>
        <v>0</v>
      </c>
      <c r="I20" s="34" t="n">
        <f aca="false">IF(I19=1,H20+1,0)</f>
        <v>0</v>
      </c>
      <c r="J20" s="34" t="n">
        <f aca="false">IF(J19=1,I20+1,0)</f>
        <v>0</v>
      </c>
      <c r="K20" s="34" t="n">
        <f aca="false">IF(K19=1,J20+1,0)</f>
        <v>0</v>
      </c>
      <c r="L20" s="34" t="n">
        <f aca="false">IF(L19=1,K20+1,0)</f>
        <v>0</v>
      </c>
      <c r="M20" s="34" t="n">
        <f aca="false">IF(M19=1,L20+1,0)</f>
        <v>0</v>
      </c>
      <c r="N20" s="34" t="n">
        <f aca="false">IF(N19=1,M20+1,0)</f>
        <v>0</v>
      </c>
      <c r="O20" s="34" t="n">
        <f aca="false">IF(O19=1,N20+1,0)</f>
        <v>0</v>
      </c>
      <c r="P20" s="34" t="n">
        <f aca="false">IF(P19=1,O20+1,0)</f>
        <v>0</v>
      </c>
      <c r="Q20" s="34" t="n">
        <f aca="false">IF(Q19=1,P20+1,0)</f>
        <v>0</v>
      </c>
      <c r="R20" s="34" t="n">
        <f aca="false">IF(R19=1,Q20+1,0)</f>
        <v>0</v>
      </c>
      <c r="S20" s="34" t="n">
        <f aca="false">IF(S19=1,R20+1,0)</f>
        <v>0</v>
      </c>
      <c r="T20" s="34" t="n">
        <f aca="false">IF(T19=1,S20+1,0)</f>
        <v>0</v>
      </c>
      <c r="U20" s="34" t="n">
        <f aca="false">IF(U19=1,T20+1,0)</f>
        <v>0</v>
      </c>
      <c r="V20" s="34" t="n">
        <f aca="false">IF(V19=1,U20+1,0)</f>
        <v>0</v>
      </c>
      <c r="W20" s="34" t="n">
        <f aca="false">IF(W19=1,V20+1,0)</f>
        <v>0</v>
      </c>
      <c r="X20" s="34" t="n">
        <f aca="false">IF(X19=1,W20+1,0)</f>
        <v>0</v>
      </c>
      <c r="Y20" s="34" t="n">
        <f aca="false">IF(Y19=1,X20+1,0)</f>
        <v>0</v>
      </c>
      <c r="Z20" s="34" t="n">
        <f aca="false">IF(Z19=1,Y20+1,0)</f>
        <v>0</v>
      </c>
      <c r="AA20" s="34" t="n">
        <f aca="false">IF(AA19=1,Z20+1,0)</f>
        <v>0</v>
      </c>
      <c r="AB20" s="34" t="n">
        <f aca="false">IF(AB19=1,AA20+1,0)</f>
        <v>0</v>
      </c>
      <c r="AC20" s="34" t="n">
        <f aca="false">IF(AC19=1,AB20+1,0)</f>
        <v>0</v>
      </c>
      <c r="AD20" s="34" t="n">
        <f aca="false">IF(AD19=1,AC20+1,0)</f>
        <v>0</v>
      </c>
      <c r="AE20" s="34" t="n">
        <f aca="false">IF(AE19=1,AD20+1,0)</f>
        <v>0</v>
      </c>
      <c r="AF20" s="34" t="n">
        <f aca="false">IF(AF19=1,AE20+1,0)</f>
        <v>0</v>
      </c>
      <c r="AG20" s="34" t="n">
        <f aca="false">IF(AG19=1,AF20+1,0)</f>
        <v>0</v>
      </c>
      <c r="AH20" s="34" t="n">
        <f aca="false">IF(AH19=1,AG20+1,0)</f>
        <v>0</v>
      </c>
      <c r="AI20" s="34" t="n">
        <f aca="false">IF(AI19=1,AH20+1,0)</f>
        <v>0</v>
      </c>
      <c r="AJ20" s="34" t="n">
        <f aca="false">IF(AJ19=1,AI20+1,0)</f>
        <v>0</v>
      </c>
      <c r="AK20" s="34" t="n">
        <f aca="false">IF(AK19=1,AJ20+1,0)</f>
        <v>0</v>
      </c>
      <c r="AL20" s="34" t="n">
        <f aca="false">IF(AL19=1,AK20+1,0)</f>
        <v>0</v>
      </c>
      <c r="AM20" s="34" t="n">
        <f aca="false">IF(AM19=1,AL20+1,0)</f>
        <v>0</v>
      </c>
      <c r="AN20" s="35" t="n">
        <f aca="false">IF(AN19=1,AM20+1,0)</f>
        <v>0</v>
      </c>
      <c r="AO20" s="35" t="n">
        <f aca="false">IF(AO19=1,AN20+1,0)</f>
        <v>0</v>
      </c>
      <c r="AP20" s="35" t="n">
        <f aca="false">IF(AP19=1,AO20+1,0)</f>
        <v>0</v>
      </c>
      <c r="AQ20" s="35" t="n">
        <f aca="false">IF(AQ19=1,AP20+1,0)</f>
        <v>1</v>
      </c>
      <c r="AR20" s="35" t="n">
        <f aca="false">IF(AR19=1,AQ20+1,0)</f>
        <v>2</v>
      </c>
      <c r="AS20" s="35" t="n">
        <f aca="false">IF(AS19=1,AR20+1,0)</f>
        <v>3</v>
      </c>
      <c r="AT20" s="35" t="n">
        <f aca="false">IF(AT19=1,AS20+1,0)</f>
        <v>4</v>
      </c>
      <c r="AU20" s="35" t="n">
        <f aca="false">IF(AU19=1,AT20+1,0)</f>
        <v>5</v>
      </c>
      <c r="AV20" s="35" t="n">
        <f aca="false">IF(AV19=1,AU20+1,0)</f>
        <v>6</v>
      </c>
      <c r="AW20" s="35" t="n">
        <f aca="false">IF(AW19=1,AV20+1,0)</f>
        <v>7</v>
      </c>
      <c r="AX20" s="35" t="n">
        <f aca="false">IF(AX19=1,AW20+1,0)</f>
        <v>8</v>
      </c>
      <c r="AY20" s="35" t="n">
        <f aca="false">IF(AY19=1,AX20+1,0)</f>
        <v>9</v>
      </c>
      <c r="AZ20" s="35" t="n">
        <f aca="false">IF(AZ19=1,AY20+1,0)</f>
        <v>10</v>
      </c>
      <c r="BA20" s="35" t="n">
        <f aca="false">IF(BA19=1,AZ20+1,0)</f>
        <v>11</v>
      </c>
      <c r="BB20" s="35" t="n">
        <f aca="false">IF(BB19=1,BA20+1,0)</f>
        <v>12</v>
      </c>
      <c r="BC20" s="35" t="n">
        <f aca="false">IF(BC19=1,BB20+1,0)</f>
        <v>13</v>
      </c>
      <c r="BD20" s="35" t="n">
        <f aca="false">IF(BD19=1,BC20+1,0)</f>
        <v>14</v>
      </c>
      <c r="BE20" s="35" t="n">
        <f aca="false">IF(BE19=1,BD20+1,0)</f>
        <v>15</v>
      </c>
      <c r="BF20" s="35" t="n">
        <f aca="false">IF(BF19=1,BE20+1,0)</f>
        <v>16</v>
      </c>
      <c r="BG20" s="35" t="n">
        <f aca="false">IF(BG19=1,BF20+1,0)</f>
        <v>17</v>
      </c>
      <c r="BH20" s="35" t="n">
        <f aca="false">IF(BH19=1,BG20+1,0)</f>
        <v>18</v>
      </c>
      <c r="BI20" s="35" t="n">
        <f aca="false">IF(BI19=1,BH20+1,0)</f>
        <v>19</v>
      </c>
      <c r="BJ20" s="35" t="n">
        <f aca="false">IF(BJ19=1,BI20+1,0)</f>
        <v>20</v>
      </c>
      <c r="BK20" s="35" t="n">
        <f aca="false">IF(BK19=1,BJ20+1,0)</f>
        <v>21</v>
      </c>
    </row>
    <row r="21" customFormat="false" ht="15" hidden="false" customHeight="false" outlineLevel="0" collapsed="false">
      <c r="A21" s="28" t="s">
        <v>561</v>
      </c>
      <c r="B21" s="6" t="s">
        <v>562</v>
      </c>
      <c r="C21" s="18" t="n">
        <v>0</v>
      </c>
      <c r="D21" s="13" t="n">
        <f aca="false">MIN(1,D20/Assumptions!$C$77)</f>
        <v>0</v>
      </c>
      <c r="E21" s="13" t="n">
        <f aca="false">MIN(1,E20/Assumptions!$C$77)</f>
        <v>0</v>
      </c>
      <c r="F21" s="13" t="n">
        <f aca="false">MIN(1,F20/Assumptions!$C$77)</f>
        <v>0</v>
      </c>
      <c r="G21" s="13" t="n">
        <f aca="false">MIN(1,G20/Assumptions!$C$77)</f>
        <v>0</v>
      </c>
      <c r="H21" s="13" t="n">
        <f aca="false">MIN(1,H20/Assumptions!$C$77)</f>
        <v>0</v>
      </c>
      <c r="I21" s="13" t="n">
        <f aca="false">MIN(1,I20/Assumptions!$C$77)</f>
        <v>0</v>
      </c>
      <c r="J21" s="13" t="n">
        <f aca="false">MIN(1,J20/Assumptions!$C$77)</f>
        <v>0</v>
      </c>
      <c r="K21" s="13" t="n">
        <f aca="false">MIN(1,K20/Assumptions!$C$77)</f>
        <v>0</v>
      </c>
      <c r="L21" s="13" t="n">
        <f aca="false">MIN(1,L20/Assumptions!$C$77)</f>
        <v>0</v>
      </c>
      <c r="M21" s="13" t="n">
        <f aca="false">MIN(1,M20/Assumptions!$C$77)</f>
        <v>0</v>
      </c>
      <c r="N21" s="13" t="n">
        <f aca="false">MIN(1,N20/Assumptions!$C$77)</f>
        <v>0</v>
      </c>
      <c r="O21" s="13" t="n">
        <f aca="false">MIN(1,O20/Assumptions!$C$77)</f>
        <v>0</v>
      </c>
      <c r="P21" s="13" t="n">
        <f aca="false">MIN(1,P20/Assumptions!$C$77)</f>
        <v>0</v>
      </c>
      <c r="Q21" s="13" t="n">
        <f aca="false">MIN(1,Q20/Assumptions!$C$77)</f>
        <v>0</v>
      </c>
      <c r="R21" s="13" t="n">
        <f aca="false">MIN(1,R20/Assumptions!$C$77)</f>
        <v>0</v>
      </c>
      <c r="S21" s="13" t="n">
        <f aca="false">MIN(1,S20/Assumptions!$C$77)</f>
        <v>0</v>
      </c>
      <c r="T21" s="13" t="n">
        <f aca="false">MIN(1,T20/Assumptions!$C$77)</f>
        <v>0</v>
      </c>
      <c r="U21" s="13" t="n">
        <f aca="false">MIN(1,U20/Assumptions!$C$77)</f>
        <v>0</v>
      </c>
      <c r="V21" s="13" t="n">
        <f aca="false">MIN(1,V20/Assumptions!$C$77)</f>
        <v>0</v>
      </c>
      <c r="W21" s="13" t="n">
        <f aca="false">MIN(1,W20/Assumptions!$C$77)</f>
        <v>0</v>
      </c>
      <c r="X21" s="13" t="n">
        <f aca="false">MIN(1,X20/Assumptions!$C$77)</f>
        <v>0</v>
      </c>
      <c r="Y21" s="13" t="n">
        <f aca="false">MIN(1,Y20/Assumptions!$C$77)</f>
        <v>0</v>
      </c>
      <c r="Z21" s="13" t="n">
        <f aca="false">MIN(1,Z20/Assumptions!$C$77)</f>
        <v>0</v>
      </c>
      <c r="AA21" s="13" t="n">
        <f aca="false">MIN(1,AA20/Assumptions!$C$77)</f>
        <v>0</v>
      </c>
      <c r="AB21" s="13" t="n">
        <f aca="false">MIN(1,AB20/Assumptions!$C$77)</f>
        <v>0</v>
      </c>
      <c r="AC21" s="13" t="n">
        <f aca="false">MIN(1,AC20/Assumptions!$C$77)</f>
        <v>0</v>
      </c>
      <c r="AD21" s="13" t="n">
        <f aca="false">MIN(1,AD20/Assumptions!$C$77)</f>
        <v>0</v>
      </c>
      <c r="AE21" s="13" t="n">
        <f aca="false">MIN(1,AE20/Assumptions!$C$77)</f>
        <v>0</v>
      </c>
      <c r="AF21" s="13" t="n">
        <f aca="false">MIN(1,AF20/Assumptions!$C$77)</f>
        <v>0</v>
      </c>
      <c r="AG21" s="13" t="n">
        <f aca="false">MIN(1,AG20/Assumptions!$C$77)</f>
        <v>0</v>
      </c>
      <c r="AH21" s="13" t="n">
        <f aca="false">MIN(1,AH20/Assumptions!$C$77)</f>
        <v>0</v>
      </c>
      <c r="AI21" s="13" t="n">
        <f aca="false">MIN(1,AI20/Assumptions!$C$77)</f>
        <v>0</v>
      </c>
      <c r="AJ21" s="13" t="n">
        <f aca="false">MIN(1,AJ20/Assumptions!$C$77)</f>
        <v>0</v>
      </c>
      <c r="AK21" s="13" t="n">
        <f aca="false">MIN(1,AK20/Assumptions!$C$77)</f>
        <v>0</v>
      </c>
      <c r="AL21" s="13" t="n">
        <f aca="false">MIN(1,AL20/Assumptions!$C$77)</f>
        <v>0</v>
      </c>
      <c r="AM21" s="13" t="n">
        <f aca="false">MIN(1,AM20/Assumptions!$C$77)</f>
        <v>0</v>
      </c>
      <c r="AN21" s="41" t="n">
        <f aca="false">MIN(1,AN20/Assumptions!$C$77)</f>
        <v>0</v>
      </c>
      <c r="AO21" s="41" t="n">
        <f aca="false">MIN(1,AO20/Assumptions!$C$77)</f>
        <v>0</v>
      </c>
      <c r="AP21" s="41" t="n">
        <f aca="false">MIN(1,AP20/Assumptions!$C$77)</f>
        <v>0</v>
      </c>
      <c r="AQ21" s="41" t="n">
        <f aca="false">MIN(1,AQ20/Assumptions!$C$77)</f>
        <v>0.166666666666667</v>
      </c>
      <c r="AR21" s="41" t="n">
        <f aca="false">MIN(1,AR20/Assumptions!$C$77)</f>
        <v>0.333333333333333</v>
      </c>
      <c r="AS21" s="41" t="n">
        <f aca="false">MIN(1,AS20/Assumptions!$C$77)</f>
        <v>0.5</v>
      </c>
      <c r="AT21" s="41" t="n">
        <f aca="false">MIN(1,AT20/Assumptions!$C$77)</f>
        <v>0.666666666666667</v>
      </c>
      <c r="AU21" s="41" t="n">
        <f aca="false">MIN(1,AU20/Assumptions!$C$77)</f>
        <v>0.833333333333333</v>
      </c>
      <c r="AV21" s="41" t="n">
        <f aca="false">MIN(1,AV20/Assumptions!$C$77)</f>
        <v>1</v>
      </c>
      <c r="AW21" s="41" t="n">
        <f aca="false">MIN(1,AW20/Assumptions!$C$77)</f>
        <v>1</v>
      </c>
      <c r="AX21" s="41" t="n">
        <f aca="false">MIN(1,AX20/Assumptions!$C$77)</f>
        <v>1</v>
      </c>
      <c r="AY21" s="41" t="n">
        <f aca="false">MIN(1,AY20/Assumptions!$C$77)</f>
        <v>1</v>
      </c>
      <c r="AZ21" s="41" t="n">
        <f aca="false">MIN(1,AZ20/Assumptions!$C$77)</f>
        <v>1</v>
      </c>
      <c r="BA21" s="41" t="n">
        <f aca="false">MIN(1,BA20/Assumptions!$C$77)</f>
        <v>1</v>
      </c>
      <c r="BB21" s="41" t="n">
        <f aca="false">MIN(1,BB20/Assumptions!$C$77)</f>
        <v>1</v>
      </c>
      <c r="BC21" s="41" t="n">
        <f aca="false">MIN(1,BC20/Assumptions!$C$77)</f>
        <v>1</v>
      </c>
      <c r="BD21" s="41" t="n">
        <f aca="false">MIN(1,BD20/Assumptions!$C$77)</f>
        <v>1</v>
      </c>
      <c r="BE21" s="41" t="n">
        <f aca="false">MIN(1,BE20/Assumptions!$C$77)</f>
        <v>1</v>
      </c>
      <c r="BF21" s="41" t="n">
        <f aca="false">MIN(1,BF20/Assumptions!$C$77)</f>
        <v>1</v>
      </c>
      <c r="BG21" s="41" t="n">
        <f aca="false">MIN(1,BG20/Assumptions!$C$77)</f>
        <v>1</v>
      </c>
      <c r="BH21" s="41" t="n">
        <f aca="false">MIN(1,BH20/Assumptions!$C$77)</f>
        <v>1</v>
      </c>
      <c r="BI21" s="41" t="n">
        <f aca="false">MIN(1,BI20/Assumptions!$C$77)</f>
        <v>1</v>
      </c>
      <c r="BJ21" s="41" t="n">
        <f aca="false">MIN(1,BJ20/Assumptions!$C$77)</f>
        <v>1</v>
      </c>
      <c r="BK21" s="41" t="n">
        <f aca="false">MIN(1,BK20/Assumptions!$C$77)</f>
        <v>1</v>
      </c>
    </row>
    <row r="22" customFormat="false" ht="15" hidden="false" customHeight="false" outlineLevel="0" collapsed="false">
      <c r="B22" s="5" t="s">
        <v>563</v>
      </c>
    </row>
    <row r="23" customFormat="false" ht="15" hidden="false" customHeight="false" outlineLevel="0" collapsed="false">
      <c r="A23" s="28" t="s">
        <v>564</v>
      </c>
      <c r="B23" s="6" t="s">
        <v>565</v>
      </c>
      <c r="C23" s="32" t="n">
        <v>0</v>
      </c>
      <c r="D23" s="34" t="n">
        <f aca="false">C23+(D13*Assumptions!$C$13-C23)*Assumptions!$C$14</f>
        <v>0</v>
      </c>
      <c r="E23" s="34" t="n">
        <f aca="false">D23+(E13*Assumptions!$C$13-D23)*Assumptions!$C$14</f>
        <v>0</v>
      </c>
      <c r="F23" s="34" t="n">
        <f aca="false">E23+(F13*Assumptions!$C$13-E23)*Assumptions!$C$14</f>
        <v>0</v>
      </c>
      <c r="G23" s="34" t="n">
        <f aca="false">F23+(G13*Assumptions!$C$13-F23)*Assumptions!$C$14</f>
        <v>0</v>
      </c>
      <c r="H23" s="34" t="n">
        <f aca="false">G23+(H13*Assumptions!$C$13-G23)*Assumptions!$C$14</f>
        <v>107.1</v>
      </c>
      <c r="I23" s="34" t="n">
        <f aca="false">H23+(I13*Assumptions!$C$13-H23)*Assumptions!$C$14</f>
        <v>269.3565</v>
      </c>
      <c r="J23" s="34" t="n">
        <f aca="false">I23+(J13*Assumptions!$C$13-I23)*Assumptions!$C$14</f>
        <v>436.0871025</v>
      </c>
      <c r="K23" s="34" t="n">
        <f aca="false">J23+(K13*Assumptions!$C$13-J23)*Assumptions!$C$14</f>
        <v>690.4869134625</v>
      </c>
      <c r="L23" s="34" t="n">
        <f aca="false">K23+(L13*Assumptions!$C$13-K23)*Assumptions!$C$14</f>
        <v>969.693336135563</v>
      </c>
      <c r="M23" s="34" t="n">
        <f aca="false">L23+(M13*Assumptions!$C$13-L23)*Assumptions!$C$14</f>
        <v>1229.04435823728</v>
      </c>
      <c r="N23" s="34" t="n">
        <f aca="false">M23+(N13*Assumptions!$C$13-M23)*Assumptions!$C$14</f>
        <v>1542.86536725716</v>
      </c>
      <c r="O23" s="34" t="n">
        <f aca="false">N23+(O13*Assumptions!$C$13-N23)*Assumptions!$C$14</f>
        <v>1967.02522510403</v>
      </c>
      <c r="P23" s="34" t="n">
        <f aca="false">O23+(P13*Assumptions!$C$13-O23)*Assumptions!$C$14</f>
        <v>2412.4786916587</v>
      </c>
      <c r="Q23" s="34" t="n">
        <f aca="false">P23+(Q13*Assumptions!$C$13-P23)*Assumptions!$C$14</f>
        <v>2907.78276048912</v>
      </c>
      <c r="R23" s="34" t="n">
        <f aca="false">Q23+(R13*Assumptions!$C$13-Q23)*Assumptions!$C$14</f>
        <v>3488.09533106523</v>
      </c>
      <c r="S23" s="34" t="n">
        <f aca="false">R23+(S13*Assumptions!$C$13-R23)*Assumptions!$C$14</f>
        <v>4055.52795388848</v>
      </c>
      <c r="T23" s="34" t="n">
        <f aca="false">S23+(T13*Assumptions!$C$13-S23)*Assumptions!$C$14</f>
        <v>4646.00716889316</v>
      </c>
      <c r="U23" s="34" t="n">
        <f aca="false">T23+(U13*Assumptions!$C$13-T23)*Assumptions!$C$14</f>
        <v>5286.69794866322</v>
      </c>
      <c r="V23" s="34" t="n">
        <f aca="false">U23+(V13*Assumptions!$C$13-U23)*Assumptions!$C$14</f>
        <v>5999.01305618051</v>
      </c>
      <c r="W23" s="34" t="n">
        <f aca="false">V23+(W13*Assumptions!$C$13-V23)*Assumptions!$C$14</f>
        <v>6774.86598522351</v>
      </c>
      <c r="X23" s="34" t="n">
        <f aca="false">W23+(X13*Assumptions!$C$13-W23)*Assumptions!$C$14</f>
        <v>7595.89377662087</v>
      </c>
      <c r="Y23" s="34" t="n">
        <f aca="false">X23+(Y13*Assumptions!$C$13-X23)*Assumptions!$C$14</f>
        <v>8462.95437773577</v>
      </c>
      <c r="Z23" s="34" t="n">
        <f aca="false">Y23+(Z13*Assumptions!$C$13-Y23)*Assumptions!$C$14</f>
        <v>9359.21941711647</v>
      </c>
      <c r="AA23" s="34" t="n">
        <f aca="false">Z23+(AA13*Assumptions!$C$13-Z23)*Assumptions!$C$14</f>
        <v>10273.7612066401</v>
      </c>
      <c r="AB23" s="34" t="n">
        <f aca="false">AA23+(AB13*Assumptions!$C$13-AA23)*Assumptions!$C$14</f>
        <v>11199.4873410478</v>
      </c>
      <c r="AC23" s="34" t="n">
        <f aca="false">AB23+(AC13*Assumptions!$C$13-AB23)*Assumptions!$C$14</f>
        <v>12131.7981900617</v>
      </c>
      <c r="AD23" s="34" t="n">
        <f aca="false">AC23+(AD13*Assumptions!$C$13-AC23)*Assumptions!$C$14</f>
        <v>13067.7142706451</v>
      </c>
      <c r="AE23" s="34" t="n">
        <f aca="false">AD23+(AE13*Assumptions!$C$13-AD23)*Assumptions!$C$14</f>
        <v>14001.0250413178</v>
      </c>
      <c r="AF23" s="34" t="n">
        <f aca="false">AE23+(AF13*Assumptions!$C$13-AE23)*Assumptions!$C$14</f>
        <v>15039.151880774</v>
      </c>
      <c r="AG23" s="34" t="n">
        <f aca="false">AF23+(AG13*Assumptions!$C$13-AF23)*Assumptions!$C$14</f>
        <v>16130.3690423618</v>
      </c>
      <c r="AH23" s="34" t="n">
        <f aca="false">AG23+(AH13*Assumptions!$C$13-AG23)*Assumptions!$C$14</f>
        <v>17219.860392596</v>
      </c>
      <c r="AI23" s="34" t="n">
        <f aca="false">AH23+(AI13*Assumptions!$C$13-AH23)*Assumptions!$C$14</f>
        <v>18392.4909625223</v>
      </c>
      <c r="AJ23" s="34" t="n">
        <f aca="false">AI23+(AJ13*Assumptions!$C$13-AI23)*Assumptions!$C$14</f>
        <v>19586.4911073643</v>
      </c>
      <c r="AK23" s="34" t="n">
        <f aca="false">AJ23+(AK13*Assumptions!$C$13-AJ23)*Assumptions!$C$14</f>
        <v>20753.6326217858</v>
      </c>
      <c r="AL23" s="34" t="n">
        <f aca="false">AK23+(AL13*Assumptions!$C$13-AK23)*Assumptions!$C$14</f>
        <v>21965.9944051298</v>
      </c>
      <c r="AM23" s="34" t="n">
        <f aca="false">AL23+(AM13*Assumptions!$C$13-AL23)*Assumptions!$C$14</f>
        <v>23175.2395662888</v>
      </c>
      <c r="AN23" s="35" t="n">
        <f aca="false">AM23+(AN13*Assumptions!$C$13-AM23)*Assumptions!$C$14</f>
        <v>24341.8687729979</v>
      </c>
      <c r="AO23" s="35" t="n">
        <f aca="false">AN23+(AO13*Assumptions!$C$13-AN23)*Assumptions!$C$14</f>
        <v>25543.6323115351</v>
      </c>
      <c r="AP23" s="35" t="n">
        <f aca="false">AO23+(AP13*Assumptions!$C$13-AO23)*Assumptions!$C$14</f>
        <v>26735.877347448</v>
      </c>
      <c r="AQ23" s="35" t="n">
        <f aca="false">AP23+(AQ13*Assumptions!$C$13-AP23)*Assumptions!$C$14</f>
        <v>27881.4968756172</v>
      </c>
      <c r="AR23" s="35" t="n">
        <f aca="false">AQ23+(AR13*Assumptions!$C$13-AQ23)*Assumptions!$C$14</f>
        <v>29059.7939199305</v>
      </c>
      <c r="AS23" s="35" t="n">
        <f aca="false">AR23+(AS13*Assumptions!$C$13-AR23)*Assumptions!$C$14</f>
        <v>30222.8386844724</v>
      </c>
      <c r="AT23" s="35" t="n">
        <f aca="false">AS23+(AT13*Assumptions!$C$13-AS23)*Assumptions!$C$14</f>
        <v>31335.7401918769</v>
      </c>
      <c r="AU23" s="35" t="n">
        <f aca="false">AT23+(AU13*Assumptions!$C$13-AT23)*Assumptions!$C$14</f>
        <v>32479.2387459853</v>
      </c>
      <c r="AV23" s="35" t="n">
        <f aca="false">AU23+(AV13*Assumptions!$C$13-AU23)*Assumptions!$C$14</f>
        <v>33606.3356918368</v>
      </c>
      <c r="AW23" s="35" t="n">
        <f aca="false">AV23+(AW13*Assumptions!$C$13-AV23)*Assumptions!$C$14</f>
        <v>34682.7422490361</v>
      </c>
      <c r="AX23" s="35" t="n">
        <f aca="false">AW23+(AX13*Assumptions!$C$13-AW23)*Assumptions!$C$14</f>
        <v>35789.5871504754</v>
      </c>
      <c r="AY23" s="35" t="n">
        <f aca="false">AX23+(AY13*Assumptions!$C$13-AX23)*Assumptions!$C$14</f>
        <v>36880.121266082</v>
      </c>
      <c r="AZ23" s="35" t="n">
        <f aca="false">AY23+(AZ13*Assumptions!$C$13-AY23)*Assumptions!$C$14</f>
        <v>37920.2150969522</v>
      </c>
      <c r="BA23" s="35" t="n">
        <f aca="false">AZ23+(BA13*Assumptions!$C$13-AZ23)*Assumptions!$C$14</f>
        <v>38991.0980429078</v>
      </c>
      <c r="BB23" s="35" t="n">
        <f aca="false">BA23+(BB13*Assumptions!$C$13-BA23)*Assumptions!$C$14</f>
        <v>40046.0835843306</v>
      </c>
      <c r="BC23" s="35" t="n">
        <f aca="false">BB23+(BC13*Assumptions!$C$13-BB23)*Assumptions!$C$14</f>
        <v>41046.7961384089</v>
      </c>
      <c r="BD23" s="35" t="n">
        <f aca="false">BC23+(BD13*Assumptions!$C$13-BC23)*Assumptions!$C$14</f>
        <v>42076.0506714308</v>
      </c>
      <c r="BE23" s="35" t="n">
        <f aca="false">BD23+(BE13*Assumptions!$C$13-BD23)*Assumptions!$C$14</f>
        <v>43088.1876201731</v>
      </c>
      <c r="BF23" s="35" t="n">
        <f aca="false">BE23+(BF13*Assumptions!$C$13-BE23)*Assumptions!$C$14</f>
        <v>44045.4953165994</v>
      </c>
      <c r="BG23" s="35" t="n">
        <f aca="false">BF23+(BG13*Assumptions!$C$13-BF23)*Assumptions!$C$14</f>
        <v>45031.2167188242</v>
      </c>
      <c r="BH23" s="35" t="n">
        <f aca="false">BG23+(BH13*Assumptions!$C$13-BG23)*Assumptions!$C$14</f>
        <v>45999.9669588249</v>
      </c>
      <c r="BI23" s="35" t="n">
        <f aca="false">BH23+(BI13*Assumptions!$C$13-BH23)*Assumptions!$C$14</f>
        <v>46914.2094734514</v>
      </c>
      <c r="BJ23" s="35" t="n">
        <f aca="false">BI23+(BJ13*Assumptions!$C$13-BI23)*Assumptions!$C$14</f>
        <v>47857.2976437055</v>
      </c>
      <c r="BK23" s="35" t="n">
        <f aca="false">BJ23+(BK13*Assumptions!$C$13-BJ23)*Assumptions!$C$14</f>
        <v>48783.9150320812</v>
      </c>
    </row>
    <row r="24" customFormat="false" ht="15" hidden="false" customHeight="false" outlineLevel="0" collapsed="false">
      <c r="A24" s="28" t="s">
        <v>566</v>
      </c>
      <c r="B24" s="6" t="s">
        <v>567</v>
      </c>
      <c r="C24" s="32" t="n">
        <v>0</v>
      </c>
      <c r="D24" s="34" t="n">
        <f aca="false">D23/Assumptions!$C$15</f>
        <v>0</v>
      </c>
      <c r="E24" s="34" t="n">
        <f aca="false">E23/Assumptions!$C$15</f>
        <v>0</v>
      </c>
      <c r="F24" s="34" t="n">
        <f aca="false">F23/Assumptions!$C$15</f>
        <v>0</v>
      </c>
      <c r="G24" s="34" t="n">
        <f aca="false">G23/Assumptions!$C$15</f>
        <v>0</v>
      </c>
      <c r="H24" s="34" t="n">
        <f aca="false">H23/Assumptions!$C$15</f>
        <v>76.5</v>
      </c>
      <c r="I24" s="34" t="n">
        <f aca="false">I23/Assumptions!$C$15</f>
        <v>192.3975</v>
      </c>
      <c r="J24" s="34" t="n">
        <f aca="false">J23/Assumptions!$C$15</f>
        <v>311.4907875</v>
      </c>
      <c r="K24" s="34" t="n">
        <f aca="false">K23/Assumptions!$C$15</f>
        <v>493.2049381875</v>
      </c>
      <c r="L24" s="34" t="n">
        <f aca="false">L23/Assumptions!$C$15</f>
        <v>692.638097239688</v>
      </c>
      <c r="M24" s="34" t="n">
        <f aca="false">M23/Assumptions!$C$15</f>
        <v>877.888827312342</v>
      </c>
      <c r="N24" s="34" t="n">
        <f aca="false">N23/Assumptions!$C$15</f>
        <v>1102.04669089797</v>
      </c>
      <c r="O24" s="34" t="n">
        <f aca="false">O23/Assumptions!$C$15</f>
        <v>1405.01801793145</v>
      </c>
      <c r="P24" s="34" t="n">
        <f aca="false">P23/Assumptions!$C$15</f>
        <v>1723.1990654705</v>
      </c>
      <c r="Q24" s="34" t="n">
        <f aca="false">Q23/Assumptions!$C$15</f>
        <v>2076.98768606366</v>
      </c>
      <c r="R24" s="34" t="n">
        <f aca="false">R23/Assumptions!$C$15</f>
        <v>2491.49666504659</v>
      </c>
      <c r="S24" s="34" t="n">
        <f aca="false">S23/Assumptions!$C$15</f>
        <v>2896.80568134892</v>
      </c>
      <c r="T24" s="34" t="n">
        <f aca="false">T23/Assumptions!$C$15</f>
        <v>3318.5765492094</v>
      </c>
      <c r="U24" s="34" t="n">
        <f aca="false">U23/Assumptions!$C$15</f>
        <v>3776.21282047373</v>
      </c>
      <c r="V24" s="34" t="n">
        <f aca="false">V23/Assumptions!$C$15</f>
        <v>4285.00932584322</v>
      </c>
      <c r="W24" s="34" t="n">
        <f aca="false">W23/Assumptions!$C$15</f>
        <v>4839.18998944537</v>
      </c>
      <c r="X24" s="34" t="n">
        <f aca="false">X23/Assumptions!$C$15</f>
        <v>5425.63841187205</v>
      </c>
      <c r="Y24" s="34" t="n">
        <f aca="false">Y23/Assumptions!$C$15</f>
        <v>6044.96741266841</v>
      </c>
      <c r="Z24" s="34" t="n">
        <f aca="false">Z23/Assumptions!$C$15</f>
        <v>6685.15672651177</v>
      </c>
      <c r="AA24" s="34" t="n">
        <f aca="false">AA23/Assumptions!$C$15</f>
        <v>7338.40086188579</v>
      </c>
      <c r="AB24" s="34" t="n">
        <f aca="false">AB23/Assumptions!$C$15</f>
        <v>7999.63381503411</v>
      </c>
      <c r="AC24" s="34" t="n">
        <f aca="false">AC23/Assumptions!$C$15</f>
        <v>8665.57013575839</v>
      </c>
      <c r="AD24" s="34" t="n">
        <f aca="false">AD23/Assumptions!$C$15</f>
        <v>9334.08162188938</v>
      </c>
      <c r="AE24" s="34" t="n">
        <f aca="false">AE23/Assumptions!$C$15</f>
        <v>10000.7321723698</v>
      </c>
      <c r="AF24" s="34" t="n">
        <f aca="false">AF23/Assumptions!$C$15</f>
        <v>10742.25134341</v>
      </c>
      <c r="AG24" s="34" t="n">
        <f aca="false">AG23/Assumptions!$C$15</f>
        <v>11521.6921731156</v>
      </c>
      <c r="AH24" s="34" t="n">
        <f aca="false">AH23/Assumptions!$C$15</f>
        <v>12299.9002804257</v>
      </c>
      <c r="AI24" s="34" t="n">
        <f aca="false">AI23/Assumptions!$C$15</f>
        <v>13137.4935446588</v>
      </c>
      <c r="AJ24" s="34" t="n">
        <f aca="false">AJ23/Assumptions!$C$15</f>
        <v>13990.3507909745</v>
      </c>
      <c r="AK24" s="34" t="n">
        <f aca="false">AK23/Assumptions!$C$15</f>
        <v>14824.0233012756</v>
      </c>
      <c r="AL24" s="34" t="n">
        <f aca="false">AL23/Assumptions!$C$15</f>
        <v>15689.9960036641</v>
      </c>
      <c r="AM24" s="34" t="n">
        <f aca="false">AM23/Assumptions!$C$15</f>
        <v>16553.7425473492</v>
      </c>
      <c r="AN24" s="35" t="n">
        <f aca="false">AN23/Assumptions!$C$15</f>
        <v>17387.0491235699</v>
      </c>
      <c r="AO24" s="35" t="n">
        <f aca="false">AO23/Assumptions!$C$15</f>
        <v>18245.4516510965</v>
      </c>
      <c r="AP24" s="35" t="n">
        <f aca="false">AP23/Assumptions!$C$15</f>
        <v>19097.0552481772</v>
      </c>
      <c r="AQ24" s="35" t="n">
        <f aca="false">AQ23/Assumptions!$C$15</f>
        <v>19915.3549111551</v>
      </c>
      <c r="AR24" s="35" t="n">
        <f aca="false">AR23/Assumptions!$C$15</f>
        <v>20756.9956570932</v>
      </c>
      <c r="AS24" s="35" t="n">
        <f aca="false">AS23/Assumptions!$C$15</f>
        <v>21587.7419174803</v>
      </c>
      <c r="AT24" s="35" t="n">
        <f aca="false">AT23/Assumptions!$C$15</f>
        <v>22382.6715656264</v>
      </c>
      <c r="AU24" s="35" t="n">
        <f aca="false">AU23/Assumptions!$C$15</f>
        <v>23199.4562471324</v>
      </c>
      <c r="AV24" s="35" t="n">
        <f aca="false">AV23/Assumptions!$C$15</f>
        <v>24004.5254941691</v>
      </c>
      <c r="AW24" s="35" t="n">
        <f aca="false">AW23/Assumptions!$C$15</f>
        <v>24773.38732074</v>
      </c>
      <c r="AX24" s="35" t="n">
        <f aca="false">AX23/Assumptions!$C$15</f>
        <v>25563.9908217682</v>
      </c>
      <c r="AY24" s="35" t="n">
        <f aca="false">AY23/Assumptions!$C$15</f>
        <v>26342.9437614871</v>
      </c>
      <c r="AZ24" s="35" t="n">
        <f aca="false">AZ23/Assumptions!$C$15</f>
        <v>27085.8679263944</v>
      </c>
      <c r="BA24" s="35" t="n">
        <f aca="false">BA23/Assumptions!$C$15</f>
        <v>27850.7843163627</v>
      </c>
      <c r="BB24" s="35" t="n">
        <f aca="false">BB23/Assumptions!$C$15</f>
        <v>28604.345417379</v>
      </c>
      <c r="BC24" s="35" t="n">
        <f aca="false">BC23/Assumptions!$C$15</f>
        <v>29319.1400988635</v>
      </c>
      <c r="BD24" s="35" t="n">
        <f aca="false">BD23/Assumptions!$C$15</f>
        <v>30054.3219081649</v>
      </c>
      <c r="BE24" s="35" t="n">
        <f aca="false">BE23/Assumptions!$C$15</f>
        <v>30777.2768715522</v>
      </c>
      <c r="BF24" s="35" t="n">
        <f aca="false">BF23/Assumptions!$C$15</f>
        <v>31461.0680832853</v>
      </c>
      <c r="BG24" s="35" t="n">
        <f aca="false">BG23/Assumptions!$C$15</f>
        <v>32165.1547991602</v>
      </c>
      <c r="BH24" s="35" t="n">
        <f aca="false">BH23/Assumptions!$C$15</f>
        <v>32857.1192563035</v>
      </c>
      <c r="BI24" s="35" t="n">
        <f aca="false">BI23/Assumptions!$C$15</f>
        <v>33510.1496238939</v>
      </c>
      <c r="BJ24" s="35" t="n">
        <f aca="false">BJ23/Assumptions!$C$15</f>
        <v>34183.7840312182</v>
      </c>
      <c r="BK24" s="35" t="n">
        <f aca="false">BK23/Assumptions!$C$15</f>
        <v>34845.6535943437</v>
      </c>
    </row>
    <row r="25" customFormat="false" ht="15" hidden="false" customHeight="false" outlineLevel="0" collapsed="false">
      <c r="A25" s="28" t="s">
        <v>568</v>
      </c>
      <c r="B25" s="6" t="s">
        <v>569</v>
      </c>
      <c r="C25" s="32" t="n">
        <v>0</v>
      </c>
      <c r="D25" s="34" t="n">
        <f aca="false">MAX(0,D24-C24)+C24*Assumptions!$C$16</f>
        <v>0</v>
      </c>
      <c r="E25" s="34" t="n">
        <f aca="false">MAX(0,E24-D24)+D24*Assumptions!$C$16</f>
        <v>0</v>
      </c>
      <c r="F25" s="34" t="n">
        <f aca="false">MAX(0,F24-E24)+E24*Assumptions!$C$16</f>
        <v>0</v>
      </c>
      <c r="G25" s="34" t="n">
        <f aca="false">MAX(0,G24-F24)+F24*Assumptions!$C$16</f>
        <v>0</v>
      </c>
      <c r="H25" s="34" t="n">
        <f aca="false">MAX(0,H24-G24)+G24*Assumptions!$C$16</f>
        <v>76.5</v>
      </c>
      <c r="I25" s="34" t="n">
        <f aca="false">MAX(0,I24-H24)+H24*Assumptions!$C$16</f>
        <v>118.9575</v>
      </c>
      <c r="J25" s="34" t="n">
        <f aca="false">MAX(0,J24-I24)+I24*Assumptions!$C$16</f>
        <v>126.7891875</v>
      </c>
      <c r="K25" s="34" t="n">
        <f aca="false">MAX(0,K24-J24)+J24*Assumptions!$C$16</f>
        <v>194.1737821875</v>
      </c>
      <c r="L25" s="34" t="n">
        <f aca="false">MAX(0,L24-K24)+K24*Assumptions!$C$16</f>
        <v>219.161356579688</v>
      </c>
      <c r="M25" s="34" t="n">
        <f aca="false">MAX(0,M24-L24)+L24*Assumptions!$C$16</f>
        <v>212.956253962242</v>
      </c>
      <c r="N25" s="34" t="n">
        <f aca="false">MAX(0,N24-M24)+M24*Assumptions!$C$16</f>
        <v>259.273416678121</v>
      </c>
      <c r="O25" s="34" t="n">
        <f aca="false">MAX(0,O24-N24)+N24*Assumptions!$C$16</f>
        <v>347.053194669403</v>
      </c>
      <c r="P25" s="34" t="n">
        <f aca="false">MAX(0,P24-O24)+O24*Assumptions!$C$16</f>
        <v>374.381768256306</v>
      </c>
      <c r="Q25" s="34" t="n">
        <f aca="false">MAX(0,Q24-P24)+P24*Assumptions!$C$16</f>
        <v>422.716583211975</v>
      </c>
      <c r="R25" s="34" t="n">
        <f aca="false">MAX(0,R24-Q24)+Q24*Assumptions!$C$16</f>
        <v>497.58848642548</v>
      </c>
      <c r="S25" s="34" t="n">
        <f aca="false">MAX(0,S24-R24)+R24*Assumptions!$C$16</f>
        <v>504.968882904192</v>
      </c>
      <c r="T25" s="34" t="n">
        <f aca="false">MAX(0,T24-S24)+S24*Assumptions!$C$16</f>
        <v>537.64309511444</v>
      </c>
      <c r="U25" s="34" t="n">
        <f aca="false">MAX(0,U24-T24)+T24*Assumptions!$C$16</f>
        <v>590.379333232702</v>
      </c>
      <c r="V25" s="34" t="n">
        <f aca="false">MAX(0,V24-U24)+U24*Assumptions!$C$16</f>
        <v>659.845018188447</v>
      </c>
      <c r="W25" s="34" t="n">
        <f aca="false">MAX(0,W24-V24)+V24*Assumptions!$C$16</f>
        <v>725.581036635872</v>
      </c>
      <c r="X25" s="34" t="n">
        <f aca="false">MAX(0,X24-W24)+W24*Assumptions!$C$16</f>
        <v>780.0160220045</v>
      </c>
      <c r="Y25" s="34" t="n">
        <f aca="false">MAX(0,Y24-X24)+X24*Assumptions!$C$16</f>
        <v>836.354537271239</v>
      </c>
      <c r="Z25" s="34" t="n">
        <f aca="false">MAX(0,Z24-Y24)+Y24*Assumptions!$C$16</f>
        <v>881.988010350093</v>
      </c>
      <c r="AA25" s="34" t="n">
        <f aca="false">MAX(0,AA24-Z24)+Z24*Assumptions!$C$16</f>
        <v>920.650404434494</v>
      </c>
      <c r="AB25" s="34" t="n">
        <f aca="false">MAX(0,AB24-AA24)+AA24*Assumptions!$C$16</f>
        <v>954.76898762375</v>
      </c>
      <c r="AC25" s="34" t="n">
        <f aca="false">MAX(0,AC24-AB24)+AB24*Assumptions!$C$16</f>
        <v>985.921673325646</v>
      </c>
      <c r="AD25" s="34" t="n">
        <f aca="false">MAX(0,AD24-AC24)+AC24*Assumptions!$C$16</f>
        <v>1015.13429156132</v>
      </c>
      <c r="AE25" s="34" t="n">
        <f aca="false">MAX(0,AE24-AD24)+AD24*Assumptions!$C$16</f>
        <v>1040.01381535602</v>
      </c>
      <c r="AF25" s="34" t="n">
        <f aca="false">MAX(0,AF24-AE24)+AE24*Assumptions!$C$16</f>
        <v>1141.54845793496</v>
      </c>
      <c r="AG25" s="34" t="n">
        <f aca="false">MAX(0,AG24-AF24)+AF24*Assumptions!$C$16</f>
        <v>1209.13088344196</v>
      </c>
      <c r="AH25" s="34" t="n">
        <f aca="false">MAX(0,AH24-AG24)+AG24*Assumptions!$C$16</f>
        <v>1239.07579423475</v>
      </c>
      <c r="AI25" s="34" t="n">
        <f aca="false">MAX(0,AI24-AH24)+AH24*Assumptions!$C$16</f>
        <v>1329.5892754501</v>
      </c>
      <c r="AJ25" s="34" t="n">
        <f aca="false">MAX(0,AJ24-AI24)+AI24*Assumptions!$C$16</f>
        <v>1378.35698810212</v>
      </c>
      <c r="AK25" s="34" t="n">
        <f aca="false">MAX(0,AK24-AJ24)+AJ24*Assumptions!$C$16</f>
        <v>1393.28654194004</v>
      </c>
      <c r="AL25" s="34" t="n">
        <f aca="false">MAX(0,AL24-AK24)+AK24*Assumptions!$C$16</f>
        <v>1458.93363443958</v>
      </c>
      <c r="AM25" s="34" t="n">
        <f aca="false">MAX(0,AM24-AL24)+AL24*Assumptions!$C$16</f>
        <v>1491.3463838316</v>
      </c>
      <c r="AN25" s="35" t="n">
        <f aca="false">MAX(0,AN24-AM24)+AM24*Assumptions!$C$16</f>
        <v>1495.45627811473</v>
      </c>
      <c r="AO25" s="35" t="n">
        <f aca="false">MAX(0,AO24-AN24)+AN24*Assumptions!$C$16</f>
        <v>1553.88449246939</v>
      </c>
      <c r="AP25" s="35" t="n">
        <f aca="false">MAX(0,AP24-AO24)+AO24*Assumptions!$C$16</f>
        <v>1581.42166312451</v>
      </c>
      <c r="AQ25" s="35" t="n">
        <f aca="false">MAX(0,AQ24-AP24)+AP24*Assumptions!$C$16</f>
        <v>1582.18187290504</v>
      </c>
      <c r="AR25" s="35" t="n">
        <f aca="false">MAX(0,AR24-AQ24)+AQ24*Assumptions!$C$16</f>
        <v>1638.25494238428</v>
      </c>
      <c r="AS25" s="35" t="n">
        <f aca="false">MAX(0,AS24-AR24)+AR24*Assumptions!$C$16</f>
        <v>1661.02608667084</v>
      </c>
      <c r="AT25" s="35" t="n">
        <f aca="false">MAX(0,AT24-AS24)+AS24*Assumptions!$C$16</f>
        <v>1658.43932484529</v>
      </c>
      <c r="AU25" s="35" t="n">
        <f aca="false">MAX(0,AU24-AT24)+AT24*Assumptions!$C$16</f>
        <v>1712.09154413104</v>
      </c>
      <c r="AV25" s="35" t="n">
        <f aca="false">MAX(0,AV24-AU24)+AU24*Assumptions!$C$16</f>
        <v>1733.04749692206</v>
      </c>
      <c r="AW25" s="35" t="n">
        <f aca="false">MAX(0,AW24-AV24)+AV24*Assumptions!$C$16</f>
        <v>1729.04284633766</v>
      </c>
      <c r="AX25" s="35" t="n">
        <f aca="false">MAX(0,AX24-AW24)+AW24*Assumptions!$C$16</f>
        <v>1781.53899385773</v>
      </c>
      <c r="AY25" s="35" t="n">
        <f aca="false">MAX(0,AY24-AX24)+AX24*Assumptions!$C$16</f>
        <v>1801.51257258971</v>
      </c>
      <c r="AZ25" s="35" t="n">
        <f aca="false">MAX(0,AZ24-AY24)+AY24*Assumptions!$C$16</f>
        <v>1796.64191536675</v>
      </c>
      <c r="BA25" s="35" t="n">
        <f aca="false">MAX(0,BA24-AZ24)+AZ24*Assumptions!$C$16</f>
        <v>1848.35110702409</v>
      </c>
      <c r="BB25" s="35" t="n">
        <f aca="false">MAX(0,BB24-BA24)+BA24*Assumptions!$C$16</f>
        <v>1867.59247367081</v>
      </c>
      <c r="BC25" s="35" t="n">
        <f aca="false">MAX(0,BC24-BB24)+BB24*Assumptions!$C$16</f>
        <v>1858.96849817961</v>
      </c>
      <c r="BD25" s="35" t="n">
        <f aca="false">MAX(0,BD24-BC24)+BC24*Assumptions!$C$16</f>
        <v>1907.94741325592</v>
      </c>
      <c r="BE25" s="35" t="n">
        <f aca="false">MAX(0,BE24-BD24)+BD24*Assumptions!$C$16</f>
        <v>1925.12783971394</v>
      </c>
      <c r="BF25" s="35" t="n">
        <f aca="false">MAX(0,BF24-BE24)+BE24*Assumptions!$C$16</f>
        <v>1914.88228659519</v>
      </c>
      <c r="BG25" s="35" t="n">
        <f aca="false">MAX(0,BG24-BF24)+BF24*Assumptions!$C$16</f>
        <v>1962.52943920628</v>
      </c>
      <c r="BH25" s="35" t="n">
        <f aca="false">MAX(0,BH24-BG24)+BG24*Assumptions!$C$16</f>
        <v>1978.5706491097</v>
      </c>
      <c r="BI25" s="35" t="n">
        <f aca="false">MAX(0,BI24-BH24)+BH24*Assumptions!$C$16</f>
        <v>1967.31513784255</v>
      </c>
      <c r="BJ25" s="35" t="n">
        <f aca="false">MAX(0,BJ24-BI24)+BI24*Assumptions!$C$16</f>
        <v>2014.04039228006</v>
      </c>
      <c r="BK25" s="35" t="n">
        <f aca="false">MAX(0,BK24-BJ24)+BJ24*Assumptions!$C$16</f>
        <v>2029.22092437423</v>
      </c>
    </row>
    <row r="26" customFormat="false" ht="15" hidden="false" customHeight="false" outlineLevel="0" collapsed="false">
      <c r="B26" s="5" t="s">
        <v>570</v>
      </c>
    </row>
    <row r="27" customFormat="false" ht="15" hidden="false" customHeight="false" outlineLevel="0" collapsed="false">
      <c r="A27" s="28" t="s">
        <v>571</v>
      </c>
      <c r="B27" s="6" t="s">
        <v>572</v>
      </c>
      <c r="C27" s="36" t="n">
        <v>0</v>
      </c>
      <c r="D27" s="26" t="n">
        <f aca="false">C27*(1-Assumptions!$C$41)+D16*((1-(1-Assumptions!$C$30)^(1/12))*Assumptions!$C$40)*MAX(0,D13*Assumptions!$C$25-C27)</f>
        <v>0</v>
      </c>
      <c r="E27" s="26" t="n">
        <f aca="false">D27*(1-Assumptions!$C$41)+E16*((1-(1-Assumptions!$C$30)^(1/12))*Assumptions!$C$40)*MAX(0,E13*Assumptions!$C$25-D27)</f>
        <v>0</v>
      </c>
      <c r="F27" s="26" t="n">
        <f aca="false">E27*(1-Assumptions!$C$41)+F16*((1-(1-Assumptions!$C$30)^(1/12))*Assumptions!$C$40)*MAX(0,F13*Assumptions!$C$25-E27)</f>
        <v>0</v>
      </c>
      <c r="G27" s="26" t="n">
        <f aca="false">F27*(1-Assumptions!$C$41)+G16*((1-(1-Assumptions!$C$30)^(1/12))*Assumptions!$C$40)*MAX(0,G13*Assumptions!$C$25-F27)</f>
        <v>0</v>
      </c>
      <c r="H27" s="26" t="n">
        <f aca="false">G27*(1-Assumptions!$C$41)+H16*((1-(1-Assumptions!$C$30)^(1/12))*Assumptions!$C$40)*MAX(0,H13*Assumptions!$C$25-G27)</f>
        <v>0</v>
      </c>
      <c r="I27" s="26" t="n">
        <f aca="false">H27*(1-Assumptions!$C$41)+I16*((1-(1-Assumptions!$C$30)^(1/12))*Assumptions!$C$40)*MAX(0,I13*Assumptions!$C$25-H27)</f>
        <v>0</v>
      </c>
      <c r="J27" s="26" t="n">
        <f aca="false">I27*(1-Assumptions!$C$41)+J16*((1-(1-Assumptions!$C$30)^(1/12))*Assumptions!$C$40)*MAX(0,J13*Assumptions!$C$25-I27)</f>
        <v>0</v>
      </c>
      <c r="K27" s="26" t="n">
        <f aca="false">J27*(1-Assumptions!$C$41)+K16*((1-(1-Assumptions!$C$30)^(1/12))*Assumptions!$C$40)*MAX(0,K13*Assumptions!$C$25-J27)</f>
        <v>0</v>
      </c>
      <c r="L27" s="26" t="n">
        <f aca="false">K27*(1-Assumptions!$C$41)+L16*((1-(1-Assumptions!$C$30)^(1/12))*Assumptions!$C$40)*MAX(0,L13*Assumptions!$C$25-K27)</f>
        <v>0</v>
      </c>
      <c r="M27" s="26" t="n">
        <f aca="false">L27*(1-Assumptions!$C$41)+M16*((1-(1-Assumptions!$C$30)^(1/12))*Assumptions!$C$40)*MAX(0,M13*Assumptions!$C$25-L27)</f>
        <v>0</v>
      </c>
      <c r="N27" s="26" t="n">
        <f aca="false">M27*(1-Assumptions!$C$41)+N16*((1-(1-Assumptions!$C$30)^(1/12))*Assumptions!$C$40)*MAX(0,N13*Assumptions!$C$25-M27)</f>
        <v>0</v>
      </c>
      <c r="O27" s="26" t="n">
        <f aca="false">N27*(1-Assumptions!$C$41)+O16*((1-(1-Assumptions!$C$30)^(1/12))*Assumptions!$C$40)*MAX(0,O13*Assumptions!$C$25-N27)</f>
        <v>0</v>
      </c>
      <c r="P27" s="26" t="n">
        <f aca="false">O27*(1-Assumptions!$C$41)+P16*((1-(1-Assumptions!$C$30)^(1/12))*Assumptions!$C$40)*MAX(0,P13*Assumptions!$C$25-O27)</f>
        <v>0</v>
      </c>
      <c r="Q27" s="26" t="n">
        <f aca="false">P27*(1-Assumptions!$C$41)+Q16*((1-(1-Assumptions!$C$30)^(1/12))*Assumptions!$C$40)*MAX(0,Q13*Assumptions!$C$25-P27)</f>
        <v>0</v>
      </c>
      <c r="R27" s="26" t="n">
        <f aca="false">Q27*(1-Assumptions!$C$41)+R16*((1-(1-Assumptions!$C$30)^(1/12))*Assumptions!$C$40)*MAX(0,R13*Assumptions!$C$25-Q27)</f>
        <v>0</v>
      </c>
      <c r="S27" s="26" t="n">
        <f aca="false">R27*(1-Assumptions!$C$41)+S16*((1-(1-Assumptions!$C$30)^(1/12))*Assumptions!$C$40)*MAX(0,S13*Assumptions!$C$25-R27)</f>
        <v>0</v>
      </c>
      <c r="T27" s="26" t="n">
        <f aca="false">S27*(1-Assumptions!$C$41)+T16*((1-(1-Assumptions!$C$30)^(1/12))*Assumptions!$C$40)*MAX(0,T13*Assumptions!$C$25-S27)</f>
        <v>0</v>
      </c>
      <c r="U27" s="26" t="n">
        <f aca="false">T27*(1-Assumptions!$C$41)+U16*((1-(1-Assumptions!$C$30)^(1/12))*Assumptions!$C$40)*MAX(0,U13*Assumptions!$C$25-T27)</f>
        <v>0</v>
      </c>
      <c r="V27" s="26" t="n">
        <f aca="false">U27*(1-Assumptions!$C$41)+V16*((1-(1-Assumptions!$C$30)^(1/12))*Assumptions!$C$40)*MAX(0,V13*Assumptions!$C$25-U27)</f>
        <v>0</v>
      </c>
      <c r="W27" s="26" t="n">
        <f aca="false">V27*(1-Assumptions!$C$41)+W16*((1-(1-Assumptions!$C$30)^(1/12))*Assumptions!$C$40)*MAX(0,W13*Assumptions!$C$25-V27)</f>
        <v>0</v>
      </c>
      <c r="X27" s="26" t="n">
        <f aca="false">W27*(1-Assumptions!$C$41)+X16*((1-(1-Assumptions!$C$30)^(1/12))*Assumptions!$C$40)*MAX(0,X13*Assumptions!$C$25-W27)</f>
        <v>0</v>
      </c>
      <c r="Y27" s="26" t="n">
        <f aca="false">X27*(1-Assumptions!$C$41)+Y16*((1-(1-Assumptions!$C$30)^(1/12))*Assumptions!$C$40)*MAX(0,Y13*Assumptions!$C$25-X27)</f>
        <v>0</v>
      </c>
      <c r="Z27" s="26" t="n">
        <f aca="false">Y27*(1-Assumptions!$C$41)+Z16*((1-(1-Assumptions!$C$30)^(1/12))*Assumptions!$C$40)*MAX(0,Z13*Assumptions!$C$25-Y27)</f>
        <v>0</v>
      </c>
      <c r="AA27" s="26" t="n">
        <f aca="false">Z27*(1-Assumptions!$C$41)+AA16*((1-(1-Assumptions!$C$30)^(1/12))*Assumptions!$C$40)*MAX(0,AA13*Assumptions!$C$25-Z27)</f>
        <v>2.55679188123451</v>
      </c>
      <c r="AB27" s="26" t="n">
        <f aca="false">AA27*(1-Assumptions!$C$41)+AB16*((1-(1-Assumptions!$C$30)^(1/12))*Assumptions!$C$40)*MAX(0,AB13*Assumptions!$C$25-AA27)</f>
        <v>5.12200814006372</v>
      </c>
      <c r="AC27" s="26" t="n">
        <f aca="false">AB27*(1-Assumptions!$C$41)+AC16*((1-(1-Assumptions!$C$30)^(1/12))*Assumptions!$C$40)*MAX(0,AC13*Assumptions!$C$25-AB27)</f>
        <v>7.69459248423499</v>
      </c>
      <c r="AD27" s="26" t="n">
        <f aca="false">AC27*(1-Assumptions!$C$41)+AD16*((1-(1-Assumptions!$C$30)^(1/12))*Assumptions!$C$40)*MAX(0,AD13*Assumptions!$C$25-AC27)</f>
        <v>10.2735749199364</v>
      </c>
      <c r="AE27" s="26" t="n">
        <f aca="false">AD27*(1-Assumptions!$C$41)+AE16*((1-(1-Assumptions!$C$30)^(1/12))*Assumptions!$C$40)*MAX(0,AE13*Assumptions!$C$25-AD27)</f>
        <v>12.8554511351777</v>
      </c>
      <c r="AF27" s="26" t="n">
        <f aca="false">AE27*(1-Assumptions!$C$41)+AF16*((1-(1-Assumptions!$C$30)^(1/12))*Assumptions!$C$40)*MAX(0,AF13*Assumptions!$C$25-AE27)</f>
        <v>15.504991201433</v>
      </c>
      <c r="AG27" s="26" t="n">
        <f aca="false">AF27*(1-Assumptions!$C$41)+AG16*((1-(1-Assumptions!$C$30)^(1/12))*Assumptions!$C$40)*MAX(0,AG13*Assumptions!$C$25-AF27)</f>
        <v>18.2078916123222</v>
      </c>
      <c r="AH27" s="26" t="n">
        <f aca="false">AG27*(1-Assumptions!$C$41)+AH16*((1-(1-Assumptions!$C$30)^(1/12))*Assumptions!$C$40)*MAX(0,AH13*Assumptions!$C$25-AG27)</f>
        <v>20.9380002731334</v>
      </c>
      <c r="AI27" s="26" t="n">
        <f aca="false">AH27*(1-Assumptions!$C$41)+AI16*((1-(1-Assumptions!$C$30)^(1/12))*Assumptions!$C$40)*MAX(0,AI13*Assumptions!$C$25-AH27)</f>
        <v>23.7446696526433</v>
      </c>
      <c r="AJ27" s="26" t="n">
        <f aca="false">AI27*(1-Assumptions!$C$41)+AJ16*((1-(1-Assumptions!$C$30)^(1/12))*Assumptions!$C$40)*MAX(0,AJ13*Assumptions!$C$25-AI27)</f>
        <v>26.6021643423859</v>
      </c>
      <c r="AK27" s="26" t="n">
        <f aca="false">AJ27*(1-Assumptions!$C$41)+AK16*((1-(1-Assumptions!$C$30)^(1/12))*Assumptions!$C$40)*MAX(0,AK13*Assumptions!$C$25-AJ27)</f>
        <v>29.4817697818301</v>
      </c>
      <c r="AL27" s="26" t="n">
        <f aca="false">AK27*(1-Assumptions!$C$41)+AL16*((1-(1-Assumptions!$C$30)^(1/12))*Assumptions!$C$40)*MAX(0,AL13*Assumptions!$C$25-AK27)</f>
        <v>32.4200554947082</v>
      </c>
      <c r="AM27" s="26" t="n">
        <f aca="false">AL27*(1-Assumptions!$C$41)+AM16*((1-(1-Assumptions!$C$30)^(1/12))*Assumptions!$C$40)*MAX(0,AM13*Assumptions!$C$25-AL27)</f>
        <v>35.3927390610256</v>
      </c>
      <c r="AN27" s="37" t="n">
        <f aca="false">AM27*(1-Assumptions!$C$41)+AN16*((1-(1-Assumptions!$C$30)^(1/12))*Assumptions!$C$40)*MAX(0,AN13*Assumptions!$C$25-AM27)</f>
        <v>38.3724473512359</v>
      </c>
      <c r="AO27" s="37" t="n">
        <f aca="false">AN27*(1-Assumptions!$C$41)+AO16*((1-(1-Assumptions!$C$30)^(1/12))*Assumptions!$C$40)*MAX(0,AO13*Assumptions!$C$25-AN27)</f>
        <v>41.396988236623</v>
      </c>
      <c r="AP27" s="37" t="n">
        <f aca="false">AO27*(1-Assumptions!$C$41)+AP16*((1-(1-Assumptions!$C$30)^(1/12))*Assumptions!$C$40)*MAX(0,AP13*Assumptions!$C$25-AO27)</f>
        <v>44.443222393012</v>
      </c>
      <c r="AQ27" s="37" t="n">
        <f aca="false">AP27*(1-Assumptions!$C$41)+AQ16*((1-(1-Assumptions!$C$30)^(1/12))*Assumptions!$C$40)*MAX(0,AQ13*Assumptions!$C$25-AP27)</f>
        <v>47.4848317729664</v>
      </c>
      <c r="AR27" s="37" t="n">
        <f aca="false">AQ27*(1-Assumptions!$C$41)+AR16*((1-(1-Assumptions!$C$30)^(1/12))*Assumptions!$C$40)*MAX(0,AR13*Assumptions!$C$25-AQ27)</f>
        <v>50.5605980054947</v>
      </c>
      <c r="AS27" s="37" t="n">
        <f aca="false">AR27*(1-Assumptions!$C$41)+AS16*((1-(1-Assumptions!$C$30)^(1/12))*Assumptions!$C$40)*MAX(0,AS13*Assumptions!$C$25-AR27)</f>
        <v>53.6456663976362</v>
      </c>
      <c r="AT27" s="37" t="n">
        <f aca="false">AS27*(1-Assumptions!$C$41)+AT16*((1-(1-Assumptions!$C$30)^(1/12))*Assumptions!$C$40)*MAX(0,AT13*Assumptions!$C$25-AS27)</f>
        <v>56.714785341968</v>
      </c>
      <c r="AU27" s="37" t="n">
        <f aca="false">AT27*(1-Assumptions!$C$41)+AU16*((1-(1-Assumptions!$C$30)^(1/12))*Assumptions!$C$40)*MAX(0,AU13*Assumptions!$C$25-AT27)</f>
        <v>59.8077201960061</v>
      </c>
      <c r="AV27" s="37" t="n">
        <f aca="false">AU27*(1-Assumptions!$C$41)+AV16*((1-(1-Assumptions!$C$30)^(1/12))*Assumptions!$C$40)*MAX(0,AV13*Assumptions!$C$25-AU27)</f>
        <v>62.9005235789883</v>
      </c>
      <c r="AW27" s="37" t="n">
        <f aca="false">AV27*(1-Assumptions!$C$41)+AW16*((1-(1-Assumptions!$C$30)^(1/12))*Assumptions!$C$40)*MAX(0,AW13*Assumptions!$C$25-AV27)</f>
        <v>65.968780597202</v>
      </c>
      <c r="AX27" s="37" t="n">
        <f aca="false">AW27*(1-Assumptions!$C$41)+AX16*((1-(1-Assumptions!$C$30)^(1/12))*Assumptions!$C$40)*MAX(0,AX13*Assumptions!$C$25-AW27)</f>
        <v>69.0530281000085</v>
      </c>
      <c r="AY27" s="37" t="n">
        <f aca="false">AX27*(1-Assumptions!$C$41)+AY16*((1-(1-Assumptions!$C$30)^(1/12))*Assumptions!$C$40)*MAX(0,AY13*Assumptions!$C$25-AX27)</f>
        <v>72.1300299454794</v>
      </c>
      <c r="AZ27" s="37" t="n">
        <f aca="false">AY27*(1-Assumptions!$C$41)+AZ16*((1-(1-Assumptions!$C$30)^(1/12))*Assumptions!$C$40)*MAX(0,AZ13*Assumptions!$C$25-AY27)</f>
        <v>75.1760268177128</v>
      </c>
      <c r="BA27" s="37" t="n">
        <f aca="false">AZ27*(1-Assumptions!$C$41)+BA16*((1-(1-Assumptions!$C$30)^(1/12))*Assumptions!$C$40)*MAX(0,BA13*Assumptions!$C$25-AZ27)</f>
        <v>78.2321597265362</v>
      </c>
      <c r="BB27" s="37" t="n">
        <f aca="false">BA27*(1-Assumptions!$C$41)+BB16*((1-(1-Assumptions!$C$30)^(1/12))*Assumptions!$C$40)*MAX(0,BB13*Assumptions!$C$25-BA27)</f>
        <v>81.2757491949086</v>
      </c>
      <c r="BC27" s="37" t="n">
        <f aca="false">BB27*(1-Assumptions!$C$41)+BC16*((1-(1-Assumptions!$C$30)^(1/12))*Assumptions!$C$40)*MAX(0,BC13*Assumptions!$C$25-BB27)</f>
        <v>84.2809347161545</v>
      </c>
      <c r="BD27" s="37" t="n">
        <f aca="false">BC27*(1-Assumptions!$C$41)+BD16*((1-(1-Assumptions!$C$30)^(1/12))*Assumptions!$C$40)*MAX(0,BD13*Assumptions!$C$25-BC27)</f>
        <v>87.2895668247419</v>
      </c>
      <c r="BE27" s="37" t="n">
        <f aca="false">BD27*(1-Assumptions!$C$41)+BE16*((1-(1-Assumptions!$C$30)^(1/12))*Assumptions!$C$40)*MAX(0,BE13*Assumptions!$C$25-BD27)</f>
        <v>90.279619578194</v>
      </c>
      <c r="BF27" s="37" t="n">
        <f aca="false">BE27*(1-Assumptions!$C$41)+BF16*((1-(1-Assumptions!$C$30)^(1/12))*Assumptions!$C$40)*MAX(0,BF13*Assumptions!$C$25-BE27)</f>
        <v>93.2258342898158</v>
      </c>
      <c r="BG27" s="37" t="n">
        <f aca="false">BF27*(1-Assumptions!$C$41)+BG16*((1-(1-Assumptions!$C$30)^(1/12))*Assumptions!$C$40)*MAX(0,BG13*Assumptions!$C$25-BF27)</f>
        <v>96.1706155505381</v>
      </c>
      <c r="BH27" s="37" t="n">
        <f aca="false">BG27*(1-Assumptions!$C$41)+BH16*((1-(1-Assumptions!$C$30)^(1/12))*Assumptions!$C$40)*MAX(0,BH13*Assumptions!$C$25-BG27)</f>
        <v>99.0924473620553</v>
      </c>
      <c r="BI27" s="37" t="n">
        <f aca="false">BH27*(1-Assumptions!$C$41)+BI16*((1-(1-Assumptions!$C$30)^(1/12))*Assumptions!$C$40)*MAX(0,BI13*Assumptions!$C$25-BH27)</f>
        <v>101.966540243662</v>
      </c>
      <c r="BJ27" s="37" t="n">
        <f aca="false">BI27*(1-Assumptions!$C$41)+BJ16*((1-(1-Assumptions!$C$30)^(1/12))*Assumptions!$C$40)*MAX(0,BJ13*Assumptions!$C$25-BI27)</f>
        <v>104.835730372096</v>
      </c>
      <c r="BK27" s="37" t="n">
        <f aca="false">BJ27*(1-Assumptions!$C$41)+BK16*((1-(1-Assumptions!$C$30)^(1/12))*Assumptions!$C$40)*MAX(0,BK13*Assumptions!$C$25-BJ27)</f>
        <v>107.678898595966</v>
      </c>
    </row>
    <row r="28" customFormat="false" ht="15" hidden="false" customHeight="false" outlineLevel="0" collapsed="false">
      <c r="A28" s="28" t="s">
        <v>573</v>
      </c>
      <c r="B28" s="6" t="s">
        <v>574</v>
      </c>
      <c r="C28" s="36" t="n">
        <v>0</v>
      </c>
      <c r="D28" s="26" t="n">
        <f aca="false">C28*(1-Assumptions!$C$41)+D16*((1-(1-Assumptions!$C$31)^(1/12))*Assumptions!$C$40)*MAX(0,D13*Assumptions!$C$26-C28)</f>
        <v>0</v>
      </c>
      <c r="E28" s="26" t="n">
        <f aca="false">D28*(1-Assumptions!$C$41)+E16*((1-(1-Assumptions!$C$31)^(1/12))*Assumptions!$C$40)*MAX(0,E13*Assumptions!$C$26-D28)</f>
        <v>0</v>
      </c>
      <c r="F28" s="26" t="n">
        <f aca="false">E28*(1-Assumptions!$C$41)+F16*((1-(1-Assumptions!$C$31)^(1/12))*Assumptions!$C$40)*MAX(0,F13*Assumptions!$C$26-E28)</f>
        <v>0</v>
      </c>
      <c r="G28" s="26" t="n">
        <f aca="false">F28*(1-Assumptions!$C$41)+G16*((1-(1-Assumptions!$C$31)^(1/12))*Assumptions!$C$40)*MAX(0,G13*Assumptions!$C$26-F28)</f>
        <v>0</v>
      </c>
      <c r="H28" s="26" t="n">
        <f aca="false">G28*(1-Assumptions!$C$41)+H16*((1-(1-Assumptions!$C$31)^(1/12))*Assumptions!$C$40)*MAX(0,H13*Assumptions!$C$26-G28)</f>
        <v>0</v>
      </c>
      <c r="I28" s="26" t="n">
        <f aca="false">H28*(1-Assumptions!$C$41)+I16*((1-(1-Assumptions!$C$31)^(1/12))*Assumptions!$C$40)*MAX(0,I13*Assumptions!$C$26-H28)</f>
        <v>0</v>
      </c>
      <c r="J28" s="26" t="n">
        <f aca="false">I28*(1-Assumptions!$C$41)+J16*((1-(1-Assumptions!$C$31)^(1/12))*Assumptions!$C$40)*MAX(0,J13*Assumptions!$C$26-I28)</f>
        <v>0</v>
      </c>
      <c r="K28" s="26" t="n">
        <f aca="false">J28*(1-Assumptions!$C$41)+K16*((1-(1-Assumptions!$C$31)^(1/12))*Assumptions!$C$40)*MAX(0,K13*Assumptions!$C$26-J28)</f>
        <v>0</v>
      </c>
      <c r="L28" s="26" t="n">
        <f aca="false">K28*(1-Assumptions!$C$41)+L16*((1-(1-Assumptions!$C$31)^(1/12))*Assumptions!$C$40)*MAX(0,L13*Assumptions!$C$26-K28)</f>
        <v>0</v>
      </c>
      <c r="M28" s="26" t="n">
        <f aca="false">L28*(1-Assumptions!$C$41)+M16*((1-(1-Assumptions!$C$31)^(1/12))*Assumptions!$C$40)*MAX(0,M13*Assumptions!$C$26-L28)</f>
        <v>0</v>
      </c>
      <c r="N28" s="26" t="n">
        <f aca="false">M28*(1-Assumptions!$C$41)+N16*((1-(1-Assumptions!$C$31)^(1/12))*Assumptions!$C$40)*MAX(0,N13*Assumptions!$C$26-M28)</f>
        <v>0</v>
      </c>
      <c r="O28" s="26" t="n">
        <f aca="false">N28*(1-Assumptions!$C$41)+O16*((1-(1-Assumptions!$C$31)^(1/12))*Assumptions!$C$40)*MAX(0,O13*Assumptions!$C$26-N28)</f>
        <v>0</v>
      </c>
      <c r="P28" s="26" t="n">
        <f aca="false">O28*(1-Assumptions!$C$41)+P16*((1-(1-Assumptions!$C$31)^(1/12))*Assumptions!$C$40)*MAX(0,P13*Assumptions!$C$26-O28)</f>
        <v>0</v>
      </c>
      <c r="Q28" s="26" t="n">
        <f aca="false">P28*(1-Assumptions!$C$41)+Q16*((1-(1-Assumptions!$C$31)^(1/12))*Assumptions!$C$40)*MAX(0,Q13*Assumptions!$C$26-P28)</f>
        <v>0</v>
      </c>
      <c r="R28" s="26" t="n">
        <f aca="false">Q28*(1-Assumptions!$C$41)+R16*((1-(1-Assumptions!$C$31)^(1/12))*Assumptions!$C$40)*MAX(0,R13*Assumptions!$C$26-Q28)</f>
        <v>0</v>
      </c>
      <c r="S28" s="26" t="n">
        <f aca="false">R28*(1-Assumptions!$C$41)+S16*((1-(1-Assumptions!$C$31)^(1/12))*Assumptions!$C$40)*MAX(0,S13*Assumptions!$C$26-R28)</f>
        <v>0</v>
      </c>
      <c r="T28" s="26" t="n">
        <f aca="false">S28*(1-Assumptions!$C$41)+T16*((1-(1-Assumptions!$C$31)^(1/12))*Assumptions!$C$40)*MAX(0,T13*Assumptions!$C$26-S28)</f>
        <v>0</v>
      </c>
      <c r="U28" s="26" t="n">
        <f aca="false">T28*(1-Assumptions!$C$41)+U16*((1-(1-Assumptions!$C$31)^(1/12))*Assumptions!$C$40)*MAX(0,U13*Assumptions!$C$26-T28)</f>
        <v>0</v>
      </c>
      <c r="V28" s="26" t="n">
        <f aca="false">U28*(1-Assumptions!$C$41)+V16*((1-(1-Assumptions!$C$31)^(1/12))*Assumptions!$C$40)*MAX(0,V13*Assumptions!$C$26-U28)</f>
        <v>0</v>
      </c>
      <c r="W28" s="26" t="n">
        <f aca="false">V28*(1-Assumptions!$C$41)+W16*((1-(1-Assumptions!$C$31)^(1/12))*Assumptions!$C$40)*MAX(0,W13*Assumptions!$C$26-V28)</f>
        <v>0</v>
      </c>
      <c r="X28" s="26" t="n">
        <f aca="false">W28*(1-Assumptions!$C$41)+X16*((1-(1-Assumptions!$C$31)^(1/12))*Assumptions!$C$40)*MAX(0,X13*Assumptions!$C$26-W28)</f>
        <v>0</v>
      </c>
      <c r="Y28" s="26" t="n">
        <f aca="false">X28*(1-Assumptions!$C$41)+Y16*((1-(1-Assumptions!$C$31)^(1/12))*Assumptions!$C$40)*MAX(0,Y13*Assumptions!$C$26-X28)</f>
        <v>0</v>
      </c>
      <c r="Z28" s="26" t="n">
        <f aca="false">Y28*(1-Assumptions!$C$41)+Z16*((1-(1-Assumptions!$C$31)^(1/12))*Assumptions!$C$40)*MAX(0,Z13*Assumptions!$C$26-Y28)</f>
        <v>0</v>
      </c>
      <c r="AA28" s="26" t="n">
        <f aca="false">Z28*(1-Assumptions!$C$41)+AA16*((1-(1-Assumptions!$C$31)^(1/12))*Assumptions!$C$40)*MAX(0,AA13*Assumptions!$C$26-Z28)</f>
        <v>0.988899441938646</v>
      </c>
      <c r="AB28" s="26" t="n">
        <f aca="false">AA28*(1-Assumptions!$C$41)+AB16*((1-(1-Assumptions!$C$31)^(1/12))*Assumptions!$C$40)*MAX(0,AB13*Assumptions!$C$26-AA28)</f>
        <v>2.00180741556944</v>
      </c>
      <c r="AC28" s="26" t="n">
        <f aca="false">AB28*(1-Assumptions!$C$41)+AC16*((1-(1-Assumptions!$C$31)^(1/12))*Assumptions!$C$40)*MAX(0,AC13*Assumptions!$C$26-AB28)</f>
        <v>3.03724705068595</v>
      </c>
      <c r="AD28" s="26" t="n">
        <f aca="false">AC28*(1-Assumptions!$C$41)+AD16*((1-(1-Assumptions!$C$31)^(1/12))*Assumptions!$C$40)*MAX(0,AD13*Assumptions!$C$26-AC28)</f>
        <v>4.09382480516387</v>
      </c>
      <c r="AE28" s="26" t="n">
        <f aca="false">AD28*(1-Assumptions!$C$41)+AE16*((1-(1-Assumptions!$C$31)^(1/12))*Assumptions!$C$40)*MAX(0,AE13*Assumptions!$C$26-AD28)</f>
        <v>5.16921484391025</v>
      </c>
      <c r="AF28" s="26" t="n">
        <f aca="false">AE28*(1-Assumptions!$C$41)+AF16*((1-(1-Assumptions!$C$31)^(1/12))*Assumptions!$C$40)*MAX(0,AF13*Assumptions!$C$26-AE28)</f>
        <v>6.28752277836945</v>
      </c>
      <c r="AG28" s="26" t="n">
        <f aca="false">AF28*(1-Assumptions!$C$41)+AG16*((1-(1-Assumptions!$C$31)^(1/12))*Assumptions!$C$40)*MAX(0,AG13*Assumptions!$C$26-AF28)</f>
        <v>7.44284811568483</v>
      </c>
      <c r="AH28" s="26" t="n">
        <f aca="false">AG28*(1-Assumptions!$C$41)+AH16*((1-(1-Assumptions!$C$31)^(1/12))*Assumptions!$C$40)*MAX(0,AH13*Assumptions!$C$26-AG28)</f>
        <v>8.62461173339916</v>
      </c>
      <c r="AI28" s="26" t="n">
        <f aca="false">AH28*(1-Assumptions!$C$41)+AI16*((1-(1-Assumptions!$C$31)^(1/12))*Assumptions!$C$40)*MAX(0,AI13*Assumptions!$C$26-AH28)</f>
        <v>9.85125086112048</v>
      </c>
      <c r="AJ28" s="26" t="n">
        <f aca="false">AI28*(1-Assumptions!$C$41)+AJ16*((1-(1-Assumptions!$C$31)^(1/12))*Assumptions!$C$40)*MAX(0,AJ13*Assumptions!$C$26-AI28)</f>
        <v>11.1125969169779</v>
      </c>
      <c r="AK28" s="26" t="n">
        <f aca="false">AJ28*(1-Assumptions!$C$41)+AK16*((1-(1-Assumptions!$C$31)^(1/12))*Assumptions!$C$40)*MAX(0,AK13*Assumptions!$C$26-AJ28)</f>
        <v>12.3971319676635</v>
      </c>
      <c r="AL28" s="26" t="n">
        <f aca="false">AK28*(1-Assumptions!$C$41)+AL16*((1-(1-Assumptions!$C$31)^(1/12))*Assumptions!$C$40)*MAX(0,AL13*Assumptions!$C$26-AK28)</f>
        <v>13.7183777607062</v>
      </c>
      <c r="AM28" s="26" t="n">
        <f aca="false">AL28*(1-Assumptions!$C$41)+AM16*((1-(1-Assumptions!$C$31)^(1/12))*Assumptions!$C$40)*MAX(0,AM13*Assumptions!$C$26-AL28)</f>
        <v>15.0666510037808</v>
      </c>
      <c r="AN28" s="37" t="n">
        <f aca="false">AM28*(1-Assumptions!$C$41)+AN16*((1-(1-Assumptions!$C$31)^(1/12))*Assumptions!$C$40)*MAX(0,AN13*Assumptions!$C$26-AM28)</f>
        <v>16.4308918986457</v>
      </c>
      <c r="AO28" s="37" t="n">
        <f aca="false">AN28*(1-Assumptions!$C$41)+AO16*((1-(1-Assumptions!$C$31)^(1/12))*Assumptions!$C$40)*MAX(0,AO13*Assumptions!$C$26-AN28)</f>
        <v>17.8250546694927</v>
      </c>
      <c r="AP28" s="37" t="n">
        <f aca="false">AO28*(1-Assumptions!$C$41)+AP16*((1-(1-Assumptions!$C$31)^(1/12))*Assumptions!$C$40)*MAX(0,AP13*Assumptions!$C$26-AO28)</f>
        <v>19.239864256247</v>
      </c>
      <c r="AQ28" s="37" t="n">
        <f aca="false">AP28*(1-Assumptions!$C$41)+AQ16*((1-(1-Assumptions!$C$31)^(1/12))*Assumptions!$C$40)*MAX(0,AQ13*Assumptions!$C$26-AP28)</f>
        <v>20.6646461849132</v>
      </c>
      <c r="AR28" s="37" t="n">
        <f aca="false">AQ28*(1-Assumptions!$C$41)+AR16*((1-(1-Assumptions!$C$31)^(1/12))*Assumptions!$C$40)*MAX(0,AR13*Assumptions!$C$26-AQ28)</f>
        <v>22.1137183589987</v>
      </c>
      <c r="AS28" s="37" t="n">
        <f aca="false">AR28*(1-Assumptions!$C$41)+AS16*((1-(1-Assumptions!$C$31)^(1/12))*Assumptions!$C$40)*MAX(0,AS13*Assumptions!$C$26-AR28)</f>
        <v>23.5771379266077</v>
      </c>
      <c r="AT28" s="37" t="n">
        <f aca="false">AS28*(1-Assumptions!$C$41)+AT16*((1-(1-Assumptions!$C$31)^(1/12))*Assumptions!$C$40)*MAX(0,AT13*Assumptions!$C$26-AS28)</f>
        <v>25.0446248678408</v>
      </c>
      <c r="AU28" s="37" t="n">
        <f aca="false">AT28*(1-Assumptions!$C$41)+AU16*((1-(1-Assumptions!$C$31)^(1/12))*Assumptions!$C$40)*MAX(0,AU13*Assumptions!$C$26-AT28)</f>
        <v>26.5308691915598</v>
      </c>
      <c r="AV28" s="37" t="n">
        <f aca="false">AU28*(1-Assumptions!$C$41)+AV16*((1-(1-Assumptions!$C$31)^(1/12))*Assumptions!$C$40)*MAX(0,AV13*Assumptions!$C$26-AU28)</f>
        <v>28.026279037852</v>
      </c>
      <c r="AW28" s="37" t="n">
        <f aca="false">AV28*(1-Assumptions!$C$41)+AW16*((1-(1-Assumptions!$C$31)^(1/12))*Assumptions!$C$40)*MAX(0,AW13*Assumptions!$C$26-AV28)</f>
        <v>29.5209054329605</v>
      </c>
      <c r="AX28" s="37" t="n">
        <f aca="false">AW28*(1-Assumptions!$C$41)+AX16*((1-(1-Assumptions!$C$31)^(1/12))*Assumptions!$C$40)*MAX(0,AX13*Assumptions!$C$26-AW28)</f>
        <v>31.0297505894582</v>
      </c>
      <c r="AY28" s="37" t="n">
        <f aca="false">AX28*(1-Assumptions!$C$41)+AY16*((1-(1-Assumptions!$C$31)^(1/12))*Assumptions!$C$40)*MAX(0,AY13*Assumptions!$C$26-AX28)</f>
        <v>32.5435170515149</v>
      </c>
      <c r="AZ28" s="37" t="n">
        <f aca="false">AY28*(1-Assumptions!$C$41)+AZ16*((1-(1-Assumptions!$C$31)^(1/12))*Assumptions!$C$40)*MAX(0,AZ13*Assumptions!$C$26-AY28)</f>
        <v>34.0525334353468</v>
      </c>
      <c r="BA28" s="37" t="n">
        <f aca="false">AZ28*(1-Assumptions!$C$41)+BA16*((1-(1-Assumptions!$C$31)^(1/12))*Assumptions!$C$40)*MAX(0,BA13*Assumptions!$C$26-AZ28)</f>
        <v>35.5720636607655</v>
      </c>
      <c r="BB28" s="37" t="n">
        <f aca="false">BA28*(1-Assumptions!$C$41)+BB16*((1-(1-Assumptions!$C$31)^(1/12))*Assumptions!$C$40)*MAX(0,BB13*Assumptions!$C$26-BA28)</f>
        <v>37.0930569766463</v>
      </c>
      <c r="BC28" s="37" t="n">
        <f aca="false">BB28*(1-Assumptions!$C$41)+BC16*((1-(1-Assumptions!$C$31)^(1/12))*Assumptions!$C$40)*MAX(0,BC13*Assumptions!$C$26-BB28)</f>
        <v>38.60506351324</v>
      </c>
      <c r="BD28" s="37" t="n">
        <f aca="false">BC28*(1-Assumptions!$C$41)+BD16*((1-(1-Assumptions!$C$31)^(1/12))*Assumptions!$C$40)*MAX(0,BD13*Assumptions!$C$26-BC28)</f>
        <v>40.1236368886448</v>
      </c>
      <c r="BE28" s="37" t="n">
        <f aca="false">BD28*(1-Assumptions!$C$41)+BE16*((1-(1-Assumptions!$C$31)^(1/12))*Assumptions!$C$40)*MAX(0,BE13*Assumptions!$C$26-BD28)</f>
        <v>41.6399993161952</v>
      </c>
      <c r="BF28" s="37" t="n">
        <f aca="false">BE28*(1-Assumptions!$C$41)+BF16*((1-(1-Assumptions!$C$31)^(1/12))*Assumptions!$C$40)*MAX(0,BF13*Assumptions!$C$26-BE28)</f>
        <v>43.143958086415</v>
      </c>
      <c r="BG28" s="37" t="n">
        <f aca="false">BF28*(1-Assumptions!$C$41)+BG16*((1-(1-Assumptions!$C$31)^(1/12))*Assumptions!$C$40)*MAX(0,BG13*Assumptions!$C$26-BF28)</f>
        <v>44.6513090520087</v>
      </c>
      <c r="BH28" s="37" t="n">
        <f aca="false">BG28*(1-Assumptions!$C$41)+BH16*((1-(1-Assumptions!$C$31)^(1/12))*Assumptions!$C$40)*MAX(0,BH13*Assumptions!$C$26-BG28)</f>
        <v>46.1535025654536</v>
      </c>
      <c r="BI28" s="37" t="n">
        <f aca="false">BH28*(1-Assumptions!$C$41)+BI16*((1-(1-Assumptions!$C$31)^(1/12))*Assumptions!$C$40)*MAX(0,BI13*Assumptions!$C$26-BH28)</f>
        <v>47.6405607454897</v>
      </c>
      <c r="BJ28" s="37" t="n">
        <f aca="false">BI28*(1-Assumptions!$C$41)+BJ16*((1-(1-Assumptions!$C$31)^(1/12))*Assumptions!$C$40)*MAX(0,BJ13*Assumptions!$C$26-BI28)</f>
        <v>49.1284817034836</v>
      </c>
      <c r="BK28" s="37" t="n">
        <f aca="false">BJ28*(1-Assumptions!$C$41)+BK16*((1-(1-Assumptions!$C$31)^(1/12))*Assumptions!$C$40)*MAX(0,BK13*Assumptions!$C$26-BJ28)</f>
        <v>50.6089061816003</v>
      </c>
    </row>
    <row r="29" customFormat="false" ht="15" hidden="false" customHeight="false" outlineLevel="0" collapsed="false">
      <c r="A29" s="28" t="s">
        <v>575</v>
      </c>
      <c r="B29" s="6" t="s">
        <v>576</v>
      </c>
      <c r="C29" s="36" t="n">
        <v>0</v>
      </c>
      <c r="D29" s="26" t="n">
        <f aca="false">C29*(1-Assumptions!$C$41)+D17*((1-(1-Assumptions!$C$32)^(1/12))*Assumptions!$C$40)*MAX(0,D13*Assumptions!$C$27-C29)</f>
        <v>0</v>
      </c>
      <c r="E29" s="26" t="n">
        <f aca="false">D29*(1-Assumptions!$C$41)+E17*((1-(1-Assumptions!$C$32)^(1/12))*Assumptions!$C$40)*MAX(0,E13*Assumptions!$C$27-D29)</f>
        <v>0</v>
      </c>
      <c r="F29" s="26" t="n">
        <f aca="false">E29*(1-Assumptions!$C$41)+F17*((1-(1-Assumptions!$C$32)^(1/12))*Assumptions!$C$40)*MAX(0,F13*Assumptions!$C$27-E29)</f>
        <v>0</v>
      </c>
      <c r="G29" s="26" t="n">
        <f aca="false">F29*(1-Assumptions!$C$41)+G17*((1-(1-Assumptions!$C$32)^(1/12))*Assumptions!$C$40)*MAX(0,G13*Assumptions!$C$27-F29)</f>
        <v>0</v>
      </c>
      <c r="H29" s="26" t="n">
        <f aca="false">G29*(1-Assumptions!$C$41)+H17*((1-(1-Assumptions!$C$32)^(1/12))*Assumptions!$C$40)*MAX(0,H13*Assumptions!$C$27-G29)</f>
        <v>0</v>
      </c>
      <c r="I29" s="26" t="n">
        <f aca="false">H29*(1-Assumptions!$C$41)+I17*((1-(1-Assumptions!$C$32)^(1/12))*Assumptions!$C$40)*MAX(0,I13*Assumptions!$C$27-H29)</f>
        <v>0</v>
      </c>
      <c r="J29" s="26" t="n">
        <f aca="false">I29*(1-Assumptions!$C$41)+J17*((1-(1-Assumptions!$C$32)^(1/12))*Assumptions!$C$40)*MAX(0,J13*Assumptions!$C$27-I29)</f>
        <v>0</v>
      </c>
      <c r="K29" s="26" t="n">
        <f aca="false">J29*(1-Assumptions!$C$41)+K17*((1-(1-Assumptions!$C$32)^(1/12))*Assumptions!$C$40)*MAX(0,K13*Assumptions!$C$27-J29)</f>
        <v>0</v>
      </c>
      <c r="L29" s="26" t="n">
        <f aca="false">K29*(1-Assumptions!$C$41)+L17*((1-(1-Assumptions!$C$32)^(1/12))*Assumptions!$C$40)*MAX(0,L13*Assumptions!$C$27-K29)</f>
        <v>0</v>
      </c>
      <c r="M29" s="26" t="n">
        <f aca="false">L29*(1-Assumptions!$C$41)+M17*((1-(1-Assumptions!$C$32)^(1/12))*Assumptions!$C$40)*MAX(0,M13*Assumptions!$C$27-L29)</f>
        <v>0</v>
      </c>
      <c r="N29" s="26" t="n">
        <f aca="false">M29*(1-Assumptions!$C$41)+N17*((1-(1-Assumptions!$C$32)^(1/12))*Assumptions!$C$40)*MAX(0,N13*Assumptions!$C$27-M29)</f>
        <v>0</v>
      </c>
      <c r="O29" s="26" t="n">
        <f aca="false">N29*(1-Assumptions!$C$41)+O17*((1-(1-Assumptions!$C$32)^(1/12))*Assumptions!$C$40)*MAX(0,O13*Assumptions!$C$27-N29)</f>
        <v>0</v>
      </c>
      <c r="P29" s="26" t="n">
        <f aca="false">O29*(1-Assumptions!$C$41)+P17*((1-(1-Assumptions!$C$32)^(1/12))*Assumptions!$C$40)*MAX(0,P13*Assumptions!$C$27-O29)</f>
        <v>0</v>
      </c>
      <c r="Q29" s="26" t="n">
        <f aca="false">P29*(1-Assumptions!$C$41)+Q17*((1-(1-Assumptions!$C$32)^(1/12))*Assumptions!$C$40)*MAX(0,Q13*Assumptions!$C$27-P29)</f>
        <v>0</v>
      </c>
      <c r="R29" s="26" t="n">
        <f aca="false">Q29*(1-Assumptions!$C$41)+R17*((1-(1-Assumptions!$C$32)^(1/12))*Assumptions!$C$40)*MAX(0,R13*Assumptions!$C$27-Q29)</f>
        <v>0</v>
      </c>
      <c r="S29" s="26" t="n">
        <f aca="false">R29*(1-Assumptions!$C$41)+S17*((1-(1-Assumptions!$C$32)^(1/12))*Assumptions!$C$40)*MAX(0,S13*Assumptions!$C$27-R29)</f>
        <v>0</v>
      </c>
      <c r="T29" s="26" t="n">
        <f aca="false">S29*(1-Assumptions!$C$41)+T17*((1-(1-Assumptions!$C$32)^(1/12))*Assumptions!$C$40)*MAX(0,T13*Assumptions!$C$27-S29)</f>
        <v>0</v>
      </c>
      <c r="U29" s="26" t="n">
        <f aca="false">T29*(1-Assumptions!$C$41)+U17*((1-(1-Assumptions!$C$32)^(1/12))*Assumptions!$C$40)*MAX(0,U13*Assumptions!$C$27-T29)</f>
        <v>0</v>
      </c>
      <c r="V29" s="26" t="n">
        <f aca="false">U29*(1-Assumptions!$C$41)+V17*((1-(1-Assumptions!$C$32)^(1/12))*Assumptions!$C$40)*MAX(0,V13*Assumptions!$C$27-U29)</f>
        <v>0</v>
      </c>
      <c r="W29" s="26" t="n">
        <f aca="false">V29*(1-Assumptions!$C$41)+W17*((1-(1-Assumptions!$C$32)^(1/12))*Assumptions!$C$40)*MAX(0,W13*Assumptions!$C$27-V29)</f>
        <v>0</v>
      </c>
      <c r="X29" s="26" t="n">
        <f aca="false">W29*(1-Assumptions!$C$41)+X17*((1-(1-Assumptions!$C$32)^(1/12))*Assumptions!$C$40)*MAX(0,X13*Assumptions!$C$27-W29)</f>
        <v>0</v>
      </c>
      <c r="Y29" s="26" t="n">
        <f aca="false">X29*(1-Assumptions!$C$41)+Y17*((1-(1-Assumptions!$C$32)^(1/12))*Assumptions!$C$40)*MAX(0,Y13*Assumptions!$C$27-X29)</f>
        <v>0</v>
      </c>
      <c r="Z29" s="26" t="n">
        <f aca="false">Y29*(1-Assumptions!$C$41)+Z17*((1-(1-Assumptions!$C$32)^(1/12))*Assumptions!$C$40)*MAX(0,Z13*Assumptions!$C$27-Y29)</f>
        <v>0</v>
      </c>
      <c r="AA29" s="26" t="n">
        <f aca="false">Z29*(1-Assumptions!$C$41)+AA17*((1-(1-Assumptions!$C$32)^(1/12))*Assumptions!$C$40)*MAX(0,AA13*Assumptions!$C$27-Z29)</f>
        <v>1.55156789494754</v>
      </c>
      <c r="AB29" s="26" t="n">
        <f aca="false">AA29*(1-Assumptions!$C$41)+AB17*((1-(1-Assumptions!$C$32)^(1/12))*Assumptions!$C$40)*MAX(0,AB13*Assumptions!$C$27-AA29)</f>
        <v>3.10384769820094</v>
      </c>
      <c r="AC29" s="26" t="n">
        <f aca="false">AB29*(1-Assumptions!$C$41)+AC17*((1-(1-Assumptions!$C$32)^(1/12))*Assumptions!$C$40)*MAX(0,AC13*Assumptions!$C$27-AB29)</f>
        <v>4.6565297728142</v>
      </c>
      <c r="AD29" s="26" t="n">
        <f aca="false">AC29*(1-Assumptions!$C$41)+AD17*((1-(1-Assumptions!$C$32)^(1/12))*Assumptions!$C$40)*MAX(0,AD13*Assumptions!$C$27-AC29)</f>
        <v>6.20933262425077</v>
      </c>
      <c r="AE29" s="26" t="n">
        <f aca="false">AD29*(1-Assumptions!$C$41)+AE17*((1-(1-Assumptions!$C$32)^(1/12))*Assumptions!$C$40)*MAX(0,AE13*Assumptions!$C$27-AD29)</f>
        <v>7.76041435668048</v>
      </c>
      <c r="AF29" s="26" t="n">
        <f aca="false">AE29*(1-Assumptions!$C$41)+AF17*((1-(1-Assumptions!$C$32)^(1/12))*Assumptions!$C$40)*MAX(0,AF13*Assumptions!$C$27-AE29)</f>
        <v>9.34934847274688</v>
      </c>
      <c r="AG29" s="26" t="n">
        <f aca="false">AF29*(1-Assumptions!$C$41)+AG17*((1-(1-Assumptions!$C$32)^(1/12))*Assumptions!$C$40)*MAX(0,AG13*Assumptions!$C$27-AF29)</f>
        <v>10.9675907696112</v>
      </c>
      <c r="AH29" s="26" t="n">
        <f aca="false">AG29*(1-Assumptions!$C$41)+AH17*((1-(1-Assumptions!$C$32)^(1/12))*Assumptions!$C$40)*MAX(0,AH13*Assumptions!$C$27-AG29)</f>
        <v>12.5994207734057</v>
      </c>
      <c r="AI29" s="26" t="n">
        <f aca="false">AH29*(1-Assumptions!$C$41)+AI17*((1-(1-Assumptions!$C$32)^(1/12))*Assumptions!$C$40)*MAX(0,AI13*Assumptions!$C$27-AH29)</f>
        <v>14.2749705689216</v>
      </c>
      <c r="AJ29" s="26" t="n">
        <f aca="false">AI29*(1-Assumptions!$C$41)+AJ17*((1-(1-Assumptions!$C$32)^(1/12))*Assumptions!$C$40)*MAX(0,AJ13*Assumptions!$C$27-AI29)</f>
        <v>15.9787064694485</v>
      </c>
      <c r="AK29" s="26" t="n">
        <f aca="false">AJ29*(1-Assumptions!$C$41)+AK17*((1-(1-Assumptions!$C$32)^(1/12))*Assumptions!$C$40)*MAX(0,AK13*Assumptions!$C$27-AJ29)</f>
        <v>17.6933246330287</v>
      </c>
      <c r="AL29" s="26" t="n">
        <f aca="false">AK29*(1-Assumptions!$C$41)+AL17*((1-(1-Assumptions!$C$32)^(1/12))*Assumptions!$C$40)*MAX(0,AL13*Assumptions!$C$27-AK29)</f>
        <v>19.441178202479</v>
      </c>
      <c r="AM29" s="26" t="n">
        <f aca="false">AL29*(1-Assumptions!$C$41)+AM17*((1-(1-Assumptions!$C$32)^(1/12))*Assumptions!$C$40)*MAX(0,AM13*Assumptions!$C$27-AL29)</f>
        <v>21.2076172140549</v>
      </c>
      <c r="AN29" s="37" t="n">
        <f aca="false">AM29*(1-Assumptions!$C$41)+AN17*((1-(1-Assumptions!$C$32)^(1/12))*Assumptions!$C$40)*MAX(0,AN13*Assumptions!$C$27-AM29)</f>
        <v>22.9761511940395</v>
      </c>
      <c r="AO29" s="37" t="n">
        <f aca="false">AN29*(1-Assumptions!$C$41)+AO17*((1-(1-Assumptions!$C$32)^(1/12))*Assumptions!$C$40)*MAX(0,AO13*Assumptions!$C$27-AN29)</f>
        <v>24.7698818420062</v>
      </c>
      <c r="AP29" s="37" t="n">
        <f aca="false">AO29*(1-Assumptions!$C$41)+AP17*((1-(1-Assumptions!$C$32)^(1/12))*Assumptions!$C$40)*MAX(0,AP13*Assumptions!$C$27-AO29)</f>
        <v>26.5748480468295</v>
      </c>
      <c r="AQ29" s="37" t="n">
        <f aca="false">AP29*(1-Assumptions!$C$41)+AQ17*((1-(1-Assumptions!$C$32)^(1/12))*Assumptions!$C$40)*MAX(0,AQ13*Assumptions!$C$27-AP29)</f>
        <v>28.3751931889894</v>
      </c>
      <c r="AR29" s="37" t="n">
        <f aca="false">AQ29*(1-Assumptions!$C$41)+AR17*((1-(1-Assumptions!$C$32)^(1/12))*Assumptions!$C$40)*MAX(0,AR13*Assumptions!$C$27-AQ29)</f>
        <v>30.1946021594883</v>
      </c>
      <c r="AS29" s="37" t="n">
        <f aca="false">AR29*(1-Assumptions!$C$41)+AS17*((1-(1-Assumptions!$C$32)^(1/12))*Assumptions!$C$40)*MAX(0,AS13*Assumptions!$C$27-AR29)</f>
        <v>32.0180640958902</v>
      </c>
      <c r="AT29" s="37" t="n">
        <f aca="false">AS29*(1-Assumptions!$C$41)+AT17*((1-(1-Assumptions!$C$32)^(1/12))*Assumptions!$C$40)*MAX(0,AT13*Assumptions!$C$27-AS29)</f>
        <v>33.8303643883352</v>
      </c>
      <c r="AU29" s="37" t="n">
        <f aca="false">AT29*(1-Assumptions!$C$41)+AU17*((1-(1-Assumptions!$C$32)^(1/12))*Assumptions!$C$40)*MAX(0,AU13*Assumptions!$C$27-AT29)</f>
        <v>35.6557783141367</v>
      </c>
      <c r="AV29" s="37" t="n">
        <f aca="false">AU29*(1-Assumptions!$C$41)+AV17*((1-(1-Assumptions!$C$32)^(1/12))*Assumptions!$C$40)*MAX(0,AV13*Assumptions!$C$27-AU29)</f>
        <v>37.4798378487988</v>
      </c>
      <c r="AW29" s="37" t="n">
        <f aca="false">AV29*(1-Assumptions!$C$41)+AW17*((1-(1-Assumptions!$C$32)^(1/12))*Assumptions!$C$40)*MAX(0,AW13*Assumptions!$C$27-AV29)</f>
        <v>39.2878274264582</v>
      </c>
      <c r="AX29" s="37" t="n">
        <f aca="false">AW29*(1-Assumptions!$C$41)+AX17*((1-(1-Assumptions!$C$32)^(1/12))*Assumptions!$C$40)*MAX(0,AX13*Assumptions!$C$27-AW29)</f>
        <v>41.1044810335566</v>
      </c>
      <c r="AY29" s="37" t="n">
        <f aca="false">AX29*(1-Assumptions!$C$41)+AY17*((1-(1-Assumptions!$C$32)^(1/12))*Assumptions!$C$40)*MAX(0,AY13*Assumptions!$C$27-AX29)</f>
        <v>42.9157522067993</v>
      </c>
      <c r="AZ29" s="37" t="n">
        <f aca="false">AY29*(1-Assumptions!$C$41)+AZ17*((1-(1-Assumptions!$C$32)^(1/12))*Assumptions!$C$40)*MAX(0,AZ13*Assumptions!$C$27-AY29)</f>
        <v>44.7073127297974</v>
      </c>
      <c r="BA29" s="37" t="n">
        <f aca="false">AZ29*(1-Assumptions!$C$41)+BA17*((1-(1-Assumptions!$C$32)^(1/12))*Assumptions!$C$40)*MAX(0,BA13*Assumptions!$C$27-AZ29)</f>
        <v>46.504252431913</v>
      </c>
      <c r="BB29" s="37" t="n">
        <f aca="false">BA29*(1-Assumptions!$C$41)+BB17*((1-(1-Assumptions!$C$32)^(1/12))*Assumptions!$C$40)*MAX(0,BB13*Assumptions!$C$27-BA29)</f>
        <v>48.2928516785222</v>
      </c>
      <c r="BC29" s="37" t="n">
        <f aca="false">BB29*(1-Assumptions!$C$41)+BC17*((1-(1-Assumptions!$C$32)^(1/12))*Assumptions!$C$40)*MAX(0,BC13*Assumptions!$C$27-BB29)</f>
        <v>50.0574960891748</v>
      </c>
      <c r="BD29" s="37" t="n">
        <f aca="false">BC29*(1-Assumptions!$C$41)+BD17*((1-(1-Assumptions!$C$32)^(1/12))*Assumptions!$C$40)*MAX(0,BD13*Assumptions!$C$27-BC29)</f>
        <v>51.8236994750958</v>
      </c>
      <c r="BE29" s="37" t="n">
        <f aca="false">BD29*(1-Assumptions!$C$41)+BE17*((1-(1-Assumptions!$C$32)^(1/12))*Assumptions!$C$40)*MAX(0,BE13*Assumptions!$C$27-BD29)</f>
        <v>53.5781315030406</v>
      </c>
      <c r="BF29" s="37" t="n">
        <f aca="false">BE29*(1-Assumptions!$C$41)+BF17*((1-(1-Assumptions!$C$32)^(1/12))*Assumptions!$C$40)*MAX(0,BF13*Assumptions!$C$27-BE29)</f>
        <v>55.3055351596483</v>
      </c>
      <c r="BG29" s="37" t="n">
        <f aca="false">BF29*(1-Assumptions!$C$41)+BG17*((1-(1-Assumptions!$C$32)^(1/12))*Assumptions!$C$40)*MAX(0,BG13*Assumptions!$C$27-BF29)</f>
        <v>57.0317522189823</v>
      </c>
      <c r="BH29" s="37" t="n">
        <f aca="false">BG29*(1-Assumptions!$C$41)+BH17*((1-(1-Assumptions!$C$32)^(1/12))*Assumptions!$C$40)*MAX(0,BH13*Assumptions!$C$27-BG29)</f>
        <v>58.7437532372666</v>
      </c>
      <c r="BI29" s="37" t="n">
        <f aca="false">BH29*(1-Assumptions!$C$41)+BI17*((1-(1-Assumptions!$C$32)^(1/12))*Assumptions!$C$40)*MAX(0,BI13*Assumptions!$C$27-BH29)</f>
        <v>60.4265571646181</v>
      </c>
      <c r="BJ29" s="37" t="n">
        <f aca="false">BI29*(1-Assumptions!$C$41)+BJ17*((1-(1-Assumptions!$C$32)^(1/12))*Assumptions!$C$40)*MAX(0,BJ13*Assumptions!$C$27-BI29)</f>
        <v>62.1062587908928</v>
      </c>
      <c r="BK29" s="37" t="n">
        <f aca="false">BJ29*(1-Assumptions!$C$41)+BK17*((1-(1-Assumptions!$C$32)^(1/12))*Assumptions!$C$40)*MAX(0,BK13*Assumptions!$C$27-BJ29)</f>
        <v>63.7700605629478</v>
      </c>
    </row>
    <row r="30" customFormat="false" ht="15" hidden="false" customHeight="false" outlineLevel="0" collapsed="false">
      <c r="A30" s="28" t="s">
        <v>577</v>
      </c>
      <c r="B30" s="6" t="s">
        <v>578</v>
      </c>
      <c r="C30" s="36" t="n">
        <v>0</v>
      </c>
      <c r="D30" s="26" t="n">
        <f aca="false">C30*(1-Assumptions!$C$41)+D16*((1-(1-Assumptions!$C$33)^(1/12))*Assumptions!$C$40)*MAX(0,D13*Assumptions!$C$28-C30)</f>
        <v>0</v>
      </c>
      <c r="E30" s="26" t="n">
        <f aca="false">D30*(1-Assumptions!$C$41)+E16*((1-(1-Assumptions!$C$33)^(1/12))*Assumptions!$C$40)*MAX(0,E13*Assumptions!$C$28-D30)</f>
        <v>0</v>
      </c>
      <c r="F30" s="26" t="n">
        <f aca="false">E30*(1-Assumptions!$C$41)+F16*((1-(1-Assumptions!$C$33)^(1/12))*Assumptions!$C$40)*MAX(0,F13*Assumptions!$C$28-E30)</f>
        <v>0</v>
      </c>
      <c r="G30" s="26" t="n">
        <f aca="false">F30*(1-Assumptions!$C$41)+G16*((1-(1-Assumptions!$C$33)^(1/12))*Assumptions!$C$40)*MAX(0,G13*Assumptions!$C$28-F30)</f>
        <v>0</v>
      </c>
      <c r="H30" s="26" t="n">
        <f aca="false">G30*(1-Assumptions!$C$41)+H16*((1-(1-Assumptions!$C$33)^(1/12))*Assumptions!$C$40)*MAX(0,H13*Assumptions!$C$28-G30)</f>
        <v>0</v>
      </c>
      <c r="I30" s="26" t="n">
        <f aca="false">H30*(1-Assumptions!$C$41)+I16*((1-(1-Assumptions!$C$33)^(1/12))*Assumptions!$C$40)*MAX(0,I13*Assumptions!$C$28-H30)</f>
        <v>0</v>
      </c>
      <c r="J30" s="26" t="n">
        <f aca="false">I30*(1-Assumptions!$C$41)+J16*((1-(1-Assumptions!$C$33)^(1/12))*Assumptions!$C$40)*MAX(0,J13*Assumptions!$C$28-I30)</f>
        <v>0</v>
      </c>
      <c r="K30" s="26" t="n">
        <f aca="false">J30*(1-Assumptions!$C$41)+K16*((1-(1-Assumptions!$C$33)^(1/12))*Assumptions!$C$40)*MAX(0,K13*Assumptions!$C$28-J30)</f>
        <v>0</v>
      </c>
      <c r="L30" s="26" t="n">
        <f aca="false">K30*(1-Assumptions!$C$41)+L16*((1-(1-Assumptions!$C$33)^(1/12))*Assumptions!$C$40)*MAX(0,L13*Assumptions!$C$28-K30)</f>
        <v>0</v>
      </c>
      <c r="M30" s="26" t="n">
        <f aca="false">L30*(1-Assumptions!$C$41)+M16*((1-(1-Assumptions!$C$33)^(1/12))*Assumptions!$C$40)*MAX(0,M13*Assumptions!$C$28-L30)</f>
        <v>0</v>
      </c>
      <c r="N30" s="26" t="n">
        <f aca="false">M30*(1-Assumptions!$C$41)+N16*((1-(1-Assumptions!$C$33)^(1/12))*Assumptions!$C$40)*MAX(0,N13*Assumptions!$C$28-M30)</f>
        <v>0</v>
      </c>
      <c r="O30" s="26" t="n">
        <f aca="false">N30*(1-Assumptions!$C$41)+O16*((1-(1-Assumptions!$C$33)^(1/12))*Assumptions!$C$40)*MAX(0,O13*Assumptions!$C$28-N30)</f>
        <v>0</v>
      </c>
      <c r="P30" s="26" t="n">
        <f aca="false">O30*(1-Assumptions!$C$41)+P16*((1-(1-Assumptions!$C$33)^(1/12))*Assumptions!$C$40)*MAX(0,P13*Assumptions!$C$28-O30)</f>
        <v>0</v>
      </c>
      <c r="Q30" s="26" t="n">
        <f aca="false">P30*(1-Assumptions!$C$41)+Q16*((1-(1-Assumptions!$C$33)^(1/12))*Assumptions!$C$40)*MAX(0,Q13*Assumptions!$C$28-P30)</f>
        <v>0</v>
      </c>
      <c r="R30" s="26" t="n">
        <f aca="false">Q30*(1-Assumptions!$C$41)+R16*((1-(1-Assumptions!$C$33)^(1/12))*Assumptions!$C$40)*MAX(0,R13*Assumptions!$C$28-Q30)</f>
        <v>0</v>
      </c>
      <c r="S30" s="26" t="n">
        <f aca="false">R30*(1-Assumptions!$C$41)+S16*((1-(1-Assumptions!$C$33)^(1/12))*Assumptions!$C$40)*MAX(0,S13*Assumptions!$C$28-R30)</f>
        <v>0</v>
      </c>
      <c r="T30" s="26" t="n">
        <f aca="false">S30*(1-Assumptions!$C$41)+T16*((1-(1-Assumptions!$C$33)^(1/12))*Assumptions!$C$40)*MAX(0,T13*Assumptions!$C$28-S30)</f>
        <v>0</v>
      </c>
      <c r="U30" s="26" t="n">
        <f aca="false">T30*(1-Assumptions!$C$41)+U16*((1-(1-Assumptions!$C$33)^(1/12))*Assumptions!$C$40)*MAX(0,U13*Assumptions!$C$28-T30)</f>
        <v>0</v>
      </c>
      <c r="V30" s="26" t="n">
        <f aca="false">U30*(1-Assumptions!$C$41)+V16*((1-(1-Assumptions!$C$33)^(1/12))*Assumptions!$C$40)*MAX(0,V13*Assumptions!$C$28-U30)</f>
        <v>0</v>
      </c>
      <c r="W30" s="26" t="n">
        <f aca="false">V30*(1-Assumptions!$C$41)+W16*((1-(1-Assumptions!$C$33)^(1/12))*Assumptions!$C$40)*MAX(0,W13*Assumptions!$C$28-V30)</f>
        <v>0</v>
      </c>
      <c r="X30" s="26" t="n">
        <f aca="false">W30*(1-Assumptions!$C$41)+X16*((1-(1-Assumptions!$C$33)^(1/12))*Assumptions!$C$40)*MAX(0,X13*Assumptions!$C$28-W30)</f>
        <v>0</v>
      </c>
      <c r="Y30" s="26" t="n">
        <f aca="false">X30*(1-Assumptions!$C$41)+Y16*((1-(1-Assumptions!$C$33)^(1/12))*Assumptions!$C$40)*MAX(0,Y13*Assumptions!$C$28-X30)</f>
        <v>0</v>
      </c>
      <c r="Z30" s="26" t="n">
        <f aca="false">Y30*(1-Assumptions!$C$41)+Z16*((1-(1-Assumptions!$C$33)^(1/12))*Assumptions!$C$40)*MAX(0,Z13*Assumptions!$C$28-Y30)</f>
        <v>0</v>
      </c>
      <c r="AA30" s="26" t="n">
        <f aca="false">Z30*(1-Assumptions!$C$41)+AA16*((1-(1-Assumptions!$C$33)^(1/12))*Assumptions!$C$40)*MAX(0,AA13*Assumptions!$C$28-Z30)</f>
        <v>0.605842643890567</v>
      </c>
      <c r="AB30" s="26" t="n">
        <f aca="false">AA30*(1-Assumptions!$C$41)+AB16*((1-(1-Assumptions!$C$33)^(1/12))*Assumptions!$C$40)*MAX(0,AB13*Assumptions!$C$28-AA30)</f>
        <v>1.22224533526727</v>
      </c>
      <c r="AC30" s="26" t="n">
        <f aca="false">AB30*(1-Assumptions!$C$41)+AC16*((1-(1-Assumptions!$C$33)^(1/12))*Assumptions!$C$40)*MAX(0,AC13*Assumptions!$C$28-AB30)</f>
        <v>1.84845822853285</v>
      </c>
      <c r="AD30" s="26" t="n">
        <f aca="false">AC30*(1-Assumptions!$C$41)+AD16*((1-(1-Assumptions!$C$33)^(1/12))*Assumptions!$C$40)*MAX(0,AD13*Assumptions!$C$28-AC30)</f>
        <v>2.48377917509432</v>
      </c>
      <c r="AE30" s="26" t="n">
        <f aca="false">AD30*(1-Assumptions!$C$41)+AE16*((1-(1-Assumptions!$C$33)^(1/12))*Assumptions!$C$40)*MAX(0,AE13*Assumptions!$C$28-AD30)</f>
        <v>3.12693136698795</v>
      </c>
      <c r="AF30" s="26" t="n">
        <f aca="false">AE30*(1-Assumptions!$C$41)+AF16*((1-(1-Assumptions!$C$33)^(1/12))*Assumptions!$C$40)*MAX(0,AF13*Assumptions!$C$28-AE30)</f>
        <v>3.79283167589472</v>
      </c>
      <c r="AG30" s="26" t="n">
        <f aca="false">AF30*(1-Assumptions!$C$41)+AG16*((1-(1-Assumptions!$C$33)^(1/12))*Assumptions!$C$40)*MAX(0,AG13*Assumptions!$C$28-AF30)</f>
        <v>4.4779036405072</v>
      </c>
      <c r="AH30" s="26" t="n">
        <f aca="false">AG30*(1-Assumptions!$C$41)+AH16*((1-(1-Assumptions!$C$33)^(1/12))*Assumptions!$C$40)*MAX(0,AH13*Assumptions!$C$28-AG30)</f>
        <v>5.17572685325864</v>
      </c>
      <c r="AI30" s="26" t="n">
        <f aca="false">AH30*(1-Assumptions!$C$41)+AI16*((1-(1-Assumptions!$C$33)^(1/12))*Assumptions!$C$40)*MAX(0,AI13*Assumptions!$C$28-AH30)</f>
        <v>5.89769821418557</v>
      </c>
      <c r="AJ30" s="26" t="n">
        <f aca="false">AI30*(1-Assumptions!$C$41)+AJ16*((1-(1-Assumptions!$C$33)^(1/12))*Assumptions!$C$40)*MAX(0,AJ13*Assumptions!$C$28-AI30)</f>
        <v>6.63760586378247</v>
      </c>
      <c r="AK30" s="26" t="n">
        <f aca="false">AJ30*(1-Assumptions!$C$41)+AK16*((1-(1-Assumptions!$C$33)^(1/12))*Assumptions!$C$40)*MAX(0,AK13*Assumptions!$C$28-AJ30)</f>
        <v>7.3884528301862</v>
      </c>
      <c r="AL30" s="26" t="n">
        <f aca="false">AK30*(1-Assumptions!$C$41)+AL16*((1-(1-Assumptions!$C$33)^(1/12))*Assumptions!$C$40)*MAX(0,AL13*Assumptions!$C$28-AK30)</f>
        <v>8.15862719331213</v>
      </c>
      <c r="AM30" s="26" t="n">
        <f aca="false">AL30*(1-Assumptions!$C$41)+AM16*((1-(1-Assumptions!$C$33)^(1/12))*Assumptions!$C$40)*MAX(0,AM13*Assumptions!$C$28-AL30)</f>
        <v>8.94223748031058</v>
      </c>
      <c r="AN30" s="37" t="n">
        <f aca="false">AM30*(1-Assumptions!$C$41)+AN16*((1-(1-Assumptions!$C$33)^(1/12))*Assumptions!$C$40)*MAX(0,AN13*Assumptions!$C$28-AM30)</f>
        <v>9.73258701188749</v>
      </c>
      <c r="AO30" s="37" t="n">
        <f aca="false">AN30*(1-Assumptions!$C$41)+AO16*((1-(1-Assumptions!$C$33)^(1/12))*Assumptions!$C$40)*MAX(0,AO13*Assumptions!$C$28-AN30)</f>
        <v>10.538345310032</v>
      </c>
      <c r="AP30" s="37" t="n">
        <f aca="false">AO30*(1-Assumptions!$C$41)+AP16*((1-(1-Assumptions!$C$33)^(1/12))*Assumptions!$C$40)*MAX(0,AP13*Assumptions!$C$28-AO30)</f>
        <v>11.3538846603462</v>
      </c>
      <c r="AQ30" s="37" t="n">
        <f aca="false">AP30*(1-Assumptions!$C$41)+AQ16*((1-(1-Assumptions!$C$33)^(1/12))*Assumptions!$C$40)*MAX(0,AQ13*Assumptions!$C$28-AP30)</f>
        <v>12.1727555532504</v>
      </c>
      <c r="AR30" s="37" t="n">
        <f aca="false">AQ30*(1-Assumptions!$C$41)+AR16*((1-(1-Assumptions!$C$33)^(1/12))*Assumptions!$C$40)*MAX(0,AR13*Assumptions!$C$28-AQ30)</f>
        <v>13.0038591190432</v>
      </c>
      <c r="AS30" s="37" t="n">
        <f aca="false">AR30*(1-Assumptions!$C$41)+AS16*((1-(1-Assumptions!$C$33)^(1/12))*Assumptions!$C$40)*MAX(0,AS13*Assumptions!$C$28-AR30)</f>
        <v>13.8411652595412</v>
      </c>
      <c r="AT30" s="37" t="n">
        <f aca="false">AS30*(1-Assumptions!$C$41)+AT16*((1-(1-Assumptions!$C$33)^(1/12))*Assumptions!$C$40)*MAX(0,AT13*Assumptions!$C$28-AS30)</f>
        <v>14.6784752457379</v>
      </c>
      <c r="AU30" s="37" t="n">
        <f aca="false">AT30*(1-Assumptions!$C$41)+AU16*((1-(1-Assumptions!$C$33)^(1/12))*Assumptions!$C$40)*MAX(0,AU13*Assumptions!$C$28-AT30)</f>
        <v>15.5249250797897</v>
      </c>
      <c r="AV30" s="37" t="n">
        <f aca="false">AU30*(1-Assumptions!$C$41)+AV16*((1-(1-Assumptions!$C$33)^(1/12))*Assumptions!$C$40)*MAX(0,AV13*Assumptions!$C$28-AU30)</f>
        <v>16.374704613876</v>
      </c>
      <c r="AW30" s="37" t="n">
        <f aca="false">AV30*(1-Assumptions!$C$41)+AW16*((1-(1-Assumptions!$C$33)^(1/12))*Assumptions!$C$40)*MAX(0,AW13*Assumptions!$C$28-AV30)</f>
        <v>17.2218210741383</v>
      </c>
      <c r="AX30" s="37" t="n">
        <f aca="false">AW30*(1-Assumptions!$C$41)+AX16*((1-(1-Assumptions!$C$33)^(1/12))*Assumptions!$C$40)*MAX(0,AX13*Assumptions!$C$28-AW30)</f>
        <v>18.0756032917597</v>
      </c>
      <c r="AY30" s="37" t="n">
        <f aca="false">AX30*(1-Assumptions!$C$41)+AY16*((1-(1-Assumptions!$C$33)^(1/12))*Assumptions!$C$40)*MAX(0,AY13*Assumptions!$C$28-AX30)</f>
        <v>18.9304216372614</v>
      </c>
      <c r="AZ30" s="37" t="n">
        <f aca="false">AY30*(1-Assumptions!$C$41)+AZ16*((1-(1-Assumptions!$C$33)^(1/12))*Assumptions!$C$40)*MAX(0,AZ13*Assumptions!$C$28-AY30)</f>
        <v>19.7804523095248</v>
      </c>
      <c r="BA30" s="37" t="n">
        <f aca="false">AZ30*(1-Assumptions!$C$41)+BA16*((1-(1-Assumptions!$C$33)^(1/12))*Assumptions!$C$40)*MAX(0,BA13*Assumptions!$C$28-AZ30)</f>
        <v>20.6351822847099</v>
      </c>
      <c r="BB30" s="37" t="n">
        <f aca="false">BA30*(1-Assumptions!$C$41)+BB16*((1-(1-Assumptions!$C$33)^(1/12))*Assumptions!$C$40)*MAX(0,BB13*Assumptions!$C$28-BA30)</f>
        <v>21.4891299240557</v>
      </c>
      <c r="BC30" s="37" t="n">
        <f aca="false">BB30*(1-Assumptions!$C$41)+BC16*((1-(1-Assumptions!$C$33)^(1/12))*Assumptions!$C$40)*MAX(0,BC13*Assumptions!$C$28-BB30)</f>
        <v>22.3359905001717</v>
      </c>
      <c r="BD30" s="37" t="n">
        <f aca="false">BC30*(1-Assumptions!$C$41)+BD16*((1-(1-Assumptions!$C$33)^(1/12))*Assumptions!$C$40)*MAX(0,BD13*Assumptions!$C$28-BC30)</f>
        <v>23.1854279908139</v>
      </c>
      <c r="BE30" s="37" t="n">
        <f aca="false">BD30*(1-Assumptions!$C$41)+BE16*((1-(1-Assumptions!$C$33)^(1/12))*Assumptions!$C$40)*MAX(0,BE13*Assumptions!$C$28-BD30)</f>
        <v>24.0321263212004</v>
      </c>
      <c r="BF30" s="37" t="n">
        <f aca="false">BE30*(1-Assumptions!$C$41)+BF16*((1-(1-Assumptions!$C$33)^(1/12))*Assumptions!$C$40)*MAX(0,BF13*Assumptions!$C$28-BE30)</f>
        <v>24.8699356031167</v>
      </c>
      <c r="BG30" s="37" t="n">
        <f aca="false">BF30*(1-Assumptions!$C$41)+BG16*((1-(1-Assumptions!$C$33)^(1/12))*Assumptions!$C$40)*MAX(0,BG13*Assumptions!$C$28-BF30)</f>
        <v>25.7086645974584</v>
      </c>
      <c r="BH30" s="37" t="n">
        <f aca="false">BG30*(1-Assumptions!$C$41)+BH16*((1-(1-Assumptions!$C$33)^(1/12))*Assumptions!$C$40)*MAX(0,BH13*Assumptions!$C$28-BG30)</f>
        <v>26.5431325839803</v>
      </c>
      <c r="BI30" s="37" t="n">
        <f aca="false">BH30*(1-Assumptions!$C$41)+BI16*((1-(1-Assumptions!$C$33)^(1/12))*Assumptions!$C$40)*MAX(0,BI13*Assumptions!$C$28-BH30)</f>
        <v>27.3673161890541</v>
      </c>
      <c r="BJ30" s="37" t="n">
        <f aca="false">BI30*(1-Assumptions!$C$41)+BJ16*((1-(1-Assumptions!$C$33)^(1/12))*Assumptions!$C$40)*MAX(0,BJ13*Assumptions!$C$28-BI30)</f>
        <v>28.191142400471</v>
      </c>
      <c r="BK30" s="37" t="n">
        <f aca="false">BJ30*(1-Assumptions!$C$41)+BK16*((1-(1-Assumptions!$C$33)^(1/12))*Assumptions!$C$40)*MAX(0,BK13*Assumptions!$C$28-BJ30)</f>
        <v>29.009540955305</v>
      </c>
    </row>
    <row r="31" customFormat="false" ht="15" hidden="false" customHeight="false" outlineLevel="0" collapsed="false">
      <c r="A31" s="28" t="s">
        <v>579</v>
      </c>
      <c r="B31" s="6" t="s">
        <v>580</v>
      </c>
      <c r="C31" s="36" t="n">
        <v>0</v>
      </c>
      <c r="D31" s="26" t="n">
        <f aca="false">C31*(1-Assumptions!$C$41)+D16*((1-(1-Assumptions!$C$34)^(1/12))*Assumptions!$C$40)*MAX(0,D13*Assumptions!$C$29-C31)</f>
        <v>0</v>
      </c>
      <c r="E31" s="26" t="n">
        <f aca="false">D31*(1-Assumptions!$C$41)+E16*((1-(1-Assumptions!$C$34)^(1/12))*Assumptions!$C$40)*MAX(0,E13*Assumptions!$C$29-D31)</f>
        <v>0</v>
      </c>
      <c r="F31" s="26" t="n">
        <f aca="false">E31*(1-Assumptions!$C$41)+F16*((1-(1-Assumptions!$C$34)^(1/12))*Assumptions!$C$40)*MAX(0,F13*Assumptions!$C$29-E31)</f>
        <v>0</v>
      </c>
      <c r="G31" s="26" t="n">
        <f aca="false">F31*(1-Assumptions!$C$41)+G16*((1-(1-Assumptions!$C$34)^(1/12))*Assumptions!$C$40)*MAX(0,G13*Assumptions!$C$29-F31)</f>
        <v>0</v>
      </c>
      <c r="H31" s="26" t="n">
        <f aca="false">G31*(1-Assumptions!$C$41)+H16*((1-(1-Assumptions!$C$34)^(1/12))*Assumptions!$C$40)*MAX(0,H13*Assumptions!$C$29-G31)</f>
        <v>0</v>
      </c>
      <c r="I31" s="26" t="n">
        <f aca="false">H31*(1-Assumptions!$C$41)+I16*((1-(1-Assumptions!$C$34)^(1/12))*Assumptions!$C$40)*MAX(0,I13*Assumptions!$C$29-H31)</f>
        <v>0</v>
      </c>
      <c r="J31" s="26" t="n">
        <f aca="false">I31*(1-Assumptions!$C$41)+J16*((1-(1-Assumptions!$C$34)^(1/12))*Assumptions!$C$40)*MAX(0,J13*Assumptions!$C$29-I31)</f>
        <v>0</v>
      </c>
      <c r="K31" s="26" t="n">
        <f aca="false">J31*(1-Assumptions!$C$41)+K16*((1-(1-Assumptions!$C$34)^(1/12))*Assumptions!$C$40)*MAX(0,K13*Assumptions!$C$29-J31)</f>
        <v>0</v>
      </c>
      <c r="L31" s="26" t="n">
        <f aca="false">K31*(1-Assumptions!$C$41)+L16*((1-(1-Assumptions!$C$34)^(1/12))*Assumptions!$C$40)*MAX(0,L13*Assumptions!$C$29-K31)</f>
        <v>0</v>
      </c>
      <c r="M31" s="26" t="n">
        <f aca="false">L31*(1-Assumptions!$C$41)+M16*((1-(1-Assumptions!$C$34)^(1/12))*Assumptions!$C$40)*MAX(0,M13*Assumptions!$C$29-L31)</f>
        <v>0</v>
      </c>
      <c r="N31" s="26" t="n">
        <f aca="false">M31*(1-Assumptions!$C$41)+N16*((1-(1-Assumptions!$C$34)^(1/12))*Assumptions!$C$40)*MAX(0,N13*Assumptions!$C$29-M31)</f>
        <v>0</v>
      </c>
      <c r="O31" s="26" t="n">
        <f aca="false">N31*(1-Assumptions!$C$41)+O16*((1-(1-Assumptions!$C$34)^(1/12))*Assumptions!$C$40)*MAX(0,O13*Assumptions!$C$29-N31)</f>
        <v>0</v>
      </c>
      <c r="P31" s="26" t="n">
        <f aca="false">O31*(1-Assumptions!$C$41)+P16*((1-(1-Assumptions!$C$34)^(1/12))*Assumptions!$C$40)*MAX(0,P13*Assumptions!$C$29-O31)</f>
        <v>0</v>
      </c>
      <c r="Q31" s="26" t="n">
        <f aca="false">P31*(1-Assumptions!$C$41)+Q16*((1-(1-Assumptions!$C$34)^(1/12))*Assumptions!$C$40)*MAX(0,Q13*Assumptions!$C$29-P31)</f>
        <v>0</v>
      </c>
      <c r="R31" s="26" t="n">
        <f aca="false">Q31*(1-Assumptions!$C$41)+R16*((1-(1-Assumptions!$C$34)^(1/12))*Assumptions!$C$40)*MAX(0,R13*Assumptions!$C$29-Q31)</f>
        <v>0</v>
      </c>
      <c r="S31" s="26" t="n">
        <f aca="false">R31*(1-Assumptions!$C$41)+S16*((1-(1-Assumptions!$C$34)^(1/12))*Assumptions!$C$40)*MAX(0,S13*Assumptions!$C$29-R31)</f>
        <v>0</v>
      </c>
      <c r="T31" s="26" t="n">
        <f aca="false">S31*(1-Assumptions!$C$41)+T16*((1-(1-Assumptions!$C$34)^(1/12))*Assumptions!$C$40)*MAX(0,T13*Assumptions!$C$29-S31)</f>
        <v>0</v>
      </c>
      <c r="U31" s="26" t="n">
        <f aca="false">T31*(1-Assumptions!$C$41)+U16*((1-(1-Assumptions!$C$34)^(1/12))*Assumptions!$C$40)*MAX(0,U13*Assumptions!$C$29-T31)</f>
        <v>0</v>
      </c>
      <c r="V31" s="26" t="n">
        <f aca="false">U31*(1-Assumptions!$C$41)+V16*((1-(1-Assumptions!$C$34)^(1/12))*Assumptions!$C$40)*MAX(0,V13*Assumptions!$C$29-U31)</f>
        <v>0</v>
      </c>
      <c r="W31" s="26" t="n">
        <f aca="false">V31*(1-Assumptions!$C$41)+W16*((1-(1-Assumptions!$C$34)^(1/12))*Assumptions!$C$40)*MAX(0,W13*Assumptions!$C$29-V31)</f>
        <v>0</v>
      </c>
      <c r="X31" s="26" t="n">
        <f aca="false">W31*(1-Assumptions!$C$41)+X16*((1-(1-Assumptions!$C$34)^(1/12))*Assumptions!$C$40)*MAX(0,X13*Assumptions!$C$29-W31)</f>
        <v>0</v>
      </c>
      <c r="Y31" s="26" t="n">
        <f aca="false">X31*(1-Assumptions!$C$41)+Y16*((1-(1-Assumptions!$C$34)^(1/12))*Assumptions!$C$40)*MAX(0,Y13*Assumptions!$C$29-X31)</f>
        <v>0</v>
      </c>
      <c r="Z31" s="26" t="n">
        <f aca="false">Y31*(1-Assumptions!$C$41)+Z16*((1-(1-Assumptions!$C$34)^(1/12))*Assumptions!$C$40)*MAX(0,Z13*Assumptions!$C$29-Y31)</f>
        <v>0</v>
      </c>
      <c r="AA31" s="26" t="n">
        <f aca="false">Z31*(1-Assumptions!$C$41)+AA16*((1-(1-Assumptions!$C$34)^(1/12))*Assumptions!$C$40)*MAX(0,AA13*Assumptions!$C$29-Z31)</f>
        <v>0.111633364633156</v>
      </c>
      <c r="AB31" s="26" t="n">
        <f aca="false">AA31*(1-Assumptions!$C$41)+AB16*((1-(1-Assumptions!$C$34)^(1/12))*Assumptions!$C$40)*MAX(0,AB13*Assumptions!$C$29-AA31)</f>
        <v>0.227767375896088</v>
      </c>
      <c r="AC31" s="26" t="n">
        <f aca="false">AB31*(1-Assumptions!$C$41)+AC16*((1-(1-Assumptions!$C$34)^(1/12))*Assumptions!$C$40)*MAX(0,AC13*Assumptions!$C$29-AB31)</f>
        <v>0.348209419415468</v>
      </c>
      <c r="AD31" s="26" t="n">
        <f aca="false">AC31*(1-Assumptions!$C$41)+AD16*((1-(1-Assumptions!$C$34)^(1/12))*Assumptions!$C$40)*MAX(0,AD13*Assumptions!$C$29-AC31)</f>
        <v>0.472774616790168</v>
      </c>
      <c r="AE31" s="26" t="n">
        <f aca="false">AD31*(1-Assumptions!$C$41)+AE16*((1-(1-Assumptions!$C$34)^(1/12))*Assumptions!$C$40)*MAX(0,AE13*Assumptions!$C$29-AD31)</f>
        <v>0.6011713913079</v>
      </c>
      <c r="AF31" s="26" t="n">
        <f aca="false">AE31*(1-Assumptions!$C$41)+AF16*((1-(1-Assumptions!$C$34)^(1/12))*Assumptions!$C$40)*MAX(0,AF13*Assumptions!$C$29-AE31)</f>
        <v>0.736088832282511</v>
      </c>
      <c r="AG31" s="26" t="n">
        <f aca="false">AF31*(1-Assumptions!$C$41)+AG16*((1-(1-Assumptions!$C$34)^(1/12))*Assumptions!$C$40)*MAX(0,AG13*Assumptions!$C$29-AF31)</f>
        <v>0.876873633180568</v>
      </c>
      <c r="AH31" s="26" t="n">
        <f aca="false">AG31*(1-Assumptions!$C$41)+AH16*((1-(1-Assumptions!$C$34)^(1/12))*Assumptions!$C$40)*MAX(0,AH13*Assumptions!$C$29-AG31)</f>
        <v>1.02233315553422</v>
      </c>
      <c r="AI31" s="26" t="n">
        <f aca="false">AH31*(1-Assumptions!$C$41)+AI16*((1-(1-Assumptions!$C$34)^(1/12))*Assumptions!$C$40)*MAX(0,AI13*Assumptions!$C$29-AH31)</f>
        <v>1.17453109875703</v>
      </c>
      <c r="AJ31" s="26" t="n">
        <f aca="false">AI31*(1-Assumptions!$C$41)+AJ16*((1-(1-Assumptions!$C$34)^(1/12))*Assumptions!$C$40)*MAX(0,AJ13*Assumptions!$C$29-AI31)</f>
        <v>1.33233601637708</v>
      </c>
      <c r="AK31" s="26" t="n">
        <f aca="false">AJ31*(1-Assumptions!$C$41)+AK16*((1-(1-Assumptions!$C$34)^(1/12))*Assumptions!$C$40)*MAX(0,AK13*Assumptions!$C$29-AJ31)</f>
        <v>1.49444509087411</v>
      </c>
      <c r="AL31" s="26" t="n">
        <f aca="false">AK31*(1-Assumptions!$C$41)+AL16*((1-(1-Assumptions!$C$34)^(1/12))*Assumptions!$C$40)*MAX(0,AL13*Assumptions!$C$29-AK31)</f>
        <v>1.66236139323487</v>
      </c>
      <c r="AM31" s="26" t="n">
        <f aca="false">AL31*(1-Assumptions!$C$41)+AM16*((1-(1-Assumptions!$C$34)^(1/12))*Assumptions!$C$40)*MAX(0,AM13*Assumptions!$C$29-AL31)</f>
        <v>1.83499384534259</v>
      </c>
      <c r="AN31" s="37" t="n">
        <f aca="false">AM31*(1-Assumptions!$C$41)+AN16*((1-(1-Assumptions!$C$34)^(1/12))*Assumptions!$C$40)*MAX(0,AN13*Assumptions!$C$29-AM31)</f>
        <v>2.01107836971048</v>
      </c>
      <c r="AO31" s="37" t="n">
        <f aca="false">AN31*(1-Assumptions!$C$41)+AO16*((1-(1-Assumptions!$C$34)^(1/12))*Assumptions!$C$40)*MAX(0,AO13*Assumptions!$C$29-AN31)</f>
        <v>2.19215521308667</v>
      </c>
      <c r="AP31" s="37" t="n">
        <f aca="false">AO31*(1-Assumptions!$C$41)+AP16*((1-(1-Assumptions!$C$34)^(1/12))*Assumptions!$C$40)*MAX(0,AP13*Assumptions!$C$29-AO31)</f>
        <v>2.37716897039745</v>
      </c>
      <c r="AQ31" s="37" t="n">
        <f aca="false">AP31*(1-Assumptions!$C$41)+AQ16*((1-(1-Assumptions!$C$34)^(1/12))*Assumptions!$C$40)*MAX(0,AQ13*Assumptions!$C$29-AP31)</f>
        <v>2.56488979363549</v>
      </c>
      <c r="AR31" s="37" t="n">
        <f aca="false">AQ31*(1-Assumptions!$C$41)+AR16*((1-(1-Assumptions!$C$34)^(1/12))*Assumptions!$C$40)*MAX(0,AR13*Assumptions!$C$29-AQ31)</f>
        <v>2.75689077231378</v>
      </c>
      <c r="AS31" s="37" t="n">
        <f aca="false">AR31*(1-Assumptions!$C$41)+AS16*((1-(1-Assumptions!$C$34)^(1/12))*Assumptions!$C$40)*MAX(0,AS13*Assumptions!$C$29-AR31)</f>
        <v>2.95203388156894</v>
      </c>
      <c r="AT31" s="37" t="n">
        <f aca="false">AS31*(1-Assumptions!$C$41)+AT16*((1-(1-Assumptions!$C$34)^(1/12))*Assumptions!$C$40)*MAX(0,AT13*Assumptions!$C$29-AS31)</f>
        <v>3.14912563805265</v>
      </c>
      <c r="AU31" s="37" t="n">
        <f aca="false">AT31*(1-Assumptions!$C$41)+AU16*((1-(1-Assumptions!$C$34)^(1/12))*Assumptions!$C$40)*MAX(0,AU13*Assumptions!$C$29-AT31)</f>
        <v>3.34977400350937</v>
      </c>
      <c r="AV31" s="37" t="n">
        <f aca="false">AU31*(1-Assumptions!$C$41)+AV16*((1-(1-Assumptions!$C$34)^(1/12))*Assumptions!$C$40)*MAX(0,AV13*Assumptions!$C$29-AU31)</f>
        <v>3.55287439195271</v>
      </c>
      <c r="AW31" s="37" t="n">
        <f aca="false">AV31*(1-Assumptions!$C$41)+AW16*((1-(1-Assumptions!$C$34)^(1/12))*Assumptions!$C$40)*MAX(0,AW13*Assumptions!$C$29-AV31)</f>
        <v>3.75726538232256</v>
      </c>
      <c r="AX31" s="37" t="n">
        <f aca="false">AW31*(1-Assumptions!$C$41)+AX16*((1-(1-Assumptions!$C$34)^(1/12))*Assumptions!$C$40)*MAX(0,AX13*Assumptions!$C$29-AW31)</f>
        <v>3.96458567661078</v>
      </c>
      <c r="AY31" s="37" t="n">
        <f aca="false">AX31*(1-Assumptions!$C$41)+AY16*((1-(1-Assumptions!$C$34)^(1/12))*Assumptions!$C$40)*MAX(0,AY13*Assumptions!$C$29-AX31)</f>
        <v>4.17376015945399</v>
      </c>
      <c r="AZ31" s="37" t="n">
        <f aca="false">AY31*(1-Assumptions!$C$41)+AZ16*((1-(1-Assumptions!$C$34)^(1/12))*Assumptions!$C$40)*MAX(0,AZ13*Assumptions!$C$29-AY31)</f>
        <v>4.38365566115845</v>
      </c>
      <c r="BA31" s="37" t="n">
        <f aca="false">AZ31*(1-Assumptions!$C$41)+BA16*((1-(1-Assumptions!$C$34)^(1/12))*Assumptions!$C$40)*MAX(0,BA13*Assumptions!$C$29-AZ31)</f>
        <v>4.59593796422449</v>
      </c>
      <c r="BB31" s="37" t="n">
        <f aca="false">BA31*(1-Assumptions!$C$41)+BB16*((1-(1-Assumptions!$C$34)^(1/12))*Assumptions!$C$40)*MAX(0,BB13*Assumptions!$C$29-BA31)</f>
        <v>4.80955790944551</v>
      </c>
      <c r="BC31" s="37" t="n">
        <f aca="false">BB31*(1-Assumptions!$C$41)+BC16*((1-(1-Assumptions!$C$34)^(1/12))*Assumptions!$C$40)*MAX(0,BC13*Assumptions!$C$29-BB31)</f>
        <v>5.02329307314764</v>
      </c>
      <c r="BD31" s="37" t="n">
        <f aca="false">BC31*(1-Assumptions!$C$41)+BD16*((1-(1-Assumptions!$C$34)^(1/12))*Assumptions!$C$40)*MAX(0,BD13*Assumptions!$C$29-BC31)</f>
        <v>5.23883921115393</v>
      </c>
      <c r="BE31" s="37" t="n">
        <f aca="false">BD31*(1-Assumptions!$C$41)+BE16*((1-(1-Assumptions!$C$34)^(1/12))*Assumptions!$C$40)*MAX(0,BE13*Assumptions!$C$29-BD31)</f>
        <v>5.45517587881111</v>
      </c>
      <c r="BF31" s="37" t="n">
        <f aca="false">BE31*(1-Assumptions!$C$41)+BF16*((1-(1-Assumptions!$C$34)^(1/12))*Assumptions!$C$40)*MAX(0,BF13*Assumptions!$C$29-BE31)</f>
        <v>5.6711081584593</v>
      </c>
      <c r="BG31" s="37" t="n">
        <f aca="false">BF31*(1-Assumptions!$C$41)+BG16*((1-(1-Assumptions!$C$34)^(1/12))*Assumptions!$C$40)*MAX(0,BG13*Assumptions!$C$29-BF31)</f>
        <v>5.88835815165834</v>
      </c>
      <c r="BH31" s="37" t="n">
        <f aca="false">BG31*(1-Assumptions!$C$41)+BH16*((1-(1-Assumptions!$C$34)^(1/12))*Assumptions!$C$40)*MAX(0,BH13*Assumptions!$C$29-BG31)</f>
        <v>6.1059306455853</v>
      </c>
      <c r="BI31" s="37" t="n">
        <f aca="false">BH31*(1-Assumptions!$C$41)+BI16*((1-(1-Assumptions!$C$34)^(1/12))*Assumptions!$C$40)*MAX(0,BI13*Assumptions!$C$29-BH31)</f>
        <v>6.32265488505715</v>
      </c>
      <c r="BJ31" s="37" t="n">
        <f aca="false">BI31*(1-Assumptions!$C$41)+BJ16*((1-(1-Assumptions!$C$34)^(1/12))*Assumptions!$C$40)*MAX(0,BJ13*Assumptions!$C$29-BI31)</f>
        <v>6.5402761075631</v>
      </c>
      <c r="BK31" s="37" t="n">
        <f aca="false">BJ31*(1-Assumptions!$C$41)+BK16*((1-(1-Assumptions!$C$34)^(1/12))*Assumptions!$C$40)*MAX(0,BK13*Assumptions!$C$29-BJ31)</f>
        <v>6.75782125078897</v>
      </c>
    </row>
    <row r="32" customFormat="false" ht="15" hidden="false" customHeight="false" outlineLevel="0" collapsed="false">
      <c r="A32" s="28" t="s">
        <v>581</v>
      </c>
      <c r="B32" s="6" t="s">
        <v>582</v>
      </c>
      <c r="C32" s="36" t="n">
        <v>0</v>
      </c>
      <c r="D32" s="26" t="n">
        <f aca="false">D27+D28+D29+D30+D31</f>
        <v>0</v>
      </c>
      <c r="E32" s="26" t="n">
        <f aca="false">E27+E28+E29+E30+E31</f>
        <v>0</v>
      </c>
      <c r="F32" s="26" t="n">
        <f aca="false">F27+F28+F29+F30+F31</f>
        <v>0</v>
      </c>
      <c r="G32" s="26" t="n">
        <f aca="false">G27+G28+G29+G30+G31</f>
        <v>0</v>
      </c>
      <c r="H32" s="26" t="n">
        <f aca="false">H27+H28+H29+H30+H31</f>
        <v>0</v>
      </c>
      <c r="I32" s="26" t="n">
        <f aca="false">I27+I28+I29+I30+I31</f>
        <v>0</v>
      </c>
      <c r="J32" s="26" t="n">
        <f aca="false">J27+J28+J29+J30+J31</f>
        <v>0</v>
      </c>
      <c r="K32" s="26" t="n">
        <f aca="false">K27+K28+K29+K30+K31</f>
        <v>0</v>
      </c>
      <c r="L32" s="26" t="n">
        <f aca="false">L27+L28+L29+L30+L31</f>
        <v>0</v>
      </c>
      <c r="M32" s="26" t="n">
        <f aca="false">M27+M28+M29+M30+M31</f>
        <v>0</v>
      </c>
      <c r="N32" s="26" t="n">
        <f aca="false">N27+N28+N29+N30+N31</f>
        <v>0</v>
      </c>
      <c r="O32" s="26" t="n">
        <f aca="false">O27+O28+O29+O30+O31</f>
        <v>0</v>
      </c>
      <c r="P32" s="26" t="n">
        <f aca="false">P27+P28+P29+P30+P31</f>
        <v>0</v>
      </c>
      <c r="Q32" s="26" t="n">
        <f aca="false">Q27+Q28+Q29+Q30+Q31</f>
        <v>0</v>
      </c>
      <c r="R32" s="26" t="n">
        <f aca="false">R27+R28+R29+R30+R31</f>
        <v>0</v>
      </c>
      <c r="S32" s="26" t="n">
        <f aca="false">S27+S28+S29+S30+S31</f>
        <v>0</v>
      </c>
      <c r="T32" s="26" t="n">
        <f aca="false">T27+T28+T29+T30+T31</f>
        <v>0</v>
      </c>
      <c r="U32" s="26" t="n">
        <f aca="false">U27+U28+U29+U30+U31</f>
        <v>0</v>
      </c>
      <c r="V32" s="26" t="n">
        <f aca="false">V27+V28+V29+V30+V31</f>
        <v>0</v>
      </c>
      <c r="W32" s="26" t="n">
        <f aca="false">W27+W28+W29+W30+W31</f>
        <v>0</v>
      </c>
      <c r="X32" s="26" t="n">
        <f aca="false">X27+X28+X29+X30+X31</f>
        <v>0</v>
      </c>
      <c r="Y32" s="26" t="n">
        <f aca="false">Y27+Y28+Y29+Y30+Y31</f>
        <v>0</v>
      </c>
      <c r="Z32" s="26" t="n">
        <f aca="false">Z27+Z28+Z29+Z30+Z31</f>
        <v>0</v>
      </c>
      <c r="AA32" s="26" t="n">
        <f aca="false">AA27+AA28+AA29+AA30+AA31</f>
        <v>5.81473522664442</v>
      </c>
      <c r="AB32" s="26" t="n">
        <f aca="false">AB27+AB28+AB29+AB30+AB31</f>
        <v>11.6776759649975</v>
      </c>
      <c r="AC32" s="26" t="n">
        <f aca="false">AC27+AC28+AC29+AC30+AC31</f>
        <v>17.5850369556835</v>
      </c>
      <c r="AD32" s="26" t="n">
        <f aca="false">AD27+AD28+AD29+AD30+AD31</f>
        <v>23.5332861412355</v>
      </c>
      <c r="AE32" s="26" t="n">
        <f aca="false">AE27+AE28+AE29+AE30+AE31</f>
        <v>29.5131830940643</v>
      </c>
      <c r="AF32" s="26" t="n">
        <f aca="false">AF27+AF28+AF29+AF30+AF31</f>
        <v>35.6707829607266</v>
      </c>
      <c r="AG32" s="26" t="n">
        <f aca="false">AG27+AG28+AG29+AG30+AG31</f>
        <v>41.973107771306</v>
      </c>
      <c r="AH32" s="26" t="n">
        <f aca="false">AH27+AH28+AH29+AH30+AH31</f>
        <v>48.3600927887311</v>
      </c>
      <c r="AI32" s="26" t="n">
        <f aca="false">AI27+AI28+AI29+AI30+AI31</f>
        <v>54.943120395628</v>
      </c>
      <c r="AJ32" s="26" t="n">
        <f aca="false">AJ27+AJ28+AJ29+AJ30+AJ31</f>
        <v>61.6634096089719</v>
      </c>
      <c r="AK32" s="26" t="n">
        <f aca="false">AK27+AK28+AK29+AK30+AK31</f>
        <v>68.4551243035826</v>
      </c>
      <c r="AL32" s="26" t="n">
        <f aca="false">AL27+AL28+AL29+AL30+AL31</f>
        <v>75.4006000444404</v>
      </c>
      <c r="AM32" s="26" t="n">
        <f aca="false">AM27+AM28+AM29+AM30+AM31</f>
        <v>82.4442386045144</v>
      </c>
      <c r="AN32" s="37" t="n">
        <f aca="false">AN27+AN28+AN29+AN30+AN31</f>
        <v>89.5231558255191</v>
      </c>
      <c r="AO32" s="37" t="n">
        <f aca="false">AO27+AO28+AO29+AO30+AO31</f>
        <v>96.7224252712405</v>
      </c>
      <c r="AP32" s="37" t="n">
        <f aca="false">AP27+AP28+AP29+AP30+AP31</f>
        <v>103.988988326832</v>
      </c>
      <c r="AQ32" s="37" t="n">
        <f aca="false">AQ27+AQ28+AQ29+AQ30+AQ31</f>
        <v>111.262316493755</v>
      </c>
      <c r="AR32" s="37" t="n">
        <f aca="false">AR27+AR28+AR29+AR30+AR31</f>
        <v>118.629668415339</v>
      </c>
      <c r="AS32" s="37" t="n">
        <f aca="false">AS27+AS28+AS29+AS30+AS31</f>
        <v>126.034067561244</v>
      </c>
      <c r="AT32" s="37" t="n">
        <f aca="false">AT27+AT28+AT29+AT30+AT31</f>
        <v>133.417375481935</v>
      </c>
      <c r="AU32" s="37" t="n">
        <f aca="false">AU27+AU28+AU29+AU30+AU31</f>
        <v>140.869066785002</v>
      </c>
      <c r="AV32" s="37" t="n">
        <f aca="false">AV27+AV28+AV29+AV30+AV31</f>
        <v>148.334219471468</v>
      </c>
      <c r="AW32" s="37" t="n">
        <f aca="false">AW27+AW28+AW29+AW30+AW31</f>
        <v>155.756599913082</v>
      </c>
      <c r="AX32" s="37" t="n">
        <f aca="false">AX27+AX28+AX29+AX30+AX31</f>
        <v>163.227448691394</v>
      </c>
      <c r="AY32" s="37" t="n">
        <f aca="false">AY27+AY28+AY29+AY30+AY31</f>
        <v>170.693481000509</v>
      </c>
      <c r="AZ32" s="37" t="n">
        <f aca="false">AZ27+AZ28+AZ29+AZ30+AZ31</f>
        <v>178.09998095354</v>
      </c>
      <c r="BA32" s="37" t="n">
        <f aca="false">BA27+BA28+BA29+BA30+BA31</f>
        <v>185.539596068149</v>
      </c>
      <c r="BB32" s="37" t="n">
        <f aca="false">BB27+BB28+BB29+BB30+BB31</f>
        <v>192.960345683578</v>
      </c>
      <c r="BC32" s="37" t="n">
        <f aca="false">BC27+BC28+BC29+BC30+BC31</f>
        <v>200.302777891889</v>
      </c>
      <c r="BD32" s="37" t="n">
        <f aca="false">BD27+BD28+BD29+BD30+BD31</f>
        <v>207.66117039045</v>
      </c>
      <c r="BE32" s="37" t="n">
        <f aca="false">BE27+BE28+BE29+BE30+BE31</f>
        <v>214.985052597441</v>
      </c>
      <c r="BF32" s="37" t="n">
        <f aca="false">BF27+BF28+BF29+BF30+BF31</f>
        <v>222.216371297455</v>
      </c>
      <c r="BG32" s="37" t="n">
        <f aca="false">BG27+BG28+BG29+BG30+BG31</f>
        <v>229.450699570646</v>
      </c>
      <c r="BH32" s="37" t="n">
        <f aca="false">BH27+BH28+BH29+BH30+BH31</f>
        <v>236.638766394341</v>
      </c>
      <c r="BI32" s="37" t="n">
        <f aca="false">BI27+BI28+BI29+BI30+BI31</f>
        <v>243.723629227881</v>
      </c>
      <c r="BJ32" s="37" t="n">
        <f aca="false">BJ27+BJ28+BJ29+BJ30+BJ31</f>
        <v>250.801889374506</v>
      </c>
      <c r="BK32" s="37" t="n">
        <f aca="false">BK27+BK28+BK29+BK30+BK31</f>
        <v>257.825227546608</v>
      </c>
    </row>
    <row r="33" customFormat="false" ht="15" hidden="false" customHeight="false" outlineLevel="0" collapsed="false">
      <c r="A33" s="28" t="s">
        <v>583</v>
      </c>
      <c r="B33" s="6" t="s">
        <v>584</v>
      </c>
      <c r="C33" s="42"/>
      <c r="D33" s="26" t="n">
        <f aca="false">D27*(1-Assumptions!$C$35)+D28*(1-Assumptions!$C$36)+D29*(1-Assumptions!$C$37)+D30*(1-Assumptions!$C$38)+D31*(1-Assumptions!$C$39)</f>
        <v>0</v>
      </c>
      <c r="E33" s="26" t="n">
        <f aca="false">E27*(1-Assumptions!$C$35)+E28*(1-Assumptions!$C$36)+E29*(1-Assumptions!$C$37)+E30*(1-Assumptions!$C$38)+E31*(1-Assumptions!$C$39)</f>
        <v>0</v>
      </c>
      <c r="F33" s="26" t="n">
        <f aca="false">F27*(1-Assumptions!$C$35)+F28*(1-Assumptions!$C$36)+F29*(1-Assumptions!$C$37)+F30*(1-Assumptions!$C$38)+F31*(1-Assumptions!$C$39)</f>
        <v>0</v>
      </c>
      <c r="G33" s="26" t="n">
        <f aca="false">G27*(1-Assumptions!$C$35)+G28*(1-Assumptions!$C$36)+G29*(1-Assumptions!$C$37)+G30*(1-Assumptions!$C$38)+G31*(1-Assumptions!$C$39)</f>
        <v>0</v>
      </c>
      <c r="H33" s="26" t="n">
        <f aca="false">H27*(1-Assumptions!$C$35)+H28*(1-Assumptions!$C$36)+H29*(1-Assumptions!$C$37)+H30*(1-Assumptions!$C$38)+H31*(1-Assumptions!$C$39)</f>
        <v>0</v>
      </c>
      <c r="I33" s="26" t="n">
        <f aca="false">I27*(1-Assumptions!$C$35)+I28*(1-Assumptions!$C$36)+I29*(1-Assumptions!$C$37)+I30*(1-Assumptions!$C$38)+I31*(1-Assumptions!$C$39)</f>
        <v>0</v>
      </c>
      <c r="J33" s="26" t="n">
        <f aca="false">J27*(1-Assumptions!$C$35)+J28*(1-Assumptions!$C$36)+J29*(1-Assumptions!$C$37)+J30*(1-Assumptions!$C$38)+J31*(1-Assumptions!$C$39)</f>
        <v>0</v>
      </c>
      <c r="K33" s="26" t="n">
        <f aca="false">K27*(1-Assumptions!$C$35)+K28*(1-Assumptions!$C$36)+K29*(1-Assumptions!$C$37)+K30*(1-Assumptions!$C$38)+K31*(1-Assumptions!$C$39)</f>
        <v>0</v>
      </c>
      <c r="L33" s="26" t="n">
        <f aca="false">L27*(1-Assumptions!$C$35)+L28*(1-Assumptions!$C$36)+L29*(1-Assumptions!$C$37)+L30*(1-Assumptions!$C$38)+L31*(1-Assumptions!$C$39)</f>
        <v>0</v>
      </c>
      <c r="M33" s="26" t="n">
        <f aca="false">M27*(1-Assumptions!$C$35)+M28*(1-Assumptions!$C$36)+M29*(1-Assumptions!$C$37)+M30*(1-Assumptions!$C$38)+M31*(1-Assumptions!$C$39)</f>
        <v>0</v>
      </c>
      <c r="N33" s="26" t="n">
        <f aca="false">N27*(1-Assumptions!$C$35)+N28*(1-Assumptions!$C$36)+N29*(1-Assumptions!$C$37)+N30*(1-Assumptions!$C$38)+N31*(1-Assumptions!$C$39)</f>
        <v>0</v>
      </c>
      <c r="O33" s="26" t="n">
        <f aca="false">O27*(1-Assumptions!$C$35)+O28*(1-Assumptions!$C$36)+O29*(1-Assumptions!$C$37)+O30*(1-Assumptions!$C$38)+O31*(1-Assumptions!$C$39)</f>
        <v>0</v>
      </c>
      <c r="P33" s="26" t="n">
        <f aca="false">P27*(1-Assumptions!$C$35)+P28*(1-Assumptions!$C$36)+P29*(1-Assumptions!$C$37)+P30*(1-Assumptions!$C$38)+P31*(1-Assumptions!$C$39)</f>
        <v>0</v>
      </c>
      <c r="Q33" s="26" t="n">
        <f aca="false">Q27*(1-Assumptions!$C$35)+Q28*(1-Assumptions!$C$36)+Q29*(1-Assumptions!$C$37)+Q30*(1-Assumptions!$C$38)+Q31*(1-Assumptions!$C$39)</f>
        <v>0</v>
      </c>
      <c r="R33" s="26" t="n">
        <f aca="false">R27*(1-Assumptions!$C$35)+R28*(1-Assumptions!$C$36)+R29*(1-Assumptions!$C$37)+R30*(1-Assumptions!$C$38)+R31*(1-Assumptions!$C$39)</f>
        <v>0</v>
      </c>
      <c r="S33" s="26" t="n">
        <f aca="false">S27*(1-Assumptions!$C$35)+S28*(1-Assumptions!$C$36)+S29*(1-Assumptions!$C$37)+S30*(1-Assumptions!$C$38)+S31*(1-Assumptions!$C$39)</f>
        <v>0</v>
      </c>
      <c r="T33" s="26" t="n">
        <f aca="false">T27*(1-Assumptions!$C$35)+T28*(1-Assumptions!$C$36)+T29*(1-Assumptions!$C$37)+T30*(1-Assumptions!$C$38)+T31*(1-Assumptions!$C$39)</f>
        <v>0</v>
      </c>
      <c r="U33" s="26" t="n">
        <f aca="false">U27*(1-Assumptions!$C$35)+U28*(1-Assumptions!$C$36)+U29*(1-Assumptions!$C$37)+U30*(1-Assumptions!$C$38)+U31*(1-Assumptions!$C$39)</f>
        <v>0</v>
      </c>
      <c r="V33" s="26" t="n">
        <f aca="false">V27*(1-Assumptions!$C$35)+V28*(1-Assumptions!$C$36)+V29*(1-Assumptions!$C$37)+V30*(1-Assumptions!$C$38)+V31*(1-Assumptions!$C$39)</f>
        <v>0</v>
      </c>
      <c r="W33" s="26" t="n">
        <f aca="false">W27*(1-Assumptions!$C$35)+W28*(1-Assumptions!$C$36)+W29*(1-Assumptions!$C$37)+W30*(1-Assumptions!$C$38)+W31*(1-Assumptions!$C$39)</f>
        <v>0</v>
      </c>
      <c r="X33" s="26" t="n">
        <f aca="false">X27*(1-Assumptions!$C$35)+X28*(1-Assumptions!$C$36)+X29*(1-Assumptions!$C$37)+X30*(1-Assumptions!$C$38)+X31*(1-Assumptions!$C$39)</f>
        <v>0</v>
      </c>
      <c r="Y33" s="26" t="n">
        <f aca="false">Y27*(1-Assumptions!$C$35)+Y28*(1-Assumptions!$C$36)+Y29*(1-Assumptions!$C$37)+Y30*(1-Assumptions!$C$38)+Y31*(1-Assumptions!$C$39)</f>
        <v>0</v>
      </c>
      <c r="Z33" s="26" t="n">
        <f aca="false">Z27*(1-Assumptions!$C$35)+Z28*(1-Assumptions!$C$36)+Z29*(1-Assumptions!$C$37)+Z30*(1-Assumptions!$C$38)+Z31*(1-Assumptions!$C$39)</f>
        <v>0</v>
      </c>
      <c r="AA33" s="26" t="n">
        <f aca="false">AA27*(1-Assumptions!$C$35)+AA28*(1-Assumptions!$C$36)+AA29*(1-Assumptions!$C$37)+AA30*(1-Assumptions!$C$38)+AA31*(1-Assumptions!$C$39)</f>
        <v>4.13686515661318</v>
      </c>
      <c r="AB33" s="26" t="n">
        <f aca="false">AB27*(1-Assumptions!$C$35)+AB28*(1-Assumptions!$C$36)+AB29*(1-Assumptions!$C$37)+AB30*(1-Assumptions!$C$38)+AB31*(1-Assumptions!$C$39)</f>
        <v>8.31654104316482</v>
      </c>
      <c r="AC33" s="26" t="n">
        <f aca="false">AC27*(1-Assumptions!$C$35)+AC28*(1-Assumptions!$C$36)+AC29*(1-Assumptions!$C$37)+AC30*(1-Assumptions!$C$38)+AC31*(1-Assumptions!$C$39)</f>
        <v>12.5358572034855</v>
      </c>
      <c r="AD33" s="26" t="n">
        <f aca="false">AD27*(1-Assumptions!$C$35)+AD28*(1-Assumptions!$C$36)+AD29*(1-Assumptions!$C$37)+AD30*(1-Assumptions!$C$38)+AD31*(1-Assumptions!$C$39)</f>
        <v>16.7918496718391</v>
      </c>
      <c r="AE33" s="26" t="n">
        <f aca="false">AE27*(1-Assumptions!$C$35)+AE28*(1-Assumptions!$C$36)+AE29*(1-Assumptions!$C$37)+AE30*(1-Assumptions!$C$38)+AE31*(1-Assumptions!$C$39)</f>
        <v>21.0775181818351</v>
      </c>
      <c r="AF33" s="26" t="n">
        <f aca="false">AF27*(1-Assumptions!$C$35)+AF28*(1-Assumptions!$C$36)+AF29*(1-Assumptions!$C$37)+AF30*(1-Assumptions!$C$38)+AF31*(1-Assumptions!$C$39)</f>
        <v>25.4963615571332</v>
      </c>
      <c r="AG33" s="26" t="n">
        <f aca="false">AG27*(1-Assumptions!$C$35)+AG28*(1-Assumptions!$C$36)+AG29*(1-Assumptions!$C$37)+AG30*(1-Assumptions!$C$38)+AG31*(1-Assumptions!$C$39)</f>
        <v>30.024747538584</v>
      </c>
      <c r="AH33" s="26" t="n">
        <f aca="false">AH27*(1-Assumptions!$C$35)+AH28*(1-Assumptions!$C$36)+AH29*(1-Assumptions!$C$37)+AH30*(1-Assumptions!$C$38)+AH31*(1-Assumptions!$C$39)</f>
        <v>34.619736475032</v>
      </c>
      <c r="AI33" s="26" t="n">
        <f aca="false">AI27*(1-Assumptions!$C$35)+AI28*(1-Assumptions!$C$36)+AI29*(1-Assumptions!$C$37)+AI30*(1-Assumptions!$C$38)+AI31*(1-Assumptions!$C$39)</f>
        <v>39.3602899221008</v>
      </c>
      <c r="AJ33" s="26" t="n">
        <f aca="false">AJ27*(1-Assumptions!$C$35)+AJ28*(1-Assumptions!$C$36)+AJ29*(1-Assumptions!$C$37)+AJ30*(1-Assumptions!$C$38)+AJ31*(1-Assumptions!$C$39)</f>
        <v>44.2044892878377</v>
      </c>
      <c r="AK33" s="26" t="n">
        <f aca="false">AK27*(1-Assumptions!$C$35)+AK28*(1-Assumptions!$C$36)+AK29*(1-Assumptions!$C$37)+AK30*(1-Assumptions!$C$38)+AK31*(1-Assumptions!$C$39)</f>
        <v>49.1053174289776</v>
      </c>
      <c r="AL33" s="26" t="n">
        <f aca="false">AL27*(1-Assumptions!$C$35)+AL28*(1-Assumptions!$C$36)+AL29*(1-Assumptions!$C$37)+AL30*(1-Assumptions!$C$38)+AL31*(1-Assumptions!$C$39)</f>
        <v>54.1210887515689</v>
      </c>
      <c r="AM33" s="26" t="n">
        <f aca="false">AM27*(1-Assumptions!$C$35)+AM28*(1-Assumptions!$C$36)+AM29*(1-Assumptions!$C$37)+AM30*(1-Assumptions!$C$38)+AM31*(1-Assumptions!$C$39)</f>
        <v>59.2121232252343</v>
      </c>
      <c r="AN33" s="37" t="n">
        <f aca="false">AN27*(1-Assumptions!$C$35)+AN28*(1-Assumptions!$C$36)+AN29*(1-Assumptions!$C$37)+AN30*(1-Assumptions!$C$38)+AN31*(1-Assumptions!$C$39)</f>
        <v>64.3334842445252</v>
      </c>
      <c r="AO33" s="37" t="n">
        <f aca="false">AO27*(1-Assumptions!$C$35)+AO28*(1-Assumptions!$C$36)+AO29*(1-Assumptions!$C$37)+AO30*(1-Assumptions!$C$38)+AO31*(1-Assumptions!$C$39)</f>
        <v>69.5454199672199</v>
      </c>
      <c r="AP33" s="37" t="n">
        <f aca="false">AP27*(1-Assumptions!$C$35)+AP28*(1-Assumptions!$C$36)+AP29*(1-Assumptions!$C$37)+AP30*(1-Assumptions!$C$38)+AP31*(1-Assumptions!$C$39)</f>
        <v>74.8100477564603</v>
      </c>
      <c r="AQ33" s="37" t="n">
        <f aca="false">AQ27*(1-Assumptions!$C$35)+AQ28*(1-Assumptions!$C$36)+AQ29*(1-Assumptions!$C$37)+AQ30*(1-Assumptions!$C$38)+AQ31*(1-Assumptions!$C$39)</f>
        <v>80.0841017192448</v>
      </c>
      <c r="AR33" s="37" t="n">
        <f aca="false">AR27*(1-Assumptions!$C$35)+AR28*(1-Assumptions!$C$36)+AR29*(1-Assumptions!$C$37)+AR30*(1-Assumptions!$C$38)+AR31*(1-Assumptions!$C$39)</f>
        <v>85.4293830258359</v>
      </c>
      <c r="AS33" s="37" t="n">
        <f aca="false">AS27*(1-Assumptions!$C$35)+AS28*(1-Assumptions!$C$36)+AS29*(1-Assumptions!$C$37)+AS30*(1-Assumptions!$C$38)+AS31*(1-Assumptions!$C$39)</f>
        <v>90.805223285663</v>
      </c>
      <c r="AT33" s="37" t="n">
        <f aca="false">AT27*(1-Assumptions!$C$35)+AT28*(1-Assumptions!$C$36)+AT29*(1-Assumptions!$C$37)+AT30*(1-Assumptions!$C$38)+AT31*(1-Assumptions!$C$39)</f>
        <v>96.1700526676378</v>
      </c>
      <c r="AU33" s="37" t="n">
        <f aca="false">AU27*(1-Assumptions!$C$35)+AU28*(1-Assumptions!$C$36)+AU29*(1-Assumptions!$C$37)+AU30*(1-Assumptions!$C$38)+AU31*(1-Assumptions!$C$39)</f>
        <v>101.58724822467</v>
      </c>
      <c r="AV33" s="37" t="n">
        <f aca="false">AV27*(1-Assumptions!$C$35)+AV28*(1-Assumptions!$C$36)+AV29*(1-Assumptions!$C$37)+AV30*(1-Assumptions!$C$38)+AV31*(1-Assumptions!$C$39)</f>
        <v>107.017605784984</v>
      </c>
      <c r="AW33" s="37" t="n">
        <f aca="false">AW27*(1-Assumptions!$C$35)+AW28*(1-Assumptions!$C$36)+AW29*(1-Assumptions!$C$37)+AW30*(1-Assumptions!$C$38)+AW31*(1-Assumptions!$C$39)</f>
        <v>112.420915976842</v>
      </c>
      <c r="AX33" s="37" t="n">
        <f aca="false">AX27*(1-Assumptions!$C$35)+AX28*(1-Assumptions!$C$36)+AX29*(1-Assumptions!$C$37)+AX30*(1-Assumptions!$C$38)+AX31*(1-Assumptions!$C$39)</f>
        <v>117.861819890869</v>
      </c>
      <c r="AY33" s="37" t="n">
        <f aca="false">AY27*(1-Assumptions!$C$35)+AY28*(1-Assumptions!$C$36)+AY29*(1-Assumptions!$C$37)+AY30*(1-Assumptions!$C$38)+AY31*(1-Assumptions!$C$39)</f>
        <v>123.302287783701</v>
      </c>
      <c r="AZ33" s="37" t="n">
        <f aca="false">AZ27*(1-Assumptions!$C$35)+AZ28*(1-Assumptions!$C$36)+AZ29*(1-Assumptions!$C$37)+AZ30*(1-Assumptions!$C$38)+AZ31*(1-Assumptions!$C$39)</f>
        <v>128.703201427702</v>
      </c>
      <c r="BA33" s="37" t="n">
        <f aca="false">BA27*(1-Assumptions!$C$35)+BA28*(1-Assumptions!$C$36)+BA29*(1-Assumptions!$C$37)+BA30*(1-Assumptions!$C$38)+BA31*(1-Assumptions!$C$39)</f>
        <v>134.130215646245</v>
      </c>
      <c r="BB33" s="37" t="n">
        <f aca="false">BB27*(1-Assumptions!$C$35)+BB28*(1-Assumptions!$C$36)+BB29*(1-Assumptions!$C$37)+BB30*(1-Assumptions!$C$38)+BB31*(1-Assumptions!$C$39)</f>
        <v>139.54624247104</v>
      </c>
      <c r="BC33" s="37" t="n">
        <f aca="false">BC27*(1-Assumptions!$C$35)+BC28*(1-Assumptions!$C$36)+BC29*(1-Assumptions!$C$37)+BC30*(1-Assumptions!$C$38)+BC31*(1-Assumptions!$C$39)</f>
        <v>144.908809154569</v>
      </c>
      <c r="BD33" s="37" t="n">
        <f aca="false">BD27*(1-Assumptions!$C$35)+BD28*(1-Assumptions!$C$36)+BD29*(1-Assumptions!$C$37)+BD30*(1-Assumptions!$C$38)+BD31*(1-Assumptions!$C$39)</f>
        <v>150.284737253705</v>
      </c>
      <c r="BE33" s="37" t="n">
        <f aca="false">BE27*(1-Assumptions!$C$35)+BE28*(1-Assumptions!$C$36)+BE29*(1-Assumptions!$C$37)+BE30*(1-Assumptions!$C$38)+BE31*(1-Assumptions!$C$39)</f>
        <v>155.638021978777</v>
      </c>
      <c r="BF33" s="37" t="n">
        <f aca="false">BF27*(1-Assumptions!$C$35)+BF28*(1-Assumptions!$C$36)+BF29*(1-Assumptions!$C$37)+BF30*(1-Assumptions!$C$38)+BF31*(1-Assumptions!$C$39)</f>
        <v>160.927196112008</v>
      </c>
      <c r="BG33" s="37" t="n">
        <f aca="false">BG27*(1-Assumptions!$C$35)+BG28*(1-Assumptions!$C$36)+BG29*(1-Assumptions!$C$37)+BG30*(1-Assumptions!$C$38)+BG31*(1-Assumptions!$C$39)</f>
        <v>166.220014575146</v>
      </c>
      <c r="BH33" s="37" t="n">
        <f aca="false">BH27*(1-Assumptions!$C$35)+BH28*(1-Assumptions!$C$36)+BH29*(1-Assumptions!$C$37)+BH30*(1-Assumptions!$C$38)+BH31*(1-Assumptions!$C$39)</f>
        <v>171.481338871095</v>
      </c>
      <c r="BI33" s="37" t="n">
        <f aca="false">BI27*(1-Assumptions!$C$35)+BI28*(1-Assumptions!$C$36)+BI29*(1-Assumptions!$C$37)+BI30*(1-Assumptions!$C$38)+BI31*(1-Assumptions!$C$39)</f>
        <v>176.670505731782</v>
      </c>
      <c r="BJ33" s="37" t="n">
        <f aca="false">BJ27*(1-Assumptions!$C$35)+BJ28*(1-Assumptions!$C$36)+BJ29*(1-Assumptions!$C$37)+BJ30*(1-Assumptions!$C$38)+BJ31*(1-Assumptions!$C$39)</f>
        <v>181.856016078327</v>
      </c>
      <c r="BK33" s="37" t="n">
        <f aca="false">BK27*(1-Assumptions!$C$35)+BK28*(1-Assumptions!$C$36)+BK29*(1-Assumptions!$C$37)+BK30*(1-Assumptions!$C$38)+BK31*(1-Assumptions!$C$39)</f>
        <v>187.003423542633</v>
      </c>
    </row>
    <row r="34" customFormat="false" ht="15" hidden="false" customHeight="false" outlineLevel="0" collapsed="false">
      <c r="A34" s="28" t="s">
        <v>585</v>
      </c>
      <c r="B34" s="6" t="s">
        <v>586</v>
      </c>
      <c r="C34" s="42"/>
      <c r="D34" s="26" t="n">
        <f aca="false">D27*Assumptions!$C$35+D28*Assumptions!$C$36+D29*Assumptions!$C$37+D30*Assumptions!$C$38+D31*Assumptions!$C$39</f>
        <v>0</v>
      </c>
      <c r="E34" s="26" t="n">
        <f aca="false">E27*Assumptions!$C$35+E28*Assumptions!$C$36+E29*Assumptions!$C$37+E30*Assumptions!$C$38+E31*Assumptions!$C$39</f>
        <v>0</v>
      </c>
      <c r="F34" s="26" t="n">
        <f aca="false">F27*Assumptions!$C$35+F28*Assumptions!$C$36+F29*Assumptions!$C$37+F30*Assumptions!$C$38+F31*Assumptions!$C$39</f>
        <v>0</v>
      </c>
      <c r="G34" s="26" t="n">
        <f aca="false">G27*Assumptions!$C$35+G28*Assumptions!$C$36+G29*Assumptions!$C$37+G30*Assumptions!$C$38+G31*Assumptions!$C$39</f>
        <v>0</v>
      </c>
      <c r="H34" s="26" t="n">
        <f aca="false">H27*Assumptions!$C$35+H28*Assumptions!$C$36+H29*Assumptions!$C$37+H30*Assumptions!$C$38+H31*Assumptions!$C$39</f>
        <v>0</v>
      </c>
      <c r="I34" s="26" t="n">
        <f aca="false">I27*Assumptions!$C$35+I28*Assumptions!$C$36+I29*Assumptions!$C$37+I30*Assumptions!$C$38+I31*Assumptions!$C$39</f>
        <v>0</v>
      </c>
      <c r="J34" s="26" t="n">
        <f aca="false">J27*Assumptions!$C$35+J28*Assumptions!$C$36+J29*Assumptions!$C$37+J30*Assumptions!$C$38+J31*Assumptions!$C$39</f>
        <v>0</v>
      </c>
      <c r="K34" s="26" t="n">
        <f aca="false">K27*Assumptions!$C$35+K28*Assumptions!$C$36+K29*Assumptions!$C$37+K30*Assumptions!$C$38+K31*Assumptions!$C$39</f>
        <v>0</v>
      </c>
      <c r="L34" s="26" t="n">
        <f aca="false">L27*Assumptions!$C$35+L28*Assumptions!$C$36+L29*Assumptions!$C$37+L30*Assumptions!$C$38+L31*Assumptions!$C$39</f>
        <v>0</v>
      </c>
      <c r="M34" s="26" t="n">
        <f aca="false">M27*Assumptions!$C$35+M28*Assumptions!$C$36+M29*Assumptions!$C$37+M30*Assumptions!$C$38+M31*Assumptions!$C$39</f>
        <v>0</v>
      </c>
      <c r="N34" s="26" t="n">
        <f aca="false">N27*Assumptions!$C$35+N28*Assumptions!$C$36+N29*Assumptions!$C$37+N30*Assumptions!$C$38+N31*Assumptions!$C$39</f>
        <v>0</v>
      </c>
      <c r="O34" s="26" t="n">
        <f aca="false">O27*Assumptions!$C$35+O28*Assumptions!$C$36+O29*Assumptions!$C$37+O30*Assumptions!$C$38+O31*Assumptions!$C$39</f>
        <v>0</v>
      </c>
      <c r="P34" s="26" t="n">
        <f aca="false">P27*Assumptions!$C$35+P28*Assumptions!$C$36+P29*Assumptions!$C$37+P30*Assumptions!$C$38+P31*Assumptions!$C$39</f>
        <v>0</v>
      </c>
      <c r="Q34" s="26" t="n">
        <f aca="false">Q27*Assumptions!$C$35+Q28*Assumptions!$C$36+Q29*Assumptions!$C$37+Q30*Assumptions!$C$38+Q31*Assumptions!$C$39</f>
        <v>0</v>
      </c>
      <c r="R34" s="26" t="n">
        <f aca="false">R27*Assumptions!$C$35+R28*Assumptions!$C$36+R29*Assumptions!$C$37+R30*Assumptions!$C$38+R31*Assumptions!$C$39</f>
        <v>0</v>
      </c>
      <c r="S34" s="26" t="n">
        <f aca="false">S27*Assumptions!$C$35+S28*Assumptions!$C$36+S29*Assumptions!$C$37+S30*Assumptions!$C$38+S31*Assumptions!$C$39</f>
        <v>0</v>
      </c>
      <c r="T34" s="26" t="n">
        <f aca="false">T27*Assumptions!$C$35+T28*Assumptions!$C$36+T29*Assumptions!$C$37+T30*Assumptions!$C$38+T31*Assumptions!$C$39</f>
        <v>0</v>
      </c>
      <c r="U34" s="26" t="n">
        <f aca="false">U27*Assumptions!$C$35+U28*Assumptions!$C$36+U29*Assumptions!$C$37+U30*Assumptions!$C$38+U31*Assumptions!$C$39</f>
        <v>0</v>
      </c>
      <c r="V34" s="26" t="n">
        <f aca="false">V27*Assumptions!$C$35+V28*Assumptions!$C$36+V29*Assumptions!$C$37+V30*Assumptions!$C$38+V31*Assumptions!$C$39</f>
        <v>0</v>
      </c>
      <c r="W34" s="26" t="n">
        <f aca="false">W27*Assumptions!$C$35+W28*Assumptions!$C$36+W29*Assumptions!$C$37+W30*Assumptions!$C$38+W31*Assumptions!$C$39</f>
        <v>0</v>
      </c>
      <c r="X34" s="26" t="n">
        <f aca="false">X27*Assumptions!$C$35+X28*Assumptions!$C$36+X29*Assumptions!$C$37+X30*Assumptions!$C$38+X31*Assumptions!$C$39</f>
        <v>0</v>
      </c>
      <c r="Y34" s="26" t="n">
        <f aca="false">Y27*Assumptions!$C$35+Y28*Assumptions!$C$36+Y29*Assumptions!$C$37+Y30*Assumptions!$C$38+Y31*Assumptions!$C$39</f>
        <v>0</v>
      </c>
      <c r="Z34" s="26" t="n">
        <f aca="false">Z27*Assumptions!$C$35+Z28*Assumptions!$C$36+Z29*Assumptions!$C$37+Z30*Assumptions!$C$38+Z31*Assumptions!$C$39</f>
        <v>0</v>
      </c>
      <c r="AA34" s="26" t="n">
        <f aca="false">AA27*Assumptions!$C$35+AA28*Assumptions!$C$36+AA29*Assumptions!$C$37+AA30*Assumptions!$C$38+AA31*Assumptions!$C$39</f>
        <v>1.67787007003124</v>
      </c>
      <c r="AB34" s="26" t="n">
        <f aca="false">AB27*Assumptions!$C$35+AB28*Assumptions!$C$36+AB29*Assumptions!$C$37+AB30*Assumptions!$C$38+AB31*Assumptions!$C$39</f>
        <v>3.36113492183264</v>
      </c>
      <c r="AC34" s="26" t="n">
        <f aca="false">AC27*Assumptions!$C$35+AC28*Assumptions!$C$36+AC29*Assumptions!$C$37+AC30*Assumptions!$C$38+AC31*Assumptions!$C$39</f>
        <v>5.04917975219797</v>
      </c>
      <c r="AD34" s="26" t="n">
        <f aca="false">AD27*Assumptions!$C$35+AD28*Assumptions!$C$36+AD29*Assumptions!$C$37+AD30*Assumptions!$C$38+AD31*Assumptions!$C$39</f>
        <v>6.74143646939646</v>
      </c>
      <c r="AE34" s="26" t="n">
        <f aca="false">AE27*Assumptions!$C$35+AE28*Assumptions!$C$36+AE29*Assumptions!$C$37+AE30*Assumptions!$C$38+AE31*Assumptions!$C$39</f>
        <v>8.43566491222919</v>
      </c>
      <c r="AF34" s="26" t="n">
        <f aca="false">AF27*Assumptions!$C$35+AF28*Assumptions!$C$36+AF29*Assumptions!$C$37+AF30*Assumptions!$C$38+AF31*Assumptions!$C$39</f>
        <v>10.1744214035934</v>
      </c>
      <c r="AG34" s="26" t="n">
        <f aca="false">AG27*Assumptions!$C$35+AG28*Assumptions!$C$36+AG29*Assumptions!$C$37+AG30*Assumptions!$C$38+AG31*Assumptions!$C$39</f>
        <v>11.948360232722</v>
      </c>
      <c r="AH34" s="26" t="n">
        <f aca="false">AH27*Assumptions!$C$35+AH28*Assumptions!$C$36+AH29*Assumptions!$C$37+AH30*Assumptions!$C$38+AH31*Assumptions!$C$39</f>
        <v>13.740356313699</v>
      </c>
      <c r="AI34" s="26" t="n">
        <f aca="false">AI27*Assumptions!$C$35+AI28*Assumptions!$C$36+AI29*Assumptions!$C$37+AI30*Assumptions!$C$38+AI31*Assumptions!$C$39</f>
        <v>15.5828304735273</v>
      </c>
      <c r="AJ34" s="26" t="n">
        <f aca="false">AJ27*Assumptions!$C$35+AJ28*Assumptions!$C$36+AJ29*Assumptions!$C$37+AJ30*Assumptions!$C$38+AJ31*Assumptions!$C$39</f>
        <v>17.4589203211342</v>
      </c>
      <c r="AK34" s="26" t="n">
        <f aca="false">AK27*Assumptions!$C$35+AK28*Assumptions!$C$36+AK29*Assumptions!$C$37+AK30*Assumptions!$C$38+AK31*Assumptions!$C$39</f>
        <v>19.349806874605</v>
      </c>
      <c r="AL34" s="26" t="n">
        <f aca="false">AL27*Assumptions!$C$35+AL28*Assumptions!$C$36+AL29*Assumptions!$C$37+AL30*Assumptions!$C$38+AL31*Assumptions!$C$39</f>
        <v>21.2795112928715</v>
      </c>
      <c r="AM34" s="26" t="n">
        <f aca="false">AM27*Assumptions!$C$35+AM28*Assumptions!$C$36+AM29*Assumptions!$C$37+AM30*Assumptions!$C$38+AM31*Assumptions!$C$39</f>
        <v>23.2321153792801</v>
      </c>
      <c r="AN34" s="37" t="n">
        <f aca="false">AN27*Assumptions!$C$35+AN28*Assumptions!$C$36+AN29*Assumptions!$C$37+AN30*Assumptions!$C$38+AN31*Assumptions!$C$39</f>
        <v>25.1896715809939</v>
      </c>
      <c r="AO34" s="37" t="n">
        <f aca="false">AO27*Assumptions!$C$35+AO28*Assumptions!$C$36+AO29*Assumptions!$C$37+AO30*Assumptions!$C$38+AO31*Assumptions!$C$39</f>
        <v>27.1770053040206</v>
      </c>
      <c r="AP34" s="37" t="n">
        <f aca="false">AP27*Assumptions!$C$35+AP28*Assumptions!$C$36+AP29*Assumptions!$C$37+AP30*Assumptions!$C$38+AP31*Assumptions!$C$39</f>
        <v>29.1789405703719</v>
      </c>
      <c r="AQ34" s="37" t="n">
        <f aca="false">AQ27*Assumptions!$C$35+AQ28*Assumptions!$C$36+AQ29*Assumptions!$C$37+AQ30*Assumptions!$C$38+AQ31*Assumptions!$C$39</f>
        <v>31.17821477451</v>
      </c>
      <c r="AR34" s="37" t="n">
        <f aca="false">AR27*Assumptions!$C$35+AR28*Assumptions!$C$36+AR29*Assumptions!$C$37+AR30*Assumptions!$C$38+AR31*Assumptions!$C$39</f>
        <v>33.2002853895027</v>
      </c>
      <c r="AS34" s="37" t="n">
        <f aca="false">AS27*Assumptions!$C$35+AS28*Assumptions!$C$36+AS29*Assumptions!$C$37+AS30*Assumptions!$C$38+AS31*Assumptions!$C$39</f>
        <v>35.2288442755812</v>
      </c>
      <c r="AT34" s="37" t="n">
        <f aca="false">AT27*Assumptions!$C$35+AT28*Assumptions!$C$36+AT29*Assumptions!$C$37+AT30*Assumptions!$C$38+AT31*Assumptions!$C$39</f>
        <v>37.2473228142967</v>
      </c>
      <c r="AU34" s="37" t="n">
        <f aca="false">AU27*Assumptions!$C$35+AU28*Assumptions!$C$36+AU29*Assumptions!$C$37+AU30*Assumptions!$C$38+AU31*Assumptions!$C$39</f>
        <v>39.2818185603314</v>
      </c>
      <c r="AV34" s="37" t="n">
        <f aca="false">AV27*Assumptions!$C$35+AV28*Assumptions!$C$36+AV29*Assumptions!$C$37+AV30*Assumptions!$C$38+AV31*Assumptions!$C$39</f>
        <v>41.3166136864838</v>
      </c>
      <c r="AW34" s="37" t="n">
        <f aca="false">AW27*Assumptions!$C$35+AW28*Assumptions!$C$36+AW29*Assumptions!$C$37+AW30*Assumptions!$C$38+AW31*Assumptions!$C$39</f>
        <v>43.3356839362391</v>
      </c>
      <c r="AX34" s="37" t="n">
        <f aca="false">AX27*Assumptions!$C$35+AX28*Assumptions!$C$36+AX29*Assumptions!$C$37+AX30*Assumptions!$C$38+AX31*Assumptions!$C$39</f>
        <v>45.3656288005244</v>
      </c>
      <c r="AY34" s="37" t="n">
        <f aca="false">AY27*Assumptions!$C$35+AY28*Assumptions!$C$36+AY29*Assumptions!$C$37+AY30*Assumptions!$C$38+AY31*Assumptions!$C$39</f>
        <v>47.3911932168075</v>
      </c>
      <c r="AZ34" s="37" t="n">
        <f aca="false">AZ27*Assumptions!$C$35+AZ28*Assumptions!$C$36+AZ29*Assumptions!$C$37+AZ30*Assumptions!$C$38+AZ31*Assumptions!$C$39</f>
        <v>49.3967795258383</v>
      </c>
      <c r="BA34" s="37" t="n">
        <f aca="false">BA27*Assumptions!$C$35+BA28*Assumptions!$C$36+BA29*Assumptions!$C$37+BA30*Assumptions!$C$38+BA31*Assumptions!$C$39</f>
        <v>51.4093804219041</v>
      </c>
      <c r="BB34" s="37" t="n">
        <f aca="false">BB27*Assumptions!$C$35+BB28*Assumptions!$C$36+BB29*Assumptions!$C$37+BB30*Assumptions!$C$38+BB31*Assumptions!$C$39</f>
        <v>53.4141032125383</v>
      </c>
      <c r="BC34" s="37" t="n">
        <f aca="false">BC27*Assumptions!$C$35+BC28*Assumptions!$C$36+BC29*Assumptions!$C$37+BC30*Assumptions!$C$38+BC31*Assumptions!$C$39</f>
        <v>55.3939687373198</v>
      </c>
      <c r="BD34" s="37" t="n">
        <f aca="false">BD27*Assumptions!$C$35+BD28*Assumptions!$C$36+BD29*Assumptions!$C$37+BD30*Assumptions!$C$38+BD31*Assumptions!$C$39</f>
        <v>57.3764331367449</v>
      </c>
      <c r="BE34" s="37" t="n">
        <f aca="false">BE27*Assumptions!$C$35+BE28*Assumptions!$C$36+BE29*Assumptions!$C$37+BE30*Assumptions!$C$38+BE31*Assumptions!$C$39</f>
        <v>59.3470306186641</v>
      </c>
      <c r="BF34" s="37" t="n">
        <f aca="false">BF27*Assumptions!$C$35+BF28*Assumptions!$C$36+BF29*Assumptions!$C$37+BF30*Assumptions!$C$38+BF31*Assumptions!$C$39</f>
        <v>61.2891751854476</v>
      </c>
      <c r="BG34" s="37" t="n">
        <f aca="false">BG27*Assumptions!$C$35+BG28*Assumptions!$C$36+BG29*Assumptions!$C$37+BG30*Assumptions!$C$38+BG31*Assumptions!$C$39</f>
        <v>63.2306849954998</v>
      </c>
      <c r="BH34" s="37" t="n">
        <f aca="false">BH27*Assumptions!$C$35+BH28*Assumptions!$C$36+BH29*Assumptions!$C$37+BH30*Assumptions!$C$38+BH31*Assumptions!$C$39</f>
        <v>65.1574275232462</v>
      </c>
      <c r="BI34" s="37" t="n">
        <f aca="false">BI27*Assumptions!$C$35+BI28*Assumptions!$C$36+BI29*Assumptions!$C$37+BI30*Assumptions!$C$38+BI31*Assumptions!$C$39</f>
        <v>67.0531234960992</v>
      </c>
      <c r="BJ34" s="37" t="n">
        <f aca="false">BJ27*Assumptions!$C$35+BJ28*Assumptions!$C$36+BJ29*Assumptions!$C$37+BJ30*Assumptions!$C$38+BJ31*Assumptions!$C$39</f>
        <v>68.9458732961791</v>
      </c>
      <c r="BK34" s="37" t="n">
        <f aca="false">BK27*Assumptions!$C$35+BK28*Assumptions!$C$36+BK29*Assumptions!$C$37+BK30*Assumptions!$C$38+BK31*Assumptions!$C$39</f>
        <v>70.8218040039755</v>
      </c>
    </row>
    <row r="35" customFormat="false" ht="15" hidden="false" customHeight="false" outlineLevel="0" collapsed="false">
      <c r="A35" s="28" t="s">
        <v>587</v>
      </c>
      <c r="B35" s="6" t="s">
        <v>588</v>
      </c>
      <c r="C35" s="42"/>
      <c r="D35" s="26" t="n">
        <f aca="false">MAX(0,D32-C32*(1-Assumptions!$C$41))</f>
        <v>0</v>
      </c>
      <c r="E35" s="26" t="n">
        <f aca="false">MAX(0,E32-D32*(1-Assumptions!$C$41))</f>
        <v>0</v>
      </c>
      <c r="F35" s="26" t="n">
        <f aca="false">MAX(0,F32-E32*(1-Assumptions!$C$41))</f>
        <v>0</v>
      </c>
      <c r="G35" s="26" t="n">
        <f aca="false">MAX(0,G32-F32*(1-Assumptions!$C$41))</f>
        <v>0</v>
      </c>
      <c r="H35" s="26" t="n">
        <f aca="false">MAX(0,H32-G32*(1-Assumptions!$C$41))</f>
        <v>0</v>
      </c>
      <c r="I35" s="26" t="n">
        <f aca="false">MAX(0,I32-H32*(1-Assumptions!$C$41))</f>
        <v>0</v>
      </c>
      <c r="J35" s="26" t="n">
        <f aca="false">MAX(0,J32-I32*(1-Assumptions!$C$41))</f>
        <v>0</v>
      </c>
      <c r="K35" s="26" t="n">
        <f aca="false">MAX(0,K32-J32*(1-Assumptions!$C$41))</f>
        <v>0</v>
      </c>
      <c r="L35" s="26" t="n">
        <f aca="false">MAX(0,L32-K32*(1-Assumptions!$C$41))</f>
        <v>0</v>
      </c>
      <c r="M35" s="26" t="n">
        <f aca="false">MAX(0,M32-L32*(1-Assumptions!$C$41))</f>
        <v>0</v>
      </c>
      <c r="N35" s="26" t="n">
        <f aca="false">MAX(0,N32-M32*(1-Assumptions!$C$41))</f>
        <v>0</v>
      </c>
      <c r="O35" s="26" t="n">
        <f aca="false">MAX(0,O32-N32*(1-Assumptions!$C$41))</f>
        <v>0</v>
      </c>
      <c r="P35" s="26" t="n">
        <f aca="false">MAX(0,P32-O32*(1-Assumptions!$C$41))</f>
        <v>0</v>
      </c>
      <c r="Q35" s="26" t="n">
        <f aca="false">MAX(0,Q32-P32*(1-Assumptions!$C$41))</f>
        <v>0</v>
      </c>
      <c r="R35" s="26" t="n">
        <f aca="false">MAX(0,R32-Q32*(1-Assumptions!$C$41))</f>
        <v>0</v>
      </c>
      <c r="S35" s="26" t="n">
        <f aca="false">MAX(0,S32-R32*(1-Assumptions!$C$41))</f>
        <v>0</v>
      </c>
      <c r="T35" s="26" t="n">
        <f aca="false">MAX(0,T32-S32*(1-Assumptions!$C$41))</f>
        <v>0</v>
      </c>
      <c r="U35" s="26" t="n">
        <f aca="false">MAX(0,U32-T32*(1-Assumptions!$C$41))</f>
        <v>0</v>
      </c>
      <c r="V35" s="26" t="n">
        <f aca="false">MAX(0,V32-U32*(1-Assumptions!$C$41))</f>
        <v>0</v>
      </c>
      <c r="W35" s="26" t="n">
        <f aca="false">MAX(0,W32-V32*(1-Assumptions!$C$41))</f>
        <v>0</v>
      </c>
      <c r="X35" s="26" t="n">
        <f aca="false">MAX(0,X32-W32*(1-Assumptions!$C$41))</f>
        <v>0</v>
      </c>
      <c r="Y35" s="26" t="n">
        <f aca="false">MAX(0,Y32-X32*(1-Assumptions!$C$41))</f>
        <v>0</v>
      </c>
      <c r="Z35" s="26" t="n">
        <f aca="false">MAX(0,Z32-Y32*(1-Assumptions!$C$41))</f>
        <v>0</v>
      </c>
      <c r="AA35" s="26" t="n">
        <f aca="false">MAX(0,AA32-Z32*(1-Assumptions!$C$41))</f>
        <v>5.81473522664442</v>
      </c>
      <c r="AB35" s="26" t="n">
        <f aca="false">MAX(0,AB32-AA32*(1-Assumptions!$C$41))</f>
        <v>6.03738279515237</v>
      </c>
      <c r="AC35" s="26" t="n">
        <f aca="false">MAX(0,AC32-AB32*(1-Assumptions!$C$41))</f>
        <v>6.25769126963592</v>
      </c>
      <c r="AD35" s="26" t="n">
        <f aca="false">MAX(0,AD32-AC32*(1-Assumptions!$C$41))</f>
        <v>6.47580029422258</v>
      </c>
      <c r="AE35" s="26" t="n">
        <f aca="false">MAX(0,AE32-AD32*(1-Assumptions!$C$41))</f>
        <v>6.68589553706582</v>
      </c>
      <c r="AF35" s="26" t="n">
        <f aca="false">MAX(0,AF32-AE32*(1-Assumptions!$C$41))</f>
        <v>7.04299535948423</v>
      </c>
      <c r="AG35" s="26" t="n">
        <f aca="false">MAX(0,AG32-AF32*(1-Assumptions!$C$41))</f>
        <v>7.37244829940119</v>
      </c>
      <c r="AH35" s="26" t="n">
        <f aca="false">MAX(0,AH32-AG32*(1-Assumptions!$C$41))</f>
        <v>7.64617825056426</v>
      </c>
      <c r="AI35" s="26" t="n">
        <f aca="false">MAX(0,AI32-AH32*(1-Assumptions!$C$41))</f>
        <v>8.03383039055893</v>
      </c>
      <c r="AJ35" s="26" t="n">
        <f aca="false">MAX(0,AJ32-AI32*(1-Assumptions!$C$41))</f>
        <v>8.36858282521266</v>
      </c>
      <c r="AK35" s="26" t="n">
        <f aca="false">MAX(0,AK32-AJ32*(1-Assumptions!$C$41))</f>
        <v>8.64161698287987</v>
      </c>
      <c r="AL35" s="26" t="n">
        <f aca="false">MAX(0,AL32-AK32*(1-Assumptions!$C$41))</f>
        <v>8.9991294699653</v>
      </c>
      <c r="AM35" s="26" t="n">
        <f aca="false">MAX(0,AM32-AL32*(1-Assumptions!$C$41))</f>
        <v>9.30565656140723</v>
      </c>
      <c r="AN35" s="37" t="n">
        <f aca="false">MAX(0,AN32-AM32*(1-Assumptions!$C$41))</f>
        <v>9.55224437914016</v>
      </c>
      <c r="AO35" s="37" t="n">
        <f aca="false">MAX(0,AO32-AN32*(1-Assumptions!$C$41))</f>
        <v>9.88496412048698</v>
      </c>
      <c r="AP35" s="37" t="n">
        <f aca="false">MAX(0,AP32-AO32*(1-Assumptions!$C$41))</f>
        <v>10.1682358137289</v>
      </c>
      <c r="AQ35" s="37" t="n">
        <f aca="false">MAX(0,AQ32-AP32*(1-Assumptions!$C$41))</f>
        <v>10.3929978167276</v>
      </c>
      <c r="AR35" s="37" t="n">
        <f aca="false">MAX(0,AR32-AQ32*(1-Assumptions!$C$41))</f>
        <v>10.7052214163964</v>
      </c>
      <c r="AS35" s="37" t="n">
        <f aca="false">MAX(0,AS32-AR32*(1-Assumptions!$C$41))</f>
        <v>10.9632891983658</v>
      </c>
      <c r="AT35" s="37" t="n">
        <f aca="false">MAX(0,AT32-AS32*(1-Assumptions!$C$41))</f>
        <v>11.1643299475276</v>
      </c>
      <c r="AU35" s="37" t="n">
        <f aca="false">MAX(0,AU32-AT32*(1-Assumptions!$C$41))</f>
        <v>11.4542125675251</v>
      </c>
      <c r="AV35" s="37" t="n">
        <f aca="false">MAX(0,AV32-AU32*(1-Assumptions!$C$41))</f>
        <v>11.6912246900162</v>
      </c>
      <c r="AW35" s="37" t="n">
        <f aca="false">MAX(0,AW32-AV32*(1-Assumptions!$C$41))</f>
        <v>11.8724070257578</v>
      </c>
      <c r="AX35" s="37" t="n">
        <f aca="false">MAX(0,AX32-AW32*(1-Assumptions!$C$41))</f>
        <v>12.1435467757047</v>
      </c>
      <c r="AY35" s="37" t="n">
        <f aca="false">MAX(0,AY32-AX32*(1-Assumptions!$C$41))</f>
        <v>12.362855769857</v>
      </c>
      <c r="AZ35" s="37" t="n">
        <f aca="false">MAX(0,AZ32-AY32*(1-Assumptions!$C$41))</f>
        <v>12.5273043830466</v>
      </c>
      <c r="BA35" s="37" t="n">
        <f aca="false">MAX(0,BA32-AZ32*(1-Assumptions!$C$41))</f>
        <v>12.7826145432151</v>
      </c>
      <c r="BB35" s="37" t="n">
        <f aca="false">MAX(0,BB32-BA32*(1-Assumptions!$C$41))</f>
        <v>12.9869374974737</v>
      </c>
      <c r="BC35" s="37" t="n">
        <f aca="false">MAX(0,BC32-BB32*(1-Assumptions!$C$41))</f>
        <v>13.1312425788176</v>
      </c>
      <c r="BD35" s="37" t="n">
        <f aca="false">MAX(0,BD32-BC32*(1-Assumptions!$C$41))</f>
        <v>13.3674758353183</v>
      </c>
      <c r="BE35" s="37" t="n">
        <f aca="false">MAX(0,BE32-BD32*(1-Assumptions!$C$41))</f>
        <v>13.5537173187046</v>
      </c>
      <c r="BF35" s="37" t="n">
        <f aca="false">MAX(0,BF32-BE32*(1-Assumptions!$C$41))</f>
        <v>13.680870277937</v>
      </c>
      <c r="BG35" s="37" t="n">
        <f aca="false">MAX(0,BG32-BF32*(1-Assumptions!$C$41))</f>
        <v>13.9008194121143</v>
      </c>
      <c r="BH35" s="37" t="n">
        <f aca="false">MAX(0,BH32-BG32*(1-Assumptions!$C$41))</f>
        <v>14.0715878108148</v>
      </c>
      <c r="BI35" s="37" t="n">
        <f aca="false">MAX(0,BI32-BH32*(1-Assumptions!$C$41))</f>
        <v>14.1840258253705</v>
      </c>
      <c r="BJ35" s="37" t="n">
        <f aca="false">MAX(0,BJ32-BI32*(1-Assumptions!$C$41))</f>
        <v>14.3899690234613</v>
      </c>
      <c r="BK35" s="37" t="n">
        <f aca="false">MAX(0,BK32-BJ32*(1-Assumptions!$C$41))</f>
        <v>14.5473948533374</v>
      </c>
    </row>
    <row r="36" customFormat="false" ht="15" hidden="false" customHeight="false" outlineLevel="0" collapsed="false">
      <c r="B36" s="5" t="s">
        <v>589</v>
      </c>
    </row>
    <row r="37" customFormat="false" ht="15" hidden="false" customHeight="false" outlineLevel="0" collapsed="false">
      <c r="A37" s="28" t="s">
        <v>590</v>
      </c>
      <c r="B37" s="6" t="s">
        <v>591</v>
      </c>
      <c r="C37" s="43"/>
      <c r="D37" s="17" t="n">
        <f aca="false">D33*Assumptions!$C$42</f>
        <v>0</v>
      </c>
      <c r="E37" s="17" t="n">
        <f aca="false">E33*Assumptions!$C$42</f>
        <v>0</v>
      </c>
      <c r="F37" s="17" t="n">
        <f aca="false">F33*Assumptions!$C$42</f>
        <v>0</v>
      </c>
      <c r="G37" s="17" t="n">
        <f aca="false">G33*Assumptions!$C$42</f>
        <v>0</v>
      </c>
      <c r="H37" s="17" t="n">
        <f aca="false">H33*Assumptions!$C$42</f>
        <v>0</v>
      </c>
      <c r="I37" s="17" t="n">
        <f aca="false">I33*Assumptions!$C$42</f>
        <v>0</v>
      </c>
      <c r="J37" s="17" t="n">
        <f aca="false">J33*Assumptions!$C$42</f>
        <v>0</v>
      </c>
      <c r="K37" s="17" t="n">
        <f aca="false">K33*Assumptions!$C$42</f>
        <v>0</v>
      </c>
      <c r="L37" s="17" t="n">
        <f aca="false">L33*Assumptions!$C$42</f>
        <v>0</v>
      </c>
      <c r="M37" s="17" t="n">
        <f aca="false">M33*Assumptions!$C$42</f>
        <v>0</v>
      </c>
      <c r="N37" s="17" t="n">
        <f aca="false">N33*Assumptions!$C$42</f>
        <v>0</v>
      </c>
      <c r="O37" s="17" t="n">
        <f aca="false">O33*Assumptions!$C$42</f>
        <v>0</v>
      </c>
      <c r="P37" s="17" t="n">
        <f aca="false">P33*Assumptions!$C$42</f>
        <v>0</v>
      </c>
      <c r="Q37" s="17" t="n">
        <f aca="false">Q33*Assumptions!$C$42</f>
        <v>0</v>
      </c>
      <c r="R37" s="17" t="n">
        <f aca="false">R33*Assumptions!$C$42</f>
        <v>0</v>
      </c>
      <c r="S37" s="17" t="n">
        <f aca="false">S33*Assumptions!$C$42</f>
        <v>0</v>
      </c>
      <c r="T37" s="17" t="n">
        <f aca="false">T33*Assumptions!$C$42</f>
        <v>0</v>
      </c>
      <c r="U37" s="17" t="n">
        <f aca="false">U33*Assumptions!$C$42</f>
        <v>0</v>
      </c>
      <c r="V37" s="17" t="n">
        <f aca="false">V33*Assumptions!$C$42</f>
        <v>0</v>
      </c>
      <c r="W37" s="17" t="n">
        <f aca="false">W33*Assumptions!$C$42</f>
        <v>0</v>
      </c>
      <c r="X37" s="17" t="n">
        <f aca="false">X33*Assumptions!$C$42</f>
        <v>0</v>
      </c>
      <c r="Y37" s="17" t="n">
        <f aca="false">Y33*Assumptions!$C$42</f>
        <v>0</v>
      </c>
      <c r="Z37" s="17" t="n">
        <f aca="false">Z33*Assumptions!$C$42</f>
        <v>0</v>
      </c>
      <c r="AA37" s="17" t="n">
        <f aca="false">AA33*Assumptions!$C$42</f>
        <v>161.337741107914</v>
      </c>
      <c r="AB37" s="17" t="n">
        <f aca="false">AB33*Assumptions!$C$42</f>
        <v>324.345100683428</v>
      </c>
      <c r="AC37" s="17" t="n">
        <f aca="false">AC33*Assumptions!$C$42</f>
        <v>488.898430935934</v>
      </c>
      <c r="AD37" s="17" t="n">
        <f aca="false">AD33*Assumptions!$C$42</f>
        <v>654.882137201724</v>
      </c>
      <c r="AE37" s="17" t="n">
        <f aca="false">AE33*Assumptions!$C$42</f>
        <v>822.023209091569</v>
      </c>
      <c r="AF37" s="17" t="n">
        <f aca="false">AF33*Assumptions!$C$42</f>
        <v>994.358100728195</v>
      </c>
      <c r="AG37" s="17" t="n">
        <f aca="false">AG33*Assumptions!$C$42</f>
        <v>1170.96515400478</v>
      </c>
      <c r="AH37" s="17" t="n">
        <f aca="false">AH33*Assumptions!$C$42</f>
        <v>1350.16972252625</v>
      </c>
      <c r="AI37" s="17" t="n">
        <f aca="false">AI33*Assumptions!$C$42</f>
        <v>1535.05130696193</v>
      </c>
      <c r="AJ37" s="17" t="n">
        <f aca="false">AJ33*Assumptions!$C$42</f>
        <v>1723.97508222567</v>
      </c>
      <c r="AK37" s="17" t="n">
        <f aca="false">AK33*Assumptions!$C$42</f>
        <v>1915.10737973013</v>
      </c>
      <c r="AL37" s="17" t="n">
        <f aca="false">AL33*Assumptions!$C$42</f>
        <v>2110.72246131119</v>
      </c>
      <c r="AM37" s="17" t="n">
        <f aca="false">AM33*Assumptions!$C$42</f>
        <v>2309.27280578414</v>
      </c>
      <c r="AN37" s="44" t="n">
        <f aca="false">AN33*Assumptions!$C$42</f>
        <v>2509.00588553648</v>
      </c>
      <c r="AO37" s="44" t="n">
        <f aca="false">AO33*Assumptions!$C$42</f>
        <v>2712.27137872158</v>
      </c>
      <c r="AP37" s="44" t="n">
        <f aca="false">AP33*Assumptions!$C$42</f>
        <v>2917.59186250195</v>
      </c>
      <c r="AQ37" s="44" t="n">
        <f aca="false">AQ33*Assumptions!$C$42</f>
        <v>3123.27996705055</v>
      </c>
      <c r="AR37" s="44" t="n">
        <f aca="false">AR33*Assumptions!$C$42</f>
        <v>3331.7459380076</v>
      </c>
      <c r="AS37" s="44" t="n">
        <f aca="false">AS33*Assumptions!$C$42</f>
        <v>3541.40370814086</v>
      </c>
      <c r="AT37" s="44" t="n">
        <f aca="false">AT33*Assumptions!$C$42</f>
        <v>3750.63205403788</v>
      </c>
      <c r="AU37" s="44" t="n">
        <f aca="false">AU33*Assumptions!$C$42</f>
        <v>3961.90268076214</v>
      </c>
      <c r="AV37" s="44" t="n">
        <f aca="false">AV33*Assumptions!$C$42</f>
        <v>4173.68662561438</v>
      </c>
      <c r="AW37" s="44" t="n">
        <f aca="false">AW33*Assumptions!$C$42</f>
        <v>4384.41572309686</v>
      </c>
      <c r="AX37" s="44" t="n">
        <f aca="false">AX33*Assumptions!$C$42</f>
        <v>4596.61097574391</v>
      </c>
      <c r="AY37" s="44" t="n">
        <f aca="false">AY33*Assumptions!$C$42</f>
        <v>4808.78922356436</v>
      </c>
      <c r="AZ37" s="44" t="n">
        <f aca="false">AZ33*Assumptions!$C$42</f>
        <v>5019.42485568038</v>
      </c>
      <c r="BA37" s="44" t="n">
        <f aca="false">BA33*Assumptions!$C$42</f>
        <v>5231.07841020355</v>
      </c>
      <c r="BB37" s="44" t="n">
        <f aca="false">BB33*Assumptions!$C$42</f>
        <v>5442.30345637056</v>
      </c>
      <c r="BC37" s="44" t="n">
        <f aca="false">BC33*Assumptions!$C$42</f>
        <v>5651.44355702818</v>
      </c>
      <c r="BD37" s="44" t="n">
        <f aca="false">BD33*Assumptions!$C$42</f>
        <v>5861.10475289451</v>
      </c>
      <c r="BE37" s="44" t="n">
        <f aca="false">BE33*Assumptions!$C$42</f>
        <v>6069.88285717231</v>
      </c>
      <c r="BF37" s="44" t="n">
        <f aca="false">BF33*Assumptions!$C$42</f>
        <v>6276.16064836829</v>
      </c>
      <c r="BG37" s="44" t="n">
        <f aca="false">BG33*Assumptions!$C$42</f>
        <v>6482.58056843069</v>
      </c>
      <c r="BH37" s="44" t="n">
        <f aca="false">BH33*Assumptions!$C$42</f>
        <v>6687.77221597271</v>
      </c>
      <c r="BI37" s="44" t="n">
        <f aca="false">BI33*Assumptions!$C$42</f>
        <v>6890.14972353951</v>
      </c>
      <c r="BJ37" s="44" t="n">
        <f aca="false">BJ33*Assumptions!$C$42</f>
        <v>7092.38462705476</v>
      </c>
      <c r="BK37" s="44" t="n">
        <f aca="false">BK33*Assumptions!$C$42</f>
        <v>7293.13351816269</v>
      </c>
    </row>
    <row r="38" customFormat="false" ht="15" hidden="false" customHeight="false" outlineLevel="0" collapsed="false">
      <c r="A38" s="28" t="s">
        <v>592</v>
      </c>
      <c r="B38" s="6" t="s">
        <v>593</v>
      </c>
      <c r="C38" s="43"/>
      <c r="D38" s="17" t="n">
        <f aca="false">D34*Assumptions!$C$43</f>
        <v>0</v>
      </c>
      <c r="E38" s="17" t="n">
        <f aca="false">E34*Assumptions!$C$43</f>
        <v>0</v>
      </c>
      <c r="F38" s="17" t="n">
        <f aca="false">F34*Assumptions!$C$43</f>
        <v>0</v>
      </c>
      <c r="G38" s="17" t="n">
        <f aca="false">G34*Assumptions!$C$43</f>
        <v>0</v>
      </c>
      <c r="H38" s="17" t="n">
        <f aca="false">H34*Assumptions!$C$43</f>
        <v>0</v>
      </c>
      <c r="I38" s="17" t="n">
        <f aca="false">I34*Assumptions!$C$43</f>
        <v>0</v>
      </c>
      <c r="J38" s="17" t="n">
        <f aca="false">J34*Assumptions!$C$43</f>
        <v>0</v>
      </c>
      <c r="K38" s="17" t="n">
        <f aca="false">K34*Assumptions!$C$43</f>
        <v>0</v>
      </c>
      <c r="L38" s="17" t="n">
        <f aca="false">L34*Assumptions!$C$43</f>
        <v>0</v>
      </c>
      <c r="M38" s="17" t="n">
        <f aca="false">M34*Assumptions!$C$43</f>
        <v>0</v>
      </c>
      <c r="N38" s="17" t="n">
        <f aca="false">N34*Assumptions!$C$43</f>
        <v>0</v>
      </c>
      <c r="O38" s="17" t="n">
        <f aca="false">O34*Assumptions!$C$43</f>
        <v>0</v>
      </c>
      <c r="P38" s="17" t="n">
        <f aca="false">P34*Assumptions!$C$43</f>
        <v>0</v>
      </c>
      <c r="Q38" s="17" t="n">
        <f aca="false">Q34*Assumptions!$C$43</f>
        <v>0</v>
      </c>
      <c r="R38" s="17" t="n">
        <f aca="false">R34*Assumptions!$C$43</f>
        <v>0</v>
      </c>
      <c r="S38" s="17" t="n">
        <f aca="false">S34*Assumptions!$C$43</f>
        <v>0</v>
      </c>
      <c r="T38" s="17" t="n">
        <f aca="false">T34*Assumptions!$C$43</f>
        <v>0</v>
      </c>
      <c r="U38" s="17" t="n">
        <f aca="false">U34*Assumptions!$C$43</f>
        <v>0</v>
      </c>
      <c r="V38" s="17" t="n">
        <f aca="false">V34*Assumptions!$C$43</f>
        <v>0</v>
      </c>
      <c r="W38" s="17" t="n">
        <f aca="false">W34*Assumptions!$C$43</f>
        <v>0</v>
      </c>
      <c r="X38" s="17" t="n">
        <f aca="false">X34*Assumptions!$C$43</f>
        <v>0</v>
      </c>
      <c r="Y38" s="17" t="n">
        <f aca="false">Y34*Assumptions!$C$43</f>
        <v>0</v>
      </c>
      <c r="Z38" s="17" t="n">
        <f aca="false">Z34*Assumptions!$C$43</f>
        <v>0</v>
      </c>
      <c r="AA38" s="17" t="n">
        <f aca="false">AA34*Assumptions!$C$43</f>
        <v>132.551735532468</v>
      </c>
      <c r="AB38" s="17" t="n">
        <f aca="false">AB34*Assumptions!$C$43</f>
        <v>265.529658824779</v>
      </c>
      <c r="AC38" s="17" t="n">
        <f aca="false">AC34*Assumptions!$C$43</f>
        <v>398.88520042364</v>
      </c>
      <c r="AD38" s="17" t="n">
        <f aca="false">AD34*Assumptions!$C$43</f>
        <v>532.57348108232</v>
      </c>
      <c r="AE38" s="17" t="n">
        <f aca="false">AE34*Assumptions!$C$43</f>
        <v>666.417528066106</v>
      </c>
      <c r="AF38" s="17" t="n">
        <f aca="false">AF34*Assumptions!$C$43</f>
        <v>803.779290883877</v>
      </c>
      <c r="AG38" s="17" t="n">
        <f aca="false">AG34*Assumptions!$C$43</f>
        <v>943.920458385038</v>
      </c>
      <c r="AH38" s="17" t="n">
        <f aca="false">AH34*Assumptions!$C$43</f>
        <v>1085.48814878222</v>
      </c>
      <c r="AI38" s="17" t="n">
        <f aca="false">AI34*Assumptions!$C$43</f>
        <v>1231.04360740865</v>
      </c>
      <c r="AJ38" s="17" t="n">
        <f aca="false">AJ34*Assumptions!$C$43</f>
        <v>1379.2547053696</v>
      </c>
      <c r="AK38" s="17" t="n">
        <f aca="false">AK34*Assumptions!$C$43</f>
        <v>1528.63474309379</v>
      </c>
      <c r="AL38" s="17" t="n">
        <f aca="false">AL34*Assumptions!$C$43</f>
        <v>1681.08139213685</v>
      </c>
      <c r="AM38" s="17" t="n">
        <f aca="false">AM34*Assumptions!$C$43</f>
        <v>1835.33711496313</v>
      </c>
      <c r="AN38" s="44" t="n">
        <f aca="false">AN34*Assumptions!$C$43</f>
        <v>1989.98405489852</v>
      </c>
      <c r="AO38" s="44" t="n">
        <f aca="false">AO34*Assumptions!$C$43</f>
        <v>2146.98341901763</v>
      </c>
      <c r="AP38" s="44" t="n">
        <f aca="false">AP34*Assumptions!$C$43</f>
        <v>2305.13630505938</v>
      </c>
      <c r="AQ38" s="44" t="n">
        <f aca="false">AQ34*Assumptions!$C$43</f>
        <v>2463.07896718629</v>
      </c>
      <c r="AR38" s="44" t="n">
        <f aca="false">AR34*Assumptions!$C$43</f>
        <v>2622.82254577071</v>
      </c>
      <c r="AS38" s="44" t="n">
        <f aca="false">AS34*Assumptions!$C$43</f>
        <v>2783.07869777092</v>
      </c>
      <c r="AT38" s="44" t="n">
        <f aca="false">AT34*Assumptions!$C$43</f>
        <v>2942.53850232944</v>
      </c>
      <c r="AU38" s="44" t="n">
        <f aca="false">AU34*Assumptions!$C$43</f>
        <v>3103.26366626618</v>
      </c>
      <c r="AV38" s="44" t="n">
        <f aca="false">AV34*Assumptions!$C$43</f>
        <v>3264.01248123222</v>
      </c>
      <c r="AW38" s="44" t="n">
        <f aca="false">AW34*Assumptions!$C$43</f>
        <v>3423.51903096289</v>
      </c>
      <c r="AX38" s="44" t="n">
        <f aca="false">AX34*Assumptions!$C$43</f>
        <v>3583.88467524142</v>
      </c>
      <c r="AY38" s="44" t="n">
        <f aca="false">AY34*Assumptions!$C$43</f>
        <v>3743.90426412779</v>
      </c>
      <c r="AZ38" s="44" t="n">
        <f aca="false">AZ34*Assumptions!$C$43</f>
        <v>3902.34558254122</v>
      </c>
      <c r="BA38" s="44" t="n">
        <f aca="false">BA34*Assumptions!$C$43</f>
        <v>4061.34105333043</v>
      </c>
      <c r="BB38" s="44" t="n">
        <f aca="false">BB34*Assumptions!$C$43</f>
        <v>4219.71415379053</v>
      </c>
      <c r="BC38" s="44" t="n">
        <f aca="false">BC34*Assumptions!$C$43</f>
        <v>4376.12353024827</v>
      </c>
      <c r="BD38" s="44" t="n">
        <f aca="false">BD34*Assumptions!$C$43</f>
        <v>4532.73821780285</v>
      </c>
      <c r="BE38" s="44" t="n">
        <f aca="false">BE34*Assumptions!$C$43</f>
        <v>4688.41541887446</v>
      </c>
      <c r="BF38" s="44" t="n">
        <f aca="false">BF34*Assumptions!$C$43</f>
        <v>4841.84483965036</v>
      </c>
      <c r="BG38" s="44" t="n">
        <f aca="false">BG34*Assumptions!$C$43</f>
        <v>4995.22411464448</v>
      </c>
      <c r="BH38" s="44" t="n">
        <f aca="false">BH34*Assumptions!$C$43</f>
        <v>5147.43677433645</v>
      </c>
      <c r="BI38" s="44" t="n">
        <f aca="false">BI34*Assumptions!$C$43</f>
        <v>5297.19675619184</v>
      </c>
      <c r="BJ38" s="44" t="n">
        <f aca="false">BJ34*Assumptions!$C$43</f>
        <v>5446.72399039815</v>
      </c>
      <c r="BK38" s="44" t="n">
        <f aca="false">BK34*Assumptions!$C$43</f>
        <v>5594.92251631406</v>
      </c>
    </row>
    <row r="39" customFormat="false" ht="15" hidden="false" customHeight="false" outlineLevel="0" collapsed="false">
      <c r="A39" s="28" t="s">
        <v>594</v>
      </c>
      <c r="B39" s="6" t="s">
        <v>595</v>
      </c>
      <c r="C39" s="43"/>
      <c r="D39" s="17" t="n">
        <f aca="false">(D33*Assumptions!$C$46+D34*Assumptions!$C$47)*Assumptions!$C$45</f>
        <v>0</v>
      </c>
      <c r="E39" s="17" t="n">
        <f aca="false">(E33*Assumptions!$C$46+E34*Assumptions!$C$47)*Assumptions!$C$45</f>
        <v>0</v>
      </c>
      <c r="F39" s="17" t="n">
        <f aca="false">(F33*Assumptions!$C$46+F34*Assumptions!$C$47)*Assumptions!$C$45</f>
        <v>0</v>
      </c>
      <c r="G39" s="17" t="n">
        <f aca="false">(G33*Assumptions!$C$46+G34*Assumptions!$C$47)*Assumptions!$C$45</f>
        <v>0</v>
      </c>
      <c r="H39" s="17" t="n">
        <f aca="false">(H33*Assumptions!$C$46+H34*Assumptions!$C$47)*Assumptions!$C$45</f>
        <v>0</v>
      </c>
      <c r="I39" s="17" t="n">
        <f aca="false">(I33*Assumptions!$C$46+I34*Assumptions!$C$47)*Assumptions!$C$45</f>
        <v>0</v>
      </c>
      <c r="J39" s="17" t="n">
        <f aca="false">(J33*Assumptions!$C$46+J34*Assumptions!$C$47)*Assumptions!$C$45</f>
        <v>0</v>
      </c>
      <c r="K39" s="17" t="n">
        <f aca="false">(K33*Assumptions!$C$46+K34*Assumptions!$C$47)*Assumptions!$C$45</f>
        <v>0</v>
      </c>
      <c r="L39" s="17" t="n">
        <f aca="false">(L33*Assumptions!$C$46+L34*Assumptions!$C$47)*Assumptions!$C$45</f>
        <v>0</v>
      </c>
      <c r="M39" s="17" t="n">
        <f aca="false">(M33*Assumptions!$C$46+M34*Assumptions!$C$47)*Assumptions!$C$45</f>
        <v>0</v>
      </c>
      <c r="N39" s="17" t="n">
        <f aca="false">(N33*Assumptions!$C$46+N34*Assumptions!$C$47)*Assumptions!$C$45</f>
        <v>0</v>
      </c>
      <c r="O39" s="17" t="n">
        <f aca="false">(O33*Assumptions!$C$46+O34*Assumptions!$C$47)*Assumptions!$C$45</f>
        <v>0</v>
      </c>
      <c r="P39" s="17" t="n">
        <f aca="false">(P33*Assumptions!$C$46+P34*Assumptions!$C$47)*Assumptions!$C$45</f>
        <v>0</v>
      </c>
      <c r="Q39" s="17" t="n">
        <f aca="false">(Q33*Assumptions!$C$46+Q34*Assumptions!$C$47)*Assumptions!$C$45</f>
        <v>0</v>
      </c>
      <c r="R39" s="17" t="n">
        <f aca="false">(R33*Assumptions!$C$46+R34*Assumptions!$C$47)*Assumptions!$C$45</f>
        <v>0</v>
      </c>
      <c r="S39" s="17" t="n">
        <f aca="false">(S33*Assumptions!$C$46+S34*Assumptions!$C$47)*Assumptions!$C$45</f>
        <v>0</v>
      </c>
      <c r="T39" s="17" t="n">
        <f aca="false">(T33*Assumptions!$C$46+T34*Assumptions!$C$47)*Assumptions!$C$45</f>
        <v>0</v>
      </c>
      <c r="U39" s="17" t="n">
        <f aca="false">(U33*Assumptions!$C$46+U34*Assumptions!$C$47)*Assumptions!$C$45</f>
        <v>0</v>
      </c>
      <c r="V39" s="17" t="n">
        <f aca="false">(V33*Assumptions!$C$46+V34*Assumptions!$C$47)*Assumptions!$C$45</f>
        <v>0</v>
      </c>
      <c r="W39" s="17" t="n">
        <f aca="false">(W33*Assumptions!$C$46+W34*Assumptions!$C$47)*Assumptions!$C$45</f>
        <v>0</v>
      </c>
      <c r="X39" s="17" t="n">
        <f aca="false">(X33*Assumptions!$C$46+X34*Assumptions!$C$47)*Assumptions!$C$45</f>
        <v>0</v>
      </c>
      <c r="Y39" s="17" t="n">
        <f aca="false">(Y33*Assumptions!$C$46+Y34*Assumptions!$C$47)*Assumptions!$C$45</f>
        <v>0</v>
      </c>
      <c r="Z39" s="17" t="n">
        <f aca="false">(Z33*Assumptions!$C$46+Z34*Assumptions!$C$47)*Assumptions!$C$45</f>
        <v>0</v>
      </c>
      <c r="AA39" s="17" t="n">
        <f aca="false">(AA33*Assumptions!$C$46+AA34*Assumptions!$C$47)*Assumptions!$C$45</f>
        <v>12245.6299870322</v>
      </c>
      <c r="AB39" s="17" t="n">
        <f aca="false">(AB33*Assumptions!$C$46+AB34*Assumptions!$C$47)*Assumptions!$C$45</f>
        <v>24574.8972833447</v>
      </c>
      <c r="AC39" s="17" t="n">
        <f aca="false">(AC33*Assumptions!$C$46+AC34*Assumptions!$C$47)*Assumptions!$C$45</f>
        <v>36980.8329131409</v>
      </c>
      <c r="AD39" s="17" t="n">
        <f aca="false">(AD33*Assumptions!$C$46+AD34*Assumptions!$C$47)*Assumptions!$C$45</f>
        <v>49456.9457975859</v>
      </c>
      <c r="AE39" s="17" t="n">
        <f aca="false">(AE33*Assumptions!$C$46+AE34*Assumptions!$C$47)*Assumptions!$C$45</f>
        <v>61984.6709567777</v>
      </c>
      <c r="AF39" s="17" t="n">
        <f aca="false">(AF33*Assumptions!$C$46+AF34*Assumptions!$C$47)*Assumptions!$C$45</f>
        <v>74872.459388636</v>
      </c>
      <c r="AG39" s="17" t="n">
        <f aca="false">(AG33*Assumptions!$C$46+AG34*Assumptions!$C$47)*Assumptions!$C$45</f>
        <v>88051.2181456752</v>
      </c>
      <c r="AH39" s="17" t="n">
        <f aca="false">(AH33*Assumptions!$C$46+AH34*Assumptions!$C$47)*Assumptions!$C$45</f>
        <v>101394.887441865</v>
      </c>
      <c r="AI39" s="17" t="n">
        <f aca="false">(AI33*Assumptions!$C$46+AI34*Assumptions!$C$47)*Assumptions!$C$45</f>
        <v>115138.624587849</v>
      </c>
      <c r="AJ39" s="17" t="n">
        <f aca="false">(AJ33*Assumptions!$C$46+AJ34*Assumptions!$C$47)*Assumptions!$C$45</f>
        <v>129158.84708784</v>
      </c>
      <c r="AK39" s="17" t="n">
        <f aca="false">(AK33*Assumptions!$C$46+AK34*Assumptions!$C$47)*Assumptions!$C$45</f>
        <v>143317.280892044</v>
      </c>
      <c r="AL39" s="17" t="n">
        <f aca="false">(AL33*Assumptions!$C$46+AL34*Assumptions!$C$47)*Assumptions!$C$45</f>
        <v>157787.873781691</v>
      </c>
      <c r="AM39" s="17" t="n">
        <f aca="false">(AM33*Assumptions!$C$46+AM34*Assumptions!$C$47)*Assumptions!$C$45</f>
        <v>172453.80020326</v>
      </c>
      <c r="AN39" s="44" t="n">
        <f aca="false">(AN33*Assumptions!$C$46+AN34*Assumptions!$C$47)*Assumptions!$C$45</f>
        <v>187183.044058366</v>
      </c>
      <c r="AO39" s="44" t="n">
        <f aca="false">(AO33*Assumptions!$C$46+AO34*Assumptions!$C$47)*Assumptions!$C$45</f>
        <v>202155.349045304</v>
      </c>
      <c r="AP39" s="44" t="n">
        <f aca="false">(AP33*Assumptions!$C$46+AP34*Assumptions!$C$47)*Assumptions!$C$45</f>
        <v>217259.257688029</v>
      </c>
      <c r="AQ39" s="44" t="n">
        <f aca="false">(AQ33*Assumptions!$C$46+AQ34*Assumptions!$C$47)*Assumptions!$C$45</f>
        <v>232367.725767103</v>
      </c>
      <c r="AR39" s="44" t="n">
        <f aca="false">(AR33*Assumptions!$C$46+AR34*Assumptions!$C$47)*Assumptions!$C$45</f>
        <v>247665.101940963</v>
      </c>
      <c r="AS39" s="44" t="n">
        <f aca="false">(AS33*Assumptions!$C$46+AS34*Assumptions!$C$47)*Assumptions!$C$45</f>
        <v>263031.674320587</v>
      </c>
      <c r="AT39" s="44" t="n">
        <f aca="false">(AT33*Assumptions!$C$46+AT34*Assumptions!$C$47)*Assumptions!$C$45</f>
        <v>278345.441132925</v>
      </c>
      <c r="AU39" s="44" t="n">
        <f aca="false">(AU33*Assumptions!$C$46+AU34*Assumptions!$C$47)*Assumptions!$C$45</f>
        <v>293795.419154198</v>
      </c>
      <c r="AV39" s="44" t="n">
        <f aca="false">(AV33*Assumptions!$C$46+AV34*Assumptions!$C$47)*Assumptions!$C$45</f>
        <v>309266.217948818</v>
      </c>
      <c r="AW39" s="44" t="n">
        <f aca="false">(AW33*Assumptions!$C$46+AW34*Assumptions!$C$47)*Assumptions!$C$45</f>
        <v>324639.836135724</v>
      </c>
      <c r="AX39" s="44" t="n">
        <f aca="false">(AX33*Assumptions!$C$46+AX34*Assumptions!$C$47)*Assumptions!$C$45</f>
        <v>340108.993518192</v>
      </c>
      <c r="AY39" s="44" t="n">
        <f aca="false">(AY33*Assumptions!$C$46+AY34*Assumptions!$C$47)*Assumptions!$C$45</f>
        <v>355561.727256059</v>
      </c>
      <c r="AZ39" s="44" t="n">
        <f aca="false">(AZ33*Assumptions!$C$46+AZ34*Assumptions!$C$47)*Assumptions!$C$45</f>
        <v>370883.208434571</v>
      </c>
      <c r="BA39" s="44" t="n">
        <f aca="false">(BA33*Assumptions!$C$46+BA34*Assumptions!$C$47)*Assumptions!$C$45</f>
        <v>386269.092988222</v>
      </c>
      <c r="BB39" s="44" t="n">
        <f aca="false">(BB33*Assumptions!$C$46+BB34*Assumptions!$C$47)*Assumptions!$C$45</f>
        <v>401610.135271698</v>
      </c>
      <c r="BC39" s="44" t="n">
        <f aca="false">(BC33*Assumptions!$C$46+BC34*Assumptions!$C$47)*Assumptions!$C$45</f>
        <v>416781.501186205</v>
      </c>
      <c r="BD39" s="44" t="n">
        <f aca="false">(BD33*Assumptions!$C$46+BD34*Assumptions!$C$47)*Assumptions!$C$45</f>
        <v>431982.26517284</v>
      </c>
      <c r="BE39" s="44" t="n">
        <f aca="false">(BE33*Assumptions!$C$46+BE34*Assumptions!$C$47)*Assumptions!$C$45</f>
        <v>447106.343195356</v>
      </c>
      <c r="BF39" s="44" t="n">
        <f aca="false">(BF33*Assumptions!$C$46+BF34*Assumptions!$C$47)*Assumptions!$C$45</f>
        <v>462031.824835623</v>
      </c>
      <c r="BG39" s="44" t="n">
        <f aca="false">(BG33*Assumptions!$C$46+BG34*Assumptions!$C$47)*Assumptions!$C$45</f>
        <v>476960.487846518</v>
      </c>
      <c r="BH39" s="44" t="n">
        <f aca="false">(BH33*Assumptions!$C$46+BH34*Assumptions!$C$47)*Assumptions!$C$45</f>
        <v>491788.747390329</v>
      </c>
      <c r="BI39" s="44" t="n">
        <f aca="false">(BI33*Assumptions!$C$46+BI34*Assumptions!$C$47)*Assumptions!$C$45</f>
        <v>506397.00318363</v>
      </c>
      <c r="BJ39" s="44" t="n">
        <f aca="false">(BJ33*Assumptions!$C$46+BJ34*Assumptions!$C$47)*Assumptions!$C$45</f>
        <v>520989.167983736</v>
      </c>
      <c r="BK39" s="44" t="n">
        <f aca="false">(BK33*Assumptions!$C$46+BK34*Assumptions!$C$47)*Assumptions!$C$45</f>
        <v>535463.629728261</v>
      </c>
    </row>
    <row r="40" customFormat="false" ht="15" hidden="false" customHeight="false" outlineLevel="0" collapsed="false">
      <c r="A40" s="28" t="s">
        <v>596</v>
      </c>
      <c r="B40" s="6" t="s">
        <v>597</v>
      </c>
      <c r="C40" s="43"/>
      <c r="D40" s="17" t="n">
        <f aca="false">D39*Assumptions!$C$44</f>
        <v>0</v>
      </c>
      <c r="E40" s="17" t="n">
        <f aca="false">E39*Assumptions!$C$44</f>
        <v>0</v>
      </c>
      <c r="F40" s="17" t="n">
        <f aca="false">F39*Assumptions!$C$44</f>
        <v>0</v>
      </c>
      <c r="G40" s="17" t="n">
        <f aca="false">G39*Assumptions!$C$44</f>
        <v>0</v>
      </c>
      <c r="H40" s="17" t="n">
        <f aca="false">H39*Assumptions!$C$44</f>
        <v>0</v>
      </c>
      <c r="I40" s="17" t="n">
        <f aca="false">I39*Assumptions!$C$44</f>
        <v>0</v>
      </c>
      <c r="J40" s="17" t="n">
        <f aca="false">J39*Assumptions!$C$44</f>
        <v>0</v>
      </c>
      <c r="K40" s="17" t="n">
        <f aca="false">K39*Assumptions!$C$44</f>
        <v>0</v>
      </c>
      <c r="L40" s="17" t="n">
        <f aca="false">L39*Assumptions!$C$44</f>
        <v>0</v>
      </c>
      <c r="M40" s="17" t="n">
        <f aca="false">M39*Assumptions!$C$44</f>
        <v>0</v>
      </c>
      <c r="N40" s="17" t="n">
        <f aca="false">N39*Assumptions!$C$44</f>
        <v>0</v>
      </c>
      <c r="O40" s="17" t="n">
        <f aca="false">O39*Assumptions!$C$44</f>
        <v>0</v>
      </c>
      <c r="P40" s="17" t="n">
        <f aca="false">P39*Assumptions!$C$44</f>
        <v>0</v>
      </c>
      <c r="Q40" s="17" t="n">
        <f aca="false">Q39*Assumptions!$C$44</f>
        <v>0</v>
      </c>
      <c r="R40" s="17" t="n">
        <f aca="false">R39*Assumptions!$C$44</f>
        <v>0</v>
      </c>
      <c r="S40" s="17" t="n">
        <f aca="false">S39*Assumptions!$C$44</f>
        <v>0</v>
      </c>
      <c r="T40" s="17" t="n">
        <f aca="false">T39*Assumptions!$C$44</f>
        <v>0</v>
      </c>
      <c r="U40" s="17" t="n">
        <f aca="false">U39*Assumptions!$C$44</f>
        <v>0</v>
      </c>
      <c r="V40" s="17" t="n">
        <f aca="false">V39*Assumptions!$C$44</f>
        <v>0</v>
      </c>
      <c r="W40" s="17" t="n">
        <f aca="false">W39*Assumptions!$C$44</f>
        <v>0</v>
      </c>
      <c r="X40" s="17" t="n">
        <f aca="false">X39*Assumptions!$C$44</f>
        <v>0</v>
      </c>
      <c r="Y40" s="17" t="n">
        <f aca="false">Y39*Assumptions!$C$44</f>
        <v>0</v>
      </c>
      <c r="Z40" s="17" t="n">
        <f aca="false">Z39*Assumptions!$C$44</f>
        <v>0</v>
      </c>
      <c r="AA40" s="17" t="n">
        <f aca="false">AA39*Assumptions!$C$44</f>
        <v>91.8422249027417</v>
      </c>
      <c r="AB40" s="17" t="n">
        <f aca="false">AB39*Assumptions!$C$44</f>
        <v>184.311729625085</v>
      </c>
      <c r="AC40" s="17" t="n">
        <f aca="false">AC39*Assumptions!$C$44</f>
        <v>277.356246848557</v>
      </c>
      <c r="AD40" s="17" t="n">
        <f aca="false">AD39*Assumptions!$C$44</f>
        <v>370.927093481894</v>
      </c>
      <c r="AE40" s="17" t="n">
        <f aca="false">AE39*Assumptions!$C$44</f>
        <v>464.885032175833</v>
      </c>
      <c r="AF40" s="17" t="n">
        <f aca="false">AF39*Assumptions!$C$44</f>
        <v>561.54344541477</v>
      </c>
      <c r="AG40" s="17" t="n">
        <f aca="false">AG39*Assumptions!$C$44</f>
        <v>660.384136092564</v>
      </c>
      <c r="AH40" s="17" t="n">
        <f aca="false">AH39*Assumptions!$C$44</f>
        <v>760.461655813984</v>
      </c>
      <c r="AI40" s="17" t="n">
        <f aca="false">AI39*Assumptions!$C$44</f>
        <v>863.53968440887</v>
      </c>
      <c r="AJ40" s="17" t="n">
        <f aca="false">AJ39*Assumptions!$C$44</f>
        <v>968.691353158796</v>
      </c>
      <c r="AK40" s="17" t="n">
        <f aca="false">AK39*Assumptions!$C$44</f>
        <v>1074.87960669033</v>
      </c>
      <c r="AL40" s="17" t="n">
        <f aca="false">AL39*Assumptions!$C$44</f>
        <v>1183.40905336268</v>
      </c>
      <c r="AM40" s="17" t="n">
        <f aca="false">AM39*Assumptions!$C$44</f>
        <v>1293.40350152445</v>
      </c>
      <c r="AN40" s="44" t="n">
        <f aca="false">AN39*Assumptions!$C$44</f>
        <v>1403.87283043774</v>
      </c>
      <c r="AO40" s="44" t="n">
        <f aca="false">AO39*Assumptions!$C$44</f>
        <v>1516.16511783978</v>
      </c>
      <c r="AP40" s="44" t="n">
        <f aca="false">AP39*Assumptions!$C$44</f>
        <v>1629.44443266022</v>
      </c>
      <c r="AQ40" s="44" t="n">
        <f aca="false">AQ39*Assumptions!$C$44</f>
        <v>1742.75794325328</v>
      </c>
      <c r="AR40" s="44" t="n">
        <f aca="false">AR39*Assumptions!$C$44</f>
        <v>1857.48826455723</v>
      </c>
      <c r="AS40" s="44" t="n">
        <f aca="false">AS39*Assumptions!$C$44</f>
        <v>1972.7375574044</v>
      </c>
      <c r="AT40" s="44" t="n">
        <f aca="false">AT39*Assumptions!$C$44</f>
        <v>2087.59080849694</v>
      </c>
      <c r="AU40" s="44" t="n">
        <f aca="false">AU39*Assumptions!$C$44</f>
        <v>2203.46564365649</v>
      </c>
      <c r="AV40" s="44" t="n">
        <f aca="false">AV39*Assumptions!$C$44</f>
        <v>2319.49663461613</v>
      </c>
      <c r="AW40" s="44" t="n">
        <f aca="false">AW39*Assumptions!$C$44</f>
        <v>2434.79877101793</v>
      </c>
      <c r="AX40" s="44" t="n">
        <f aca="false">AX39*Assumptions!$C$44</f>
        <v>2550.81745138644</v>
      </c>
      <c r="AY40" s="44" t="n">
        <f aca="false">AY39*Assumptions!$C$44</f>
        <v>2666.71295442044</v>
      </c>
      <c r="AZ40" s="44" t="n">
        <f aca="false">AZ39*Assumptions!$C$44</f>
        <v>2781.62406325928</v>
      </c>
      <c r="BA40" s="44" t="n">
        <f aca="false">BA39*Assumptions!$C$44</f>
        <v>2897.01819741167</v>
      </c>
      <c r="BB40" s="44" t="n">
        <f aca="false">BB39*Assumptions!$C$44</f>
        <v>3012.07601453773</v>
      </c>
      <c r="BC40" s="44" t="n">
        <f aca="false">BC39*Assumptions!$C$44</f>
        <v>3125.86125889653</v>
      </c>
      <c r="BD40" s="44" t="n">
        <f aca="false">BD39*Assumptions!$C$44</f>
        <v>3239.8669887963</v>
      </c>
      <c r="BE40" s="44" t="n">
        <f aca="false">BE39*Assumptions!$C$44</f>
        <v>3353.29757396517</v>
      </c>
      <c r="BF40" s="44" t="n">
        <f aca="false">BF39*Assumptions!$C$44</f>
        <v>3465.23868626717</v>
      </c>
      <c r="BG40" s="44" t="n">
        <f aca="false">BG39*Assumptions!$C$44</f>
        <v>3577.20365884889</v>
      </c>
      <c r="BH40" s="44" t="n">
        <f aca="false">BH39*Assumptions!$C$44</f>
        <v>3688.41560542747</v>
      </c>
      <c r="BI40" s="44" t="n">
        <f aca="false">BI39*Assumptions!$C$44</f>
        <v>3797.97752387723</v>
      </c>
      <c r="BJ40" s="44" t="n">
        <f aca="false">BJ39*Assumptions!$C$44</f>
        <v>3907.41875987802</v>
      </c>
      <c r="BK40" s="44" t="n">
        <f aca="false">BK39*Assumptions!$C$44</f>
        <v>4015.97722296196</v>
      </c>
    </row>
    <row r="41" customFormat="false" ht="15" hidden="false" customHeight="false" outlineLevel="0" collapsed="false">
      <c r="A41" s="28" t="s">
        <v>598</v>
      </c>
      <c r="B41" s="6" t="s">
        <v>599</v>
      </c>
      <c r="C41" s="43"/>
      <c r="D41" s="17" t="n">
        <f aca="false">D24*Assumptions!$C$17*Assumptions!$C$68*Assumptions!$C$69*Assumptions!$C$70*Assumptions!$C$71/1000*D21</f>
        <v>0</v>
      </c>
      <c r="E41" s="17" t="n">
        <f aca="false">E24*Assumptions!$C$17*Assumptions!$C$68*Assumptions!$C$69*Assumptions!$C$70*Assumptions!$C$71/1000*E21</f>
        <v>0</v>
      </c>
      <c r="F41" s="17" t="n">
        <f aca="false">F24*Assumptions!$C$17*Assumptions!$C$68*Assumptions!$C$69*Assumptions!$C$70*Assumptions!$C$71/1000*F21</f>
        <v>0</v>
      </c>
      <c r="G41" s="17" t="n">
        <f aca="false">G24*Assumptions!$C$17*Assumptions!$C$68*Assumptions!$C$69*Assumptions!$C$70*Assumptions!$C$71/1000*G21</f>
        <v>0</v>
      </c>
      <c r="H41" s="17" t="n">
        <f aca="false">H24*Assumptions!$C$17*Assumptions!$C$68*Assumptions!$C$69*Assumptions!$C$70*Assumptions!$C$71/1000*H21</f>
        <v>0</v>
      </c>
      <c r="I41" s="17" t="n">
        <f aca="false">I24*Assumptions!$C$17*Assumptions!$C$68*Assumptions!$C$69*Assumptions!$C$70*Assumptions!$C$71/1000*I21</f>
        <v>0</v>
      </c>
      <c r="J41" s="17" t="n">
        <f aca="false">J24*Assumptions!$C$17*Assumptions!$C$68*Assumptions!$C$69*Assumptions!$C$70*Assumptions!$C$71/1000*J21</f>
        <v>0</v>
      </c>
      <c r="K41" s="17" t="n">
        <f aca="false">K24*Assumptions!$C$17*Assumptions!$C$68*Assumptions!$C$69*Assumptions!$C$70*Assumptions!$C$71/1000*K21</f>
        <v>0</v>
      </c>
      <c r="L41" s="17" t="n">
        <f aca="false">L24*Assumptions!$C$17*Assumptions!$C$68*Assumptions!$C$69*Assumptions!$C$70*Assumptions!$C$71/1000*L21</f>
        <v>0</v>
      </c>
      <c r="M41" s="17" t="n">
        <f aca="false">M24*Assumptions!$C$17*Assumptions!$C$68*Assumptions!$C$69*Assumptions!$C$70*Assumptions!$C$71/1000*M21</f>
        <v>0</v>
      </c>
      <c r="N41" s="17" t="n">
        <f aca="false">N24*Assumptions!$C$17*Assumptions!$C$68*Assumptions!$C$69*Assumptions!$C$70*Assumptions!$C$71/1000*N21</f>
        <v>0</v>
      </c>
      <c r="O41" s="17" t="n">
        <f aca="false">O24*Assumptions!$C$17*Assumptions!$C$68*Assumptions!$C$69*Assumptions!$C$70*Assumptions!$C$71/1000*O21</f>
        <v>0</v>
      </c>
      <c r="P41" s="17" t="n">
        <f aca="false">P24*Assumptions!$C$17*Assumptions!$C$68*Assumptions!$C$69*Assumptions!$C$70*Assumptions!$C$71/1000*P21</f>
        <v>0</v>
      </c>
      <c r="Q41" s="17" t="n">
        <f aca="false">Q24*Assumptions!$C$17*Assumptions!$C$68*Assumptions!$C$69*Assumptions!$C$70*Assumptions!$C$71/1000*Q21</f>
        <v>0</v>
      </c>
      <c r="R41" s="17" t="n">
        <f aca="false">R24*Assumptions!$C$17*Assumptions!$C$68*Assumptions!$C$69*Assumptions!$C$70*Assumptions!$C$71/1000*R21</f>
        <v>0</v>
      </c>
      <c r="S41" s="17" t="n">
        <f aca="false">S24*Assumptions!$C$17*Assumptions!$C$68*Assumptions!$C$69*Assumptions!$C$70*Assumptions!$C$71/1000*S21</f>
        <v>0</v>
      </c>
      <c r="T41" s="17" t="n">
        <f aca="false">T24*Assumptions!$C$17*Assumptions!$C$68*Assumptions!$C$69*Assumptions!$C$70*Assumptions!$C$71/1000*T21</f>
        <v>0</v>
      </c>
      <c r="U41" s="17" t="n">
        <f aca="false">U24*Assumptions!$C$17*Assumptions!$C$68*Assumptions!$C$69*Assumptions!$C$70*Assumptions!$C$71/1000*U21</f>
        <v>0</v>
      </c>
      <c r="V41" s="17" t="n">
        <f aca="false">V24*Assumptions!$C$17*Assumptions!$C$68*Assumptions!$C$69*Assumptions!$C$70*Assumptions!$C$71/1000*V21</f>
        <v>0</v>
      </c>
      <c r="W41" s="17" t="n">
        <f aca="false">W24*Assumptions!$C$17*Assumptions!$C$68*Assumptions!$C$69*Assumptions!$C$70*Assumptions!$C$71/1000*W21</f>
        <v>0</v>
      </c>
      <c r="X41" s="17" t="n">
        <f aca="false">X24*Assumptions!$C$17*Assumptions!$C$68*Assumptions!$C$69*Assumptions!$C$70*Assumptions!$C$71/1000*X21</f>
        <v>0</v>
      </c>
      <c r="Y41" s="17" t="n">
        <f aca="false">Y24*Assumptions!$C$17*Assumptions!$C$68*Assumptions!$C$69*Assumptions!$C$70*Assumptions!$C$71/1000*Y21</f>
        <v>0</v>
      </c>
      <c r="Z41" s="17" t="n">
        <f aca="false">Z24*Assumptions!$C$17*Assumptions!$C$68*Assumptions!$C$69*Assumptions!$C$70*Assumptions!$C$71/1000*Z21</f>
        <v>0</v>
      </c>
      <c r="AA41" s="17" t="n">
        <f aca="false">AA24*Assumptions!$C$17*Assumptions!$C$68*Assumptions!$C$69*Assumptions!$C$70*Assumptions!$C$71/1000*AA21</f>
        <v>0</v>
      </c>
      <c r="AB41" s="17" t="n">
        <f aca="false">AB24*Assumptions!$C$17*Assumptions!$C$68*Assumptions!$C$69*Assumptions!$C$70*Assumptions!$C$71/1000*AB21</f>
        <v>0</v>
      </c>
      <c r="AC41" s="17" t="n">
        <f aca="false">AC24*Assumptions!$C$17*Assumptions!$C$68*Assumptions!$C$69*Assumptions!$C$70*Assumptions!$C$71/1000*AC21</f>
        <v>0</v>
      </c>
      <c r="AD41" s="17" t="n">
        <f aca="false">AD24*Assumptions!$C$17*Assumptions!$C$68*Assumptions!$C$69*Assumptions!$C$70*Assumptions!$C$71/1000*AD21</f>
        <v>0</v>
      </c>
      <c r="AE41" s="17" t="n">
        <f aca="false">AE24*Assumptions!$C$17*Assumptions!$C$68*Assumptions!$C$69*Assumptions!$C$70*Assumptions!$C$71/1000*AE21</f>
        <v>0</v>
      </c>
      <c r="AF41" s="17" t="n">
        <f aca="false">AF24*Assumptions!$C$17*Assumptions!$C$68*Assumptions!$C$69*Assumptions!$C$70*Assumptions!$C$71/1000*AF21</f>
        <v>0</v>
      </c>
      <c r="AG41" s="17" t="n">
        <f aca="false">AG24*Assumptions!$C$17*Assumptions!$C$68*Assumptions!$C$69*Assumptions!$C$70*Assumptions!$C$71/1000*AG21</f>
        <v>0</v>
      </c>
      <c r="AH41" s="17" t="n">
        <f aca="false">AH24*Assumptions!$C$17*Assumptions!$C$68*Assumptions!$C$69*Assumptions!$C$70*Assumptions!$C$71/1000*AH21</f>
        <v>0</v>
      </c>
      <c r="AI41" s="17" t="n">
        <f aca="false">AI24*Assumptions!$C$17*Assumptions!$C$68*Assumptions!$C$69*Assumptions!$C$70*Assumptions!$C$71/1000*AI21</f>
        <v>0</v>
      </c>
      <c r="AJ41" s="17" t="n">
        <f aca="false">AJ24*Assumptions!$C$17*Assumptions!$C$68*Assumptions!$C$69*Assumptions!$C$70*Assumptions!$C$71/1000*AJ21</f>
        <v>0</v>
      </c>
      <c r="AK41" s="17" t="n">
        <f aca="false">AK24*Assumptions!$C$17*Assumptions!$C$68*Assumptions!$C$69*Assumptions!$C$70*Assumptions!$C$71/1000*AK21</f>
        <v>0</v>
      </c>
      <c r="AL41" s="17" t="n">
        <f aca="false">AL24*Assumptions!$C$17*Assumptions!$C$68*Assumptions!$C$69*Assumptions!$C$70*Assumptions!$C$71/1000*AL21</f>
        <v>0</v>
      </c>
      <c r="AM41" s="17" t="n">
        <f aca="false">AM24*Assumptions!$C$17*Assumptions!$C$68*Assumptions!$C$69*Assumptions!$C$70*Assumptions!$C$71/1000*AM21</f>
        <v>0</v>
      </c>
      <c r="AN41" s="44" t="n">
        <f aca="false">AN24*Assumptions!$C$17*Assumptions!$C$68*Assumptions!$C$69*Assumptions!$C$70*Assumptions!$C$71/1000*AN21</f>
        <v>0</v>
      </c>
      <c r="AO41" s="44" t="n">
        <f aca="false">AO24*Assumptions!$C$17*Assumptions!$C$68*Assumptions!$C$69*Assumptions!$C$70*Assumptions!$C$71/1000*AO21</f>
        <v>0</v>
      </c>
      <c r="AP41" s="44" t="n">
        <f aca="false">AP24*Assumptions!$C$17*Assumptions!$C$68*Assumptions!$C$69*Assumptions!$C$70*Assumptions!$C$71/1000*AP21</f>
        <v>0</v>
      </c>
      <c r="AQ41" s="44" t="n">
        <f aca="false">AQ24*Assumptions!$C$17*Assumptions!$C$68*Assumptions!$C$69*Assumptions!$C$70*Assumptions!$C$71/1000*AQ21</f>
        <v>33.4577962507406</v>
      </c>
      <c r="AR41" s="44" t="n">
        <f aca="false">AR24*Assumptions!$C$17*Assumptions!$C$68*Assumptions!$C$69*Assumptions!$C$70*Assumptions!$C$71/1000*AR21</f>
        <v>69.7435054078332</v>
      </c>
      <c r="AS41" s="44" t="n">
        <f aca="false">AS24*Assumptions!$C$17*Assumptions!$C$68*Assumptions!$C$69*Assumptions!$C$70*Assumptions!$C$71/1000*AS21</f>
        <v>108.802219264101</v>
      </c>
      <c r="AT41" s="44" t="n">
        <f aca="false">AT24*Assumptions!$C$17*Assumptions!$C$68*Assumptions!$C$69*Assumptions!$C$70*Assumptions!$C$71/1000*AT21</f>
        <v>150.411552921009</v>
      </c>
      <c r="AU41" s="44" t="n">
        <f aca="false">AU24*Assumptions!$C$17*Assumptions!$C$68*Assumptions!$C$69*Assumptions!$C$70*Assumptions!$C$71/1000*AU21</f>
        <v>194.875432475912</v>
      </c>
      <c r="AV41" s="44" t="n">
        <f aca="false">AV24*Assumptions!$C$17*Assumptions!$C$68*Assumptions!$C$69*Assumptions!$C$70*Assumptions!$C$71/1000*AV21</f>
        <v>241.965616981225</v>
      </c>
      <c r="AW41" s="44" t="n">
        <f aca="false">AW24*Assumptions!$C$17*Assumptions!$C$68*Assumptions!$C$69*Assumptions!$C$70*Assumptions!$C$71/1000*AW21</f>
        <v>249.71574419306</v>
      </c>
      <c r="AX41" s="44" t="n">
        <f aca="false">AX24*Assumptions!$C$17*Assumptions!$C$68*Assumptions!$C$69*Assumptions!$C$70*Assumptions!$C$71/1000*AX21</f>
        <v>257.685027483423</v>
      </c>
      <c r="AY41" s="44" t="n">
        <f aca="false">AY24*Assumptions!$C$17*Assumptions!$C$68*Assumptions!$C$69*Assumptions!$C$70*Assumptions!$C$71/1000*AY21</f>
        <v>265.53687311579</v>
      </c>
      <c r="AZ41" s="44" t="n">
        <f aca="false">AZ24*Assumptions!$C$17*Assumptions!$C$68*Assumptions!$C$69*Assumptions!$C$70*Assumptions!$C$71/1000*AZ21</f>
        <v>273.025548698056</v>
      </c>
      <c r="BA41" s="44" t="n">
        <f aca="false">BA24*Assumptions!$C$17*Assumptions!$C$68*Assumptions!$C$69*Assumptions!$C$70*Assumptions!$C$71/1000*BA21</f>
        <v>280.735905908936</v>
      </c>
      <c r="BB41" s="44" t="n">
        <f aca="false">BB24*Assumptions!$C$17*Assumptions!$C$68*Assumptions!$C$69*Assumptions!$C$70*Assumptions!$C$71/1000*BB21</f>
        <v>288.331801807181</v>
      </c>
      <c r="BC41" s="44" t="n">
        <f aca="false">BC24*Assumptions!$C$17*Assumptions!$C$68*Assumptions!$C$69*Assumptions!$C$70*Assumptions!$C$71/1000*BC21</f>
        <v>295.536932196544</v>
      </c>
      <c r="BD41" s="44" t="n">
        <f aca="false">BD24*Assumptions!$C$17*Assumptions!$C$68*Assumptions!$C$69*Assumptions!$C$70*Assumptions!$C$71/1000*BD21</f>
        <v>302.947564834302</v>
      </c>
      <c r="BE41" s="44" t="n">
        <f aca="false">BE24*Assumptions!$C$17*Assumptions!$C$68*Assumptions!$C$69*Assumptions!$C$70*Assumptions!$C$71/1000*BE21</f>
        <v>310.234950865246</v>
      </c>
      <c r="BF41" s="44" t="n">
        <f aca="false">BF24*Assumptions!$C$17*Assumptions!$C$68*Assumptions!$C$69*Assumptions!$C$70*Assumptions!$C$71/1000*BF21</f>
        <v>317.127566279516</v>
      </c>
      <c r="BG41" s="44" t="n">
        <f aca="false">BG24*Assumptions!$C$17*Assumptions!$C$68*Assumptions!$C$69*Assumptions!$C$70*Assumptions!$C$71/1000*BG21</f>
        <v>324.224760375535</v>
      </c>
      <c r="BH41" s="44" t="n">
        <f aca="false">BH24*Assumptions!$C$17*Assumptions!$C$68*Assumptions!$C$69*Assumptions!$C$70*Assumptions!$C$71/1000*BH21</f>
        <v>331.199762103539</v>
      </c>
      <c r="BI41" s="44" t="n">
        <f aca="false">BI24*Assumptions!$C$17*Assumptions!$C$68*Assumptions!$C$69*Assumptions!$C$70*Assumptions!$C$71/1000*BI21</f>
        <v>337.78230820885</v>
      </c>
      <c r="BJ41" s="44" t="n">
        <f aca="false">BJ24*Assumptions!$C$17*Assumptions!$C$68*Assumptions!$C$69*Assumptions!$C$70*Assumptions!$C$71/1000*BJ21</f>
        <v>344.572543034679</v>
      </c>
      <c r="BK41" s="44" t="n">
        <f aca="false">BK24*Assumptions!$C$17*Assumptions!$C$68*Assumptions!$C$69*Assumptions!$C$70*Assumptions!$C$71/1000*BK21</f>
        <v>351.244188230984</v>
      </c>
    </row>
    <row r="42" customFormat="false" ht="15" hidden="false" customHeight="false" outlineLevel="0" collapsed="false">
      <c r="A42" s="28" t="s">
        <v>600</v>
      </c>
      <c r="B42" s="6" t="s">
        <v>601</v>
      </c>
      <c r="C42" s="43"/>
      <c r="D42" s="17" t="n">
        <f aca="false">D13*Assumptions!$C$72*Assumptions!$C$73*D21</f>
        <v>0</v>
      </c>
      <c r="E42" s="17" t="n">
        <f aca="false">E13*Assumptions!$C$72*Assumptions!$C$73*E21</f>
        <v>0</v>
      </c>
      <c r="F42" s="17" t="n">
        <f aca="false">F13*Assumptions!$C$72*Assumptions!$C$73*F21</f>
        <v>0</v>
      </c>
      <c r="G42" s="17" t="n">
        <f aca="false">G13*Assumptions!$C$72*Assumptions!$C$73*G21</f>
        <v>0</v>
      </c>
      <c r="H42" s="17" t="n">
        <f aca="false">H13*Assumptions!$C$72*Assumptions!$C$73*H21</f>
        <v>0</v>
      </c>
      <c r="I42" s="17" t="n">
        <f aca="false">I13*Assumptions!$C$72*Assumptions!$C$73*I21</f>
        <v>0</v>
      </c>
      <c r="J42" s="17" t="n">
        <f aca="false">J13*Assumptions!$C$72*Assumptions!$C$73*J21</f>
        <v>0</v>
      </c>
      <c r="K42" s="17" t="n">
        <f aca="false">K13*Assumptions!$C$72*Assumptions!$C$73*K21</f>
        <v>0</v>
      </c>
      <c r="L42" s="17" t="n">
        <f aca="false">L13*Assumptions!$C$72*Assumptions!$C$73*L21</f>
        <v>0</v>
      </c>
      <c r="M42" s="17" t="n">
        <f aca="false">M13*Assumptions!$C$72*Assumptions!$C$73*M21</f>
        <v>0</v>
      </c>
      <c r="N42" s="17" t="n">
        <f aca="false">N13*Assumptions!$C$72*Assumptions!$C$73*N21</f>
        <v>0</v>
      </c>
      <c r="O42" s="17" t="n">
        <f aca="false">O13*Assumptions!$C$72*Assumptions!$C$73*O21</f>
        <v>0</v>
      </c>
      <c r="P42" s="17" t="n">
        <f aca="false">P13*Assumptions!$C$72*Assumptions!$C$73*P21</f>
        <v>0</v>
      </c>
      <c r="Q42" s="17" t="n">
        <f aca="false">Q13*Assumptions!$C$72*Assumptions!$C$73*Q21</f>
        <v>0</v>
      </c>
      <c r="R42" s="17" t="n">
        <f aca="false">R13*Assumptions!$C$72*Assumptions!$C$73*R21</f>
        <v>0</v>
      </c>
      <c r="S42" s="17" t="n">
        <f aca="false">S13*Assumptions!$C$72*Assumptions!$C$73*S21</f>
        <v>0</v>
      </c>
      <c r="T42" s="17" t="n">
        <f aca="false">T13*Assumptions!$C$72*Assumptions!$C$73*T21</f>
        <v>0</v>
      </c>
      <c r="U42" s="17" t="n">
        <f aca="false">U13*Assumptions!$C$72*Assumptions!$C$73*U21</f>
        <v>0</v>
      </c>
      <c r="V42" s="17" t="n">
        <f aca="false">V13*Assumptions!$C$72*Assumptions!$C$73*V21</f>
        <v>0</v>
      </c>
      <c r="W42" s="17" t="n">
        <f aca="false">W13*Assumptions!$C$72*Assumptions!$C$73*W21</f>
        <v>0</v>
      </c>
      <c r="X42" s="17" t="n">
        <f aca="false">X13*Assumptions!$C$72*Assumptions!$C$73*X21</f>
        <v>0</v>
      </c>
      <c r="Y42" s="17" t="n">
        <f aca="false">Y13*Assumptions!$C$72*Assumptions!$C$73*Y21</f>
        <v>0</v>
      </c>
      <c r="Z42" s="17" t="n">
        <f aca="false">Z13*Assumptions!$C$72*Assumptions!$C$73*Z21</f>
        <v>0</v>
      </c>
      <c r="AA42" s="17" t="n">
        <f aca="false">AA13*Assumptions!$C$72*Assumptions!$C$73*AA21</f>
        <v>0</v>
      </c>
      <c r="AB42" s="17" t="n">
        <f aca="false">AB13*Assumptions!$C$72*Assumptions!$C$73*AB21</f>
        <v>0</v>
      </c>
      <c r="AC42" s="17" t="n">
        <f aca="false">AC13*Assumptions!$C$72*Assumptions!$C$73*AC21</f>
        <v>0</v>
      </c>
      <c r="AD42" s="17" t="n">
        <f aca="false">AD13*Assumptions!$C$72*Assumptions!$C$73*AD21</f>
        <v>0</v>
      </c>
      <c r="AE42" s="17" t="n">
        <f aca="false">AE13*Assumptions!$C$72*Assumptions!$C$73*AE21</f>
        <v>0</v>
      </c>
      <c r="AF42" s="17" t="n">
        <f aca="false">AF13*Assumptions!$C$72*Assumptions!$C$73*AF21</f>
        <v>0</v>
      </c>
      <c r="AG42" s="17" t="n">
        <f aca="false">AG13*Assumptions!$C$72*Assumptions!$C$73*AG21</f>
        <v>0</v>
      </c>
      <c r="AH42" s="17" t="n">
        <f aca="false">AH13*Assumptions!$C$72*Assumptions!$C$73*AH21</f>
        <v>0</v>
      </c>
      <c r="AI42" s="17" t="n">
        <f aca="false">AI13*Assumptions!$C$72*Assumptions!$C$73*AI21</f>
        <v>0</v>
      </c>
      <c r="AJ42" s="17" t="n">
        <f aca="false">AJ13*Assumptions!$C$72*Assumptions!$C$73*AJ21</f>
        <v>0</v>
      </c>
      <c r="AK42" s="17" t="n">
        <f aca="false">AK13*Assumptions!$C$72*Assumptions!$C$73*AK21</f>
        <v>0</v>
      </c>
      <c r="AL42" s="17" t="n">
        <f aca="false">AL13*Assumptions!$C$72*Assumptions!$C$73*AL21</f>
        <v>0</v>
      </c>
      <c r="AM42" s="17" t="n">
        <f aca="false">AM13*Assumptions!$C$72*Assumptions!$C$73*AM21</f>
        <v>0</v>
      </c>
      <c r="AN42" s="44" t="n">
        <f aca="false">AN13*Assumptions!$C$72*Assumptions!$C$73*AN21</f>
        <v>0</v>
      </c>
      <c r="AO42" s="44" t="n">
        <f aca="false">AO13*Assumptions!$C$72*Assumptions!$C$73*AO21</f>
        <v>0</v>
      </c>
      <c r="AP42" s="44" t="n">
        <f aca="false">AP13*Assumptions!$C$72*Assumptions!$C$73*AP21</f>
        <v>0</v>
      </c>
      <c r="AQ42" s="44" t="n">
        <f aca="false">AQ13*Assumptions!$C$72*Assumptions!$C$73*AQ21</f>
        <v>150.045379996799</v>
      </c>
      <c r="AR42" s="44" t="n">
        <f aca="false">AR13*Assumptions!$C$72*Assumptions!$C$73*AR21</f>
        <v>312.480598593695</v>
      </c>
      <c r="AS42" s="44" t="n">
        <f aca="false">AS13*Assumptions!$C$72*Assumptions!$C$73*AS21</f>
        <v>485.741684422184</v>
      </c>
      <c r="AT42" s="44" t="n">
        <f aca="false">AT13*Assumptions!$C$72*Assumptions!$C$73*AT21</f>
        <v>668.051145541135</v>
      </c>
      <c r="AU42" s="44" t="n">
        <f aca="false">AU13*Assumptions!$C$72*Assumptions!$C$73*AU21</f>
        <v>865.071972947522</v>
      </c>
      <c r="AV42" s="44" t="n">
        <f aca="false">AV13*Assumptions!$C$72*Assumptions!$C$73*AV21</f>
        <v>1070.98547202397</v>
      </c>
      <c r="AW42" s="44" t="n">
        <f aca="false">AW13*Assumptions!$C$72*Assumptions!$C$73*AW21</f>
        <v>1100.45348994361</v>
      </c>
      <c r="AX42" s="44" t="n">
        <f aca="false">AX13*Assumptions!$C$72*Assumptions!$C$73*AX21</f>
        <v>1135.35468759446</v>
      </c>
      <c r="AY42" s="44" t="n">
        <f aca="false">AY13*Assumptions!$C$72*Assumptions!$C$73*AY21</f>
        <v>1167.16196728054</v>
      </c>
      <c r="AZ42" s="44" t="n">
        <f aca="false">AZ13*Assumptions!$C$72*Assumptions!$C$73*AZ21</f>
        <v>1195.55453777133</v>
      </c>
      <c r="BA42" s="44" t="n">
        <f aca="false">BA13*Assumptions!$C$72*Assumptions!$C$73*BA21</f>
        <v>1229.39641970476</v>
      </c>
      <c r="BB42" s="44" t="n">
        <f aca="false">BB13*Assumptions!$C$72*Assumptions!$C$73*BB21</f>
        <v>1260.16027340919</v>
      </c>
      <c r="BC42" s="44" t="n">
        <f aca="false">BC13*Assumptions!$C$72*Assumptions!$C$73*BC21</f>
        <v>1287.15786930805</v>
      </c>
      <c r="BD42" s="44" t="n">
        <f aca="false">BD13*Assumptions!$C$72*Assumptions!$C$73*BD21</f>
        <v>1319.62570126843</v>
      </c>
      <c r="BE42" s="44" t="n">
        <f aca="false">BE13*Assumptions!$C$72*Assumptions!$C$73*BE21</f>
        <v>1349.03611574941</v>
      </c>
      <c r="BF42" s="44" t="n">
        <f aca="false">BF13*Assumptions!$C$72*Assumptions!$C$73*BF21</f>
        <v>1374.70057401316</v>
      </c>
      <c r="BG42" s="44" t="n">
        <f aca="false">BG13*Assumptions!$C$72*Assumptions!$C$73*BG21</f>
        <v>1405.85526540297</v>
      </c>
      <c r="BH42" s="44" t="n">
        <f aca="false">BH13*Assumptions!$C$72*Assumptions!$C$73*BH21</f>
        <v>1433.97223642192</v>
      </c>
      <c r="BI42" s="44" t="n">
        <f aca="false">BI13*Assumptions!$C$72*Assumptions!$C$73*BI21</f>
        <v>1458.36265287559</v>
      </c>
      <c r="BJ42" s="44" t="n">
        <f aca="false">BJ13*Assumptions!$C$72*Assumptions!$C$73*BJ21</f>
        <v>1488.26241308246</v>
      </c>
      <c r="BK42" s="44" t="n">
        <f aca="false">BK13*Assumptions!$C$72*Assumptions!$C$73*BK21</f>
        <v>1515.14327688622</v>
      </c>
    </row>
    <row r="43" customFormat="false" ht="15" hidden="false" customHeight="false" outlineLevel="0" collapsed="false">
      <c r="A43" s="28" t="s">
        <v>602</v>
      </c>
      <c r="B43" s="6" t="s">
        <v>603</v>
      </c>
      <c r="C43" s="43"/>
      <c r="D43" s="17" t="n">
        <f aca="false">D13*Assumptions!$C$74*Assumptions!$C$75*Assumptions!$C$76*D21</f>
        <v>0</v>
      </c>
      <c r="E43" s="17" t="n">
        <f aca="false">E13*Assumptions!$C$74*Assumptions!$C$75*Assumptions!$C$76*E21</f>
        <v>0</v>
      </c>
      <c r="F43" s="17" t="n">
        <f aca="false">F13*Assumptions!$C$74*Assumptions!$C$75*Assumptions!$C$76*F21</f>
        <v>0</v>
      </c>
      <c r="G43" s="17" t="n">
        <f aca="false">G13*Assumptions!$C$74*Assumptions!$C$75*Assumptions!$C$76*G21</f>
        <v>0</v>
      </c>
      <c r="H43" s="17" t="n">
        <f aca="false">H13*Assumptions!$C$74*Assumptions!$C$75*Assumptions!$C$76*H21</f>
        <v>0</v>
      </c>
      <c r="I43" s="17" t="n">
        <f aca="false">I13*Assumptions!$C$74*Assumptions!$C$75*Assumptions!$C$76*I21</f>
        <v>0</v>
      </c>
      <c r="J43" s="17" t="n">
        <f aca="false">J13*Assumptions!$C$74*Assumptions!$C$75*Assumptions!$C$76*J21</f>
        <v>0</v>
      </c>
      <c r="K43" s="17" t="n">
        <f aca="false">K13*Assumptions!$C$74*Assumptions!$C$75*Assumptions!$C$76*K21</f>
        <v>0</v>
      </c>
      <c r="L43" s="17" t="n">
        <f aca="false">L13*Assumptions!$C$74*Assumptions!$C$75*Assumptions!$C$76*L21</f>
        <v>0</v>
      </c>
      <c r="M43" s="17" t="n">
        <f aca="false">M13*Assumptions!$C$74*Assumptions!$C$75*Assumptions!$C$76*M21</f>
        <v>0</v>
      </c>
      <c r="N43" s="17" t="n">
        <f aca="false">N13*Assumptions!$C$74*Assumptions!$C$75*Assumptions!$C$76*N21</f>
        <v>0</v>
      </c>
      <c r="O43" s="17" t="n">
        <f aca="false">O13*Assumptions!$C$74*Assumptions!$C$75*Assumptions!$C$76*O21</f>
        <v>0</v>
      </c>
      <c r="P43" s="17" t="n">
        <f aca="false">P13*Assumptions!$C$74*Assumptions!$C$75*Assumptions!$C$76*P21</f>
        <v>0</v>
      </c>
      <c r="Q43" s="17" t="n">
        <f aca="false">Q13*Assumptions!$C$74*Assumptions!$C$75*Assumptions!$C$76*Q21</f>
        <v>0</v>
      </c>
      <c r="R43" s="17" t="n">
        <f aca="false">R13*Assumptions!$C$74*Assumptions!$C$75*Assumptions!$C$76*R21</f>
        <v>0</v>
      </c>
      <c r="S43" s="17" t="n">
        <f aca="false">S13*Assumptions!$C$74*Assumptions!$C$75*Assumptions!$C$76*S21</f>
        <v>0</v>
      </c>
      <c r="T43" s="17" t="n">
        <f aca="false">T13*Assumptions!$C$74*Assumptions!$C$75*Assumptions!$C$76*T21</f>
        <v>0</v>
      </c>
      <c r="U43" s="17" t="n">
        <f aca="false">U13*Assumptions!$C$74*Assumptions!$C$75*Assumptions!$C$76*U21</f>
        <v>0</v>
      </c>
      <c r="V43" s="17" t="n">
        <f aca="false">V13*Assumptions!$C$74*Assumptions!$C$75*Assumptions!$C$76*V21</f>
        <v>0</v>
      </c>
      <c r="W43" s="17" t="n">
        <f aca="false">W13*Assumptions!$C$74*Assumptions!$C$75*Assumptions!$C$76*W21</f>
        <v>0</v>
      </c>
      <c r="X43" s="17" t="n">
        <f aca="false">X13*Assumptions!$C$74*Assumptions!$C$75*Assumptions!$C$76*X21</f>
        <v>0</v>
      </c>
      <c r="Y43" s="17" t="n">
        <f aca="false">Y13*Assumptions!$C$74*Assumptions!$C$75*Assumptions!$C$76*Y21</f>
        <v>0</v>
      </c>
      <c r="Z43" s="17" t="n">
        <f aca="false">Z13*Assumptions!$C$74*Assumptions!$C$75*Assumptions!$C$76*Z21</f>
        <v>0</v>
      </c>
      <c r="AA43" s="17" t="n">
        <f aca="false">AA13*Assumptions!$C$74*Assumptions!$C$75*Assumptions!$C$76*AA21</f>
        <v>0</v>
      </c>
      <c r="AB43" s="17" t="n">
        <f aca="false">AB13*Assumptions!$C$74*Assumptions!$C$75*Assumptions!$C$76*AB21</f>
        <v>0</v>
      </c>
      <c r="AC43" s="17" t="n">
        <f aca="false">AC13*Assumptions!$C$74*Assumptions!$C$75*Assumptions!$C$76*AC21</f>
        <v>0</v>
      </c>
      <c r="AD43" s="17" t="n">
        <f aca="false">AD13*Assumptions!$C$74*Assumptions!$C$75*Assumptions!$C$76*AD21</f>
        <v>0</v>
      </c>
      <c r="AE43" s="17" t="n">
        <f aca="false">AE13*Assumptions!$C$74*Assumptions!$C$75*Assumptions!$C$76*AE21</f>
        <v>0</v>
      </c>
      <c r="AF43" s="17" t="n">
        <f aca="false">AF13*Assumptions!$C$74*Assumptions!$C$75*Assumptions!$C$76*AF21</f>
        <v>0</v>
      </c>
      <c r="AG43" s="17" t="n">
        <f aca="false">AG13*Assumptions!$C$74*Assumptions!$C$75*Assumptions!$C$76*AG21</f>
        <v>0</v>
      </c>
      <c r="AH43" s="17" t="n">
        <f aca="false">AH13*Assumptions!$C$74*Assumptions!$C$75*Assumptions!$C$76*AH21</f>
        <v>0</v>
      </c>
      <c r="AI43" s="17" t="n">
        <f aca="false">AI13*Assumptions!$C$74*Assumptions!$C$75*Assumptions!$C$76*AI21</f>
        <v>0</v>
      </c>
      <c r="AJ43" s="17" t="n">
        <f aca="false">AJ13*Assumptions!$C$74*Assumptions!$C$75*Assumptions!$C$76*AJ21</f>
        <v>0</v>
      </c>
      <c r="AK43" s="17" t="n">
        <f aca="false">AK13*Assumptions!$C$74*Assumptions!$C$75*Assumptions!$C$76*AK21</f>
        <v>0</v>
      </c>
      <c r="AL43" s="17" t="n">
        <f aca="false">AL13*Assumptions!$C$74*Assumptions!$C$75*Assumptions!$C$76*AL21</f>
        <v>0</v>
      </c>
      <c r="AM43" s="17" t="n">
        <f aca="false">AM13*Assumptions!$C$74*Assumptions!$C$75*Assumptions!$C$76*AM21</f>
        <v>0</v>
      </c>
      <c r="AN43" s="44" t="n">
        <f aca="false">AN13*Assumptions!$C$74*Assumptions!$C$75*Assumptions!$C$76*AN21</f>
        <v>0</v>
      </c>
      <c r="AO43" s="44" t="n">
        <f aca="false">AO13*Assumptions!$C$74*Assumptions!$C$75*Assumptions!$C$76*AO21</f>
        <v>0</v>
      </c>
      <c r="AP43" s="44" t="n">
        <f aca="false">AP13*Assumptions!$C$74*Assumptions!$C$75*Assumptions!$C$76*AP21</f>
        <v>0</v>
      </c>
      <c r="AQ43" s="44" t="n">
        <f aca="false">AQ13*Assumptions!$C$74*Assumptions!$C$75*Assumptions!$C$76*AQ21</f>
        <v>133.373671108266</v>
      </c>
      <c r="AR43" s="44" t="n">
        <f aca="false">AR13*Assumptions!$C$74*Assumptions!$C$75*Assumptions!$C$76*AR21</f>
        <v>277.760532083284</v>
      </c>
      <c r="AS43" s="44" t="n">
        <f aca="false">AS13*Assumptions!$C$74*Assumptions!$C$75*Assumptions!$C$76*AS21</f>
        <v>431.770386153052</v>
      </c>
      <c r="AT43" s="44" t="n">
        <f aca="false">AT13*Assumptions!$C$74*Assumptions!$C$75*Assumptions!$C$76*AT21</f>
        <v>593.823240481009</v>
      </c>
      <c r="AU43" s="44" t="n">
        <f aca="false">AU13*Assumptions!$C$74*Assumptions!$C$75*Assumptions!$C$76*AU21</f>
        <v>768.952864842242</v>
      </c>
      <c r="AV43" s="44" t="n">
        <f aca="false">AV13*Assumptions!$C$74*Assumptions!$C$75*Assumptions!$C$76*AV21</f>
        <v>951.98708624353</v>
      </c>
      <c r="AW43" s="44" t="n">
        <f aca="false">AW13*Assumptions!$C$74*Assumptions!$C$75*Assumptions!$C$76*AW21</f>
        <v>978.180879949877</v>
      </c>
      <c r="AX43" s="44" t="n">
        <f aca="false">AX13*Assumptions!$C$74*Assumptions!$C$75*Assumptions!$C$76*AX21</f>
        <v>1009.20416675063</v>
      </c>
      <c r="AY43" s="44" t="n">
        <f aca="false">AY13*Assumptions!$C$74*Assumptions!$C$75*Assumptions!$C$76*AY21</f>
        <v>1037.47730424937</v>
      </c>
      <c r="AZ43" s="44" t="n">
        <f aca="false">AZ13*Assumptions!$C$74*Assumptions!$C$75*Assumptions!$C$76*AZ21</f>
        <v>1062.71514468563</v>
      </c>
      <c r="BA43" s="44" t="n">
        <f aca="false">BA13*Assumptions!$C$74*Assumptions!$C$75*Assumptions!$C$76*BA21</f>
        <v>1092.79681751534</v>
      </c>
      <c r="BB43" s="44" t="n">
        <f aca="false">BB13*Assumptions!$C$74*Assumptions!$C$75*Assumptions!$C$76*BB21</f>
        <v>1120.14246525261</v>
      </c>
      <c r="BC43" s="44" t="n">
        <f aca="false">BC13*Assumptions!$C$74*Assumptions!$C$75*Assumptions!$C$76*BC21</f>
        <v>1144.14032827383</v>
      </c>
      <c r="BD43" s="44" t="n">
        <f aca="false">BD13*Assumptions!$C$74*Assumptions!$C$75*Assumptions!$C$76*BD21</f>
        <v>1173.00062334972</v>
      </c>
      <c r="BE43" s="44" t="n">
        <f aca="false">BE13*Assumptions!$C$74*Assumptions!$C$75*Assumptions!$C$76*BE21</f>
        <v>1199.14321399947</v>
      </c>
      <c r="BF43" s="44" t="n">
        <f aca="false">BF13*Assumptions!$C$74*Assumptions!$C$75*Assumptions!$C$76*BF21</f>
        <v>1221.95606578948</v>
      </c>
      <c r="BG43" s="44" t="n">
        <f aca="false">BG13*Assumptions!$C$74*Assumptions!$C$75*Assumptions!$C$76*BG21</f>
        <v>1249.64912480264</v>
      </c>
      <c r="BH43" s="44" t="n">
        <f aca="false">BH13*Assumptions!$C$74*Assumptions!$C$75*Assumptions!$C$76*BH21</f>
        <v>1274.6419879306</v>
      </c>
      <c r="BI43" s="44" t="n">
        <f aca="false">BI13*Assumptions!$C$74*Assumptions!$C$75*Assumptions!$C$76*BI21</f>
        <v>1296.32235811164</v>
      </c>
      <c r="BJ43" s="44" t="n">
        <f aca="false">BJ13*Assumptions!$C$74*Assumptions!$C$75*Assumptions!$C$76*BJ21</f>
        <v>1322.89992273996</v>
      </c>
      <c r="BK43" s="44" t="n">
        <f aca="false">BK13*Assumptions!$C$74*Assumptions!$C$75*Assumptions!$C$76*BK21</f>
        <v>1346.79402389887</v>
      </c>
    </row>
    <row r="44" customFormat="false" ht="15" hidden="false" customHeight="false" outlineLevel="0" collapsed="false">
      <c r="A44" s="28" t="s">
        <v>604</v>
      </c>
      <c r="B44" s="6" t="s">
        <v>605</v>
      </c>
      <c r="C44" s="42"/>
      <c r="D44" s="26" t="n">
        <f aca="false">D10*Assumptions!$C$80/12*D18</f>
        <v>0</v>
      </c>
      <c r="E44" s="26" t="n">
        <f aca="false">E10*Assumptions!$C$80/12*E18</f>
        <v>0</v>
      </c>
      <c r="F44" s="26" t="n">
        <f aca="false">F10*Assumptions!$C$80/12*F18</f>
        <v>0</v>
      </c>
      <c r="G44" s="26" t="n">
        <f aca="false">G10*Assumptions!$C$80/12*G18</f>
        <v>0</v>
      </c>
      <c r="H44" s="26" t="n">
        <f aca="false">H10*Assumptions!$C$80/12*H18</f>
        <v>0</v>
      </c>
      <c r="I44" s="26" t="n">
        <f aca="false">I10*Assumptions!$C$80/12*I18</f>
        <v>0</v>
      </c>
      <c r="J44" s="26" t="n">
        <f aca="false">J10*Assumptions!$C$80/12*J18</f>
        <v>0</v>
      </c>
      <c r="K44" s="26" t="n">
        <f aca="false">K10*Assumptions!$C$80/12*K18</f>
        <v>0</v>
      </c>
      <c r="L44" s="26" t="n">
        <f aca="false">L10*Assumptions!$C$80/12*L18</f>
        <v>0</v>
      </c>
      <c r="M44" s="26" t="n">
        <f aca="false">M10*Assumptions!$C$80/12*M18</f>
        <v>0</v>
      </c>
      <c r="N44" s="26" t="n">
        <f aca="false">N10*Assumptions!$C$80/12*N18</f>
        <v>0</v>
      </c>
      <c r="O44" s="26" t="n">
        <f aca="false">O10*Assumptions!$C$80/12*O18</f>
        <v>0</v>
      </c>
      <c r="P44" s="26" t="n">
        <f aca="false">P10*Assumptions!$C$80/12*P18</f>
        <v>0</v>
      </c>
      <c r="Q44" s="26" t="n">
        <f aca="false">Q10*Assumptions!$C$80/12*Q18</f>
        <v>0</v>
      </c>
      <c r="R44" s="26" t="n">
        <f aca="false">R10*Assumptions!$C$80/12*R18</f>
        <v>0</v>
      </c>
      <c r="S44" s="26" t="n">
        <f aca="false">S10*Assumptions!$C$80/12*S18</f>
        <v>0</v>
      </c>
      <c r="T44" s="26" t="n">
        <f aca="false">T10*Assumptions!$C$80/12*T18</f>
        <v>0</v>
      </c>
      <c r="U44" s="26" t="n">
        <f aca="false">U10*Assumptions!$C$80/12*U18</f>
        <v>0</v>
      </c>
      <c r="V44" s="26" t="n">
        <f aca="false">V10*Assumptions!$C$80/12*V18</f>
        <v>0</v>
      </c>
      <c r="W44" s="26" t="n">
        <f aca="false">W10*Assumptions!$C$80/12*W18</f>
        <v>0.416666666666667</v>
      </c>
      <c r="X44" s="26" t="n">
        <f aca="false">X10*Assumptions!$C$80/12*X18</f>
        <v>0.5</v>
      </c>
      <c r="Y44" s="26" t="n">
        <f aca="false">Y10*Assumptions!$C$80/12*Y18</f>
        <v>0.5</v>
      </c>
      <c r="Z44" s="26" t="n">
        <f aca="false">Z10*Assumptions!$C$80/12*Z18</f>
        <v>0.583333333333333</v>
      </c>
      <c r="AA44" s="26" t="n">
        <f aca="false">AA10*Assumptions!$C$80/12*AA18</f>
        <v>0.666666666666667</v>
      </c>
      <c r="AB44" s="26" t="n">
        <f aca="false">AB10*Assumptions!$C$80/12*AB18</f>
        <v>0.75</v>
      </c>
      <c r="AC44" s="26" t="n">
        <f aca="false">AC10*Assumptions!$C$80/12*AC18</f>
        <v>0.833333333333333</v>
      </c>
      <c r="AD44" s="26" t="n">
        <f aca="false">AD10*Assumptions!$C$80/12*AD18</f>
        <v>0.916666666666667</v>
      </c>
      <c r="AE44" s="26" t="n">
        <f aca="false">AE10*Assumptions!$C$80/12*AE18</f>
        <v>1</v>
      </c>
      <c r="AF44" s="26" t="n">
        <f aca="false">AF10*Assumptions!$C$80/12*AF18</f>
        <v>1.08333333333333</v>
      </c>
      <c r="AG44" s="26" t="n">
        <f aca="false">AG10*Assumptions!$C$80/12*AG18</f>
        <v>1.16666666666667</v>
      </c>
      <c r="AH44" s="26" t="n">
        <f aca="false">AH10*Assumptions!$C$80/12*AH18</f>
        <v>1.25</v>
      </c>
      <c r="AI44" s="26" t="n">
        <f aca="false">AI10*Assumptions!$C$80/12*AI18</f>
        <v>1.33333333333333</v>
      </c>
      <c r="AJ44" s="26" t="n">
        <f aca="false">AJ10*Assumptions!$C$80/12*AJ18</f>
        <v>1.41666666666667</v>
      </c>
      <c r="AK44" s="26" t="n">
        <f aca="false">AK10*Assumptions!$C$80/12*AK18</f>
        <v>1.5</v>
      </c>
      <c r="AL44" s="26" t="n">
        <f aca="false">AL10*Assumptions!$C$80/12*AL18</f>
        <v>1.66666666666667</v>
      </c>
      <c r="AM44" s="26" t="n">
        <f aca="false">AM10*Assumptions!$C$80/12*AM18</f>
        <v>1.75</v>
      </c>
      <c r="AN44" s="37" t="n">
        <f aca="false">AN10*Assumptions!$C$80/12*AN18</f>
        <v>1.83333333333333</v>
      </c>
      <c r="AO44" s="37" t="n">
        <f aca="false">AO10*Assumptions!$C$80/12*AO18</f>
        <v>2</v>
      </c>
      <c r="AP44" s="37" t="n">
        <f aca="false">AP10*Assumptions!$C$80/12*AP18</f>
        <v>2.08333333333333</v>
      </c>
      <c r="AQ44" s="37" t="n">
        <f aca="false">AQ10*Assumptions!$C$80/12*AQ18</f>
        <v>2.16666666666667</v>
      </c>
      <c r="AR44" s="37" t="n">
        <f aca="false">AR10*Assumptions!$C$80/12*AR18</f>
        <v>2.33333333333333</v>
      </c>
      <c r="AS44" s="37" t="n">
        <f aca="false">AS10*Assumptions!$C$80/12*AS18</f>
        <v>2.41666666666667</v>
      </c>
      <c r="AT44" s="37" t="n">
        <f aca="false">AT10*Assumptions!$C$80/12*AT18</f>
        <v>2.5</v>
      </c>
      <c r="AU44" s="37" t="n">
        <f aca="false">AU10*Assumptions!$C$80/12*AU18</f>
        <v>2.66666666666667</v>
      </c>
      <c r="AV44" s="37" t="n">
        <f aca="false">AV10*Assumptions!$C$80/12*AV18</f>
        <v>2.75</v>
      </c>
      <c r="AW44" s="37" t="n">
        <f aca="false">AW10*Assumptions!$C$80/12*AW18</f>
        <v>2.83333333333333</v>
      </c>
      <c r="AX44" s="37" t="n">
        <f aca="false">AX10*Assumptions!$C$80/12*AX18</f>
        <v>3</v>
      </c>
      <c r="AY44" s="37" t="n">
        <f aca="false">AY10*Assumptions!$C$80/12*AY18</f>
        <v>3.08333333333333</v>
      </c>
      <c r="AZ44" s="37" t="n">
        <f aca="false">AZ10*Assumptions!$C$80/12*AZ18</f>
        <v>3.16666666666667</v>
      </c>
      <c r="BA44" s="37" t="n">
        <f aca="false">BA10*Assumptions!$C$80/12*BA18</f>
        <v>3.33333333333333</v>
      </c>
      <c r="BB44" s="37" t="n">
        <f aca="false">BB10*Assumptions!$C$80/12*BB18</f>
        <v>3.41666666666667</v>
      </c>
      <c r="BC44" s="37" t="n">
        <f aca="false">BC10*Assumptions!$C$80/12*BC18</f>
        <v>3.5</v>
      </c>
      <c r="BD44" s="37" t="n">
        <f aca="false">BD10*Assumptions!$C$80/12*BD18</f>
        <v>3.66666666666667</v>
      </c>
      <c r="BE44" s="37" t="n">
        <f aca="false">BE10*Assumptions!$C$80/12*BE18</f>
        <v>3.75</v>
      </c>
      <c r="BF44" s="37" t="n">
        <f aca="false">BF10*Assumptions!$C$80/12*BF18</f>
        <v>3.83333333333333</v>
      </c>
      <c r="BG44" s="37" t="n">
        <f aca="false">BG10*Assumptions!$C$80/12*BG18</f>
        <v>4</v>
      </c>
      <c r="BH44" s="37" t="n">
        <f aca="false">BH10*Assumptions!$C$80/12*BH18</f>
        <v>4.08333333333333</v>
      </c>
      <c r="BI44" s="37" t="n">
        <f aca="false">BI10*Assumptions!$C$80/12*BI18</f>
        <v>4.16666666666667</v>
      </c>
      <c r="BJ44" s="37" t="n">
        <f aca="false">BJ10*Assumptions!$C$80/12*BJ18</f>
        <v>4.33333333333333</v>
      </c>
      <c r="BK44" s="37" t="n">
        <f aca="false">BK10*Assumptions!$C$80/12*BK18</f>
        <v>4.41666666666667</v>
      </c>
    </row>
    <row r="45" customFormat="false" ht="15" hidden="false" customHeight="false" outlineLevel="0" collapsed="false">
      <c r="A45" s="28" t="s">
        <v>606</v>
      </c>
      <c r="B45" s="6" t="s">
        <v>607</v>
      </c>
      <c r="C45" s="43"/>
      <c r="D45" s="17" t="n">
        <f aca="false">D44*Assumptions!$C$81</f>
        <v>0</v>
      </c>
      <c r="E45" s="17" t="n">
        <f aca="false">E44*Assumptions!$C$81</f>
        <v>0</v>
      </c>
      <c r="F45" s="17" t="n">
        <f aca="false">F44*Assumptions!$C$81</f>
        <v>0</v>
      </c>
      <c r="G45" s="17" t="n">
        <f aca="false">G44*Assumptions!$C$81</f>
        <v>0</v>
      </c>
      <c r="H45" s="17" t="n">
        <f aca="false">H44*Assumptions!$C$81</f>
        <v>0</v>
      </c>
      <c r="I45" s="17" t="n">
        <f aca="false">I44*Assumptions!$C$81</f>
        <v>0</v>
      </c>
      <c r="J45" s="17" t="n">
        <f aca="false">J44*Assumptions!$C$81</f>
        <v>0</v>
      </c>
      <c r="K45" s="17" t="n">
        <f aca="false">K44*Assumptions!$C$81</f>
        <v>0</v>
      </c>
      <c r="L45" s="17" t="n">
        <f aca="false">L44*Assumptions!$C$81</f>
        <v>0</v>
      </c>
      <c r="M45" s="17" t="n">
        <f aca="false">M44*Assumptions!$C$81</f>
        <v>0</v>
      </c>
      <c r="N45" s="17" t="n">
        <f aca="false">N44*Assumptions!$C$81</f>
        <v>0</v>
      </c>
      <c r="O45" s="17" t="n">
        <f aca="false">O44*Assumptions!$C$81</f>
        <v>0</v>
      </c>
      <c r="P45" s="17" t="n">
        <f aca="false">P44*Assumptions!$C$81</f>
        <v>0</v>
      </c>
      <c r="Q45" s="17" t="n">
        <f aca="false">Q44*Assumptions!$C$81</f>
        <v>0</v>
      </c>
      <c r="R45" s="17" t="n">
        <f aca="false">R44*Assumptions!$C$81</f>
        <v>0</v>
      </c>
      <c r="S45" s="17" t="n">
        <f aca="false">S44*Assumptions!$C$81</f>
        <v>0</v>
      </c>
      <c r="T45" s="17" t="n">
        <f aca="false">T44*Assumptions!$C$81</f>
        <v>0</v>
      </c>
      <c r="U45" s="17" t="n">
        <f aca="false">U44*Assumptions!$C$81</f>
        <v>0</v>
      </c>
      <c r="V45" s="17" t="n">
        <f aca="false">V44*Assumptions!$C$81</f>
        <v>0</v>
      </c>
      <c r="W45" s="17" t="n">
        <f aca="false">W44*Assumptions!$C$81</f>
        <v>937.5</v>
      </c>
      <c r="X45" s="17" t="n">
        <f aca="false">X44*Assumptions!$C$81</f>
        <v>1125</v>
      </c>
      <c r="Y45" s="17" t="n">
        <f aca="false">Y44*Assumptions!$C$81</f>
        <v>1125</v>
      </c>
      <c r="Z45" s="17" t="n">
        <f aca="false">Z44*Assumptions!$C$81</f>
        <v>1312.5</v>
      </c>
      <c r="AA45" s="17" t="n">
        <f aca="false">AA44*Assumptions!$C$81</f>
        <v>1500</v>
      </c>
      <c r="AB45" s="17" t="n">
        <f aca="false">AB44*Assumptions!$C$81</f>
        <v>1687.5</v>
      </c>
      <c r="AC45" s="17" t="n">
        <f aca="false">AC44*Assumptions!$C$81</f>
        <v>1875</v>
      </c>
      <c r="AD45" s="17" t="n">
        <f aca="false">AD44*Assumptions!$C$81</f>
        <v>2062.5</v>
      </c>
      <c r="AE45" s="17" t="n">
        <f aca="false">AE44*Assumptions!$C$81</f>
        <v>2250</v>
      </c>
      <c r="AF45" s="17" t="n">
        <f aca="false">AF44*Assumptions!$C$81</f>
        <v>2437.5</v>
      </c>
      <c r="AG45" s="17" t="n">
        <f aca="false">AG44*Assumptions!$C$81</f>
        <v>2625</v>
      </c>
      <c r="AH45" s="17" t="n">
        <f aca="false">AH44*Assumptions!$C$81</f>
        <v>2812.5</v>
      </c>
      <c r="AI45" s="17" t="n">
        <f aca="false">AI44*Assumptions!$C$81</f>
        <v>3000</v>
      </c>
      <c r="AJ45" s="17" t="n">
        <f aca="false">AJ44*Assumptions!$C$81</f>
        <v>3187.5</v>
      </c>
      <c r="AK45" s="17" t="n">
        <f aca="false">AK44*Assumptions!$C$81</f>
        <v>3375</v>
      </c>
      <c r="AL45" s="17" t="n">
        <f aca="false">AL44*Assumptions!$C$81</f>
        <v>3750</v>
      </c>
      <c r="AM45" s="17" t="n">
        <f aca="false">AM44*Assumptions!$C$81</f>
        <v>3937.5</v>
      </c>
      <c r="AN45" s="44" t="n">
        <f aca="false">AN44*Assumptions!$C$81</f>
        <v>4125</v>
      </c>
      <c r="AO45" s="44" t="n">
        <f aca="false">AO44*Assumptions!$C$81</f>
        <v>4500</v>
      </c>
      <c r="AP45" s="44" t="n">
        <f aca="false">AP44*Assumptions!$C$81</f>
        <v>4687.5</v>
      </c>
      <c r="AQ45" s="44" t="n">
        <f aca="false">AQ44*Assumptions!$C$81</f>
        <v>4875</v>
      </c>
      <c r="AR45" s="44" t="n">
        <f aca="false">AR44*Assumptions!$C$81</f>
        <v>5250</v>
      </c>
      <c r="AS45" s="44" t="n">
        <f aca="false">AS44*Assumptions!$C$81</f>
        <v>5437.5</v>
      </c>
      <c r="AT45" s="44" t="n">
        <f aca="false">AT44*Assumptions!$C$81</f>
        <v>5625</v>
      </c>
      <c r="AU45" s="44" t="n">
        <f aca="false">AU44*Assumptions!$C$81</f>
        <v>6000</v>
      </c>
      <c r="AV45" s="44" t="n">
        <f aca="false">AV44*Assumptions!$C$81</f>
        <v>6187.5</v>
      </c>
      <c r="AW45" s="44" t="n">
        <f aca="false">AW44*Assumptions!$C$81</f>
        <v>6375</v>
      </c>
      <c r="AX45" s="44" t="n">
        <f aca="false">AX44*Assumptions!$C$81</f>
        <v>6750</v>
      </c>
      <c r="AY45" s="44" t="n">
        <f aca="false">AY44*Assumptions!$C$81</f>
        <v>6937.5</v>
      </c>
      <c r="AZ45" s="44" t="n">
        <f aca="false">AZ44*Assumptions!$C$81</f>
        <v>7125</v>
      </c>
      <c r="BA45" s="44" t="n">
        <f aca="false">BA44*Assumptions!$C$81</f>
        <v>7500</v>
      </c>
      <c r="BB45" s="44" t="n">
        <f aca="false">BB44*Assumptions!$C$81</f>
        <v>7687.5</v>
      </c>
      <c r="BC45" s="44" t="n">
        <f aca="false">BC44*Assumptions!$C$81</f>
        <v>7875</v>
      </c>
      <c r="BD45" s="44" t="n">
        <f aca="false">BD44*Assumptions!$C$81</f>
        <v>8250</v>
      </c>
      <c r="BE45" s="44" t="n">
        <f aca="false">BE44*Assumptions!$C$81</f>
        <v>8437.5</v>
      </c>
      <c r="BF45" s="44" t="n">
        <f aca="false">BF44*Assumptions!$C$81</f>
        <v>8625</v>
      </c>
      <c r="BG45" s="44" t="n">
        <f aca="false">BG44*Assumptions!$C$81</f>
        <v>9000</v>
      </c>
      <c r="BH45" s="44" t="n">
        <f aca="false">BH44*Assumptions!$C$81</f>
        <v>9187.5</v>
      </c>
      <c r="BI45" s="44" t="n">
        <f aca="false">BI44*Assumptions!$C$81</f>
        <v>9375</v>
      </c>
      <c r="BJ45" s="44" t="n">
        <f aca="false">BJ44*Assumptions!$C$81</f>
        <v>9750</v>
      </c>
      <c r="BK45" s="44" t="n">
        <f aca="false">BK44*Assumptions!$C$81</f>
        <v>9937.5</v>
      </c>
    </row>
    <row r="46" customFormat="false" ht="15" hidden="false" customHeight="false" outlineLevel="0" collapsed="false">
      <c r="A46" s="28" t="s">
        <v>608</v>
      </c>
      <c r="B46" s="5" t="s">
        <v>609</v>
      </c>
      <c r="C46" s="43"/>
      <c r="D46" s="45" t="n">
        <f aca="false">D37+D38+D40+D41+D42+D43+D45</f>
        <v>0</v>
      </c>
      <c r="E46" s="45" t="n">
        <f aca="false">E37+E38+E40+E41+E42+E43+E45</f>
        <v>0</v>
      </c>
      <c r="F46" s="45" t="n">
        <f aca="false">F37+F38+F40+F41+F42+F43+F45</f>
        <v>0</v>
      </c>
      <c r="G46" s="45" t="n">
        <f aca="false">G37+G38+G40+G41+G42+G43+G45</f>
        <v>0</v>
      </c>
      <c r="H46" s="45" t="n">
        <f aca="false">H37+H38+H40+H41+H42+H43+H45</f>
        <v>0</v>
      </c>
      <c r="I46" s="45" t="n">
        <f aca="false">I37+I38+I40+I41+I42+I43+I45</f>
        <v>0</v>
      </c>
      <c r="J46" s="45" t="n">
        <f aca="false">J37+J38+J40+J41+J42+J43+J45</f>
        <v>0</v>
      </c>
      <c r="K46" s="45" t="n">
        <f aca="false">K37+K38+K40+K41+K42+K43+K45</f>
        <v>0</v>
      </c>
      <c r="L46" s="45" t="n">
        <f aca="false">L37+L38+L40+L41+L42+L43+L45</f>
        <v>0</v>
      </c>
      <c r="M46" s="45" t="n">
        <f aca="false">M37+M38+M40+M41+M42+M43+M45</f>
        <v>0</v>
      </c>
      <c r="N46" s="45" t="n">
        <f aca="false">N37+N38+N40+N41+N42+N43+N45</f>
        <v>0</v>
      </c>
      <c r="O46" s="45" t="n">
        <f aca="false">O37+O38+O40+O41+O42+O43+O45</f>
        <v>0</v>
      </c>
      <c r="P46" s="45" t="n">
        <f aca="false">P37+P38+P40+P41+P42+P43+P45</f>
        <v>0</v>
      </c>
      <c r="Q46" s="45" t="n">
        <f aca="false">Q37+Q38+Q40+Q41+Q42+Q43+Q45</f>
        <v>0</v>
      </c>
      <c r="R46" s="45" t="n">
        <f aca="false">R37+R38+R40+R41+R42+R43+R45</f>
        <v>0</v>
      </c>
      <c r="S46" s="45" t="n">
        <f aca="false">S37+S38+S40+S41+S42+S43+S45</f>
        <v>0</v>
      </c>
      <c r="T46" s="45" t="n">
        <f aca="false">T37+T38+T40+T41+T42+T43+T45</f>
        <v>0</v>
      </c>
      <c r="U46" s="45" t="n">
        <f aca="false">U37+U38+U40+U41+U42+U43+U45</f>
        <v>0</v>
      </c>
      <c r="V46" s="45" t="n">
        <f aca="false">V37+V38+V40+V41+V42+V43+V45</f>
        <v>0</v>
      </c>
      <c r="W46" s="45" t="n">
        <f aca="false">W37+W38+W40+W41+W42+W43+W45</f>
        <v>937.5</v>
      </c>
      <c r="X46" s="45" t="n">
        <f aca="false">X37+X38+X40+X41+X42+X43+X45</f>
        <v>1125</v>
      </c>
      <c r="Y46" s="45" t="n">
        <f aca="false">Y37+Y38+Y40+Y41+Y42+Y43+Y45</f>
        <v>1125</v>
      </c>
      <c r="Z46" s="45" t="n">
        <f aca="false">Z37+Z38+Z40+Z41+Z42+Z43+Z45</f>
        <v>1312.5</v>
      </c>
      <c r="AA46" s="45" t="n">
        <f aca="false">AA37+AA38+AA40+AA41+AA42+AA43+AA45</f>
        <v>1885.73170154312</v>
      </c>
      <c r="AB46" s="45" t="n">
        <f aca="false">AB37+AB38+AB40+AB41+AB42+AB43+AB45</f>
        <v>2461.68648913329</v>
      </c>
      <c r="AC46" s="45" t="n">
        <f aca="false">AC37+AC38+AC40+AC41+AC42+AC43+AC45</f>
        <v>3040.13987820813</v>
      </c>
      <c r="AD46" s="45" t="n">
        <f aca="false">AD37+AD38+AD40+AD41+AD42+AD43+AD45</f>
        <v>3620.88271176594</v>
      </c>
      <c r="AE46" s="45" t="n">
        <f aca="false">AE37+AE38+AE40+AE41+AE42+AE43+AE45</f>
        <v>4203.32576933351</v>
      </c>
      <c r="AF46" s="45" t="n">
        <f aca="false">AF37+AF38+AF40+AF41+AF42+AF43+AF45</f>
        <v>4797.18083702684</v>
      </c>
      <c r="AG46" s="45" t="n">
        <f aca="false">AG37+AG38+AG40+AG41+AG42+AG43+AG45</f>
        <v>5400.26974848238</v>
      </c>
      <c r="AH46" s="45" t="n">
        <f aca="false">AH37+AH38+AH40+AH41+AH42+AH43+AH45</f>
        <v>6008.61952712246</v>
      </c>
      <c r="AI46" s="45" t="n">
        <f aca="false">AI37+AI38+AI40+AI41+AI42+AI43+AI45</f>
        <v>6629.63459877945</v>
      </c>
      <c r="AJ46" s="45" t="n">
        <f aca="false">AJ37+AJ38+AJ40+AJ41+AJ42+AJ43+AJ45</f>
        <v>7259.42114075406</v>
      </c>
      <c r="AK46" s="45" t="n">
        <f aca="false">AK37+AK38+AK40+AK41+AK42+AK43+AK45</f>
        <v>7893.62172951425</v>
      </c>
      <c r="AL46" s="45" t="n">
        <f aca="false">AL37+AL38+AL40+AL41+AL42+AL43+AL45</f>
        <v>8725.21290681071</v>
      </c>
      <c r="AM46" s="45" t="n">
        <f aca="false">AM37+AM38+AM40+AM41+AM42+AM43+AM45</f>
        <v>9375.51342227172</v>
      </c>
      <c r="AN46" s="46" t="n">
        <f aca="false">AN37+AN38+AN40+AN41+AN42+AN43+AN45</f>
        <v>10027.8627708727</v>
      </c>
      <c r="AO46" s="46" t="n">
        <f aca="false">AO37+AO38+AO40+AO41+AO42+AO43+AO45</f>
        <v>10875.419915579</v>
      </c>
      <c r="AP46" s="46" t="n">
        <f aca="false">AP37+AP38+AP40+AP41+AP42+AP43+AP45</f>
        <v>11539.6726002216</v>
      </c>
      <c r="AQ46" s="46" t="n">
        <f aca="false">AQ37+AQ38+AQ40+AQ41+AQ42+AQ43+AQ45</f>
        <v>12520.9937248459</v>
      </c>
      <c r="AR46" s="46" t="n">
        <f aca="false">AR37+AR38+AR40+AR41+AR42+AR43+AR45</f>
        <v>13722.0413844204</v>
      </c>
      <c r="AS46" s="46" t="n">
        <f aca="false">AS37+AS38+AS40+AS41+AS42+AS43+AS45</f>
        <v>14761.0342531555</v>
      </c>
      <c r="AT46" s="46" t="n">
        <f aca="false">AT37+AT38+AT40+AT41+AT42+AT43+AT45</f>
        <v>15818.0473038074</v>
      </c>
      <c r="AU46" s="46" t="n">
        <f aca="false">AU37+AU38+AU40+AU41+AU42+AU43+AU45</f>
        <v>17097.5322609505</v>
      </c>
      <c r="AV46" s="46" t="n">
        <f aca="false">AV37+AV38+AV40+AV41+AV42+AV43+AV45</f>
        <v>18209.6339167115</v>
      </c>
      <c r="AW46" s="46" t="n">
        <f aca="false">AW37+AW38+AW40+AW41+AW42+AW43+AW45</f>
        <v>18946.0836391642</v>
      </c>
      <c r="AX46" s="46" t="n">
        <f aca="false">AX37+AX38+AX40+AX41+AX42+AX43+AX45</f>
        <v>19883.5569842003</v>
      </c>
      <c r="AY46" s="46" t="n">
        <f aca="false">AY37+AY38+AY40+AY41+AY42+AY43+AY45</f>
        <v>20627.0825867583</v>
      </c>
      <c r="AZ46" s="46" t="n">
        <f aca="false">AZ37+AZ38+AZ40+AZ41+AZ42+AZ43+AZ45</f>
        <v>21359.6897326359</v>
      </c>
      <c r="BA46" s="46" t="n">
        <f aca="false">BA37+BA38+BA40+BA41+BA42+BA43+BA45</f>
        <v>22292.3668040747</v>
      </c>
      <c r="BB46" s="46" t="n">
        <f aca="false">BB37+BB38+BB40+BB41+BB42+BB43+BB45</f>
        <v>23030.2281651678</v>
      </c>
      <c r="BC46" s="46" t="n">
        <f aca="false">BC37+BC38+BC40+BC41+BC42+BC43+BC45</f>
        <v>23755.2634759514</v>
      </c>
      <c r="BD46" s="46" t="n">
        <f aca="false">BD37+BD38+BD40+BD41+BD42+BD43+BD45</f>
        <v>24679.2838489461</v>
      </c>
      <c r="BE46" s="46" t="n">
        <f aca="false">BE37+BE38+BE40+BE41+BE42+BE43+BE45</f>
        <v>25407.5101306261</v>
      </c>
      <c r="BF46" s="46" t="n">
        <f aca="false">BF37+BF38+BF40+BF41+BF42+BF43+BF45</f>
        <v>26122.028380368</v>
      </c>
      <c r="BG46" s="46" t="n">
        <f aca="false">BG37+BG38+BG40+BG41+BG42+BG43+BG45</f>
        <v>27034.7374925052</v>
      </c>
      <c r="BH46" s="46" t="n">
        <f aca="false">BH37+BH38+BH40+BH41+BH42+BH43+BH45</f>
        <v>27750.9385821927</v>
      </c>
      <c r="BI46" s="46" t="n">
        <f aca="false">BI37+BI38+BI40+BI41+BI42+BI43+BI45</f>
        <v>28452.7913228047</v>
      </c>
      <c r="BJ46" s="46" t="n">
        <f aca="false">BJ37+BJ38+BJ40+BJ41+BJ42+BJ43+BJ45</f>
        <v>29352.262256188</v>
      </c>
      <c r="BK46" s="46" t="n">
        <f aca="false">BK37+BK38+BK40+BK41+BK42+BK43+BK45</f>
        <v>30054.7147464548</v>
      </c>
    </row>
    <row r="47" customFormat="false" ht="15" hidden="false" customHeight="false" outlineLevel="0" collapsed="false">
      <c r="A47" s="28" t="s">
        <v>610</v>
      </c>
      <c r="B47" s="6" t="s">
        <v>611</v>
      </c>
      <c r="C47" s="43"/>
      <c r="D47" s="17" t="n">
        <f aca="false">D37+D38</f>
        <v>0</v>
      </c>
      <c r="E47" s="17" t="n">
        <f aca="false">E37+E38</f>
        <v>0</v>
      </c>
      <c r="F47" s="17" t="n">
        <f aca="false">F37+F38</f>
        <v>0</v>
      </c>
      <c r="G47" s="17" t="n">
        <f aca="false">G37+G38</f>
        <v>0</v>
      </c>
      <c r="H47" s="17" t="n">
        <f aca="false">H37+H38</f>
        <v>0</v>
      </c>
      <c r="I47" s="17" t="n">
        <f aca="false">I37+I38</f>
        <v>0</v>
      </c>
      <c r="J47" s="17" t="n">
        <f aca="false">J37+J38</f>
        <v>0</v>
      </c>
      <c r="K47" s="17" t="n">
        <f aca="false">K37+K38</f>
        <v>0</v>
      </c>
      <c r="L47" s="17" t="n">
        <f aca="false">L37+L38</f>
        <v>0</v>
      </c>
      <c r="M47" s="17" t="n">
        <f aca="false">M37+M38</f>
        <v>0</v>
      </c>
      <c r="N47" s="17" t="n">
        <f aca="false">N37+N38</f>
        <v>0</v>
      </c>
      <c r="O47" s="17" t="n">
        <f aca="false">O37+O38</f>
        <v>0</v>
      </c>
      <c r="P47" s="17" t="n">
        <f aca="false">P37+P38</f>
        <v>0</v>
      </c>
      <c r="Q47" s="17" t="n">
        <f aca="false">Q37+Q38</f>
        <v>0</v>
      </c>
      <c r="R47" s="17" t="n">
        <f aca="false">R37+R38</f>
        <v>0</v>
      </c>
      <c r="S47" s="17" t="n">
        <f aca="false">S37+S38</f>
        <v>0</v>
      </c>
      <c r="T47" s="17" t="n">
        <f aca="false">T37+T38</f>
        <v>0</v>
      </c>
      <c r="U47" s="17" t="n">
        <f aca="false">U37+U38</f>
        <v>0</v>
      </c>
      <c r="V47" s="17" t="n">
        <f aca="false">V37+V38</f>
        <v>0</v>
      </c>
      <c r="W47" s="17" t="n">
        <f aca="false">W37+W38</f>
        <v>0</v>
      </c>
      <c r="X47" s="17" t="n">
        <f aca="false">X37+X38</f>
        <v>0</v>
      </c>
      <c r="Y47" s="17" t="n">
        <f aca="false">Y37+Y38</f>
        <v>0</v>
      </c>
      <c r="Z47" s="17" t="n">
        <f aca="false">Z37+Z38</f>
        <v>0</v>
      </c>
      <c r="AA47" s="17" t="n">
        <f aca="false">AA37+AA38</f>
        <v>293.889476640382</v>
      </c>
      <c r="AB47" s="17" t="n">
        <f aca="false">AB37+AB38</f>
        <v>589.874759508207</v>
      </c>
      <c r="AC47" s="17" t="n">
        <f aca="false">AC37+AC38</f>
        <v>887.783631359574</v>
      </c>
      <c r="AD47" s="17" t="n">
        <f aca="false">AD37+AD38</f>
        <v>1187.45561828404</v>
      </c>
      <c r="AE47" s="17" t="n">
        <f aca="false">AE37+AE38</f>
        <v>1488.44073715768</v>
      </c>
      <c r="AF47" s="17" t="n">
        <f aca="false">AF37+AF38</f>
        <v>1798.13739161207</v>
      </c>
      <c r="AG47" s="17" t="n">
        <f aca="false">AG37+AG38</f>
        <v>2114.88561238981</v>
      </c>
      <c r="AH47" s="17" t="n">
        <f aca="false">AH37+AH38</f>
        <v>2435.65787130847</v>
      </c>
      <c r="AI47" s="17" t="n">
        <f aca="false">AI37+AI38</f>
        <v>2766.09491437058</v>
      </c>
      <c r="AJ47" s="17" t="n">
        <f aca="false">AJ37+AJ38</f>
        <v>3103.22978759527</v>
      </c>
      <c r="AK47" s="17" t="n">
        <f aca="false">AK37+AK38</f>
        <v>3443.74212282392</v>
      </c>
      <c r="AL47" s="17" t="n">
        <f aca="false">AL37+AL38</f>
        <v>3791.80385344803</v>
      </c>
      <c r="AM47" s="17" t="n">
        <f aca="false">AM37+AM38</f>
        <v>4144.60992074727</v>
      </c>
      <c r="AN47" s="44" t="n">
        <f aca="false">AN37+AN38</f>
        <v>4498.989940435</v>
      </c>
      <c r="AO47" s="44" t="n">
        <f aca="false">AO37+AO38</f>
        <v>4859.25479773921</v>
      </c>
      <c r="AP47" s="44" t="n">
        <f aca="false">AP37+AP38</f>
        <v>5222.72816756133</v>
      </c>
      <c r="AQ47" s="44" t="n">
        <f aca="false">AQ37+AQ38</f>
        <v>5586.35893423684</v>
      </c>
      <c r="AR47" s="44" t="n">
        <f aca="false">AR37+AR38</f>
        <v>5954.56848377831</v>
      </c>
      <c r="AS47" s="44" t="n">
        <f aca="false">AS37+AS38</f>
        <v>6324.48240591178</v>
      </c>
      <c r="AT47" s="44" t="n">
        <f aca="false">AT37+AT38</f>
        <v>6693.17055636732</v>
      </c>
      <c r="AU47" s="44" t="n">
        <f aca="false">AU37+AU38</f>
        <v>7065.16634702832</v>
      </c>
      <c r="AV47" s="44" t="n">
        <f aca="false">AV37+AV38</f>
        <v>7437.6991068466</v>
      </c>
      <c r="AW47" s="44" t="n">
        <f aca="false">AW37+AW38</f>
        <v>7807.93475405974</v>
      </c>
      <c r="AX47" s="44" t="n">
        <f aca="false">AX37+AX38</f>
        <v>8180.49565098533</v>
      </c>
      <c r="AY47" s="44" t="n">
        <f aca="false">AY37+AY38</f>
        <v>8552.69348769215</v>
      </c>
      <c r="AZ47" s="44" t="n">
        <f aca="false">AZ37+AZ38</f>
        <v>8921.7704382216</v>
      </c>
      <c r="BA47" s="44" t="n">
        <f aca="false">BA37+BA38</f>
        <v>9292.41946353398</v>
      </c>
      <c r="BB47" s="44" t="n">
        <f aca="false">BB37+BB38</f>
        <v>9662.01761016109</v>
      </c>
      <c r="BC47" s="44" t="n">
        <f aca="false">BC37+BC38</f>
        <v>10027.5670872765</v>
      </c>
      <c r="BD47" s="44" t="n">
        <f aca="false">BD37+BD38</f>
        <v>10393.8429706974</v>
      </c>
      <c r="BE47" s="44" t="n">
        <f aca="false">BE37+BE38</f>
        <v>10758.2982760468</v>
      </c>
      <c r="BF47" s="44" t="n">
        <f aca="false">BF37+BF38</f>
        <v>11118.0054880187</v>
      </c>
      <c r="BG47" s="44" t="n">
        <f aca="false">BG37+BG38</f>
        <v>11477.8046830752</v>
      </c>
      <c r="BH47" s="44" t="n">
        <f aca="false">BH37+BH38</f>
        <v>11835.2089903092</v>
      </c>
      <c r="BI47" s="44" t="n">
        <f aca="false">BI37+BI38</f>
        <v>12187.3464797313</v>
      </c>
      <c r="BJ47" s="44" t="n">
        <f aca="false">BJ37+BJ38</f>
        <v>12539.1086174529</v>
      </c>
      <c r="BK47" s="44" t="n">
        <f aca="false">BK37+BK38</f>
        <v>12888.0560344767</v>
      </c>
    </row>
    <row r="48" customFormat="false" ht="15" hidden="false" customHeight="false" outlineLevel="0" collapsed="false">
      <c r="B48" s="5" t="s">
        <v>612</v>
      </c>
    </row>
    <row r="49" customFormat="false" ht="15" hidden="false" customHeight="false" outlineLevel="0" collapsed="false">
      <c r="A49" s="28" t="s">
        <v>613</v>
      </c>
      <c r="B49" s="6" t="s">
        <v>614</v>
      </c>
      <c r="C49" s="43"/>
      <c r="D49" s="17" t="n">
        <f aca="false">D12*(Assumptions!$C$60+Assumptions!$C$63/60*Assumptions!$C$62)</f>
        <v>0</v>
      </c>
      <c r="E49" s="17" t="n">
        <f aca="false">E12*(Assumptions!$C$60+Assumptions!$C$63/60*Assumptions!$C$62)</f>
        <v>0</v>
      </c>
      <c r="F49" s="17" t="n">
        <f aca="false">F12*(Assumptions!$C$60+Assumptions!$C$63/60*Assumptions!$C$62)</f>
        <v>0</v>
      </c>
      <c r="G49" s="17" t="n">
        <f aca="false">G12*(Assumptions!$C$60+Assumptions!$C$63/60*Assumptions!$C$62)</f>
        <v>0</v>
      </c>
      <c r="H49" s="17" t="n">
        <f aca="false">H12*(Assumptions!$C$60+Assumptions!$C$63/60*Assumptions!$C$62)</f>
        <v>18.2466666666667</v>
      </c>
      <c r="I49" s="17" t="n">
        <f aca="false">I12*(Assumptions!$C$60+Assumptions!$C$63/60*Assumptions!$C$62)</f>
        <v>34.0300333333333</v>
      </c>
      <c r="J49" s="17" t="n">
        <f aca="false">J12*(Assumptions!$C$60+Assumptions!$C$63/60*Assumptions!$C$62)</f>
        <v>44.4675828333333</v>
      </c>
      <c r="K49" s="17" t="n">
        <f aca="false">K12*(Assumptions!$C$60+Assumptions!$C$63/60*Assumptions!$C$62)</f>
        <v>69.3459024241667</v>
      </c>
      <c r="L49" s="17" t="n">
        <f aca="false">L12*(Assumptions!$C$60+Assumptions!$C$63/60*Assumptions!$C$62)</f>
        <v>88.7419805544708</v>
      </c>
      <c r="M49" s="17" t="n">
        <f aca="false">M12*(Assumptions!$C$60+Assumptions!$C$63/60*Assumptions!$C$62)</f>
        <v>102.008184179487</v>
      </c>
      <c r="N49" s="17" t="n">
        <f aca="false">N12*(Assumptions!$C$60+Assumptions!$C$63/60*Assumptions!$C$62)</f>
        <v>126.753261416795</v>
      </c>
      <c r="O49" s="17" t="n">
        <f aca="false">O12*(Assumptions!$C$60+Assumptions!$C$63/60*Assumptions!$C$62)</f>
        <v>164.264762495543</v>
      </c>
      <c r="P49" s="17" t="n">
        <f aca="false">P12*(Assumptions!$C$60+Assumptions!$C$63/60*Assumptions!$C$62)</f>
        <v>193.185057724776</v>
      </c>
      <c r="Q49" s="17" t="n">
        <f aca="false">Q12*(Assumptions!$C$60+Assumptions!$C$63/60*Assumptions!$C$62)</f>
        <v>228.240348525571</v>
      </c>
      <c r="R49" s="17" t="n">
        <f aca="false">R12*(Assumptions!$C$60+Assumptions!$C$63/60*Assumptions!$C$62)</f>
        <v>272.258076631021</v>
      </c>
      <c r="S49" s="17" t="n">
        <f aca="false">S12*(Assumptions!$C$60+Assumptions!$C$63/60*Assumptions!$C$62)</f>
        <v>304.667538814889</v>
      </c>
      <c r="T49" s="17" t="n">
        <f aca="false">T12*(Assumptions!$C$60+Assumptions!$C$63/60*Assumptions!$C$62)</f>
        <v>342.429792399333</v>
      </c>
      <c r="U49" s="17" t="n">
        <f aca="false">U12*(Assumptions!$C$60+Assumptions!$C$63/60*Assumptions!$C$62)</f>
        <v>386.194412180009</v>
      </c>
      <c r="V49" s="17" t="n">
        <f aca="false">V12*(Assumptions!$C$60+Assumptions!$C$63/60*Assumptions!$C$62)</f>
        <v>436.601229330642</v>
      </c>
      <c r="W49" s="17" t="n">
        <f aca="false">W12*(Assumptions!$C$60+Assumptions!$C$63/60*Assumptions!$C$62)</f>
        <v>489.901277557349</v>
      </c>
      <c r="X49" s="17" t="n">
        <f aca="false">X12*(Assumptions!$C$60+Assumptions!$C$63/60*Assumptions!$C$62)</f>
        <v>543.861558393989</v>
      </c>
      <c r="Y49" s="17" t="n">
        <f aca="false">Y12*(Assumptions!$C$60+Assumptions!$C$63/60*Assumptions!$C$62)</f>
        <v>600.661768351413</v>
      </c>
      <c r="Z49" s="17" t="n">
        <f aca="false">Z12*(Assumptions!$C$60+Assumptions!$C$63/60*Assumptions!$C$62)</f>
        <v>657.339841826141</v>
      </c>
      <c r="AA49" s="17" t="n">
        <f aca="false">AA12*(Assumptions!$C$60+Assumptions!$C$63/60*Assumptions!$C$62)</f>
        <v>713.897610865416</v>
      </c>
      <c r="AB49" s="17" t="n">
        <f aca="false">AB12*(Assumptions!$C$60+Assumptions!$C$63/60*Assumptions!$C$62)</f>
        <v>770.336880035768</v>
      </c>
      <c r="AC49" s="17" t="n">
        <f aca="false">AC12*(Assumptions!$C$60+Assumptions!$C$63/60*Assumptions!$C$62)</f>
        <v>826.659426835231</v>
      </c>
      <c r="AD49" s="17" t="n">
        <f aca="false">AD12*(Assumptions!$C$60+Assumptions!$C$63/60*Assumptions!$C$62)</f>
        <v>882.86700209937</v>
      </c>
      <c r="AE49" s="17" t="n">
        <f aca="false">AE12*(Assumptions!$C$60+Assumptions!$C$63/60*Assumptions!$C$62)</f>
        <v>938.231463734546</v>
      </c>
      <c r="AF49" s="17" t="n">
        <f aca="false">AF12*(Assumptions!$C$60+Assumptions!$C$63/60*Assumptions!$C$62)</f>
        <v>1011.74199177853</v>
      </c>
      <c r="AG49" s="17" t="n">
        <f aca="false">AG12*(Assumptions!$C$60+Assumptions!$C$63/60*Assumptions!$C$62)</f>
        <v>1082.69012856852</v>
      </c>
      <c r="AH49" s="17" t="n">
        <f aca="false">AH12*(Assumptions!$C$60+Assumptions!$C$63/60*Assumptions!$C$62)</f>
        <v>1147.46497663999</v>
      </c>
      <c r="AI49" s="17" t="n">
        <f aca="false">AI12*(Assumptions!$C$60+Assumptions!$C$63/60*Assumptions!$C$62)</f>
        <v>1226.59540199039</v>
      </c>
      <c r="AJ49" s="17" t="n">
        <f aca="false">AJ12*(Assumptions!$C$60+Assumptions!$C$63/60*Assumptions!$C$62)</f>
        <v>1300.15967096053</v>
      </c>
      <c r="AK49" s="17" t="n">
        <f aca="false">AK12*(Assumptions!$C$60+Assumptions!$C$63/60*Assumptions!$C$62)</f>
        <v>1366.78154256279</v>
      </c>
      <c r="AL49" s="17" t="n">
        <f aca="false">AL12*(Assumptions!$C$60+Assumptions!$C$63/60*Assumptions!$C$62)</f>
        <v>1444.08195275768</v>
      </c>
      <c r="AM49" s="17" t="n">
        <f aca="false">AM12*(Assumptions!$C$60+Assumptions!$C$63/60*Assumptions!$C$62)</f>
        <v>1515.84365679965</v>
      </c>
      <c r="AN49" s="44" t="n">
        <f aca="false">AN12*(Assumptions!$C$60+Assumptions!$C$63/60*Assumptions!$C$62)</f>
        <v>1580.69000194766</v>
      </c>
      <c r="AO49" s="44" t="n">
        <f aca="false">AO12*(Assumptions!$C$60+Assumptions!$C$63/60*Assumptions!$C$62)</f>
        <v>1656.24151858511</v>
      </c>
      <c r="AP49" s="44" t="n">
        <f aca="false">AP12*(Assumptions!$C$60+Assumptions!$C$63/60*Assumptions!$C$62)</f>
        <v>1726.280562473</v>
      </c>
      <c r="AQ49" s="44" t="n">
        <f aca="false">AQ12*(Assumptions!$C$60+Assumptions!$C$63/60*Assumptions!$C$62)</f>
        <v>1789.43008736924</v>
      </c>
      <c r="AR49" s="44" t="n">
        <f aca="false">AR12*(Assumptions!$C$60+Assumptions!$C$63/60*Assumptions!$C$62)</f>
        <v>1863.3102360587</v>
      </c>
      <c r="AS49" s="44" t="n">
        <f aca="false">AS12*(Assumptions!$C$60+Assumptions!$C$63/60*Assumptions!$C$62)</f>
        <v>1930.97311585115</v>
      </c>
      <c r="AT49" s="44" t="n">
        <f aca="false">AT12*(Assumptions!$C$60+Assumptions!$C$63/60*Assumptions!$C$62)</f>
        <v>1991.78211911338</v>
      </c>
      <c r="AU49" s="44" t="n">
        <f aca="false">AU12*(Assumptions!$C$60+Assumptions!$C$63/60*Assumptions!$C$62)</f>
        <v>2063.35685399335</v>
      </c>
      <c r="AV49" s="44" t="n">
        <f aca="false">AV12*(Assumptions!$C$60+Assumptions!$C$63/60*Assumptions!$C$62)</f>
        <v>2128.74890118345</v>
      </c>
      <c r="AW49" s="44" t="n">
        <f aca="false">AW12*(Assumptions!$C$60+Assumptions!$C$63/60*Assumptions!$C$62)</f>
        <v>2187.32113433236</v>
      </c>
      <c r="AX49" s="44" t="n">
        <f aca="false">AX12*(Assumptions!$C$60+Assumptions!$C$63/60*Assumptions!$C$62)</f>
        <v>2256.69265065071</v>
      </c>
      <c r="AY49" s="44" t="n">
        <f aca="false">AY12*(Assumptions!$C$60+Assumptions!$C$63/60*Assumptions!$C$62)</f>
        <v>2319.91452755762</v>
      </c>
      <c r="AZ49" s="44" t="n">
        <f aca="false">AZ12*(Assumptions!$C$60+Assumptions!$C$63/60*Assumptions!$C$62)</f>
        <v>2376.34914297759</v>
      </c>
      <c r="BA49" s="44" t="n">
        <f aca="false">BA12*(Assumptions!$C$60+Assumptions!$C$63/60*Assumptions!$C$62)</f>
        <v>2443.61510583292</v>
      </c>
      <c r="BB49" s="44" t="n">
        <f aca="false">BB12*(Assumptions!$C$60+Assumptions!$C$63/60*Assumptions!$C$62)</f>
        <v>2504.76301257876</v>
      </c>
      <c r="BC49" s="44" t="n">
        <f aca="false">BC12*(Assumptions!$C$60+Assumptions!$C$63/60*Assumptions!$C$62)</f>
        <v>2558.42490072341</v>
      </c>
      <c r="BD49" s="44" t="n">
        <f aca="false">BD12*(Assumptions!$C$60+Assumptions!$C$63/60*Assumptions!$C$62)</f>
        <v>2622.95972721256</v>
      </c>
      <c r="BE49" s="44" t="n">
        <f aca="false">BE12*(Assumptions!$C$60+Assumptions!$C$63/60*Assumptions!$C$62)</f>
        <v>2681.41746463771</v>
      </c>
      <c r="BF49" s="44" t="n">
        <f aca="false">BF12*(Assumptions!$C$60+Assumptions!$C$63/60*Assumptions!$C$62)</f>
        <v>2732.42953600148</v>
      </c>
      <c r="BG49" s="44" t="n">
        <f aca="false">BG12*(Assumptions!$C$60+Assumptions!$C$63/60*Assumptions!$C$62)</f>
        <v>2794.35429296145</v>
      </c>
      <c r="BH49" s="44" t="n">
        <f aca="false">BH12*(Assumptions!$C$60+Assumptions!$C$63/60*Assumptions!$C$62)</f>
        <v>2850.24111190037</v>
      </c>
      <c r="BI49" s="44" t="n">
        <f aca="false">BI12*(Assumptions!$C$60+Assumptions!$C$63/60*Assumptions!$C$62)</f>
        <v>2898.72082855519</v>
      </c>
      <c r="BJ49" s="44" t="n">
        <f aca="false">BJ12*(Assumptions!$C$60+Assumptions!$C$63/60*Assumptions!$C$62)</f>
        <v>2958.15121612687</v>
      </c>
      <c r="BK49" s="44" t="n">
        <f aca="false">BK12*(Assumptions!$C$60+Assumptions!$C$63/60*Assumptions!$C$62)</f>
        <v>3011.5810812183</v>
      </c>
    </row>
    <row r="50" customFormat="false" ht="15" hidden="false" customHeight="false" outlineLevel="0" collapsed="false">
      <c r="A50" s="28" t="s">
        <v>615</v>
      </c>
      <c r="B50" s="6" t="s">
        <v>616</v>
      </c>
      <c r="C50" s="43"/>
      <c r="D50" s="17" t="n">
        <f aca="false">D32*Assumptions!$C$64/60*Assumptions!$C$62</f>
        <v>0</v>
      </c>
      <c r="E50" s="17" t="n">
        <f aca="false">E32*Assumptions!$C$64/60*Assumptions!$C$62</f>
        <v>0</v>
      </c>
      <c r="F50" s="17" t="n">
        <f aca="false">F32*Assumptions!$C$64/60*Assumptions!$C$62</f>
        <v>0</v>
      </c>
      <c r="G50" s="17" t="n">
        <f aca="false">G32*Assumptions!$C$64/60*Assumptions!$C$62</f>
        <v>0</v>
      </c>
      <c r="H50" s="17" t="n">
        <f aca="false">H32*Assumptions!$C$64/60*Assumptions!$C$62</f>
        <v>0</v>
      </c>
      <c r="I50" s="17" t="n">
        <f aca="false">I32*Assumptions!$C$64/60*Assumptions!$C$62</f>
        <v>0</v>
      </c>
      <c r="J50" s="17" t="n">
        <f aca="false">J32*Assumptions!$C$64/60*Assumptions!$C$62</f>
        <v>0</v>
      </c>
      <c r="K50" s="17" t="n">
        <f aca="false">K32*Assumptions!$C$64/60*Assumptions!$C$62</f>
        <v>0</v>
      </c>
      <c r="L50" s="17" t="n">
        <f aca="false">L32*Assumptions!$C$64/60*Assumptions!$C$62</f>
        <v>0</v>
      </c>
      <c r="M50" s="17" t="n">
        <f aca="false">M32*Assumptions!$C$64/60*Assumptions!$C$62</f>
        <v>0</v>
      </c>
      <c r="N50" s="17" t="n">
        <f aca="false">N32*Assumptions!$C$64/60*Assumptions!$C$62</f>
        <v>0</v>
      </c>
      <c r="O50" s="17" t="n">
        <f aca="false">O32*Assumptions!$C$64/60*Assumptions!$C$62</f>
        <v>0</v>
      </c>
      <c r="P50" s="17" t="n">
        <f aca="false">P32*Assumptions!$C$64/60*Assumptions!$C$62</f>
        <v>0</v>
      </c>
      <c r="Q50" s="17" t="n">
        <f aca="false">Q32*Assumptions!$C$64/60*Assumptions!$C$62</f>
        <v>0</v>
      </c>
      <c r="R50" s="17" t="n">
        <f aca="false">R32*Assumptions!$C$64/60*Assumptions!$C$62</f>
        <v>0</v>
      </c>
      <c r="S50" s="17" t="n">
        <f aca="false">S32*Assumptions!$C$64/60*Assumptions!$C$62</f>
        <v>0</v>
      </c>
      <c r="T50" s="17" t="n">
        <f aca="false">T32*Assumptions!$C$64/60*Assumptions!$C$62</f>
        <v>0</v>
      </c>
      <c r="U50" s="17" t="n">
        <f aca="false">U32*Assumptions!$C$64/60*Assumptions!$C$62</f>
        <v>0</v>
      </c>
      <c r="V50" s="17" t="n">
        <f aca="false">V32*Assumptions!$C$64/60*Assumptions!$C$62</f>
        <v>0</v>
      </c>
      <c r="W50" s="17" t="n">
        <f aca="false">W32*Assumptions!$C$64/60*Assumptions!$C$62</f>
        <v>0</v>
      </c>
      <c r="X50" s="17" t="n">
        <f aca="false">X32*Assumptions!$C$64/60*Assumptions!$C$62</f>
        <v>0</v>
      </c>
      <c r="Y50" s="17" t="n">
        <f aca="false">Y32*Assumptions!$C$64/60*Assumptions!$C$62</f>
        <v>0</v>
      </c>
      <c r="Z50" s="17" t="n">
        <f aca="false">Z32*Assumptions!$C$64/60*Assumptions!$C$62</f>
        <v>0</v>
      </c>
      <c r="AA50" s="17" t="n">
        <f aca="false">AA32*Assumptions!$C$64/60*Assumptions!$C$62</f>
        <v>36.3420951665276</v>
      </c>
      <c r="AB50" s="17" t="n">
        <f aca="false">AB32*Assumptions!$C$64/60*Assumptions!$C$62</f>
        <v>72.9854747812341</v>
      </c>
      <c r="AC50" s="17" t="n">
        <f aca="false">AC32*Assumptions!$C$64/60*Assumptions!$C$62</f>
        <v>109.906480973022</v>
      </c>
      <c r="AD50" s="17" t="n">
        <f aca="false">AD32*Assumptions!$C$64/60*Assumptions!$C$62</f>
        <v>147.083038382722</v>
      </c>
      <c r="AE50" s="17" t="n">
        <f aca="false">AE32*Assumptions!$C$64/60*Assumptions!$C$62</f>
        <v>184.457394337902</v>
      </c>
      <c r="AF50" s="17" t="n">
        <f aca="false">AF32*Assumptions!$C$64/60*Assumptions!$C$62</f>
        <v>222.942393504541</v>
      </c>
      <c r="AG50" s="17" t="n">
        <f aca="false">AG32*Assumptions!$C$64/60*Assumptions!$C$62</f>
        <v>262.331923570662</v>
      </c>
      <c r="AH50" s="17" t="n">
        <f aca="false">AH32*Assumptions!$C$64/60*Assumptions!$C$62</f>
        <v>302.250579929569</v>
      </c>
      <c r="AI50" s="17" t="n">
        <f aca="false">AI32*Assumptions!$C$64/60*Assumptions!$C$62</f>
        <v>343.394502472675</v>
      </c>
      <c r="AJ50" s="17" t="n">
        <f aca="false">AJ32*Assumptions!$C$64/60*Assumptions!$C$62</f>
        <v>385.396310056074</v>
      </c>
      <c r="AK50" s="17" t="n">
        <f aca="false">AK32*Assumptions!$C$64/60*Assumptions!$C$62</f>
        <v>427.844526897391</v>
      </c>
      <c r="AL50" s="17" t="n">
        <f aca="false">AL32*Assumptions!$C$64/60*Assumptions!$C$62</f>
        <v>471.253750277752</v>
      </c>
      <c r="AM50" s="17" t="n">
        <f aca="false">AM32*Assumptions!$C$64/60*Assumptions!$C$62</f>
        <v>515.276491278215</v>
      </c>
      <c r="AN50" s="44" t="n">
        <f aca="false">AN32*Assumptions!$C$64/60*Assumptions!$C$62</f>
        <v>559.519723909495</v>
      </c>
      <c r="AO50" s="44" t="n">
        <f aca="false">AO32*Assumptions!$C$64/60*Assumptions!$C$62</f>
        <v>604.515157945253</v>
      </c>
      <c r="AP50" s="44" t="n">
        <f aca="false">AP32*Assumptions!$C$64/60*Assumptions!$C$62</f>
        <v>649.931177042701</v>
      </c>
      <c r="AQ50" s="44" t="n">
        <f aca="false">AQ32*Assumptions!$C$64/60*Assumptions!$C$62</f>
        <v>695.389478085968</v>
      </c>
      <c r="AR50" s="44" t="n">
        <f aca="false">AR32*Assumptions!$C$64/60*Assumptions!$C$62</f>
        <v>741.435427595866</v>
      </c>
      <c r="AS50" s="44" t="n">
        <f aca="false">AS32*Assumptions!$C$64/60*Assumptions!$C$62</f>
        <v>787.712922257777</v>
      </c>
      <c r="AT50" s="44" t="n">
        <f aca="false">AT32*Assumptions!$C$64/60*Assumptions!$C$62</f>
        <v>833.858596762091</v>
      </c>
      <c r="AU50" s="44" t="n">
        <f aca="false">AU32*Assumptions!$C$64/60*Assumptions!$C$62</f>
        <v>880.43166740626</v>
      </c>
      <c r="AV50" s="44" t="n">
        <f aca="false">AV32*Assumptions!$C$64/60*Assumptions!$C$62</f>
        <v>927.088871696674</v>
      </c>
      <c r="AW50" s="44" t="n">
        <f aca="false">AW32*Assumptions!$C$64/60*Assumptions!$C$62</f>
        <v>973.47874945676</v>
      </c>
      <c r="AX50" s="44" t="n">
        <f aca="false">AX32*Assumptions!$C$64/60*Assumptions!$C$62</f>
        <v>1020.17155432121</v>
      </c>
      <c r="AY50" s="44" t="n">
        <f aca="false">AY32*Assumptions!$C$64/60*Assumptions!$C$62</f>
        <v>1066.83425625318</v>
      </c>
      <c r="AZ50" s="44" t="n">
        <f aca="false">AZ32*Assumptions!$C$64/60*Assumptions!$C$62</f>
        <v>1113.12488095963</v>
      </c>
      <c r="BA50" s="44" t="n">
        <f aca="false">BA32*Assumptions!$C$64/60*Assumptions!$C$62</f>
        <v>1159.62247542593</v>
      </c>
      <c r="BB50" s="44" t="n">
        <f aca="false">BB32*Assumptions!$C$64/60*Assumptions!$C$62</f>
        <v>1206.00216052236</v>
      </c>
      <c r="BC50" s="44" t="n">
        <f aca="false">BC32*Assumptions!$C$64/60*Assumptions!$C$62</f>
        <v>1251.8923618243</v>
      </c>
      <c r="BD50" s="44" t="n">
        <f aca="false">BD32*Assumptions!$C$64/60*Assumptions!$C$62</f>
        <v>1297.88231494031</v>
      </c>
      <c r="BE50" s="44" t="n">
        <f aca="false">BE32*Assumptions!$C$64/60*Assumptions!$C$62</f>
        <v>1343.65657873401</v>
      </c>
      <c r="BF50" s="44" t="n">
        <f aca="false">BF32*Assumptions!$C$64/60*Assumptions!$C$62</f>
        <v>1388.85232060909</v>
      </c>
      <c r="BG50" s="44" t="n">
        <f aca="false">BG32*Assumptions!$C$64/60*Assumptions!$C$62</f>
        <v>1434.06687231654</v>
      </c>
      <c r="BH50" s="44" t="n">
        <f aca="false">BH32*Assumptions!$C$64/60*Assumptions!$C$62</f>
        <v>1478.99228996463</v>
      </c>
      <c r="BI50" s="44" t="n">
        <f aca="false">BI32*Assumptions!$C$64/60*Assumptions!$C$62</f>
        <v>1523.27268267426</v>
      </c>
      <c r="BJ50" s="44" t="n">
        <f aca="false">BJ32*Assumptions!$C$64/60*Assumptions!$C$62</f>
        <v>1567.51180859066</v>
      </c>
      <c r="BK50" s="44" t="n">
        <f aca="false">BK32*Assumptions!$C$64/60*Assumptions!$C$62</f>
        <v>1611.4076721663</v>
      </c>
    </row>
    <row r="51" customFormat="false" ht="15" hidden="false" customHeight="false" outlineLevel="0" collapsed="false">
      <c r="A51" s="28" t="s">
        <v>617</v>
      </c>
      <c r="B51" s="6" t="s">
        <v>618</v>
      </c>
      <c r="C51" s="43"/>
      <c r="D51" s="17" t="n">
        <f aca="false">D24*Assumptions!$C$61</f>
        <v>0</v>
      </c>
      <c r="E51" s="17" t="n">
        <f aca="false">E24*Assumptions!$C$61</f>
        <v>0</v>
      </c>
      <c r="F51" s="17" t="n">
        <f aca="false">F24*Assumptions!$C$61</f>
        <v>0</v>
      </c>
      <c r="G51" s="17" t="n">
        <f aca="false">G24*Assumptions!$C$61</f>
        <v>0</v>
      </c>
      <c r="H51" s="17" t="n">
        <f aca="false">H24*Assumptions!$C$61</f>
        <v>0.765</v>
      </c>
      <c r="I51" s="17" t="n">
        <f aca="false">I24*Assumptions!$C$61</f>
        <v>1.923975</v>
      </c>
      <c r="J51" s="17" t="n">
        <f aca="false">J24*Assumptions!$C$61</f>
        <v>3.114907875</v>
      </c>
      <c r="K51" s="17" t="n">
        <f aca="false">K24*Assumptions!$C$61</f>
        <v>4.932049381875</v>
      </c>
      <c r="L51" s="17" t="n">
        <f aca="false">L24*Assumptions!$C$61</f>
        <v>6.92638097239688</v>
      </c>
      <c r="M51" s="17" t="n">
        <f aca="false">M24*Assumptions!$C$61</f>
        <v>8.77888827312342</v>
      </c>
      <c r="N51" s="17" t="n">
        <f aca="false">N24*Assumptions!$C$61</f>
        <v>11.0204669089797</v>
      </c>
      <c r="O51" s="17" t="n">
        <f aca="false">O24*Assumptions!$C$61</f>
        <v>14.0501801793145</v>
      </c>
      <c r="P51" s="17" t="n">
        <f aca="false">P24*Assumptions!$C$61</f>
        <v>17.231990654705</v>
      </c>
      <c r="Q51" s="17" t="n">
        <f aca="false">Q24*Assumptions!$C$61</f>
        <v>20.7698768606366</v>
      </c>
      <c r="R51" s="17" t="n">
        <f aca="false">R24*Assumptions!$C$61</f>
        <v>24.9149666504659</v>
      </c>
      <c r="S51" s="17" t="n">
        <f aca="false">S24*Assumptions!$C$61</f>
        <v>28.9680568134892</v>
      </c>
      <c r="T51" s="17" t="n">
        <f aca="false">T24*Assumptions!$C$61</f>
        <v>33.185765492094</v>
      </c>
      <c r="U51" s="17" t="n">
        <f aca="false">U24*Assumptions!$C$61</f>
        <v>37.7621282047373</v>
      </c>
      <c r="V51" s="17" t="n">
        <f aca="false">V24*Assumptions!$C$61</f>
        <v>42.8500932584322</v>
      </c>
      <c r="W51" s="17" t="n">
        <f aca="false">W24*Assumptions!$C$61</f>
        <v>48.3918998944537</v>
      </c>
      <c r="X51" s="17" t="n">
        <f aca="false">X24*Assumptions!$C$61</f>
        <v>54.2563841187205</v>
      </c>
      <c r="Y51" s="17" t="n">
        <f aca="false">Y24*Assumptions!$C$61</f>
        <v>60.4496741266841</v>
      </c>
      <c r="Z51" s="17" t="n">
        <f aca="false">Z24*Assumptions!$C$61</f>
        <v>66.8515672651177</v>
      </c>
      <c r="AA51" s="17" t="n">
        <f aca="false">AA24*Assumptions!$C$61</f>
        <v>73.3840086188579</v>
      </c>
      <c r="AB51" s="17" t="n">
        <f aca="false">AB24*Assumptions!$C$61</f>
        <v>79.9963381503411</v>
      </c>
      <c r="AC51" s="17" t="n">
        <f aca="false">AC24*Assumptions!$C$61</f>
        <v>86.6557013575839</v>
      </c>
      <c r="AD51" s="17" t="n">
        <f aca="false">AD24*Assumptions!$C$61</f>
        <v>93.3408162188938</v>
      </c>
      <c r="AE51" s="17" t="n">
        <f aca="false">AE24*Assumptions!$C$61</f>
        <v>100.007321723698</v>
      </c>
      <c r="AF51" s="17" t="n">
        <f aca="false">AF24*Assumptions!$C$61</f>
        <v>107.4225134341</v>
      </c>
      <c r="AG51" s="17" t="n">
        <f aca="false">AG24*Assumptions!$C$61</f>
        <v>115.216921731156</v>
      </c>
      <c r="AH51" s="17" t="n">
        <f aca="false">AH24*Assumptions!$C$61</f>
        <v>122.999002804257</v>
      </c>
      <c r="AI51" s="17" t="n">
        <f aca="false">AI24*Assumptions!$C$61</f>
        <v>131.374935446588</v>
      </c>
      <c r="AJ51" s="17" t="n">
        <f aca="false">AJ24*Assumptions!$C$61</f>
        <v>139.903507909745</v>
      </c>
      <c r="AK51" s="17" t="n">
        <f aca="false">AK24*Assumptions!$C$61</f>
        <v>148.240233012756</v>
      </c>
      <c r="AL51" s="17" t="n">
        <f aca="false">AL24*Assumptions!$C$61</f>
        <v>156.899960036641</v>
      </c>
      <c r="AM51" s="17" t="n">
        <f aca="false">AM24*Assumptions!$C$61</f>
        <v>165.537425473492</v>
      </c>
      <c r="AN51" s="44" t="n">
        <f aca="false">AN24*Assumptions!$C$61</f>
        <v>173.870491235699</v>
      </c>
      <c r="AO51" s="44" t="n">
        <f aca="false">AO24*Assumptions!$C$61</f>
        <v>182.454516510965</v>
      </c>
      <c r="AP51" s="44" t="n">
        <f aca="false">AP24*Assumptions!$C$61</f>
        <v>190.970552481772</v>
      </c>
      <c r="AQ51" s="44" t="n">
        <f aca="false">AQ24*Assumptions!$C$61</f>
        <v>199.153549111551</v>
      </c>
      <c r="AR51" s="44" t="n">
        <f aca="false">AR24*Assumptions!$C$61</f>
        <v>207.569956570932</v>
      </c>
      <c r="AS51" s="44" t="n">
        <f aca="false">AS24*Assumptions!$C$61</f>
        <v>215.877419174803</v>
      </c>
      <c r="AT51" s="44" t="n">
        <f aca="false">AT24*Assumptions!$C$61</f>
        <v>223.826715656264</v>
      </c>
      <c r="AU51" s="44" t="n">
        <f aca="false">AU24*Assumptions!$C$61</f>
        <v>231.994562471324</v>
      </c>
      <c r="AV51" s="44" t="n">
        <f aca="false">AV24*Assumptions!$C$61</f>
        <v>240.045254941691</v>
      </c>
      <c r="AW51" s="44" t="n">
        <f aca="false">AW24*Assumptions!$C$61</f>
        <v>247.7338732074</v>
      </c>
      <c r="AX51" s="44" t="n">
        <f aca="false">AX24*Assumptions!$C$61</f>
        <v>255.639908217682</v>
      </c>
      <c r="AY51" s="44" t="n">
        <f aca="false">AY24*Assumptions!$C$61</f>
        <v>263.429437614871</v>
      </c>
      <c r="AZ51" s="44" t="n">
        <f aca="false">AZ24*Assumptions!$C$61</f>
        <v>270.858679263944</v>
      </c>
      <c r="BA51" s="44" t="n">
        <f aca="false">BA24*Assumptions!$C$61</f>
        <v>278.507843163627</v>
      </c>
      <c r="BB51" s="44" t="n">
        <f aca="false">BB24*Assumptions!$C$61</f>
        <v>286.04345417379</v>
      </c>
      <c r="BC51" s="44" t="n">
        <f aca="false">BC24*Assumptions!$C$61</f>
        <v>293.191400988635</v>
      </c>
      <c r="BD51" s="44" t="n">
        <f aca="false">BD24*Assumptions!$C$61</f>
        <v>300.543219081649</v>
      </c>
      <c r="BE51" s="44" t="n">
        <f aca="false">BE24*Assumptions!$C$61</f>
        <v>307.772768715522</v>
      </c>
      <c r="BF51" s="44" t="n">
        <f aca="false">BF24*Assumptions!$C$61</f>
        <v>314.610680832853</v>
      </c>
      <c r="BG51" s="44" t="n">
        <f aca="false">BG24*Assumptions!$C$61</f>
        <v>321.651547991602</v>
      </c>
      <c r="BH51" s="44" t="n">
        <f aca="false">BH24*Assumptions!$C$61</f>
        <v>328.571192563035</v>
      </c>
      <c r="BI51" s="44" t="n">
        <f aca="false">BI24*Assumptions!$C$61</f>
        <v>335.101496238939</v>
      </c>
      <c r="BJ51" s="44" t="n">
        <f aca="false">BJ24*Assumptions!$C$61</f>
        <v>341.837840312182</v>
      </c>
      <c r="BK51" s="44" t="n">
        <f aca="false">BK24*Assumptions!$C$61</f>
        <v>348.456535943437</v>
      </c>
    </row>
    <row r="52" customFormat="false" ht="15" hidden="false" customHeight="false" outlineLevel="0" collapsed="false">
      <c r="A52" s="28" t="s">
        <v>619</v>
      </c>
      <c r="B52" s="6" t="s">
        <v>620</v>
      </c>
      <c r="C52" s="43"/>
      <c r="D52" s="17" t="n">
        <f aca="false">(D33*Assumptions!$C$56+D34*Assumptions!$C$57+D25*Assumptions!$C$58+D24*Assumptions!$C$59)*Assumptions!$C$55</f>
        <v>0</v>
      </c>
      <c r="E52" s="17" t="n">
        <f aca="false">(E33*Assumptions!$C$56+E34*Assumptions!$C$57+E25*Assumptions!$C$58+E24*Assumptions!$C$59)*Assumptions!$C$55</f>
        <v>0</v>
      </c>
      <c r="F52" s="17" t="n">
        <f aca="false">(F33*Assumptions!$C$56+F34*Assumptions!$C$57+F25*Assumptions!$C$58+F24*Assumptions!$C$59)*Assumptions!$C$55</f>
        <v>0</v>
      </c>
      <c r="G52" s="17" t="n">
        <f aca="false">(G33*Assumptions!$C$56+G34*Assumptions!$C$57+G25*Assumptions!$C$58+G24*Assumptions!$C$59)*Assumptions!$C$55</f>
        <v>0</v>
      </c>
      <c r="H52" s="17" t="n">
        <f aca="false">(H33*Assumptions!$C$56+H34*Assumptions!$C$57+H25*Assumptions!$C$58+H24*Assumptions!$C$59)*Assumptions!$C$55</f>
        <v>2.5245</v>
      </c>
      <c r="I52" s="17" t="n">
        <f aca="false">(I33*Assumptions!$C$56+I34*Assumptions!$C$57+I25*Assumptions!$C$58+I24*Assumptions!$C$59)*Assumptions!$C$55</f>
        <v>3.9255975</v>
      </c>
      <c r="J52" s="17" t="n">
        <f aca="false">(J33*Assumptions!$C$56+J34*Assumptions!$C$57+J25*Assumptions!$C$58+J24*Assumptions!$C$59)*Assumptions!$C$55</f>
        <v>4.1840431875</v>
      </c>
      <c r="K52" s="17" t="n">
        <f aca="false">(K33*Assumptions!$C$56+K34*Assumptions!$C$57+K25*Assumptions!$C$58+K24*Assumptions!$C$59)*Assumptions!$C$55</f>
        <v>6.4077348121875</v>
      </c>
      <c r="L52" s="17" t="n">
        <f aca="false">(L33*Assumptions!$C$56+L34*Assumptions!$C$57+L25*Assumptions!$C$58+L24*Assumptions!$C$59)*Assumptions!$C$55</f>
        <v>7.23232476712969</v>
      </c>
      <c r="M52" s="17" t="n">
        <f aca="false">(M33*Assumptions!$C$56+M34*Assumptions!$C$57+M25*Assumptions!$C$58+M24*Assumptions!$C$59)*Assumptions!$C$55</f>
        <v>7.02755638075399</v>
      </c>
      <c r="N52" s="17" t="n">
        <f aca="false">(N33*Assumptions!$C$56+N34*Assumptions!$C$57+N25*Assumptions!$C$58+N24*Assumptions!$C$59)*Assumptions!$C$55</f>
        <v>8.55602275037799</v>
      </c>
      <c r="O52" s="17" t="n">
        <f aca="false">(O33*Assumptions!$C$56+O34*Assumptions!$C$57+O25*Assumptions!$C$58+O24*Assumptions!$C$59)*Assumptions!$C$55</f>
        <v>11.4527554240903</v>
      </c>
      <c r="P52" s="17" t="n">
        <f aca="false">(P33*Assumptions!$C$56+P34*Assumptions!$C$57+P25*Assumptions!$C$58+P24*Assumptions!$C$59)*Assumptions!$C$55</f>
        <v>12.3545983524581</v>
      </c>
      <c r="Q52" s="17" t="n">
        <f aca="false">(Q33*Assumptions!$C$56+Q34*Assumptions!$C$57+Q25*Assumptions!$C$58+Q24*Assumptions!$C$59)*Assumptions!$C$55</f>
        <v>13.9496472459952</v>
      </c>
      <c r="R52" s="17" t="n">
        <f aca="false">(R33*Assumptions!$C$56+R34*Assumptions!$C$57+R25*Assumptions!$C$58+R24*Assumptions!$C$59)*Assumptions!$C$55</f>
        <v>16.4204200520408</v>
      </c>
      <c r="S52" s="17" t="n">
        <f aca="false">(S33*Assumptions!$C$56+S34*Assumptions!$C$57+S25*Assumptions!$C$58+S24*Assumptions!$C$59)*Assumptions!$C$55</f>
        <v>16.6639731358383</v>
      </c>
      <c r="T52" s="17" t="n">
        <f aca="false">(T33*Assumptions!$C$56+T34*Assumptions!$C$57+T25*Assumptions!$C$58+T24*Assumptions!$C$59)*Assumptions!$C$55</f>
        <v>17.7422221387765</v>
      </c>
      <c r="U52" s="17" t="n">
        <f aca="false">(U33*Assumptions!$C$56+U34*Assumptions!$C$57+U25*Assumptions!$C$58+U24*Assumptions!$C$59)*Assumptions!$C$55</f>
        <v>19.4825179966792</v>
      </c>
      <c r="V52" s="17" t="n">
        <f aca="false">(V33*Assumptions!$C$56+V34*Assumptions!$C$57+V25*Assumptions!$C$58+V24*Assumptions!$C$59)*Assumptions!$C$55</f>
        <v>21.7748856002187</v>
      </c>
      <c r="W52" s="17" t="n">
        <f aca="false">(W33*Assumptions!$C$56+W34*Assumptions!$C$57+W25*Assumptions!$C$58+W24*Assumptions!$C$59)*Assumptions!$C$55</f>
        <v>23.9441742089838</v>
      </c>
      <c r="X52" s="17" t="n">
        <f aca="false">(X33*Assumptions!$C$56+X34*Assumptions!$C$57+X25*Assumptions!$C$58+X24*Assumptions!$C$59)*Assumptions!$C$55</f>
        <v>25.7405287261485</v>
      </c>
      <c r="Y52" s="17" t="n">
        <f aca="false">(Y33*Assumptions!$C$56+Y34*Assumptions!$C$57+Y25*Assumptions!$C$58+Y24*Assumptions!$C$59)*Assumptions!$C$55</f>
        <v>27.5996997299509</v>
      </c>
      <c r="Z52" s="17" t="n">
        <f aca="false">(Z33*Assumptions!$C$56+Z34*Assumptions!$C$57+Z25*Assumptions!$C$58+Z24*Assumptions!$C$59)*Assumptions!$C$55</f>
        <v>29.1056043415531</v>
      </c>
      <c r="AA52" s="17" t="n">
        <f aca="false">(AA33*Assumptions!$C$56+AA34*Assumptions!$C$57+AA25*Assumptions!$C$58+AA24*Assumptions!$C$59)*Assumptions!$C$55</f>
        <v>90.9066007666038</v>
      </c>
      <c r="AB52" s="17" t="n">
        <f aca="false">(AB33*Assumptions!$C$56+AB34*Assumptions!$C$57+AB25*Assumptions!$C$58+AB24*Assumptions!$C$59)*Assumptions!$C$55</f>
        <v>152.947018928758</v>
      </c>
      <c r="AC52" s="17" t="n">
        <f aca="false">(AC33*Assumptions!$C$56+AC34*Assumptions!$C$57+AC25*Assumptions!$C$58+AC24*Assumptions!$C$59)*Assumptions!$C$55</f>
        <v>215.24583185627</v>
      </c>
      <c r="AD52" s="17" t="n">
        <f aca="false">(AD33*Assumptions!$C$56+AD34*Assumptions!$C$57+AD25*Assumptions!$C$58+AD24*Assumptions!$C$59)*Assumptions!$C$55</f>
        <v>277.806081549711</v>
      </c>
      <c r="AE52" s="17" t="n">
        <f aca="false">(AE33*Assumptions!$C$56+AE34*Assumptions!$C$57+AE25*Assumptions!$C$58+AE24*Assumptions!$C$59)*Assumptions!$C$55</f>
        <v>340.458241168998</v>
      </c>
      <c r="AF52" s="17" t="n">
        <f aca="false">(AF33*Assumptions!$C$56+AF34*Assumptions!$C$57+AF25*Assumptions!$C$58+AF24*Assumptions!$C$59)*Assumptions!$C$55</f>
        <v>407.400629180082</v>
      </c>
      <c r="AG52" s="17" t="n">
        <f aca="false">(AG33*Assumptions!$C$56+AG34*Assumptions!$C$57+AG25*Assumptions!$C$58+AG24*Assumptions!$C$59)*Assumptions!$C$55</f>
        <v>474.642185516135</v>
      </c>
      <c r="AH52" s="17" t="n">
        <f aca="false">(AH33*Assumptions!$C$56+AH34*Assumptions!$C$57+AH25*Assumptions!$C$58+AH24*Assumptions!$C$59)*Assumptions!$C$55</f>
        <v>541.438816956199</v>
      </c>
      <c r="AI52" s="17" t="n">
        <f aca="false">(AI33*Assumptions!$C$56+AI34*Assumptions!$C$57+AI25*Assumptions!$C$58+AI24*Assumptions!$C$59)*Assumptions!$C$55</f>
        <v>612.194402951558</v>
      </c>
      <c r="AJ52" s="17" t="n">
        <f aca="false">(AJ33*Assumptions!$C$56+AJ34*Assumptions!$C$57+AJ25*Assumptions!$C$58+AJ24*Assumptions!$C$59)*Assumptions!$C$55</f>
        <v>682.922032265555</v>
      </c>
      <c r="AK52" s="17" t="n">
        <f aca="false">(AK33*Assumptions!$C$56+AK34*Assumptions!$C$57+AK25*Assumptions!$C$58+AK24*Assumptions!$C$59)*Assumptions!$C$55</f>
        <v>753.199727032452</v>
      </c>
      <c r="AL52" s="17" t="n">
        <f aca="false">(AL33*Assumptions!$C$56+AL34*Assumptions!$C$57+AL25*Assumptions!$C$58+AL24*Assumptions!$C$59)*Assumptions!$C$55</f>
        <v>826.678319295716</v>
      </c>
      <c r="AM52" s="17" t="n">
        <f aca="false">(AM33*Assumptions!$C$56+AM34*Assumptions!$C$57+AM25*Assumptions!$C$58+AM24*Assumptions!$C$59)*Assumptions!$C$55</f>
        <v>900.010328462735</v>
      </c>
      <c r="AN52" s="44" t="n">
        <f aca="false">(AN33*Assumptions!$C$56+AN34*Assumptions!$C$57+AN25*Assumptions!$C$58+AN24*Assumptions!$C$59)*Assumptions!$C$55</f>
        <v>972.706550495332</v>
      </c>
      <c r="AO52" s="44" t="n">
        <f aca="false">(AO33*Assumptions!$C$56+AO34*Assumptions!$C$57+AO25*Assumptions!$C$58+AO24*Assumptions!$C$59)*Assumptions!$C$55</f>
        <v>1048.38266505475</v>
      </c>
      <c r="AP52" s="44" t="n">
        <f aca="false">(AP33*Assumptions!$C$56+AP34*Assumptions!$C$57+AP25*Assumptions!$C$58+AP24*Assumptions!$C$59)*Assumptions!$C$55</f>
        <v>1123.67625336911</v>
      </c>
      <c r="AQ52" s="44" t="n">
        <f aca="false">(AQ33*Assumptions!$C$56+AQ34*Assumptions!$C$57+AQ25*Assumptions!$C$58+AQ24*Assumptions!$C$59)*Assumptions!$C$55</f>
        <v>1198.09572568818</v>
      </c>
      <c r="AR52" s="44" t="n">
        <f aca="false">(AR33*Assumptions!$C$56+AR34*Assumptions!$C$57+AR25*Assumptions!$C$58+AR24*Assumptions!$C$59)*Assumptions!$C$55</f>
        <v>1275.26199178135</v>
      </c>
      <c r="AS52" s="44" t="n">
        <f aca="false">(AS33*Assumptions!$C$56+AS34*Assumptions!$C$57+AS25*Assumptions!$C$58+AS24*Assumptions!$C$59)*Assumptions!$C$55</f>
        <v>1351.65945120202</v>
      </c>
      <c r="AT52" s="44" t="n">
        <f aca="false">(AT33*Assumptions!$C$56+AT34*Assumptions!$C$57+AT25*Assumptions!$C$58+AT24*Assumptions!$C$59)*Assumptions!$C$55</f>
        <v>1426.94783704938</v>
      </c>
      <c r="AU52" s="44" t="n">
        <f aca="false">(AU33*Assumptions!$C$56+AU34*Assumptions!$C$57+AU25*Assumptions!$C$58+AU24*Assumptions!$C$59)*Assumptions!$C$55</f>
        <v>1504.75486673371</v>
      </c>
      <c r="AV52" s="44" t="n">
        <f aca="false">(AV33*Assumptions!$C$56+AV34*Assumptions!$C$57+AV25*Assumptions!$C$58+AV24*Assumptions!$C$59)*Assumptions!$C$55</f>
        <v>1581.5757165717</v>
      </c>
      <c r="AW52" s="44" t="n">
        <f aca="false">(AW33*Assumptions!$C$56+AW34*Assumptions!$C$57+AW25*Assumptions!$C$58+AW24*Assumptions!$C$59)*Assumptions!$C$55</f>
        <v>1657.08300131384</v>
      </c>
      <c r="AX52" s="44" t="n">
        <f aca="false">(AX33*Assumptions!$C$56+AX34*Assumptions!$C$57+AX25*Assumptions!$C$58+AX24*Assumptions!$C$59)*Assumptions!$C$55</f>
        <v>1734.91824832743</v>
      </c>
      <c r="AY52" s="44" t="n">
        <f aca="false">(AY33*Assumptions!$C$56+AY34*Assumptions!$C$57+AY25*Assumptions!$C$58+AY24*Assumptions!$C$59)*Assumptions!$C$55</f>
        <v>1811.59063996068</v>
      </c>
      <c r="AZ52" s="44" t="n">
        <f aca="false">(AZ33*Assumptions!$C$56+AZ34*Assumptions!$C$57+AZ25*Assumptions!$C$58+AZ24*Assumptions!$C$59)*Assumptions!$C$55</f>
        <v>1886.78654724153</v>
      </c>
      <c r="BA52" s="44" t="n">
        <f aca="false">(BA33*Assumptions!$C$56+BA34*Assumptions!$C$57+BA25*Assumptions!$C$58+BA24*Assumptions!$C$59)*Assumptions!$C$55</f>
        <v>1964.16074215071</v>
      </c>
      <c r="BB52" s="44" t="n">
        <f aca="false">(BB33*Assumptions!$C$56+BB34*Assumptions!$C$57+BB25*Assumptions!$C$58+BB24*Assumptions!$C$59)*Assumptions!$C$55</f>
        <v>2040.23499554826</v>
      </c>
      <c r="BC52" s="44" t="n">
        <f aca="false">(BC33*Assumptions!$C$56+BC34*Assumptions!$C$57+BC25*Assumptions!$C$58+BC24*Assumptions!$C$59)*Assumptions!$C$55</f>
        <v>2114.54468185901</v>
      </c>
      <c r="BD52" s="44" t="n">
        <f aca="false">(BD33*Assumptions!$C$56+BD34*Assumptions!$C$57+BD25*Assumptions!$C$58+BD24*Assumptions!$C$59)*Assumptions!$C$55</f>
        <v>2190.89490661945</v>
      </c>
      <c r="BE52" s="44" t="n">
        <f aca="false">(BE33*Assumptions!$C$56+BE34*Assumptions!$C$57+BE25*Assumptions!$C$58+BE24*Assumptions!$C$59)*Assumptions!$C$55</f>
        <v>2265.81137002004</v>
      </c>
      <c r="BF52" s="44" t="n">
        <f aca="false">(BF33*Assumptions!$C$56+BF34*Assumptions!$C$57+BF25*Assumptions!$C$58+BF24*Assumptions!$C$59)*Assumptions!$C$55</f>
        <v>2338.83627846875</v>
      </c>
      <c r="BG52" s="44" t="n">
        <f aca="false">(BG33*Assumptions!$C$56+BG34*Assumptions!$C$57+BG25*Assumptions!$C$58+BG24*Assumptions!$C$59)*Assumptions!$C$55</f>
        <v>2413.78313060067</v>
      </c>
      <c r="BH52" s="44" t="n">
        <f aca="false">(BH33*Assumptions!$C$56+BH34*Assumptions!$C$57+BH25*Assumptions!$C$58+BH24*Assumptions!$C$59)*Assumptions!$C$55</f>
        <v>2487.18673293012</v>
      </c>
      <c r="BI52" s="44" t="n">
        <f aca="false">(BI33*Assumptions!$C$56+BI34*Assumptions!$C$57+BI25*Assumptions!$C$58+BI24*Assumptions!$C$59)*Assumptions!$C$55</f>
        <v>2558.59858260133</v>
      </c>
      <c r="BJ52" s="44" t="n">
        <f aca="false">(BJ33*Assumptions!$C$56+BJ34*Assumptions!$C$57+BJ25*Assumptions!$C$58+BJ24*Assumptions!$C$59)*Assumptions!$C$55</f>
        <v>2631.84133032655</v>
      </c>
      <c r="BK52" s="44" t="n">
        <f aca="false">(BK33*Assumptions!$C$56+BK34*Assumptions!$C$57+BK25*Assumptions!$C$58+BK24*Assumptions!$C$59)*Assumptions!$C$55</f>
        <v>2703.45860516444</v>
      </c>
    </row>
    <row r="53" customFormat="false" ht="15" hidden="false" customHeight="false" outlineLevel="0" collapsed="false">
      <c r="A53" s="28" t="s">
        <v>621</v>
      </c>
      <c r="B53" s="6" t="s">
        <v>622</v>
      </c>
      <c r="C53" s="43"/>
      <c r="D53" s="17" t="n">
        <f aca="false">D39*Assumptions!$C$51+D32*Assumptions!$C$45*Assumptions!$C$52</f>
        <v>0</v>
      </c>
      <c r="E53" s="17" t="n">
        <f aca="false">E39*Assumptions!$C$51+E32*Assumptions!$C$45*Assumptions!$C$52</f>
        <v>0</v>
      </c>
      <c r="F53" s="17" t="n">
        <f aca="false">F39*Assumptions!$C$51+F32*Assumptions!$C$45*Assumptions!$C$52</f>
        <v>0</v>
      </c>
      <c r="G53" s="17" t="n">
        <f aca="false">G39*Assumptions!$C$51+G32*Assumptions!$C$45*Assumptions!$C$52</f>
        <v>0</v>
      </c>
      <c r="H53" s="17" t="n">
        <f aca="false">H39*Assumptions!$C$51+H32*Assumptions!$C$45*Assumptions!$C$52</f>
        <v>0</v>
      </c>
      <c r="I53" s="17" t="n">
        <f aca="false">I39*Assumptions!$C$51+I32*Assumptions!$C$45*Assumptions!$C$52</f>
        <v>0</v>
      </c>
      <c r="J53" s="17" t="n">
        <f aca="false">J39*Assumptions!$C$51+J32*Assumptions!$C$45*Assumptions!$C$52</f>
        <v>0</v>
      </c>
      <c r="K53" s="17" t="n">
        <f aca="false">K39*Assumptions!$C$51+K32*Assumptions!$C$45*Assumptions!$C$52</f>
        <v>0</v>
      </c>
      <c r="L53" s="17" t="n">
        <f aca="false">L39*Assumptions!$C$51+L32*Assumptions!$C$45*Assumptions!$C$52</f>
        <v>0</v>
      </c>
      <c r="M53" s="17" t="n">
        <f aca="false">M39*Assumptions!$C$51+M32*Assumptions!$C$45*Assumptions!$C$52</f>
        <v>0</v>
      </c>
      <c r="N53" s="17" t="n">
        <f aca="false">N39*Assumptions!$C$51+N32*Assumptions!$C$45*Assumptions!$C$52</f>
        <v>0</v>
      </c>
      <c r="O53" s="17" t="n">
        <f aca="false">O39*Assumptions!$C$51+O32*Assumptions!$C$45*Assumptions!$C$52</f>
        <v>0</v>
      </c>
      <c r="P53" s="17" t="n">
        <f aca="false">P39*Assumptions!$C$51+P32*Assumptions!$C$45*Assumptions!$C$52</f>
        <v>0</v>
      </c>
      <c r="Q53" s="17" t="n">
        <f aca="false">Q39*Assumptions!$C$51+Q32*Assumptions!$C$45*Assumptions!$C$52</f>
        <v>0</v>
      </c>
      <c r="R53" s="17" t="n">
        <f aca="false">R39*Assumptions!$C$51+R32*Assumptions!$C$45*Assumptions!$C$52</f>
        <v>0</v>
      </c>
      <c r="S53" s="17" t="n">
        <f aca="false">S39*Assumptions!$C$51+S32*Assumptions!$C$45*Assumptions!$C$52</f>
        <v>0</v>
      </c>
      <c r="T53" s="17" t="n">
        <f aca="false">T39*Assumptions!$C$51+T32*Assumptions!$C$45*Assumptions!$C$52</f>
        <v>0</v>
      </c>
      <c r="U53" s="17" t="n">
        <f aca="false">U39*Assumptions!$C$51+U32*Assumptions!$C$45*Assumptions!$C$52</f>
        <v>0</v>
      </c>
      <c r="V53" s="17" t="n">
        <f aca="false">V39*Assumptions!$C$51+V32*Assumptions!$C$45*Assumptions!$C$52</f>
        <v>0</v>
      </c>
      <c r="W53" s="17" t="n">
        <f aca="false">W39*Assumptions!$C$51+W32*Assumptions!$C$45*Assumptions!$C$52</f>
        <v>0</v>
      </c>
      <c r="X53" s="17" t="n">
        <f aca="false">X39*Assumptions!$C$51+X32*Assumptions!$C$45*Assumptions!$C$52</f>
        <v>0</v>
      </c>
      <c r="Y53" s="17" t="n">
        <f aca="false">Y39*Assumptions!$C$51+Y32*Assumptions!$C$45*Assumptions!$C$52</f>
        <v>0</v>
      </c>
      <c r="Z53" s="17" t="n">
        <f aca="false">Z39*Assumptions!$C$51+Z32*Assumptions!$C$45*Assumptions!$C$52</f>
        <v>0</v>
      </c>
      <c r="AA53" s="17" t="n">
        <f aca="false">AA39*Assumptions!$C$51+AA32*Assumptions!$C$45*Assumptions!$C$52</f>
        <v>37.5917572395539</v>
      </c>
      <c r="AB53" s="17" t="n">
        <f aca="false">AB39*Assumptions!$C$51+AB32*Assumptions!$C$45*Assumptions!$C$52</f>
        <v>75.4504543663588</v>
      </c>
      <c r="AC53" s="17" t="n">
        <f aca="false">AC39*Assumptions!$C$51+AC32*Assumptions!$C$45*Assumptions!$C$52</f>
        <v>113.554126629672</v>
      </c>
      <c r="AD53" s="17" t="n">
        <f aca="false">AD39*Assumptions!$C$51+AD32*Assumptions!$C$45*Assumptions!$C$52</f>
        <v>151.882307863447</v>
      </c>
      <c r="AE53" s="17" t="n">
        <f aca="false">AE39*Assumptions!$C$51+AE32*Assumptions!$C$45*Assumptions!$C$52</f>
        <v>190.377497104822</v>
      </c>
      <c r="AF53" s="17" t="n">
        <f aca="false">AF39*Assumptions!$C$51+AF32*Assumptions!$C$45*Assumptions!$C$52</f>
        <v>229.986088024462</v>
      </c>
      <c r="AG53" s="17" t="n">
        <f aca="false">AG39*Assumptions!$C$51+AG32*Assumptions!$C$45*Assumptions!$C$52</f>
        <v>270.495774689755</v>
      </c>
      <c r="AH53" s="17" t="n">
        <f aca="false">AH39*Assumptions!$C$51+AH32*Assumptions!$C$45*Assumptions!$C$52</f>
        <v>311.519329951139</v>
      </c>
      <c r="AI53" s="17" t="n">
        <f aca="false">AI39*Assumptions!$C$51+AI32*Assumptions!$C$45*Assumptions!$C$52</f>
        <v>353.778305944377</v>
      </c>
      <c r="AJ53" s="17" t="n">
        <f aca="false">AJ39*Assumptions!$C$51+AJ32*Assumptions!$C$45*Assumptions!$C$52</f>
        <v>396.893209250365</v>
      </c>
      <c r="AK53" s="17" t="n">
        <f aca="false">AK39*Assumptions!$C$51+AK32*Assumptions!$C$45*Assumptions!$C$52</f>
        <v>440.43935139441</v>
      </c>
      <c r="AL53" s="17" t="n">
        <f aca="false">AL39*Assumptions!$C$51+AL32*Assumptions!$C$45*Assumptions!$C$52</f>
        <v>484.950404507555</v>
      </c>
      <c r="AM53" s="17" t="n">
        <f aca="false">AM39*Assumptions!$C$51+AM32*Assumptions!$C$45*Assumptions!$C$52</f>
        <v>530.067586833567</v>
      </c>
      <c r="AN53" s="44" t="n">
        <f aca="false">AN39*Assumptions!$C$51+AN32*Assumptions!$C$45*Assumptions!$C$52</f>
        <v>575.385397136538</v>
      </c>
      <c r="AO53" s="44" t="n">
        <f aca="false">AO39*Assumptions!$C$51+AO32*Assumptions!$C$45*Assumptions!$C$52</f>
        <v>621.455282938749</v>
      </c>
      <c r="AP53" s="44" t="n">
        <f aca="false">AP39*Assumptions!$C$51+AP32*Assumptions!$C$45*Assumptions!$C$52</f>
        <v>667.934930212272</v>
      </c>
      <c r="AQ53" s="44" t="n">
        <f aca="false">AQ39*Assumptions!$C$51+AQ32*Assumptions!$C$45*Assumptions!$C$52</f>
        <v>714.434094210264</v>
      </c>
      <c r="AR53" s="44" t="n">
        <f aca="false">AR39*Assumptions!$C$51+AR32*Assumptions!$C$45*Assumptions!$C$52</f>
        <v>761.518356950815</v>
      </c>
      <c r="AS53" s="44" t="n">
        <f aca="false">AS39*Assumptions!$C$51+AS32*Assumptions!$C$45*Assumptions!$C$52</f>
        <v>808.820066874961</v>
      </c>
      <c r="AT53" s="44" t="n">
        <f aca="false">AT39*Assumptions!$C$51+AT32*Assumptions!$C$45*Assumptions!$C$52</f>
        <v>855.964453410634</v>
      </c>
      <c r="AU53" s="44" t="n">
        <f aca="false">AU39*Assumptions!$C$51+AU32*Assumptions!$C$45*Assumptions!$C$52</f>
        <v>903.531428027498</v>
      </c>
      <c r="AV53" s="44" t="n">
        <f aca="false">AV39*Assumptions!$C$51+AV32*Assumptions!$C$45*Assumptions!$C$52</f>
        <v>951.166608237805</v>
      </c>
      <c r="AW53" s="44" t="n">
        <f aca="false">AW39*Assumptions!$C$51+AW32*Assumptions!$C$45*Assumptions!$C$52</f>
        <v>998.507510235008</v>
      </c>
      <c r="AX53" s="44" t="n">
        <f aca="false">AX39*Assumptions!$C$51+AX32*Assumptions!$C$45*Assumptions!$C$52</f>
        <v>1046.14542222515</v>
      </c>
      <c r="AY53" s="44" t="n">
        <f aca="false">AY39*Assumptions!$C$51+AY32*Assumptions!$C$45*Assumptions!$C$52</f>
        <v>1093.73649534076</v>
      </c>
      <c r="AZ53" s="44" t="n">
        <f aca="false">AZ39*Assumptions!$C$51+AZ32*Assumptions!$C$45*Assumptions!$C$52</f>
        <v>1140.92799823068</v>
      </c>
      <c r="BA53" s="44" t="n">
        <f aca="false">BA39*Assumptions!$C$51+BA32*Assumptions!$C$45*Assumptions!$C$52</f>
        <v>1188.32024775234</v>
      </c>
      <c r="BB53" s="44" t="n">
        <f aca="false">BB39*Assumptions!$C$51+BB32*Assumptions!$C$45*Assumptions!$C$52</f>
        <v>1235.57775299954</v>
      </c>
      <c r="BC53" s="44" t="n">
        <f aca="false">BC39*Assumptions!$C$51+BC32*Assumptions!$C$45*Assumptions!$C$52</f>
        <v>1282.31708643578</v>
      </c>
      <c r="BD53" s="44" t="n">
        <f aca="false">BD39*Assumptions!$C$51+BD32*Assumptions!$C$45*Assumptions!$C$52</f>
        <v>1329.14906740064</v>
      </c>
      <c r="BE53" s="44" t="n">
        <f aca="false">BE39*Assumptions!$C$51+BE32*Assumptions!$C$45*Assumptions!$C$52</f>
        <v>1375.74792110532</v>
      </c>
      <c r="BF53" s="44" t="n">
        <f aca="false">BF39*Assumptions!$C$51+BF32*Assumptions!$C$45*Assumptions!$C$52</f>
        <v>1421.739207646</v>
      </c>
      <c r="BG53" s="44" t="n">
        <f aca="false">BG39*Assumptions!$C$51+BG32*Assumptions!$C$45*Assumptions!$C$52</f>
        <v>1467.74205910107</v>
      </c>
      <c r="BH53" s="44" t="n">
        <f aca="false">BH39*Assumptions!$C$51+BH32*Assumptions!$C$45*Assumptions!$C$52</f>
        <v>1513.43838814903</v>
      </c>
      <c r="BI53" s="44" t="n">
        <f aca="false">BI39*Assumptions!$C$51+BI32*Assumptions!$C$45*Assumptions!$C$52</f>
        <v>1558.46086303253</v>
      </c>
      <c r="BJ53" s="44" t="n">
        <f aca="false">BJ39*Assumptions!$C$51+BJ32*Assumptions!$C$45*Assumptions!$C$52</f>
        <v>1603.43518720875</v>
      </c>
      <c r="BK53" s="44" t="n">
        <f aca="false">BK39*Assumptions!$C$51+BK32*Assumptions!$C$45*Assumptions!$C$52</f>
        <v>1648.04934737658</v>
      </c>
    </row>
    <row r="54" customFormat="false" ht="15" hidden="false" customHeight="false" outlineLevel="0" collapsed="false">
      <c r="A54" s="28" t="s">
        <v>623</v>
      </c>
      <c r="B54" s="6" t="s">
        <v>517</v>
      </c>
      <c r="C54" s="43"/>
      <c r="D54" s="17" t="n">
        <f aca="false">(D37+D38)*Assumptions!$C$53+D32*Assumptions!$C$54</f>
        <v>0</v>
      </c>
      <c r="E54" s="17" t="n">
        <f aca="false">(E37+E38)*Assumptions!$C$53+E32*Assumptions!$C$54</f>
        <v>0</v>
      </c>
      <c r="F54" s="17" t="n">
        <f aca="false">(F37+F38)*Assumptions!$C$53+F32*Assumptions!$C$54</f>
        <v>0</v>
      </c>
      <c r="G54" s="17" t="n">
        <f aca="false">(G37+G38)*Assumptions!$C$53+G32*Assumptions!$C$54</f>
        <v>0</v>
      </c>
      <c r="H54" s="17" t="n">
        <f aca="false">(H37+H38)*Assumptions!$C$53+H32*Assumptions!$C$54</f>
        <v>0</v>
      </c>
      <c r="I54" s="17" t="n">
        <f aca="false">(I37+I38)*Assumptions!$C$53+I32*Assumptions!$C$54</f>
        <v>0</v>
      </c>
      <c r="J54" s="17" t="n">
        <f aca="false">(J37+J38)*Assumptions!$C$53+J32*Assumptions!$C$54</f>
        <v>0</v>
      </c>
      <c r="K54" s="17" t="n">
        <f aca="false">(K37+K38)*Assumptions!$C$53+K32*Assumptions!$C$54</f>
        <v>0</v>
      </c>
      <c r="L54" s="17" t="n">
        <f aca="false">(L37+L38)*Assumptions!$C$53+L32*Assumptions!$C$54</f>
        <v>0</v>
      </c>
      <c r="M54" s="17" t="n">
        <f aca="false">(M37+M38)*Assumptions!$C$53+M32*Assumptions!$C$54</f>
        <v>0</v>
      </c>
      <c r="N54" s="17" t="n">
        <f aca="false">(N37+N38)*Assumptions!$C$53+N32*Assumptions!$C$54</f>
        <v>0</v>
      </c>
      <c r="O54" s="17" t="n">
        <f aca="false">(O37+O38)*Assumptions!$C$53+O32*Assumptions!$C$54</f>
        <v>0</v>
      </c>
      <c r="P54" s="17" t="n">
        <f aca="false">(P37+P38)*Assumptions!$C$53+P32*Assumptions!$C$54</f>
        <v>0</v>
      </c>
      <c r="Q54" s="17" t="n">
        <f aca="false">(Q37+Q38)*Assumptions!$C$53+Q32*Assumptions!$C$54</f>
        <v>0</v>
      </c>
      <c r="R54" s="17" t="n">
        <f aca="false">(R37+R38)*Assumptions!$C$53+R32*Assumptions!$C$54</f>
        <v>0</v>
      </c>
      <c r="S54" s="17" t="n">
        <f aca="false">(S37+S38)*Assumptions!$C$53+S32*Assumptions!$C$54</f>
        <v>0</v>
      </c>
      <c r="T54" s="17" t="n">
        <f aca="false">(T37+T38)*Assumptions!$C$53+T32*Assumptions!$C$54</f>
        <v>0</v>
      </c>
      <c r="U54" s="17" t="n">
        <f aca="false">(U37+U38)*Assumptions!$C$53+U32*Assumptions!$C$54</f>
        <v>0</v>
      </c>
      <c r="V54" s="17" t="n">
        <f aca="false">(V37+V38)*Assumptions!$C$53+V32*Assumptions!$C$54</f>
        <v>0</v>
      </c>
      <c r="W54" s="17" t="n">
        <f aca="false">(W37+W38)*Assumptions!$C$53+W32*Assumptions!$C$54</f>
        <v>0</v>
      </c>
      <c r="X54" s="17" t="n">
        <f aca="false">(X37+X38)*Assumptions!$C$53+X32*Assumptions!$C$54</f>
        <v>0</v>
      </c>
      <c r="Y54" s="17" t="n">
        <f aca="false">(Y37+Y38)*Assumptions!$C$53+Y32*Assumptions!$C$54</f>
        <v>0</v>
      </c>
      <c r="Z54" s="17" t="n">
        <f aca="false">(Z37+Z38)*Assumptions!$C$53+Z32*Assumptions!$C$54</f>
        <v>0</v>
      </c>
      <c r="AA54" s="17" t="n">
        <f aca="false">(AA37+AA38)*Assumptions!$C$53+AA32*Assumptions!$C$54</f>
        <v>11.7366627737663</v>
      </c>
      <c r="AB54" s="17" t="n">
        <f aca="false">(AB37+AB38)*Assumptions!$C$53+AB32*Assumptions!$C$54</f>
        <v>23.5590446127783</v>
      </c>
      <c r="AC54" s="17" t="n">
        <f aca="false">(AC37+AC38)*Assumptions!$C$53+AC32*Assumptions!$C$54</f>
        <v>35.4601545529305</v>
      </c>
      <c r="AD54" s="17" t="n">
        <f aca="false">(AD37+AD38)*Assumptions!$C$53+AD32*Assumptions!$C$54</f>
        <v>47.4334768640282</v>
      </c>
      <c r="AE54" s="17" t="n">
        <f aca="false">(AE37+AE38)*Assumptions!$C$53+AE32*Assumptions!$C$54</f>
        <v>59.4609399915802</v>
      </c>
      <c r="AF54" s="17" t="n">
        <f aca="false">(AF37+AF38)*Assumptions!$C$53+AF32*Assumptions!$C$54</f>
        <v>71.8379062030284</v>
      </c>
      <c r="AG54" s="17" t="n">
        <f aca="false">(AG37+AG38)*Assumptions!$C$53+AG32*Assumptions!$C$54</f>
        <v>84.4980431526454</v>
      </c>
      <c r="AH54" s="17" t="n">
        <f aca="false">(AH37+AH38)*Assumptions!$C$53+AH32*Assumptions!$C$54</f>
        <v>97.3203954611074</v>
      </c>
      <c r="AI54" s="17" t="n">
        <f aca="false">(AI37+AI38)*Assumptions!$C$53+AI32*Assumptions!$C$54</f>
        <v>110.530163207288</v>
      </c>
      <c r="AJ54" s="17" t="n">
        <f aca="false">(AJ37+AJ38)*Assumptions!$C$53+AJ32*Assumptions!$C$54</f>
        <v>124.008835660931</v>
      </c>
      <c r="AK54" s="17" t="n">
        <f aca="false">(AK37+AK38)*Assumptions!$C$53+AK32*Assumptions!$C$54</f>
        <v>137.623769467088</v>
      </c>
      <c r="AL54" s="17" t="n">
        <f aca="false">(AL37+AL38)*Assumptions!$C$53+AL32*Assumptions!$C$54</f>
        <v>151.541511030565</v>
      </c>
      <c r="AM54" s="17" t="n">
        <f aca="false">(AM37+AM38)*Assumptions!$C$53+AM32*Assumptions!$C$54</f>
        <v>165.650008886761</v>
      </c>
      <c r="AN54" s="44" t="n">
        <f aca="false">(AN37+AN38)*Assumptions!$C$53+AN32*Assumptions!$C$54</f>
        <v>179.822604722446</v>
      </c>
      <c r="AO54" s="44" t="n">
        <f aca="false">(AO37+AO38)*Assumptions!$C$53+AO32*Assumptions!$C$54</f>
        <v>194.231390704505</v>
      </c>
      <c r="AP54" s="44" t="n">
        <f aca="false">(AP37+AP38)*Assumptions!$C$53+AP32*Assumptions!$C$54</f>
        <v>208.769454195135</v>
      </c>
      <c r="AQ54" s="44" t="n">
        <f aca="false">(AQ37+AQ38)*Assumptions!$C$53+AQ32*Assumptions!$C$54</f>
        <v>223.314898712179</v>
      </c>
      <c r="AR54" s="44" t="n">
        <f aca="false">(AR37+AR38)*Assumptions!$C$53+AR32*Assumptions!$C$54</f>
        <v>238.044228973064</v>
      </c>
      <c r="AS54" s="44" t="n">
        <f aca="false">(AS37+AS38)*Assumptions!$C$53+AS32*Assumptions!$C$54</f>
        <v>252.842622069374</v>
      </c>
      <c r="AT54" s="44" t="n">
        <f aca="false">(AT37+AT38)*Assumptions!$C$53+AT32*Assumptions!$C$54</f>
        <v>267.593011561069</v>
      </c>
      <c r="AU54" s="44" t="n">
        <f aca="false">(AU37+AU38)*Assumptions!$C$53+AU32*Assumptions!$C$54</f>
        <v>282.476375834463</v>
      </c>
      <c r="AV54" s="44" t="n">
        <f aca="false">(AV37+AV38)*Assumptions!$C$53+AV32*Assumptions!$C$54</f>
        <v>297.382035474225</v>
      </c>
      <c r="AW54" s="44" t="n">
        <f aca="false">(AW37+AW38)*Assumptions!$C$53+AW32*Assumptions!$C$54</f>
        <v>312.196761611956</v>
      </c>
      <c r="AX54" s="44" t="n">
        <f aca="false">(AX37+AX38)*Assumptions!$C$53+AX32*Assumptions!$C$54</f>
        <v>327.105086740919</v>
      </c>
      <c r="AY54" s="44" t="n">
        <f aca="false">(AY37+AY38)*Assumptions!$C$53+AY32*Assumptions!$C$54</f>
        <v>341.999622881686</v>
      </c>
      <c r="AZ54" s="44" t="n">
        <f aca="false">(AZ37+AZ38)*Assumptions!$C$53+AZ32*Assumptions!$C$54</f>
        <v>356.770189185597</v>
      </c>
      <c r="BA54" s="44" t="n">
        <f aca="false">(BA37+BA38)*Assumptions!$C$53+BA32*Assumptions!$C$54</f>
        <v>371.6041405806</v>
      </c>
      <c r="BB54" s="44" t="n">
        <f aca="false">(BB37+BB38)*Assumptions!$C$53+BB32*Assumptions!$C$54</f>
        <v>386.396702450551</v>
      </c>
      <c r="BC54" s="44" t="n">
        <f aca="false">(BC37+BC38)*Assumptions!$C$53+BC32*Assumptions!$C$54</f>
        <v>401.028114334966</v>
      </c>
      <c r="BD54" s="44" t="n">
        <f aca="false">(BD37+BD38)*Assumptions!$C$53+BD32*Assumptions!$C$54</f>
        <v>415.689012120845</v>
      </c>
      <c r="BE54" s="44" t="n">
        <f aca="false">(BE37+BE38)*Assumptions!$C$53+BE32*Assumptions!$C$54</f>
        <v>430.277657164823</v>
      </c>
      <c r="BF54" s="44" t="n">
        <f aca="false">(BF37+BF38)*Assumptions!$C$53+BF32*Assumptions!$C$54</f>
        <v>444.677097981871</v>
      </c>
      <c r="BG54" s="44" t="n">
        <f aca="false">(BG37+BG38)*Assumptions!$C$53+BG32*Assumptions!$C$54</f>
        <v>459.08056909575</v>
      </c>
      <c r="BH54" s="44" t="n">
        <f aca="false">(BH37+BH38)*Assumptions!$C$53+BH32*Assumptions!$C$54</f>
        <v>473.388735588814</v>
      </c>
      <c r="BI54" s="44" t="n">
        <f aca="false">(BI37+BI38)*Assumptions!$C$53+BI32*Assumptions!$C$54</f>
        <v>487.48686907923</v>
      </c>
      <c r="BJ54" s="44" t="n">
        <f aca="false">(BJ37+BJ38)*Assumptions!$C$53+BJ32*Assumptions!$C$54</f>
        <v>501.570259805751</v>
      </c>
      <c r="BK54" s="44" t="n">
        <f aca="false">(BK37+BK38)*Assumptions!$C$53+BK32*Assumptions!$C$54</f>
        <v>515.541473436192</v>
      </c>
    </row>
    <row r="55" customFormat="false" ht="15" hidden="false" customHeight="false" outlineLevel="0" collapsed="false">
      <c r="A55" s="28" t="s">
        <v>624</v>
      </c>
      <c r="B55" s="6" t="s">
        <v>625</v>
      </c>
      <c r="C55" s="43"/>
      <c r="D55" s="17" t="n">
        <f aca="false">D25*Assumptions!$C$65*Assumptions!$C$66*Assumptions!$C$67</f>
        <v>0</v>
      </c>
      <c r="E55" s="17" t="n">
        <f aca="false">E25*Assumptions!$C$65*Assumptions!$C$66*Assumptions!$C$67</f>
        <v>0</v>
      </c>
      <c r="F55" s="17" t="n">
        <f aca="false">F25*Assumptions!$C$65*Assumptions!$C$66*Assumptions!$C$67</f>
        <v>0</v>
      </c>
      <c r="G55" s="17" t="n">
        <f aca="false">G25*Assumptions!$C$65*Assumptions!$C$66*Assumptions!$C$67</f>
        <v>0</v>
      </c>
      <c r="H55" s="17" t="n">
        <f aca="false">H25*Assumptions!$C$65*Assumptions!$C$66*Assumptions!$C$67</f>
        <v>20.655</v>
      </c>
      <c r="I55" s="17" t="n">
        <f aca="false">I25*Assumptions!$C$65*Assumptions!$C$66*Assumptions!$C$67</f>
        <v>32.118525</v>
      </c>
      <c r="J55" s="17" t="n">
        <f aca="false">J25*Assumptions!$C$65*Assumptions!$C$66*Assumptions!$C$67</f>
        <v>34.233080625</v>
      </c>
      <c r="K55" s="17" t="n">
        <f aca="false">K25*Assumptions!$C$65*Assumptions!$C$66*Assumptions!$C$67</f>
        <v>52.426921190625</v>
      </c>
      <c r="L55" s="17" t="n">
        <f aca="false">L25*Assumptions!$C$65*Assumptions!$C$66*Assumptions!$C$67</f>
        <v>59.1735662765157</v>
      </c>
      <c r="M55" s="17" t="n">
        <f aca="false">M25*Assumptions!$C$65*Assumptions!$C$66*Assumptions!$C$67</f>
        <v>57.4981885698054</v>
      </c>
      <c r="N55" s="17" t="n">
        <f aca="false">N25*Assumptions!$C$65*Assumptions!$C$66*Assumptions!$C$67</f>
        <v>70.0038225030926</v>
      </c>
      <c r="O55" s="17" t="n">
        <f aca="false">O25*Assumptions!$C$65*Assumptions!$C$66*Assumptions!$C$67</f>
        <v>93.7043625607387</v>
      </c>
      <c r="P55" s="17" t="n">
        <f aca="false">P25*Assumptions!$C$65*Assumptions!$C$66*Assumptions!$C$67</f>
        <v>101.083077429203</v>
      </c>
      <c r="Q55" s="17" t="n">
        <f aca="false">Q25*Assumptions!$C$65*Assumptions!$C$66*Assumptions!$C$67</f>
        <v>114.133477467233</v>
      </c>
      <c r="R55" s="17" t="n">
        <f aca="false">R25*Assumptions!$C$65*Assumptions!$C$66*Assumptions!$C$67</f>
        <v>134.34889133488</v>
      </c>
      <c r="S55" s="17" t="n">
        <f aca="false">S25*Assumptions!$C$65*Assumptions!$C$66*Assumptions!$C$67</f>
        <v>136.341598384132</v>
      </c>
      <c r="T55" s="17" t="n">
        <f aca="false">T25*Assumptions!$C$65*Assumptions!$C$66*Assumptions!$C$67</f>
        <v>145.163635680899</v>
      </c>
      <c r="U55" s="17" t="n">
        <f aca="false">U25*Assumptions!$C$65*Assumptions!$C$66*Assumptions!$C$67</f>
        <v>159.402419972829</v>
      </c>
      <c r="V55" s="17" t="n">
        <f aca="false">V25*Assumptions!$C$65*Assumptions!$C$66*Assumptions!$C$67</f>
        <v>178.158154910881</v>
      </c>
      <c r="W55" s="17" t="n">
        <f aca="false">W25*Assumptions!$C$65*Assumptions!$C$66*Assumptions!$C$67</f>
        <v>195.906879891685</v>
      </c>
      <c r="X55" s="17" t="n">
        <f aca="false">X25*Assumptions!$C$65*Assumptions!$C$66*Assumptions!$C$67</f>
        <v>210.604325941215</v>
      </c>
      <c r="Y55" s="17" t="n">
        <f aca="false">Y25*Assumptions!$C$65*Assumptions!$C$66*Assumptions!$C$67</f>
        <v>225.815725063235</v>
      </c>
      <c r="Z55" s="17" t="n">
        <f aca="false">Z25*Assumptions!$C$65*Assumptions!$C$66*Assumptions!$C$67</f>
        <v>238.136762794525</v>
      </c>
      <c r="AA55" s="17" t="n">
        <f aca="false">AA25*Assumptions!$C$65*Assumptions!$C$66*Assumptions!$C$67</f>
        <v>248.575609197313</v>
      </c>
      <c r="AB55" s="17" t="n">
        <f aca="false">AB25*Assumptions!$C$65*Assumptions!$C$66*Assumptions!$C$67</f>
        <v>257.787626658413</v>
      </c>
      <c r="AC55" s="17" t="n">
        <f aca="false">AC25*Assumptions!$C$65*Assumptions!$C$66*Assumptions!$C$67</f>
        <v>266.198851797924</v>
      </c>
      <c r="AD55" s="17" t="n">
        <f aca="false">AD25*Assumptions!$C$65*Assumptions!$C$66*Assumptions!$C$67</f>
        <v>274.086258721557</v>
      </c>
      <c r="AE55" s="17" t="n">
        <f aca="false">AE25*Assumptions!$C$65*Assumptions!$C$66*Assumptions!$C$67</f>
        <v>280.803730146126</v>
      </c>
      <c r="AF55" s="17" t="n">
        <f aca="false">AF25*Assumptions!$C$65*Assumptions!$C$66*Assumptions!$C$67</f>
        <v>308.218083642439</v>
      </c>
      <c r="AG55" s="17" t="n">
        <f aca="false">AG25*Assumptions!$C$65*Assumptions!$C$66*Assumptions!$C$67</f>
        <v>326.46533852933</v>
      </c>
      <c r="AH55" s="17" t="n">
        <f aca="false">AH25*Assumptions!$C$65*Assumptions!$C$66*Assumptions!$C$67</f>
        <v>334.550464443383</v>
      </c>
      <c r="AI55" s="17" t="n">
        <f aca="false">AI25*Assumptions!$C$65*Assumptions!$C$66*Assumptions!$C$67</f>
        <v>358.989104371528</v>
      </c>
      <c r="AJ55" s="17" t="n">
        <f aca="false">AJ25*Assumptions!$C$65*Assumptions!$C$66*Assumptions!$C$67</f>
        <v>372.156386787572</v>
      </c>
      <c r="AK55" s="17" t="n">
        <f aca="false">AK25*Assumptions!$C$65*Assumptions!$C$66*Assumptions!$C$67</f>
        <v>376.187366323809</v>
      </c>
      <c r="AL55" s="17" t="n">
        <f aca="false">AL25*Assumptions!$C$65*Assumptions!$C$66*Assumptions!$C$67</f>
        <v>393.912081298686</v>
      </c>
      <c r="AM55" s="17" t="n">
        <f aca="false">AM25*Assumptions!$C$65*Assumptions!$C$66*Assumptions!$C$67</f>
        <v>402.663523634532</v>
      </c>
      <c r="AN55" s="44" t="n">
        <f aca="false">AN25*Assumptions!$C$65*Assumptions!$C$66*Assumptions!$C$67</f>
        <v>403.773195090977</v>
      </c>
      <c r="AO55" s="44" t="n">
        <f aca="false">AO25*Assumptions!$C$65*Assumptions!$C$66*Assumptions!$C$67</f>
        <v>419.548812966736</v>
      </c>
      <c r="AP55" s="44" t="n">
        <f aca="false">AP25*Assumptions!$C$65*Assumptions!$C$66*Assumptions!$C$67</f>
        <v>426.983849043617</v>
      </c>
      <c r="AQ55" s="44" t="n">
        <f aca="false">AQ25*Assumptions!$C$65*Assumptions!$C$66*Assumptions!$C$67</f>
        <v>427.189105684361</v>
      </c>
      <c r="AR55" s="44" t="n">
        <f aca="false">AR25*Assumptions!$C$65*Assumptions!$C$66*Assumptions!$C$67</f>
        <v>442.328834443756</v>
      </c>
      <c r="AS55" s="44" t="n">
        <f aca="false">AS25*Assumptions!$C$65*Assumptions!$C$66*Assumptions!$C$67</f>
        <v>448.477043401126</v>
      </c>
      <c r="AT55" s="44" t="n">
        <f aca="false">AT25*Assumptions!$C$65*Assumptions!$C$66*Assumptions!$C$67</f>
        <v>447.778617708227</v>
      </c>
      <c r="AU55" s="44" t="n">
        <f aca="false">AU25*Assumptions!$C$65*Assumptions!$C$66*Assumptions!$C$67</f>
        <v>462.264716915382</v>
      </c>
      <c r="AV55" s="44" t="n">
        <f aca="false">AV25*Assumptions!$C$65*Assumptions!$C$66*Assumptions!$C$67</f>
        <v>467.922824168955</v>
      </c>
      <c r="AW55" s="44" t="n">
        <f aca="false">AW25*Assumptions!$C$65*Assumptions!$C$66*Assumptions!$C$67</f>
        <v>466.841568511169</v>
      </c>
      <c r="AX55" s="44" t="n">
        <f aca="false">AX25*Assumptions!$C$65*Assumptions!$C$66*Assumptions!$C$67</f>
        <v>481.015528341588</v>
      </c>
      <c r="AY55" s="44" t="n">
        <f aca="false">AY25*Assumptions!$C$65*Assumptions!$C$66*Assumptions!$C$67</f>
        <v>486.408394599221</v>
      </c>
      <c r="AZ55" s="44" t="n">
        <f aca="false">AZ25*Assumptions!$C$65*Assumptions!$C$66*Assumptions!$C$67</f>
        <v>485.093317149024</v>
      </c>
      <c r="BA55" s="44" t="n">
        <f aca="false">BA25*Assumptions!$C$65*Assumptions!$C$66*Assumptions!$C$67</f>
        <v>499.054798896504</v>
      </c>
      <c r="BB55" s="44" t="n">
        <f aca="false">BB25*Assumptions!$C$65*Assumptions!$C$66*Assumptions!$C$67</f>
        <v>504.24996789112</v>
      </c>
      <c r="BC55" s="44" t="n">
        <f aca="false">BC25*Assumptions!$C$65*Assumptions!$C$66*Assumptions!$C$67</f>
        <v>501.921494508495</v>
      </c>
      <c r="BD55" s="44" t="n">
        <f aca="false">BD25*Assumptions!$C$65*Assumptions!$C$66*Assumptions!$C$67</f>
        <v>515.145801579099</v>
      </c>
      <c r="BE55" s="44" t="n">
        <f aca="false">BE25*Assumptions!$C$65*Assumptions!$C$66*Assumptions!$C$67</f>
        <v>519.784516722764</v>
      </c>
      <c r="BF55" s="44" t="n">
        <f aca="false">BF25*Assumptions!$C$65*Assumptions!$C$66*Assumptions!$C$67</f>
        <v>517.018217380701</v>
      </c>
      <c r="BG55" s="44" t="n">
        <f aca="false">BG25*Assumptions!$C$65*Assumptions!$C$66*Assumptions!$C$67</f>
        <v>529.882948585695</v>
      </c>
      <c r="BH55" s="44" t="n">
        <f aca="false">BH25*Assumptions!$C$65*Assumptions!$C$66*Assumptions!$C$67</f>
        <v>534.214075259619</v>
      </c>
      <c r="BI55" s="44" t="n">
        <f aca="false">BI25*Assumptions!$C$65*Assumptions!$C$66*Assumptions!$C$67</f>
        <v>531.175087217487</v>
      </c>
      <c r="BJ55" s="44" t="n">
        <f aca="false">BJ25*Assumptions!$C$65*Assumptions!$C$66*Assumptions!$C$67</f>
        <v>543.790905915617</v>
      </c>
      <c r="BK55" s="44" t="n">
        <f aca="false">BK25*Assumptions!$C$65*Assumptions!$C$66*Assumptions!$C$67</f>
        <v>547.889649581042</v>
      </c>
    </row>
    <row r="56" customFormat="false" ht="15" hidden="false" customHeight="false" outlineLevel="0" collapsed="false">
      <c r="A56" s="28" t="s">
        <v>626</v>
      </c>
      <c r="B56" s="6" t="s">
        <v>627</v>
      </c>
      <c r="C56" s="43"/>
      <c r="D56" s="17" t="n">
        <f aca="false">(D41+D42+D43)*Assumptions!$C$78</f>
        <v>0</v>
      </c>
      <c r="E56" s="17" t="n">
        <f aca="false">(E41+E42+E43)*Assumptions!$C$78</f>
        <v>0</v>
      </c>
      <c r="F56" s="17" t="n">
        <f aca="false">(F41+F42+F43)*Assumptions!$C$78</f>
        <v>0</v>
      </c>
      <c r="G56" s="17" t="n">
        <f aca="false">(G41+G42+G43)*Assumptions!$C$78</f>
        <v>0</v>
      </c>
      <c r="H56" s="17" t="n">
        <f aca="false">(H41+H42+H43)*Assumptions!$C$78</f>
        <v>0</v>
      </c>
      <c r="I56" s="17" t="n">
        <f aca="false">(I41+I42+I43)*Assumptions!$C$78</f>
        <v>0</v>
      </c>
      <c r="J56" s="17" t="n">
        <f aca="false">(J41+J42+J43)*Assumptions!$C$78</f>
        <v>0</v>
      </c>
      <c r="K56" s="17" t="n">
        <f aca="false">(K41+K42+K43)*Assumptions!$C$78</f>
        <v>0</v>
      </c>
      <c r="L56" s="17" t="n">
        <f aca="false">(L41+L42+L43)*Assumptions!$C$78</f>
        <v>0</v>
      </c>
      <c r="M56" s="17" t="n">
        <f aca="false">(M41+M42+M43)*Assumptions!$C$78</f>
        <v>0</v>
      </c>
      <c r="N56" s="17" t="n">
        <f aca="false">(N41+N42+N43)*Assumptions!$C$78</f>
        <v>0</v>
      </c>
      <c r="O56" s="17" t="n">
        <f aca="false">(O41+O42+O43)*Assumptions!$C$78</f>
        <v>0</v>
      </c>
      <c r="P56" s="17" t="n">
        <f aca="false">(P41+P42+P43)*Assumptions!$C$78</f>
        <v>0</v>
      </c>
      <c r="Q56" s="17" t="n">
        <f aca="false">(Q41+Q42+Q43)*Assumptions!$C$78</f>
        <v>0</v>
      </c>
      <c r="R56" s="17" t="n">
        <f aca="false">(R41+R42+R43)*Assumptions!$C$78</f>
        <v>0</v>
      </c>
      <c r="S56" s="17" t="n">
        <f aca="false">(S41+S42+S43)*Assumptions!$C$78</f>
        <v>0</v>
      </c>
      <c r="T56" s="17" t="n">
        <f aca="false">(T41+T42+T43)*Assumptions!$C$78</f>
        <v>0</v>
      </c>
      <c r="U56" s="17" t="n">
        <f aca="false">(U41+U42+U43)*Assumptions!$C$78</f>
        <v>0</v>
      </c>
      <c r="V56" s="17" t="n">
        <f aca="false">(V41+V42+V43)*Assumptions!$C$78</f>
        <v>0</v>
      </c>
      <c r="W56" s="17" t="n">
        <f aca="false">(W41+W42+W43)*Assumptions!$C$78</f>
        <v>0</v>
      </c>
      <c r="X56" s="17" t="n">
        <f aca="false">(X41+X42+X43)*Assumptions!$C$78</f>
        <v>0</v>
      </c>
      <c r="Y56" s="17" t="n">
        <f aca="false">(Y41+Y42+Y43)*Assumptions!$C$78</f>
        <v>0</v>
      </c>
      <c r="Z56" s="17" t="n">
        <f aca="false">(Z41+Z42+Z43)*Assumptions!$C$78</f>
        <v>0</v>
      </c>
      <c r="AA56" s="17" t="n">
        <f aca="false">(AA41+AA42+AA43)*Assumptions!$C$78</f>
        <v>0</v>
      </c>
      <c r="AB56" s="17" t="n">
        <f aca="false">(AB41+AB42+AB43)*Assumptions!$C$78</f>
        <v>0</v>
      </c>
      <c r="AC56" s="17" t="n">
        <f aca="false">(AC41+AC42+AC43)*Assumptions!$C$78</f>
        <v>0</v>
      </c>
      <c r="AD56" s="17" t="n">
        <f aca="false">(AD41+AD42+AD43)*Assumptions!$C$78</f>
        <v>0</v>
      </c>
      <c r="AE56" s="17" t="n">
        <f aca="false">(AE41+AE42+AE43)*Assumptions!$C$78</f>
        <v>0</v>
      </c>
      <c r="AF56" s="17" t="n">
        <f aca="false">(AF41+AF42+AF43)*Assumptions!$C$78</f>
        <v>0</v>
      </c>
      <c r="AG56" s="17" t="n">
        <f aca="false">(AG41+AG42+AG43)*Assumptions!$C$78</f>
        <v>0</v>
      </c>
      <c r="AH56" s="17" t="n">
        <f aca="false">(AH41+AH42+AH43)*Assumptions!$C$78</f>
        <v>0</v>
      </c>
      <c r="AI56" s="17" t="n">
        <f aca="false">(AI41+AI42+AI43)*Assumptions!$C$78</f>
        <v>0</v>
      </c>
      <c r="AJ56" s="17" t="n">
        <f aca="false">(AJ41+AJ42+AJ43)*Assumptions!$C$78</f>
        <v>0</v>
      </c>
      <c r="AK56" s="17" t="n">
        <f aca="false">(AK41+AK42+AK43)*Assumptions!$C$78</f>
        <v>0</v>
      </c>
      <c r="AL56" s="17" t="n">
        <f aca="false">(AL41+AL42+AL43)*Assumptions!$C$78</f>
        <v>0</v>
      </c>
      <c r="AM56" s="17" t="n">
        <f aca="false">(AM41+AM42+AM43)*Assumptions!$C$78</f>
        <v>0</v>
      </c>
      <c r="AN56" s="44" t="n">
        <f aca="false">(AN41+AN42+AN43)*Assumptions!$C$78</f>
        <v>0</v>
      </c>
      <c r="AO56" s="44" t="n">
        <f aca="false">(AO41+AO42+AO43)*Assumptions!$C$78</f>
        <v>0</v>
      </c>
      <c r="AP56" s="44" t="n">
        <f aca="false">(AP41+AP42+AP43)*Assumptions!$C$78</f>
        <v>0</v>
      </c>
      <c r="AQ56" s="44" t="n">
        <f aca="false">(AQ41+AQ42+AQ43)*Assumptions!$C$78</f>
        <v>31.6876847355806</v>
      </c>
      <c r="AR56" s="44" t="n">
        <f aca="false">(AR41+AR42+AR43)*Assumptions!$C$78</f>
        <v>65.9984636084812</v>
      </c>
      <c r="AS56" s="44" t="n">
        <f aca="false">(AS41+AS42+AS43)*Assumptions!$C$78</f>
        <v>102.631428983934</v>
      </c>
      <c r="AT56" s="44" t="n">
        <f aca="false">(AT41+AT42+AT43)*Assumptions!$C$78</f>
        <v>141.228593894315</v>
      </c>
      <c r="AU56" s="44" t="n">
        <f aca="false">(AU41+AU42+AU43)*Assumptions!$C$78</f>
        <v>182.890027026568</v>
      </c>
      <c r="AV56" s="44" t="n">
        <f aca="false">(AV41+AV42+AV43)*Assumptions!$C$78</f>
        <v>226.493817524873</v>
      </c>
      <c r="AW56" s="44" t="n">
        <f aca="false">(AW41+AW42+AW43)*Assumptions!$C$78</f>
        <v>232.835011408655</v>
      </c>
      <c r="AX56" s="44" t="n">
        <f aca="false">(AX41+AX42+AX43)*Assumptions!$C$78</f>
        <v>240.224388182851</v>
      </c>
      <c r="AY56" s="44" t="n">
        <f aca="false">(AY41+AY42+AY43)*Assumptions!$C$78</f>
        <v>247.01761446457</v>
      </c>
      <c r="AZ56" s="44" t="n">
        <f aca="false">(AZ41+AZ42+AZ43)*Assumptions!$C$78</f>
        <v>253.129523115502</v>
      </c>
      <c r="BA56" s="44" t="n">
        <f aca="false">(BA41+BA42+BA43)*Assumptions!$C$78</f>
        <v>260.292914312904</v>
      </c>
      <c r="BB56" s="44" t="n">
        <f aca="false">(BB41+BB42+BB43)*Assumptions!$C$78</f>
        <v>266.863454046899</v>
      </c>
      <c r="BC56" s="44" t="n">
        <f aca="false">(BC41+BC42+BC43)*Assumptions!$C$78</f>
        <v>272.683512977842</v>
      </c>
      <c r="BD56" s="44" t="n">
        <f aca="false">(BD41+BD42+BD43)*Assumptions!$C$78</f>
        <v>279.557388945245</v>
      </c>
      <c r="BE56" s="44" t="n">
        <f aca="false">(BE41+BE42+BE43)*Assumptions!$C$78</f>
        <v>285.841428061412</v>
      </c>
      <c r="BF56" s="44" t="n">
        <f aca="false">(BF41+BF42+BF43)*Assumptions!$C$78</f>
        <v>291.378420608216</v>
      </c>
      <c r="BG56" s="44" t="n">
        <f aca="false">(BG41+BG42+BG43)*Assumptions!$C$78</f>
        <v>297.972915058114</v>
      </c>
      <c r="BH56" s="44" t="n">
        <f aca="false">(BH41+BH42+BH43)*Assumptions!$C$78</f>
        <v>303.981398645606</v>
      </c>
      <c r="BI56" s="44" t="n">
        <f aca="false">(BI41+BI42+BI43)*Assumptions!$C$78</f>
        <v>309.246731919608</v>
      </c>
      <c r="BJ56" s="44" t="n">
        <f aca="false">(BJ41+BJ42+BJ43)*Assumptions!$C$78</f>
        <v>315.57348788571</v>
      </c>
      <c r="BK56" s="44" t="n">
        <f aca="false">(BK41+BK42+BK43)*Assumptions!$C$78</f>
        <v>321.318148901607</v>
      </c>
    </row>
    <row r="57" customFormat="false" ht="15" hidden="false" customHeight="false" outlineLevel="0" collapsed="false">
      <c r="A57" s="28" t="s">
        <v>628</v>
      </c>
      <c r="B57" s="6" t="s">
        <v>629</v>
      </c>
      <c r="C57" s="43"/>
      <c r="D57" s="17" t="n">
        <f aca="false">D45*Assumptions!$C$82</f>
        <v>0</v>
      </c>
      <c r="E57" s="17" t="n">
        <f aca="false">E45*Assumptions!$C$82</f>
        <v>0</v>
      </c>
      <c r="F57" s="17" t="n">
        <f aca="false">F45*Assumptions!$C$82</f>
        <v>0</v>
      </c>
      <c r="G57" s="17" t="n">
        <f aca="false">G45*Assumptions!$C$82</f>
        <v>0</v>
      </c>
      <c r="H57" s="17" t="n">
        <f aca="false">H45*Assumptions!$C$82</f>
        <v>0</v>
      </c>
      <c r="I57" s="17" t="n">
        <f aca="false">I45*Assumptions!$C$82</f>
        <v>0</v>
      </c>
      <c r="J57" s="17" t="n">
        <f aca="false">J45*Assumptions!$C$82</f>
        <v>0</v>
      </c>
      <c r="K57" s="17" t="n">
        <f aca="false">K45*Assumptions!$C$82</f>
        <v>0</v>
      </c>
      <c r="L57" s="17" t="n">
        <f aca="false">L45*Assumptions!$C$82</f>
        <v>0</v>
      </c>
      <c r="M57" s="17" t="n">
        <f aca="false">M45*Assumptions!$C$82</f>
        <v>0</v>
      </c>
      <c r="N57" s="17" t="n">
        <f aca="false">N45*Assumptions!$C$82</f>
        <v>0</v>
      </c>
      <c r="O57" s="17" t="n">
        <f aca="false">O45*Assumptions!$C$82</f>
        <v>0</v>
      </c>
      <c r="P57" s="17" t="n">
        <f aca="false">P45*Assumptions!$C$82</f>
        <v>0</v>
      </c>
      <c r="Q57" s="17" t="n">
        <f aca="false">Q45*Assumptions!$C$82</f>
        <v>0</v>
      </c>
      <c r="R57" s="17" t="n">
        <f aca="false">R45*Assumptions!$C$82</f>
        <v>0</v>
      </c>
      <c r="S57" s="17" t="n">
        <f aca="false">S45*Assumptions!$C$82</f>
        <v>0</v>
      </c>
      <c r="T57" s="17" t="n">
        <f aca="false">T45*Assumptions!$C$82</f>
        <v>0</v>
      </c>
      <c r="U57" s="17" t="n">
        <f aca="false">U45*Assumptions!$C$82</f>
        <v>0</v>
      </c>
      <c r="V57" s="17" t="n">
        <f aca="false">V45*Assumptions!$C$82</f>
        <v>0</v>
      </c>
      <c r="W57" s="17" t="n">
        <f aca="false">W45*Assumptions!$C$82</f>
        <v>281.25</v>
      </c>
      <c r="X57" s="17" t="n">
        <f aca="false">X45*Assumptions!$C$82</f>
        <v>337.5</v>
      </c>
      <c r="Y57" s="17" t="n">
        <f aca="false">Y45*Assumptions!$C$82</f>
        <v>337.5</v>
      </c>
      <c r="Z57" s="17" t="n">
        <f aca="false">Z45*Assumptions!$C$82</f>
        <v>393.75</v>
      </c>
      <c r="AA57" s="17" t="n">
        <f aca="false">AA45*Assumptions!$C$82</f>
        <v>450</v>
      </c>
      <c r="AB57" s="17" t="n">
        <f aca="false">AB45*Assumptions!$C$82</f>
        <v>506.25</v>
      </c>
      <c r="AC57" s="17" t="n">
        <f aca="false">AC45*Assumptions!$C$82</f>
        <v>562.5</v>
      </c>
      <c r="AD57" s="17" t="n">
        <f aca="false">AD45*Assumptions!$C$82</f>
        <v>618.75</v>
      </c>
      <c r="AE57" s="17" t="n">
        <f aca="false">AE45*Assumptions!$C$82</f>
        <v>675</v>
      </c>
      <c r="AF57" s="17" t="n">
        <f aca="false">AF45*Assumptions!$C$82</f>
        <v>731.25</v>
      </c>
      <c r="AG57" s="17" t="n">
        <f aca="false">AG45*Assumptions!$C$82</f>
        <v>787.5</v>
      </c>
      <c r="AH57" s="17" t="n">
        <f aca="false">AH45*Assumptions!$C$82</f>
        <v>843.75</v>
      </c>
      <c r="AI57" s="17" t="n">
        <f aca="false">AI45*Assumptions!$C$82</f>
        <v>900</v>
      </c>
      <c r="AJ57" s="17" t="n">
        <f aca="false">AJ45*Assumptions!$C$82</f>
        <v>956.25</v>
      </c>
      <c r="AK57" s="17" t="n">
        <f aca="false">AK45*Assumptions!$C$82</f>
        <v>1012.5</v>
      </c>
      <c r="AL57" s="17" t="n">
        <f aca="false">AL45*Assumptions!$C$82</f>
        <v>1125</v>
      </c>
      <c r="AM57" s="17" t="n">
        <f aca="false">AM45*Assumptions!$C$82</f>
        <v>1181.25</v>
      </c>
      <c r="AN57" s="44" t="n">
        <f aca="false">AN45*Assumptions!$C$82</f>
        <v>1237.5</v>
      </c>
      <c r="AO57" s="44" t="n">
        <f aca="false">AO45*Assumptions!$C$82</f>
        <v>1350</v>
      </c>
      <c r="AP57" s="44" t="n">
        <f aca="false">AP45*Assumptions!$C$82</f>
        <v>1406.25</v>
      </c>
      <c r="AQ57" s="44" t="n">
        <f aca="false">AQ45*Assumptions!$C$82</f>
        <v>1462.5</v>
      </c>
      <c r="AR57" s="44" t="n">
        <f aca="false">AR45*Assumptions!$C$82</f>
        <v>1575</v>
      </c>
      <c r="AS57" s="44" t="n">
        <f aca="false">AS45*Assumptions!$C$82</f>
        <v>1631.25</v>
      </c>
      <c r="AT57" s="44" t="n">
        <f aca="false">AT45*Assumptions!$C$82</f>
        <v>1687.5</v>
      </c>
      <c r="AU57" s="44" t="n">
        <f aca="false">AU45*Assumptions!$C$82</f>
        <v>1800</v>
      </c>
      <c r="AV57" s="44" t="n">
        <f aca="false">AV45*Assumptions!$C$82</f>
        <v>1856.25</v>
      </c>
      <c r="AW57" s="44" t="n">
        <f aca="false">AW45*Assumptions!$C$82</f>
        <v>1912.5</v>
      </c>
      <c r="AX57" s="44" t="n">
        <f aca="false">AX45*Assumptions!$C$82</f>
        <v>2025</v>
      </c>
      <c r="AY57" s="44" t="n">
        <f aca="false">AY45*Assumptions!$C$82</f>
        <v>2081.25</v>
      </c>
      <c r="AZ57" s="44" t="n">
        <f aca="false">AZ45*Assumptions!$C$82</f>
        <v>2137.5</v>
      </c>
      <c r="BA57" s="44" t="n">
        <f aca="false">BA45*Assumptions!$C$82</f>
        <v>2250</v>
      </c>
      <c r="BB57" s="44" t="n">
        <f aca="false">BB45*Assumptions!$C$82</f>
        <v>2306.25</v>
      </c>
      <c r="BC57" s="44" t="n">
        <f aca="false">BC45*Assumptions!$C$82</f>
        <v>2362.5</v>
      </c>
      <c r="BD57" s="44" t="n">
        <f aca="false">BD45*Assumptions!$C$82</f>
        <v>2475</v>
      </c>
      <c r="BE57" s="44" t="n">
        <f aca="false">BE45*Assumptions!$C$82</f>
        <v>2531.25</v>
      </c>
      <c r="BF57" s="44" t="n">
        <f aca="false">BF45*Assumptions!$C$82</f>
        <v>2587.5</v>
      </c>
      <c r="BG57" s="44" t="n">
        <f aca="false">BG45*Assumptions!$C$82</f>
        <v>2700</v>
      </c>
      <c r="BH57" s="44" t="n">
        <f aca="false">BH45*Assumptions!$C$82</f>
        <v>2756.25</v>
      </c>
      <c r="BI57" s="44" t="n">
        <f aca="false">BI45*Assumptions!$C$82</f>
        <v>2812.5</v>
      </c>
      <c r="BJ57" s="44" t="n">
        <f aca="false">BJ45*Assumptions!$C$82</f>
        <v>2925</v>
      </c>
      <c r="BK57" s="44" t="n">
        <f aca="false">BK45*Assumptions!$C$82</f>
        <v>2981.25</v>
      </c>
    </row>
    <row r="58" customFormat="false" ht="15" hidden="false" customHeight="false" outlineLevel="0" collapsed="false">
      <c r="A58" s="28" t="s">
        <v>630</v>
      </c>
      <c r="B58" s="5" t="s">
        <v>631</v>
      </c>
      <c r="C58" s="43"/>
      <c r="D58" s="45" t="n">
        <f aca="false">D49+D50+D51+D52+D53+D54+D55+D56+D57</f>
        <v>0</v>
      </c>
      <c r="E58" s="45" t="n">
        <f aca="false">E49+E50+E51+E52+E53+E54+E55+E56+E57</f>
        <v>0</v>
      </c>
      <c r="F58" s="45" t="n">
        <f aca="false">F49+F50+F51+F52+F53+F54+F55+F56+F57</f>
        <v>0</v>
      </c>
      <c r="G58" s="45" t="n">
        <f aca="false">G49+G50+G51+G52+G53+G54+G55+G56+G57</f>
        <v>0</v>
      </c>
      <c r="H58" s="45" t="n">
        <f aca="false">H49+H50+H51+H52+H53+H54+H55+H56+H57</f>
        <v>42.1911666666667</v>
      </c>
      <c r="I58" s="45" t="n">
        <f aca="false">I49+I50+I51+I52+I53+I54+I55+I56+I57</f>
        <v>71.9981308333333</v>
      </c>
      <c r="J58" s="45" t="n">
        <f aca="false">J49+J50+J51+J52+J53+J54+J55+J56+J57</f>
        <v>85.9996145208333</v>
      </c>
      <c r="K58" s="45" t="n">
        <f aca="false">K49+K50+K51+K52+K53+K54+K55+K56+K57</f>
        <v>133.112607808854</v>
      </c>
      <c r="L58" s="45" t="n">
        <f aca="false">L49+L50+L51+L52+L53+L54+L55+L56+L57</f>
        <v>162.074252570513</v>
      </c>
      <c r="M58" s="45" t="n">
        <f aca="false">M49+M50+M51+M52+M53+M54+M55+M56+M57</f>
        <v>175.31281740317</v>
      </c>
      <c r="N58" s="45" t="n">
        <f aca="false">N49+N50+N51+N52+N53+N54+N55+N56+N57</f>
        <v>216.333573579245</v>
      </c>
      <c r="O58" s="45" t="n">
        <f aca="false">O49+O50+O51+O52+O53+O54+O55+O56+O57</f>
        <v>283.472060659686</v>
      </c>
      <c r="P58" s="45" t="n">
        <f aca="false">P49+P50+P51+P52+P53+P54+P55+P56+P57</f>
        <v>323.854724161142</v>
      </c>
      <c r="Q58" s="45" t="n">
        <f aca="false">Q49+Q50+Q51+Q52+Q53+Q54+Q55+Q56+Q57</f>
        <v>377.093350099437</v>
      </c>
      <c r="R58" s="45" t="n">
        <f aca="false">R49+R50+R51+R52+R53+R54+R55+R56+R57</f>
        <v>447.942354668407</v>
      </c>
      <c r="S58" s="45" t="n">
        <f aca="false">S49+S50+S51+S52+S53+S54+S55+S56+S57</f>
        <v>486.641167148349</v>
      </c>
      <c r="T58" s="45" t="n">
        <f aca="false">T49+T50+T51+T52+T53+T54+T55+T56+T57</f>
        <v>538.521415711102</v>
      </c>
      <c r="U58" s="45" t="n">
        <f aca="false">U49+U50+U51+U52+U53+U54+U55+U56+U57</f>
        <v>602.841478354255</v>
      </c>
      <c r="V58" s="45" t="n">
        <f aca="false">V49+V50+V51+V52+V53+V54+V55+V56+V57</f>
        <v>679.384363100174</v>
      </c>
      <c r="W58" s="45" t="n">
        <f aca="false">W49+W50+W51+W52+W53+W54+W55+W56+W57</f>
        <v>1039.39423155247</v>
      </c>
      <c r="X58" s="45" t="n">
        <f aca="false">X49+X50+X51+X52+X53+X54+X55+X56+X57</f>
        <v>1171.96279718007</v>
      </c>
      <c r="Y58" s="45" t="n">
        <f aca="false">Y49+Y50+Y51+Y52+Y53+Y54+Y55+Y56+Y57</f>
        <v>1252.02686727128</v>
      </c>
      <c r="Z58" s="45" t="n">
        <f aca="false">Z49+Z50+Z51+Z52+Z53+Z54+Z55+Z56+Z57</f>
        <v>1385.18377622734</v>
      </c>
      <c r="AA58" s="45" t="n">
        <f aca="false">AA49+AA50+AA51+AA52+AA53+AA54+AA55+AA56+AA57</f>
        <v>1662.43434462804</v>
      </c>
      <c r="AB58" s="45" t="n">
        <f aca="false">AB49+AB50+AB51+AB52+AB53+AB54+AB55+AB56+AB57</f>
        <v>1939.31283753365</v>
      </c>
      <c r="AC58" s="45" t="n">
        <f aca="false">AC49+AC50+AC51+AC52+AC53+AC54+AC55+AC56+AC57</f>
        <v>2216.18057400264</v>
      </c>
      <c r="AD58" s="45" t="n">
        <f aca="false">AD49+AD50+AD51+AD52+AD53+AD54+AD55+AD56+AD57</f>
        <v>2493.24898169973</v>
      </c>
      <c r="AE58" s="45" t="n">
        <f aca="false">AE49+AE50+AE51+AE52+AE53+AE54+AE55+AE56+AE57</f>
        <v>2768.79658820767</v>
      </c>
      <c r="AF58" s="45" t="n">
        <f aca="false">AF49+AF50+AF51+AF52+AF53+AF54+AF55+AF56+AF57</f>
        <v>3090.79960576718</v>
      </c>
      <c r="AG58" s="45" t="n">
        <f aca="false">AG49+AG50+AG51+AG52+AG53+AG54+AG55+AG56+AG57</f>
        <v>3403.8403157582</v>
      </c>
      <c r="AH58" s="45" t="n">
        <f aca="false">AH49+AH50+AH51+AH52+AH53+AH54+AH55+AH56+AH57</f>
        <v>3701.29356618564</v>
      </c>
      <c r="AI58" s="45" t="n">
        <f aca="false">AI49+AI50+AI51+AI52+AI53+AI54+AI55+AI56+AI57</f>
        <v>4036.8568163844</v>
      </c>
      <c r="AJ58" s="45" t="n">
        <f aca="false">AJ49+AJ50+AJ51+AJ52+AJ53+AJ54+AJ55+AJ56+AJ57</f>
        <v>4357.68995289077</v>
      </c>
      <c r="AK58" s="45" t="n">
        <f aca="false">AK49+AK50+AK51+AK52+AK53+AK54+AK55+AK56+AK57</f>
        <v>4662.8165166907</v>
      </c>
      <c r="AL58" s="45" t="n">
        <f aca="false">AL49+AL50+AL51+AL52+AL53+AL54+AL55+AL56+AL57</f>
        <v>5054.3179792046</v>
      </c>
      <c r="AM58" s="45" t="n">
        <f aca="false">AM49+AM50+AM51+AM52+AM53+AM54+AM55+AM56+AM57</f>
        <v>5376.29902136895</v>
      </c>
      <c r="AN58" s="46" t="n">
        <f aca="false">AN49+AN50+AN51+AN52+AN53+AN54+AN55+AN56+AN57</f>
        <v>5683.26796453814</v>
      </c>
      <c r="AO58" s="46" t="n">
        <f aca="false">AO49+AO50+AO51+AO52+AO53+AO54+AO55+AO56+AO57</f>
        <v>6076.82934470607</v>
      </c>
      <c r="AP58" s="46" t="n">
        <f aca="false">AP49+AP50+AP51+AP52+AP53+AP54+AP55+AP56+AP57</f>
        <v>6400.79677881761</v>
      </c>
      <c r="AQ58" s="46" t="n">
        <f aca="false">AQ49+AQ50+AQ51+AQ52+AQ53+AQ54+AQ55+AQ56+AQ57</f>
        <v>6741.19462359732</v>
      </c>
      <c r="AR58" s="46" t="n">
        <f aca="false">AR49+AR50+AR51+AR52+AR53+AR54+AR55+AR56+AR57</f>
        <v>7170.46749598296</v>
      </c>
      <c r="AS58" s="46" t="n">
        <f aca="false">AS49+AS50+AS51+AS52+AS53+AS54+AS55+AS56+AS57</f>
        <v>7530.24406981515</v>
      </c>
      <c r="AT58" s="46" t="n">
        <f aca="false">AT49+AT50+AT51+AT52+AT53+AT54+AT55+AT56+AT57</f>
        <v>7876.47994515536</v>
      </c>
      <c r="AU58" s="46" t="n">
        <f aca="false">AU49+AU50+AU51+AU52+AU53+AU54+AU55+AU56+AU57</f>
        <v>8311.70049840855</v>
      </c>
      <c r="AV58" s="46" t="n">
        <f aca="false">AV49+AV50+AV51+AV52+AV53+AV54+AV55+AV56+AV57</f>
        <v>8676.67402979937</v>
      </c>
      <c r="AW58" s="46" t="n">
        <f aca="false">AW49+AW50+AW51+AW52+AW53+AW54+AW55+AW56+AW57</f>
        <v>8988.49761007715</v>
      </c>
      <c r="AX58" s="46" t="n">
        <f aca="false">AX49+AX50+AX51+AX52+AX53+AX54+AX55+AX56+AX57</f>
        <v>9386.91278700754</v>
      </c>
      <c r="AY58" s="46" t="n">
        <f aca="false">AY49+AY50+AY51+AY52+AY53+AY54+AY55+AY56+AY57</f>
        <v>9712.18098867258</v>
      </c>
      <c r="AZ58" s="46" t="n">
        <f aca="false">AZ49+AZ50+AZ51+AZ52+AZ53+AZ54+AZ55+AZ56+AZ57</f>
        <v>10020.5402781235</v>
      </c>
      <c r="BA58" s="46" t="n">
        <f aca="false">BA49+BA50+BA51+BA52+BA53+BA54+BA55+BA56+BA57</f>
        <v>10415.1782681155</v>
      </c>
      <c r="BB58" s="46" t="n">
        <f aca="false">BB49+BB50+BB51+BB52+BB53+BB54+BB55+BB56+BB57</f>
        <v>10736.3815002113</v>
      </c>
      <c r="BC58" s="46" t="n">
        <f aca="false">BC49+BC50+BC51+BC52+BC53+BC54+BC55+BC56+BC57</f>
        <v>11038.5035536524</v>
      </c>
      <c r="BD58" s="46" t="n">
        <f aca="false">BD49+BD50+BD51+BD52+BD53+BD54+BD55+BD56+BD57</f>
        <v>11426.8214378998</v>
      </c>
      <c r="BE58" s="46" t="n">
        <f aca="false">BE49+BE50+BE51+BE52+BE53+BE54+BE55+BE56+BE57</f>
        <v>11741.5597051616</v>
      </c>
      <c r="BF58" s="46" t="n">
        <f aca="false">BF49+BF50+BF51+BF52+BF53+BF54+BF55+BF56+BF57</f>
        <v>12037.041759529</v>
      </c>
      <c r="BG58" s="46" t="n">
        <f aca="false">BG49+BG50+BG51+BG52+BG53+BG54+BG55+BG56+BG57</f>
        <v>12418.5343357109</v>
      </c>
      <c r="BH58" s="46" t="n">
        <f aca="false">BH49+BH50+BH51+BH52+BH53+BH54+BH55+BH56+BH57</f>
        <v>12726.2639250012</v>
      </c>
      <c r="BI58" s="46" t="n">
        <f aca="false">BI49+BI50+BI51+BI52+BI53+BI54+BI55+BI56+BI57</f>
        <v>13014.5631413186</v>
      </c>
      <c r="BJ58" s="46" t="n">
        <f aca="false">BJ49+BJ50+BJ51+BJ52+BJ53+BJ54+BJ55+BJ56+BJ57</f>
        <v>13388.7120361721</v>
      </c>
      <c r="BK58" s="46" t="n">
        <f aca="false">BK49+BK50+BK51+BK52+BK53+BK54+BK55+BK56+BK57</f>
        <v>13688.9525137879</v>
      </c>
    </row>
    <row r="59" customFormat="false" ht="15" hidden="false" customHeight="false" outlineLevel="0" collapsed="false">
      <c r="A59" s="28" t="s">
        <v>632</v>
      </c>
      <c r="B59" s="5" t="s">
        <v>633</v>
      </c>
      <c r="C59" s="43"/>
      <c r="D59" s="45" t="n">
        <f aca="false">D46-D58</f>
        <v>0</v>
      </c>
      <c r="E59" s="45" t="n">
        <f aca="false">E46-E58</f>
        <v>0</v>
      </c>
      <c r="F59" s="45" t="n">
        <f aca="false">F46-F58</f>
        <v>0</v>
      </c>
      <c r="G59" s="45" t="n">
        <f aca="false">G46-G58</f>
        <v>0</v>
      </c>
      <c r="H59" s="45" t="n">
        <f aca="false">H46-H58</f>
        <v>-42.1911666666667</v>
      </c>
      <c r="I59" s="45" t="n">
        <f aca="false">I46-I58</f>
        <v>-71.9981308333333</v>
      </c>
      <c r="J59" s="45" t="n">
        <f aca="false">J46-J58</f>
        <v>-85.9996145208333</v>
      </c>
      <c r="K59" s="45" t="n">
        <f aca="false">K46-K58</f>
        <v>-133.112607808854</v>
      </c>
      <c r="L59" s="45" t="n">
        <f aca="false">L46-L58</f>
        <v>-162.074252570513</v>
      </c>
      <c r="M59" s="45" t="n">
        <f aca="false">M46-M58</f>
        <v>-175.31281740317</v>
      </c>
      <c r="N59" s="45" t="n">
        <f aca="false">N46-N58</f>
        <v>-216.333573579245</v>
      </c>
      <c r="O59" s="45" t="n">
        <f aca="false">O46-O58</f>
        <v>-283.472060659686</v>
      </c>
      <c r="P59" s="45" t="n">
        <f aca="false">P46-P58</f>
        <v>-323.854724161142</v>
      </c>
      <c r="Q59" s="45" t="n">
        <f aca="false">Q46-Q58</f>
        <v>-377.093350099437</v>
      </c>
      <c r="R59" s="45" t="n">
        <f aca="false">R46-R58</f>
        <v>-447.942354668407</v>
      </c>
      <c r="S59" s="45" t="n">
        <f aca="false">S46-S58</f>
        <v>-486.641167148349</v>
      </c>
      <c r="T59" s="45" t="n">
        <f aca="false">T46-T58</f>
        <v>-538.521415711102</v>
      </c>
      <c r="U59" s="45" t="n">
        <f aca="false">U46-U58</f>
        <v>-602.841478354255</v>
      </c>
      <c r="V59" s="45" t="n">
        <f aca="false">V46-V58</f>
        <v>-679.384363100174</v>
      </c>
      <c r="W59" s="45" t="n">
        <f aca="false">W46-W58</f>
        <v>-101.894231552472</v>
      </c>
      <c r="X59" s="45" t="n">
        <f aca="false">X46-X58</f>
        <v>-46.9627971800733</v>
      </c>
      <c r="Y59" s="45" t="n">
        <f aca="false">Y46-Y58</f>
        <v>-127.026867271282</v>
      </c>
      <c r="Z59" s="45" t="n">
        <f aca="false">Z46-Z58</f>
        <v>-72.6837762273372</v>
      </c>
      <c r="AA59" s="45" t="n">
        <f aca="false">AA46-AA58</f>
        <v>223.297356915085</v>
      </c>
      <c r="AB59" s="45" t="n">
        <f aca="false">AB46-AB58</f>
        <v>522.373651599641</v>
      </c>
      <c r="AC59" s="45" t="n">
        <f aca="false">AC46-AC58</f>
        <v>823.959304205496</v>
      </c>
      <c r="AD59" s="45" t="n">
        <f aca="false">AD46-AD58</f>
        <v>1127.63373006621</v>
      </c>
      <c r="AE59" s="45" t="n">
        <f aca="false">AE46-AE58</f>
        <v>1434.52918112584</v>
      </c>
      <c r="AF59" s="45" t="n">
        <f aca="false">AF46-AF58</f>
        <v>1706.38123125966</v>
      </c>
      <c r="AG59" s="45" t="n">
        <f aca="false">AG46-AG58</f>
        <v>1996.42943272418</v>
      </c>
      <c r="AH59" s="45" t="n">
        <f aca="false">AH46-AH58</f>
        <v>2307.32596093682</v>
      </c>
      <c r="AI59" s="45" t="n">
        <f aca="false">AI46-AI58</f>
        <v>2592.77778239505</v>
      </c>
      <c r="AJ59" s="45" t="n">
        <f aca="false">AJ46-AJ58</f>
        <v>2901.73118786329</v>
      </c>
      <c r="AK59" s="45" t="n">
        <f aca="false">AK46-AK58</f>
        <v>3230.80521282355</v>
      </c>
      <c r="AL59" s="45" t="n">
        <f aca="false">AL46-AL58</f>
        <v>3670.89492760611</v>
      </c>
      <c r="AM59" s="45" t="n">
        <f aca="false">AM46-AM58</f>
        <v>3999.21440090276</v>
      </c>
      <c r="AN59" s="46" t="n">
        <f aca="false">AN46-AN58</f>
        <v>4344.59480633461</v>
      </c>
      <c r="AO59" s="46" t="n">
        <f aca="false">AO46-AO58</f>
        <v>4798.59057087292</v>
      </c>
      <c r="AP59" s="46" t="n">
        <f aca="false">AP46-AP58</f>
        <v>5138.87582140394</v>
      </c>
      <c r="AQ59" s="46" t="n">
        <f aca="false">AQ46-AQ58</f>
        <v>5779.7991012486</v>
      </c>
      <c r="AR59" s="46" t="n">
        <f aca="false">AR46-AR58</f>
        <v>6551.57388843739</v>
      </c>
      <c r="AS59" s="46" t="n">
        <f aca="false">AS46-AS58</f>
        <v>7230.79018334037</v>
      </c>
      <c r="AT59" s="46" t="n">
        <f aca="false">AT46-AT58</f>
        <v>7941.56735865204</v>
      </c>
      <c r="AU59" s="46" t="n">
        <f aca="false">AU46-AU58</f>
        <v>8785.83176254193</v>
      </c>
      <c r="AV59" s="46" t="n">
        <f aca="false">AV46-AV58</f>
        <v>9532.95988691208</v>
      </c>
      <c r="AW59" s="46" t="n">
        <f aca="false">AW46-AW58</f>
        <v>9957.58602908708</v>
      </c>
      <c r="AX59" s="46" t="n">
        <f aca="false">AX46-AX58</f>
        <v>10496.6441971927</v>
      </c>
      <c r="AY59" s="46" t="n">
        <f aca="false">AY46-AY58</f>
        <v>10914.9015980857</v>
      </c>
      <c r="AZ59" s="46" t="n">
        <f aca="false">AZ46-AZ58</f>
        <v>11339.1494545124</v>
      </c>
      <c r="BA59" s="46" t="n">
        <f aca="false">BA46-BA58</f>
        <v>11877.1885359592</v>
      </c>
      <c r="BB59" s="46" t="n">
        <f aca="false">BB46-BB58</f>
        <v>12293.8466649565</v>
      </c>
      <c r="BC59" s="46" t="n">
        <f aca="false">BC46-BC58</f>
        <v>12716.759922299</v>
      </c>
      <c r="BD59" s="46" t="n">
        <f aca="false">BD46-BD58</f>
        <v>13252.4624110463</v>
      </c>
      <c r="BE59" s="46" t="n">
        <f aca="false">BE46-BE58</f>
        <v>13665.9504254645</v>
      </c>
      <c r="BF59" s="46" t="n">
        <f aca="false">BF46-BF58</f>
        <v>14084.986620839</v>
      </c>
      <c r="BG59" s="46" t="n">
        <f aca="false">BG46-BG58</f>
        <v>14616.2031567943</v>
      </c>
      <c r="BH59" s="46" t="n">
        <f aca="false">BH46-BH58</f>
        <v>15024.6746571915</v>
      </c>
      <c r="BI59" s="46" t="n">
        <f aca="false">BI46-BI58</f>
        <v>15438.2281814861</v>
      </c>
      <c r="BJ59" s="46" t="n">
        <f aca="false">BJ46-BJ58</f>
        <v>15963.5502200159</v>
      </c>
      <c r="BK59" s="46" t="n">
        <f aca="false">BK46-BK58</f>
        <v>16365.7622326669</v>
      </c>
    </row>
    <row r="60" customFormat="false" ht="15" hidden="false" customHeight="false" outlineLevel="0" collapsed="false">
      <c r="B60" s="5" t="s">
        <v>634</v>
      </c>
    </row>
    <row r="61" customFormat="false" ht="15" hidden="false" customHeight="false" outlineLevel="0" collapsed="false">
      <c r="A61" s="28" t="s">
        <v>268</v>
      </c>
      <c r="B61" s="6" t="s">
        <v>635</v>
      </c>
      <c r="C61" s="47"/>
      <c r="D61" s="9" t="n">
        <f aca="false">Assumptions!$C$83*(1+Assumptions!$C$84)^INT(D7/12)</f>
        <v>17.95</v>
      </c>
      <c r="E61" s="9" t="n">
        <f aca="false">Assumptions!$C$83*(1+Assumptions!$C$84)^INT(E7/12)</f>
        <v>17.95</v>
      </c>
      <c r="F61" s="9" t="n">
        <f aca="false">Assumptions!$C$83*(1+Assumptions!$C$84)^INT(F7/12)</f>
        <v>17.95</v>
      </c>
      <c r="G61" s="9" t="n">
        <f aca="false">Assumptions!$C$83*(1+Assumptions!$C$84)^INT(G7/12)</f>
        <v>17.95</v>
      </c>
      <c r="H61" s="9" t="n">
        <f aca="false">Assumptions!$C$83*(1+Assumptions!$C$84)^INT(H7/12)</f>
        <v>17.95</v>
      </c>
      <c r="I61" s="9" t="n">
        <f aca="false">Assumptions!$C$83*(1+Assumptions!$C$84)^INT(I7/12)</f>
        <v>17.95</v>
      </c>
      <c r="J61" s="9" t="n">
        <f aca="false">Assumptions!$C$83*(1+Assumptions!$C$84)^INT(J7/12)</f>
        <v>17.95</v>
      </c>
      <c r="K61" s="9" t="n">
        <f aca="false">Assumptions!$C$83*(1+Assumptions!$C$84)^INT(K7/12)</f>
        <v>17.95</v>
      </c>
      <c r="L61" s="9" t="n">
        <f aca="false">Assumptions!$C$83*(1+Assumptions!$C$84)^INT(L7/12)</f>
        <v>17.95</v>
      </c>
      <c r="M61" s="9" t="n">
        <f aca="false">Assumptions!$C$83*(1+Assumptions!$C$84)^INT(M7/12)</f>
        <v>17.95</v>
      </c>
      <c r="N61" s="9" t="n">
        <f aca="false">Assumptions!$C$83*(1+Assumptions!$C$84)^INT(N7/12)</f>
        <v>17.95</v>
      </c>
      <c r="O61" s="9" t="n">
        <f aca="false">Assumptions!$C$83*(1+Assumptions!$C$84)^INT(O7/12)</f>
        <v>18.39875</v>
      </c>
      <c r="P61" s="9" t="n">
        <f aca="false">Assumptions!$C$83*(1+Assumptions!$C$84)^INT(P7/12)</f>
        <v>18.39875</v>
      </c>
      <c r="Q61" s="9" t="n">
        <f aca="false">Assumptions!$C$83*(1+Assumptions!$C$84)^INT(Q7/12)</f>
        <v>18.39875</v>
      </c>
      <c r="R61" s="9" t="n">
        <f aca="false">Assumptions!$C$83*(1+Assumptions!$C$84)^INT(R7/12)</f>
        <v>18.39875</v>
      </c>
      <c r="S61" s="9" t="n">
        <f aca="false">Assumptions!$C$83*(1+Assumptions!$C$84)^INT(S7/12)</f>
        <v>18.39875</v>
      </c>
      <c r="T61" s="9" t="n">
        <f aca="false">Assumptions!$C$83*(1+Assumptions!$C$84)^INT(T7/12)</f>
        <v>18.39875</v>
      </c>
      <c r="U61" s="9" t="n">
        <f aca="false">Assumptions!$C$83*(1+Assumptions!$C$84)^INT(U7/12)</f>
        <v>18.39875</v>
      </c>
      <c r="V61" s="9" t="n">
        <f aca="false">Assumptions!$C$83*(1+Assumptions!$C$84)^INT(V7/12)</f>
        <v>18.39875</v>
      </c>
      <c r="W61" s="9" t="n">
        <f aca="false">Assumptions!$C$83*(1+Assumptions!$C$84)^INT(W7/12)</f>
        <v>18.39875</v>
      </c>
      <c r="X61" s="9" t="n">
        <f aca="false">Assumptions!$C$83*(1+Assumptions!$C$84)^INT(X7/12)</f>
        <v>18.39875</v>
      </c>
      <c r="Y61" s="9" t="n">
        <f aca="false">Assumptions!$C$83*(1+Assumptions!$C$84)^INT(Y7/12)</f>
        <v>18.39875</v>
      </c>
      <c r="Z61" s="9" t="n">
        <f aca="false">Assumptions!$C$83*(1+Assumptions!$C$84)^INT(Z7/12)</f>
        <v>18.39875</v>
      </c>
      <c r="AA61" s="9" t="n">
        <f aca="false">Assumptions!$C$83*(1+Assumptions!$C$84)^INT(AA7/12)</f>
        <v>18.85871875</v>
      </c>
      <c r="AB61" s="9" t="n">
        <f aca="false">Assumptions!$C$83*(1+Assumptions!$C$84)^INT(AB7/12)</f>
        <v>18.85871875</v>
      </c>
      <c r="AC61" s="9" t="n">
        <f aca="false">Assumptions!$C$83*(1+Assumptions!$C$84)^INT(AC7/12)</f>
        <v>18.85871875</v>
      </c>
      <c r="AD61" s="9" t="n">
        <f aca="false">Assumptions!$C$83*(1+Assumptions!$C$84)^INT(AD7/12)</f>
        <v>18.85871875</v>
      </c>
      <c r="AE61" s="9" t="n">
        <f aca="false">Assumptions!$C$83*(1+Assumptions!$C$84)^INT(AE7/12)</f>
        <v>18.85871875</v>
      </c>
      <c r="AF61" s="9" t="n">
        <f aca="false">Assumptions!$C$83*(1+Assumptions!$C$84)^INT(AF7/12)</f>
        <v>18.85871875</v>
      </c>
      <c r="AG61" s="9" t="n">
        <f aca="false">Assumptions!$C$83*(1+Assumptions!$C$84)^INT(AG7/12)</f>
        <v>18.85871875</v>
      </c>
      <c r="AH61" s="9" t="n">
        <f aca="false">Assumptions!$C$83*(1+Assumptions!$C$84)^INT(AH7/12)</f>
        <v>18.85871875</v>
      </c>
      <c r="AI61" s="9" t="n">
        <f aca="false">Assumptions!$C$83*(1+Assumptions!$C$84)^INT(AI7/12)</f>
        <v>18.85871875</v>
      </c>
      <c r="AJ61" s="9" t="n">
        <f aca="false">Assumptions!$C$83*(1+Assumptions!$C$84)^INT(AJ7/12)</f>
        <v>18.85871875</v>
      </c>
      <c r="AK61" s="9" t="n">
        <f aca="false">Assumptions!$C$83*(1+Assumptions!$C$84)^INT(AK7/12)</f>
        <v>18.85871875</v>
      </c>
      <c r="AL61" s="9" t="n">
        <f aca="false">Assumptions!$C$83*(1+Assumptions!$C$84)^INT(AL7/12)</f>
        <v>18.85871875</v>
      </c>
      <c r="AM61" s="9" t="n">
        <f aca="false">Assumptions!$C$83*(1+Assumptions!$C$84)^INT(AM7/12)</f>
        <v>19.33018671875</v>
      </c>
      <c r="AN61" s="48" t="n">
        <f aca="false">Assumptions!$C$83*(1+Assumptions!$C$84)^INT(AN7/12)</f>
        <v>19.33018671875</v>
      </c>
      <c r="AO61" s="48" t="n">
        <f aca="false">Assumptions!$C$83*(1+Assumptions!$C$84)^INT(AO7/12)</f>
        <v>19.33018671875</v>
      </c>
      <c r="AP61" s="48" t="n">
        <f aca="false">Assumptions!$C$83*(1+Assumptions!$C$84)^INT(AP7/12)</f>
        <v>19.33018671875</v>
      </c>
      <c r="AQ61" s="48" t="n">
        <f aca="false">Assumptions!$C$83*(1+Assumptions!$C$84)^INT(AQ7/12)</f>
        <v>19.33018671875</v>
      </c>
      <c r="AR61" s="48" t="n">
        <f aca="false">Assumptions!$C$83*(1+Assumptions!$C$84)^INT(AR7/12)</f>
        <v>19.33018671875</v>
      </c>
      <c r="AS61" s="48" t="n">
        <f aca="false">Assumptions!$C$83*(1+Assumptions!$C$84)^INT(AS7/12)</f>
        <v>19.33018671875</v>
      </c>
      <c r="AT61" s="48" t="n">
        <f aca="false">Assumptions!$C$83*(1+Assumptions!$C$84)^INT(AT7/12)</f>
        <v>19.33018671875</v>
      </c>
      <c r="AU61" s="48" t="n">
        <f aca="false">Assumptions!$C$83*(1+Assumptions!$C$84)^INT(AU7/12)</f>
        <v>19.33018671875</v>
      </c>
      <c r="AV61" s="48" t="n">
        <f aca="false">Assumptions!$C$83*(1+Assumptions!$C$84)^INT(AV7/12)</f>
        <v>19.33018671875</v>
      </c>
      <c r="AW61" s="48" t="n">
        <f aca="false">Assumptions!$C$83*(1+Assumptions!$C$84)^INT(AW7/12)</f>
        <v>19.33018671875</v>
      </c>
      <c r="AX61" s="48" t="n">
        <f aca="false">Assumptions!$C$83*(1+Assumptions!$C$84)^INT(AX7/12)</f>
        <v>19.33018671875</v>
      </c>
      <c r="AY61" s="48" t="n">
        <f aca="false">Assumptions!$C$83*(1+Assumptions!$C$84)^INT(AY7/12)</f>
        <v>19.8134413867187</v>
      </c>
      <c r="AZ61" s="48" t="n">
        <f aca="false">Assumptions!$C$83*(1+Assumptions!$C$84)^INT(AZ7/12)</f>
        <v>19.8134413867187</v>
      </c>
      <c r="BA61" s="48" t="n">
        <f aca="false">Assumptions!$C$83*(1+Assumptions!$C$84)^INT(BA7/12)</f>
        <v>19.8134413867187</v>
      </c>
      <c r="BB61" s="48" t="n">
        <f aca="false">Assumptions!$C$83*(1+Assumptions!$C$84)^INT(BB7/12)</f>
        <v>19.8134413867187</v>
      </c>
      <c r="BC61" s="48" t="n">
        <f aca="false">Assumptions!$C$83*(1+Assumptions!$C$84)^INT(BC7/12)</f>
        <v>19.8134413867187</v>
      </c>
      <c r="BD61" s="48" t="n">
        <f aca="false">Assumptions!$C$83*(1+Assumptions!$C$84)^INT(BD7/12)</f>
        <v>19.8134413867187</v>
      </c>
      <c r="BE61" s="48" t="n">
        <f aca="false">Assumptions!$C$83*(1+Assumptions!$C$84)^INT(BE7/12)</f>
        <v>19.8134413867187</v>
      </c>
      <c r="BF61" s="48" t="n">
        <f aca="false">Assumptions!$C$83*(1+Assumptions!$C$84)^INT(BF7/12)</f>
        <v>19.8134413867187</v>
      </c>
      <c r="BG61" s="48" t="n">
        <f aca="false">Assumptions!$C$83*(1+Assumptions!$C$84)^INT(BG7/12)</f>
        <v>19.8134413867187</v>
      </c>
      <c r="BH61" s="48" t="n">
        <f aca="false">Assumptions!$C$83*(1+Assumptions!$C$84)^INT(BH7/12)</f>
        <v>19.8134413867187</v>
      </c>
      <c r="BI61" s="48" t="n">
        <f aca="false">Assumptions!$C$83*(1+Assumptions!$C$84)^INT(BI7/12)</f>
        <v>19.8134413867187</v>
      </c>
      <c r="BJ61" s="48" t="n">
        <f aca="false">Assumptions!$C$83*(1+Assumptions!$C$84)^INT(BJ7/12)</f>
        <v>19.8134413867187</v>
      </c>
      <c r="BK61" s="48" t="n">
        <f aca="false">Assumptions!$C$83*(1+Assumptions!$C$84)^INT(BK7/12)</f>
        <v>20.3087774213867</v>
      </c>
    </row>
    <row r="62" customFormat="false" ht="15" hidden="false" customHeight="false" outlineLevel="0" collapsed="false">
      <c r="A62" s="28" t="s">
        <v>636</v>
      </c>
      <c r="B62" s="6" t="s">
        <v>637</v>
      </c>
      <c r="C62" s="43"/>
      <c r="D62" s="17" t="n">
        <f aca="false">D11*Assumptions!$C$86*D61*(1+Assumptions!$C$85)*Assumptions!$C$91</f>
        <v>0</v>
      </c>
      <c r="E62" s="17" t="n">
        <f aca="false">E11*Assumptions!$C$86*E61*(1+Assumptions!$C$85)*Assumptions!$C$91</f>
        <v>0</v>
      </c>
      <c r="F62" s="17" t="n">
        <f aca="false">F11*Assumptions!$C$86*F61*(1+Assumptions!$C$85)*Assumptions!$C$91</f>
        <v>0</v>
      </c>
      <c r="G62" s="17" t="n">
        <f aca="false">G11*Assumptions!$C$86*G61*(1+Assumptions!$C$85)*Assumptions!$C$91</f>
        <v>0</v>
      </c>
      <c r="H62" s="17" t="n">
        <f aca="false">H11*Assumptions!$C$86*H61*(1+Assumptions!$C$85)*Assumptions!$C$91</f>
        <v>344.8195</v>
      </c>
      <c r="I62" s="17" t="n">
        <f aca="false">I11*Assumptions!$C$86*I61*(1+Assumptions!$C$85)*Assumptions!$C$91</f>
        <v>303.44116</v>
      </c>
      <c r="J62" s="17" t="n">
        <f aca="false">J11*Assumptions!$C$86*J61*(1+Assumptions!$C$85)*Assumptions!$C$91</f>
        <v>206.8917</v>
      </c>
      <c r="K62" s="17" t="n">
        <f aca="false">K11*Assumptions!$C$86*K61*(1+Assumptions!$C$85)*Assumptions!$C$91</f>
        <v>482.7473</v>
      </c>
      <c r="L62" s="17" t="n">
        <f aca="false">L11*Assumptions!$C$86*L61*(1+Assumptions!$C$85)*Assumptions!$C$91</f>
        <v>386.19784</v>
      </c>
      <c r="M62" s="17" t="n">
        <f aca="false">M11*Assumptions!$C$86*M61*(1+Assumptions!$C$85)*Assumptions!$C$91</f>
        <v>275.8556</v>
      </c>
      <c r="N62" s="17" t="n">
        <f aca="false">N11*Assumptions!$C$86*N61*(1+Assumptions!$C$85)*Assumptions!$C$91</f>
        <v>496.54008</v>
      </c>
      <c r="O62" s="17" t="n">
        <f aca="false">O11*Assumptions!$C$86*O61*(1+Assumptions!$C$85)*Assumptions!$C$91</f>
        <v>763.430373</v>
      </c>
      <c r="P62" s="17" t="n">
        <f aca="false">P11*Assumptions!$C$86*P61*(1+Assumptions!$C$85)*Assumptions!$C$91</f>
        <v>607.9167785</v>
      </c>
      <c r="Q62" s="17" t="n">
        <f aca="false">Q11*Assumptions!$C$86*Q61*(1+Assumptions!$C$85)*Assumptions!$C$91</f>
        <v>735.155174</v>
      </c>
      <c r="R62" s="17" t="n">
        <f aca="false">R11*Assumptions!$C$86*R61*(1+Assumptions!$C$85)*Assumptions!$C$91</f>
        <v>918.9439675</v>
      </c>
      <c r="S62" s="17" t="n">
        <f aca="false">S11*Assumptions!$C$86*S61*(1+Assumptions!$C$85)*Assumptions!$C$91</f>
        <v>706.879975</v>
      </c>
      <c r="T62" s="17" t="n">
        <f aca="false">T11*Assumptions!$C$86*T61*(1+Assumptions!$C$85)*Assumptions!$C$91</f>
        <v>819.980771</v>
      </c>
      <c r="U62" s="17" t="n">
        <f aca="false">U11*Assumptions!$C$86*U61*(1+Assumptions!$C$85)*Assumptions!$C$91</f>
        <v>947.2191665</v>
      </c>
      <c r="V62" s="17" t="n">
        <f aca="false">V11*Assumptions!$C$86*V61*(1+Assumptions!$C$85)*Assumptions!$C$91</f>
        <v>1088.5951615</v>
      </c>
      <c r="W62" s="17" t="n">
        <f aca="false">W11*Assumptions!$C$86*W61*(1+Assumptions!$C$85)*Assumptions!$C$91</f>
        <v>1159.283159</v>
      </c>
      <c r="X62" s="17" t="n">
        <f aca="false">X11*Assumptions!$C$86*X61*(1+Assumptions!$C$85)*Assumptions!$C$91</f>
        <v>1187.558358</v>
      </c>
      <c r="Y62" s="17" t="n">
        <f aca="false">Y11*Assumptions!$C$86*Y61*(1+Assumptions!$C$85)*Assumptions!$C$91</f>
        <v>1258.2463555</v>
      </c>
      <c r="Z62" s="17" t="n">
        <f aca="false">Z11*Assumptions!$C$86*Z61*(1+Assumptions!$C$85)*Assumptions!$C$91</f>
        <v>1272.383955</v>
      </c>
      <c r="AA62" s="17" t="n">
        <f aca="false">AA11*Assumptions!$C$86*AA61*(1+Assumptions!$C$85)*Assumptions!$C$91</f>
        <v>1318.6845933625</v>
      </c>
      <c r="AB62" s="17" t="n">
        <f aca="false">AB11*Assumptions!$C$86*AB61*(1+Assumptions!$C$85)*Assumptions!$C$91</f>
        <v>1333.17563285</v>
      </c>
      <c r="AC62" s="17" t="n">
        <f aca="false">AC11*Assumptions!$C$86*AC61*(1+Assumptions!$C$85)*Assumptions!$C$91</f>
        <v>1347.6666723375</v>
      </c>
      <c r="AD62" s="17" t="n">
        <f aca="false">AD11*Assumptions!$C$86*AD61*(1+Assumptions!$C$85)*Assumptions!$C$91</f>
        <v>1362.157711825</v>
      </c>
      <c r="AE62" s="17" t="n">
        <f aca="false">AE11*Assumptions!$C$86*AE61*(1+Assumptions!$C$85)*Assumptions!$C$91</f>
        <v>1362.157711825</v>
      </c>
      <c r="AF62" s="17" t="n">
        <f aca="false">AF11*Assumptions!$C$86*AF61*(1+Assumptions!$C$85)*Assumptions!$C$91</f>
        <v>1738.9247385</v>
      </c>
      <c r="AG62" s="17" t="n">
        <f aca="false">AG11*Assumptions!$C$86*AG61*(1+Assumptions!$C$85)*Assumptions!$C$91</f>
        <v>1709.942659525</v>
      </c>
      <c r="AH62" s="17" t="n">
        <f aca="false">AH11*Assumptions!$C$86*AH61*(1+Assumptions!$C$85)*Assumptions!$C$91</f>
        <v>1608.5053831125</v>
      </c>
      <c r="AI62" s="17" t="n">
        <f aca="false">AI11*Assumptions!$C$86*AI61*(1+Assumptions!$C$85)*Assumptions!$C$91</f>
        <v>1912.81721235</v>
      </c>
      <c r="AJ62" s="17" t="n">
        <f aca="false">AJ11*Assumptions!$C$86*AJ61*(1+Assumptions!$C$85)*Assumptions!$C$91</f>
        <v>1825.870975425</v>
      </c>
      <c r="AK62" s="17" t="n">
        <f aca="false">AK11*Assumptions!$C$86*AK61*(1+Assumptions!$C$85)*Assumptions!$C$91</f>
        <v>1709.942659525</v>
      </c>
      <c r="AL62" s="17" t="n">
        <f aca="false">AL11*Assumptions!$C$86*AL61*(1+Assumptions!$C$85)*Assumptions!$C$91</f>
        <v>1941.799291325</v>
      </c>
      <c r="AM62" s="17" t="n">
        <f aca="false">AM11*Assumptions!$C$86*AM61*(1+Assumptions!$C$85)*Assumptions!$C$91</f>
        <v>1901.22438076</v>
      </c>
      <c r="AN62" s="44" t="n">
        <f aca="false">AN11*Assumptions!$C$86*AN61*(1+Assumptions!$C$85)*Assumptions!$C$91</f>
        <v>1782.3978569625</v>
      </c>
      <c r="AO62" s="44" t="n">
        <f aca="false">AO11*Assumptions!$C$86*AO61*(1+Assumptions!$C$85)*Assumptions!$C$91</f>
        <v>2020.0509045575</v>
      </c>
      <c r="AP62" s="44" t="n">
        <f aca="false">AP11*Assumptions!$C$86*AP61*(1+Assumptions!$C$85)*Assumptions!$C$91</f>
        <v>1930.93101170937</v>
      </c>
      <c r="AQ62" s="44" t="n">
        <f aca="false">AQ11*Assumptions!$C$86*AQ61*(1+Assumptions!$C$85)*Assumptions!$C$91</f>
        <v>1812.10448791187</v>
      </c>
      <c r="AR62" s="44" t="n">
        <f aca="false">AR11*Assumptions!$C$86*AR61*(1+Assumptions!$C$85)*Assumptions!$C$91</f>
        <v>2049.75753550687</v>
      </c>
      <c r="AS62" s="44" t="n">
        <f aca="false">AS11*Assumptions!$C$86*AS61*(1+Assumptions!$C$85)*Assumptions!$C$91</f>
        <v>1945.78432718406</v>
      </c>
      <c r="AT62" s="44" t="n">
        <f aca="false">AT11*Assumptions!$C$86*AT61*(1+Assumptions!$C$85)*Assumptions!$C$91</f>
        <v>1826.95780338656</v>
      </c>
      <c r="AU62" s="44" t="n">
        <f aca="false">AU11*Assumptions!$C$86*AU61*(1+Assumptions!$C$85)*Assumptions!$C$91</f>
        <v>2064.61085098156</v>
      </c>
      <c r="AV62" s="44" t="n">
        <f aca="false">AV11*Assumptions!$C$86*AV61*(1+Assumptions!$C$85)*Assumptions!$C$91</f>
        <v>1960.63764265875</v>
      </c>
      <c r="AW62" s="44" t="n">
        <f aca="false">AW11*Assumptions!$C$86*AW61*(1+Assumptions!$C$85)*Assumptions!$C$91</f>
        <v>1841.81111886125</v>
      </c>
      <c r="AX62" s="44" t="n">
        <f aca="false">AX11*Assumptions!$C$86*AX61*(1+Assumptions!$C$85)*Assumptions!$C$91</f>
        <v>2079.46416645625</v>
      </c>
      <c r="AY62" s="44" t="n">
        <f aca="false">AY11*Assumptions!$C$86*AY61*(1+Assumptions!$C$85)*Assumptions!$C$91</f>
        <v>2024.87823208677</v>
      </c>
      <c r="AZ62" s="44" t="n">
        <f aca="false">AZ11*Assumptions!$C$86*AZ61*(1+Assumptions!$C$85)*Assumptions!$C$91</f>
        <v>1903.08104519434</v>
      </c>
      <c r="BA62" s="44" t="n">
        <f aca="false">BA11*Assumptions!$C$86*BA61*(1+Assumptions!$C$85)*Assumptions!$C$91</f>
        <v>2146.67541897921</v>
      </c>
      <c r="BB62" s="44" t="n">
        <f aca="false">BB11*Assumptions!$C$86*BB61*(1+Assumptions!$C$85)*Assumptions!$C$91</f>
        <v>2040.10288044833</v>
      </c>
      <c r="BC62" s="44" t="n">
        <f aca="false">BC11*Assumptions!$C$86*BC61*(1+Assumptions!$C$85)*Assumptions!$C$91</f>
        <v>1903.08104519434</v>
      </c>
      <c r="BD62" s="44" t="n">
        <f aca="false">BD11*Assumptions!$C$86*BD61*(1+Assumptions!$C$85)*Assumptions!$C$91</f>
        <v>2146.67541897921</v>
      </c>
      <c r="BE62" s="44" t="n">
        <f aca="false">BE11*Assumptions!$C$86*BE61*(1+Assumptions!$C$85)*Assumptions!$C$91</f>
        <v>2040.10288044833</v>
      </c>
      <c r="BF62" s="44" t="n">
        <f aca="false">BF11*Assumptions!$C$86*BF61*(1+Assumptions!$C$85)*Assumptions!$C$91</f>
        <v>1903.08104519434</v>
      </c>
      <c r="BG62" s="44" t="n">
        <f aca="false">BG11*Assumptions!$C$86*BG61*(1+Assumptions!$C$85)*Assumptions!$C$91</f>
        <v>2146.67541897921</v>
      </c>
      <c r="BH62" s="44" t="n">
        <f aca="false">BH11*Assumptions!$C$86*BH61*(1+Assumptions!$C$85)*Assumptions!$C$91</f>
        <v>2040.10288044833</v>
      </c>
      <c r="BI62" s="44" t="n">
        <f aca="false">BI11*Assumptions!$C$86*BI61*(1+Assumptions!$C$85)*Assumptions!$C$91</f>
        <v>1903.08104519434</v>
      </c>
      <c r="BJ62" s="44" t="n">
        <f aca="false">BJ11*Assumptions!$C$86*BJ61*(1+Assumptions!$C$85)*Assumptions!$C$91</f>
        <v>2146.67541897921</v>
      </c>
      <c r="BK62" s="44" t="n">
        <f aca="false">BK11*Assumptions!$C$86*BK61*(1+Assumptions!$C$85)*Assumptions!$C$91</f>
        <v>2091.10545245954</v>
      </c>
    </row>
    <row r="63" customFormat="false" ht="15" hidden="false" customHeight="false" outlineLevel="0" collapsed="false">
      <c r="A63" s="28" t="s">
        <v>638</v>
      </c>
      <c r="B63" s="6" t="s">
        <v>639</v>
      </c>
      <c r="C63" s="43"/>
      <c r="D63" s="17" t="n">
        <f aca="false">D14*Assumptions!$C$87*(1+Assumptions!$C$85)*Assumptions!$C$91</f>
        <v>0</v>
      </c>
      <c r="E63" s="17" t="n">
        <f aca="false">E14*Assumptions!$C$87*(1+Assumptions!$C$85)*Assumptions!$C$91</f>
        <v>0</v>
      </c>
      <c r="F63" s="17" t="n">
        <f aca="false">F14*Assumptions!$C$87*(1+Assumptions!$C$85)*Assumptions!$C$91</f>
        <v>0</v>
      </c>
      <c r="G63" s="17" t="n">
        <f aca="false">G14*Assumptions!$C$87*(1+Assumptions!$C$85)*Assumptions!$C$91</f>
        <v>0</v>
      </c>
      <c r="H63" s="17" t="n">
        <f aca="false">H14*Assumptions!$C$87*(1+Assumptions!$C$85)*Assumptions!$C$91</f>
        <v>115.26</v>
      </c>
      <c r="I63" s="17" t="n">
        <f aca="false">I14*Assumptions!$C$87*(1+Assumptions!$C$85)*Assumptions!$C$91</f>
        <v>101.4288</v>
      </c>
      <c r="J63" s="17" t="n">
        <f aca="false">J14*Assumptions!$C$87*(1+Assumptions!$C$85)*Assumptions!$C$91</f>
        <v>69.156</v>
      </c>
      <c r="K63" s="17" t="n">
        <f aca="false">K14*Assumptions!$C$87*(1+Assumptions!$C$85)*Assumptions!$C$91</f>
        <v>161.364</v>
      </c>
      <c r="L63" s="17" t="n">
        <f aca="false">L14*Assumptions!$C$87*(1+Assumptions!$C$85)*Assumptions!$C$91</f>
        <v>129.0912</v>
      </c>
      <c r="M63" s="17" t="n">
        <f aca="false">M14*Assumptions!$C$87*(1+Assumptions!$C$85)*Assumptions!$C$91</f>
        <v>92.208</v>
      </c>
      <c r="N63" s="17" t="n">
        <f aca="false">N14*Assumptions!$C$87*(1+Assumptions!$C$85)*Assumptions!$C$91</f>
        <v>165.9744</v>
      </c>
      <c r="O63" s="17" t="n">
        <f aca="false">O14*Assumptions!$C$87*(1+Assumptions!$C$85)*Assumptions!$C$91</f>
        <v>248.9616</v>
      </c>
      <c r="P63" s="17" t="n">
        <f aca="false">P14*Assumptions!$C$87*(1+Assumptions!$C$85)*Assumptions!$C$91</f>
        <v>198.2472</v>
      </c>
      <c r="Q63" s="17" t="n">
        <f aca="false">Q14*Assumptions!$C$87*(1+Assumptions!$C$85)*Assumptions!$C$91</f>
        <v>239.7408</v>
      </c>
      <c r="R63" s="17" t="n">
        <f aca="false">R14*Assumptions!$C$87*(1+Assumptions!$C$85)*Assumptions!$C$91</f>
        <v>299.676</v>
      </c>
      <c r="S63" s="17" t="n">
        <f aca="false">S14*Assumptions!$C$87*(1+Assumptions!$C$85)*Assumptions!$C$91</f>
        <v>230.52</v>
      </c>
      <c r="T63" s="17" t="n">
        <f aca="false">T14*Assumptions!$C$87*(1+Assumptions!$C$85)*Assumptions!$C$91</f>
        <v>267.4032</v>
      </c>
      <c r="U63" s="17" t="n">
        <f aca="false">U14*Assumptions!$C$87*(1+Assumptions!$C$85)*Assumptions!$C$91</f>
        <v>308.8968</v>
      </c>
      <c r="V63" s="17" t="n">
        <f aca="false">V14*Assumptions!$C$87*(1+Assumptions!$C$85)*Assumptions!$C$91</f>
        <v>355.0008</v>
      </c>
      <c r="W63" s="17" t="n">
        <f aca="false">W14*Assumptions!$C$87*(1+Assumptions!$C$85)*Assumptions!$C$91</f>
        <v>378.0528</v>
      </c>
      <c r="X63" s="17" t="n">
        <f aca="false">X14*Assumptions!$C$87*(1+Assumptions!$C$85)*Assumptions!$C$91</f>
        <v>387.2736</v>
      </c>
      <c r="Y63" s="17" t="n">
        <f aca="false">Y14*Assumptions!$C$87*(1+Assumptions!$C$85)*Assumptions!$C$91</f>
        <v>410.3256</v>
      </c>
      <c r="Z63" s="17" t="n">
        <f aca="false">Z14*Assumptions!$C$87*(1+Assumptions!$C$85)*Assumptions!$C$91</f>
        <v>414.936</v>
      </c>
      <c r="AA63" s="17" t="n">
        <f aca="false">AA14*Assumptions!$C$87*(1+Assumptions!$C$85)*Assumptions!$C$91</f>
        <v>419.5464</v>
      </c>
      <c r="AB63" s="17" t="n">
        <f aca="false">AB14*Assumptions!$C$87*(1+Assumptions!$C$85)*Assumptions!$C$91</f>
        <v>424.1568</v>
      </c>
      <c r="AC63" s="17" t="n">
        <f aca="false">AC14*Assumptions!$C$87*(1+Assumptions!$C$85)*Assumptions!$C$91</f>
        <v>428.7672</v>
      </c>
      <c r="AD63" s="17" t="n">
        <f aca="false">AD14*Assumptions!$C$87*(1+Assumptions!$C$85)*Assumptions!$C$91</f>
        <v>433.3776</v>
      </c>
      <c r="AE63" s="17" t="n">
        <f aca="false">AE14*Assumptions!$C$87*(1+Assumptions!$C$85)*Assumptions!$C$91</f>
        <v>433.3776</v>
      </c>
      <c r="AF63" s="17" t="n">
        <f aca="false">AF14*Assumptions!$C$87*(1+Assumptions!$C$85)*Assumptions!$C$91</f>
        <v>553.248</v>
      </c>
      <c r="AG63" s="17" t="n">
        <f aca="false">AG14*Assumptions!$C$87*(1+Assumptions!$C$85)*Assumptions!$C$91</f>
        <v>544.0272</v>
      </c>
      <c r="AH63" s="17" t="n">
        <f aca="false">AH14*Assumptions!$C$87*(1+Assumptions!$C$85)*Assumptions!$C$91</f>
        <v>511.7544</v>
      </c>
      <c r="AI63" s="17" t="n">
        <f aca="false">AI14*Assumptions!$C$87*(1+Assumptions!$C$85)*Assumptions!$C$91</f>
        <v>608.5728</v>
      </c>
      <c r="AJ63" s="17" t="n">
        <f aca="false">AJ14*Assumptions!$C$87*(1+Assumptions!$C$85)*Assumptions!$C$91</f>
        <v>580.9104</v>
      </c>
      <c r="AK63" s="17" t="n">
        <f aca="false">AK14*Assumptions!$C$87*(1+Assumptions!$C$85)*Assumptions!$C$91</f>
        <v>544.0272</v>
      </c>
      <c r="AL63" s="17" t="n">
        <f aca="false">AL14*Assumptions!$C$87*(1+Assumptions!$C$85)*Assumptions!$C$91</f>
        <v>617.7936</v>
      </c>
      <c r="AM63" s="17" t="n">
        <f aca="false">AM14*Assumptions!$C$87*(1+Assumptions!$C$85)*Assumptions!$C$91</f>
        <v>590.1312</v>
      </c>
      <c r="AN63" s="44" t="n">
        <f aca="false">AN14*Assumptions!$C$87*(1+Assumptions!$C$85)*Assumptions!$C$91</f>
        <v>553.248</v>
      </c>
      <c r="AO63" s="44" t="n">
        <f aca="false">AO14*Assumptions!$C$87*(1+Assumptions!$C$85)*Assumptions!$C$91</f>
        <v>627.0144</v>
      </c>
      <c r="AP63" s="44" t="n">
        <f aca="false">AP14*Assumptions!$C$87*(1+Assumptions!$C$85)*Assumptions!$C$91</f>
        <v>599.352</v>
      </c>
      <c r="AQ63" s="44" t="n">
        <f aca="false">AQ14*Assumptions!$C$87*(1+Assumptions!$C$85)*Assumptions!$C$91</f>
        <v>562.4688</v>
      </c>
      <c r="AR63" s="44" t="n">
        <f aca="false">AR14*Assumptions!$C$87*(1+Assumptions!$C$85)*Assumptions!$C$91</f>
        <v>636.2352</v>
      </c>
      <c r="AS63" s="44" t="n">
        <f aca="false">AS14*Assumptions!$C$87*(1+Assumptions!$C$85)*Assumptions!$C$91</f>
        <v>603.9624</v>
      </c>
      <c r="AT63" s="44" t="n">
        <f aca="false">AT14*Assumptions!$C$87*(1+Assumptions!$C$85)*Assumptions!$C$91</f>
        <v>567.0792</v>
      </c>
      <c r="AU63" s="44" t="n">
        <f aca="false">AU14*Assumptions!$C$87*(1+Assumptions!$C$85)*Assumptions!$C$91</f>
        <v>640.8456</v>
      </c>
      <c r="AV63" s="44" t="n">
        <f aca="false">AV14*Assumptions!$C$87*(1+Assumptions!$C$85)*Assumptions!$C$91</f>
        <v>608.5728</v>
      </c>
      <c r="AW63" s="44" t="n">
        <f aca="false">AW14*Assumptions!$C$87*(1+Assumptions!$C$85)*Assumptions!$C$91</f>
        <v>571.6896</v>
      </c>
      <c r="AX63" s="44" t="n">
        <f aca="false">AX14*Assumptions!$C$87*(1+Assumptions!$C$85)*Assumptions!$C$91</f>
        <v>645.456</v>
      </c>
      <c r="AY63" s="44" t="n">
        <f aca="false">AY14*Assumptions!$C$87*(1+Assumptions!$C$85)*Assumptions!$C$91</f>
        <v>613.1832</v>
      </c>
      <c r="AZ63" s="44" t="n">
        <f aca="false">AZ14*Assumptions!$C$87*(1+Assumptions!$C$85)*Assumptions!$C$91</f>
        <v>576.3</v>
      </c>
      <c r="BA63" s="44" t="n">
        <f aca="false">BA14*Assumptions!$C$87*(1+Assumptions!$C$85)*Assumptions!$C$91</f>
        <v>650.0664</v>
      </c>
      <c r="BB63" s="44" t="n">
        <f aca="false">BB14*Assumptions!$C$87*(1+Assumptions!$C$85)*Assumptions!$C$91</f>
        <v>617.7936</v>
      </c>
      <c r="BC63" s="44" t="n">
        <f aca="false">BC14*Assumptions!$C$87*(1+Assumptions!$C$85)*Assumptions!$C$91</f>
        <v>576.3</v>
      </c>
      <c r="BD63" s="44" t="n">
        <f aca="false">BD14*Assumptions!$C$87*(1+Assumptions!$C$85)*Assumptions!$C$91</f>
        <v>650.0664</v>
      </c>
      <c r="BE63" s="44" t="n">
        <f aca="false">BE14*Assumptions!$C$87*(1+Assumptions!$C$85)*Assumptions!$C$91</f>
        <v>617.7936</v>
      </c>
      <c r="BF63" s="44" t="n">
        <f aca="false">BF14*Assumptions!$C$87*(1+Assumptions!$C$85)*Assumptions!$C$91</f>
        <v>576.3</v>
      </c>
      <c r="BG63" s="44" t="n">
        <f aca="false">BG14*Assumptions!$C$87*(1+Assumptions!$C$85)*Assumptions!$C$91</f>
        <v>650.0664</v>
      </c>
      <c r="BH63" s="44" t="n">
        <f aca="false">BH14*Assumptions!$C$87*(1+Assumptions!$C$85)*Assumptions!$C$91</f>
        <v>617.7936</v>
      </c>
      <c r="BI63" s="44" t="n">
        <f aca="false">BI14*Assumptions!$C$87*(1+Assumptions!$C$85)*Assumptions!$C$91</f>
        <v>576.3</v>
      </c>
      <c r="BJ63" s="44" t="n">
        <f aca="false">BJ14*Assumptions!$C$87*(1+Assumptions!$C$85)*Assumptions!$C$91</f>
        <v>650.0664</v>
      </c>
      <c r="BK63" s="44" t="n">
        <f aca="false">BK14*Assumptions!$C$87*(1+Assumptions!$C$85)*Assumptions!$C$91</f>
        <v>617.7936</v>
      </c>
    </row>
    <row r="64" customFormat="false" ht="15" hidden="false" customHeight="false" outlineLevel="0" collapsed="false">
      <c r="A64" s="28" t="s">
        <v>640</v>
      </c>
      <c r="B64" s="6" t="s">
        <v>641</v>
      </c>
      <c r="C64" s="43"/>
      <c r="D64" s="17" t="n">
        <f aca="false">D11*Assumptions!$C$88*Assumptions!$C$91</f>
        <v>0</v>
      </c>
      <c r="E64" s="17" t="n">
        <f aca="false">E11*Assumptions!$C$88*Assumptions!$C$91</f>
        <v>0</v>
      </c>
      <c r="F64" s="17" t="n">
        <f aca="false">F11*Assumptions!$C$88*Assumptions!$C$91</f>
        <v>0</v>
      </c>
      <c r="G64" s="17" t="n">
        <f aca="false">G11*Assumptions!$C$88*Assumptions!$C$91</f>
        <v>0</v>
      </c>
      <c r="H64" s="17" t="n">
        <f aca="false">H11*Assumptions!$C$88*Assumptions!$C$91</f>
        <v>102</v>
      </c>
      <c r="I64" s="17" t="n">
        <f aca="false">I11*Assumptions!$C$88*Assumptions!$C$91</f>
        <v>89.76</v>
      </c>
      <c r="J64" s="17" t="n">
        <f aca="false">J11*Assumptions!$C$88*Assumptions!$C$91</f>
        <v>61.2</v>
      </c>
      <c r="K64" s="17" t="n">
        <f aca="false">K11*Assumptions!$C$88*Assumptions!$C$91</f>
        <v>142.8</v>
      </c>
      <c r="L64" s="17" t="n">
        <f aca="false">L11*Assumptions!$C$88*Assumptions!$C$91</f>
        <v>114.24</v>
      </c>
      <c r="M64" s="17" t="n">
        <f aca="false">M11*Assumptions!$C$88*Assumptions!$C$91</f>
        <v>81.6</v>
      </c>
      <c r="N64" s="17" t="n">
        <f aca="false">N11*Assumptions!$C$88*Assumptions!$C$91</f>
        <v>146.88</v>
      </c>
      <c r="O64" s="17" t="n">
        <f aca="false">O11*Assumptions!$C$88*Assumptions!$C$91</f>
        <v>220.32</v>
      </c>
      <c r="P64" s="17" t="n">
        <f aca="false">P11*Assumptions!$C$88*Assumptions!$C$91</f>
        <v>175.44</v>
      </c>
      <c r="Q64" s="17" t="n">
        <f aca="false">Q11*Assumptions!$C$88*Assumptions!$C$91</f>
        <v>212.16</v>
      </c>
      <c r="R64" s="17" t="n">
        <f aca="false">R11*Assumptions!$C$88*Assumptions!$C$91</f>
        <v>265.2</v>
      </c>
      <c r="S64" s="17" t="n">
        <f aca="false">S11*Assumptions!$C$88*Assumptions!$C$91</f>
        <v>204</v>
      </c>
      <c r="T64" s="17" t="n">
        <f aca="false">T11*Assumptions!$C$88*Assumptions!$C$91</f>
        <v>236.64</v>
      </c>
      <c r="U64" s="17" t="n">
        <f aca="false">U11*Assumptions!$C$88*Assumptions!$C$91</f>
        <v>273.36</v>
      </c>
      <c r="V64" s="17" t="n">
        <f aca="false">V11*Assumptions!$C$88*Assumptions!$C$91</f>
        <v>314.16</v>
      </c>
      <c r="W64" s="17" t="n">
        <f aca="false">W11*Assumptions!$C$88*Assumptions!$C$91</f>
        <v>334.56</v>
      </c>
      <c r="X64" s="17" t="n">
        <f aca="false">X11*Assumptions!$C$88*Assumptions!$C$91</f>
        <v>342.72</v>
      </c>
      <c r="Y64" s="17" t="n">
        <f aca="false">Y11*Assumptions!$C$88*Assumptions!$C$91</f>
        <v>363.12</v>
      </c>
      <c r="Z64" s="17" t="n">
        <f aca="false">Z11*Assumptions!$C$88*Assumptions!$C$91</f>
        <v>367.2</v>
      </c>
      <c r="AA64" s="17" t="n">
        <f aca="false">AA11*Assumptions!$C$88*Assumptions!$C$91</f>
        <v>371.28</v>
      </c>
      <c r="AB64" s="17" t="n">
        <f aca="false">AB11*Assumptions!$C$88*Assumptions!$C$91</f>
        <v>375.36</v>
      </c>
      <c r="AC64" s="17" t="n">
        <f aca="false">AC11*Assumptions!$C$88*Assumptions!$C$91</f>
        <v>379.44</v>
      </c>
      <c r="AD64" s="17" t="n">
        <f aca="false">AD11*Assumptions!$C$88*Assumptions!$C$91</f>
        <v>383.52</v>
      </c>
      <c r="AE64" s="17" t="n">
        <f aca="false">AE11*Assumptions!$C$88*Assumptions!$C$91</f>
        <v>383.52</v>
      </c>
      <c r="AF64" s="17" t="n">
        <f aca="false">AF11*Assumptions!$C$88*Assumptions!$C$91</f>
        <v>489.6</v>
      </c>
      <c r="AG64" s="17" t="n">
        <f aca="false">AG11*Assumptions!$C$88*Assumptions!$C$91</f>
        <v>481.44</v>
      </c>
      <c r="AH64" s="17" t="n">
        <f aca="false">AH11*Assumptions!$C$88*Assumptions!$C$91</f>
        <v>452.88</v>
      </c>
      <c r="AI64" s="17" t="n">
        <f aca="false">AI11*Assumptions!$C$88*Assumptions!$C$91</f>
        <v>538.56</v>
      </c>
      <c r="AJ64" s="17" t="n">
        <f aca="false">AJ11*Assumptions!$C$88*Assumptions!$C$91</f>
        <v>514.08</v>
      </c>
      <c r="AK64" s="17" t="n">
        <f aca="false">AK11*Assumptions!$C$88*Assumptions!$C$91</f>
        <v>481.44</v>
      </c>
      <c r="AL64" s="17" t="n">
        <f aca="false">AL11*Assumptions!$C$88*Assumptions!$C$91</f>
        <v>546.72</v>
      </c>
      <c r="AM64" s="17" t="n">
        <f aca="false">AM11*Assumptions!$C$88*Assumptions!$C$91</f>
        <v>522.24</v>
      </c>
      <c r="AN64" s="44" t="n">
        <f aca="false">AN11*Assumptions!$C$88*Assumptions!$C$91</f>
        <v>489.6</v>
      </c>
      <c r="AO64" s="44" t="n">
        <f aca="false">AO11*Assumptions!$C$88*Assumptions!$C$91</f>
        <v>554.88</v>
      </c>
      <c r="AP64" s="44" t="n">
        <f aca="false">AP11*Assumptions!$C$88*Assumptions!$C$91</f>
        <v>530.4</v>
      </c>
      <c r="AQ64" s="44" t="n">
        <f aca="false">AQ11*Assumptions!$C$88*Assumptions!$C$91</f>
        <v>497.76</v>
      </c>
      <c r="AR64" s="44" t="n">
        <f aca="false">AR11*Assumptions!$C$88*Assumptions!$C$91</f>
        <v>563.04</v>
      </c>
      <c r="AS64" s="44" t="n">
        <f aca="false">AS11*Assumptions!$C$88*Assumptions!$C$91</f>
        <v>534.48</v>
      </c>
      <c r="AT64" s="44" t="n">
        <f aca="false">AT11*Assumptions!$C$88*Assumptions!$C$91</f>
        <v>501.84</v>
      </c>
      <c r="AU64" s="44" t="n">
        <f aca="false">AU11*Assumptions!$C$88*Assumptions!$C$91</f>
        <v>567.12</v>
      </c>
      <c r="AV64" s="44" t="n">
        <f aca="false">AV11*Assumptions!$C$88*Assumptions!$C$91</f>
        <v>538.56</v>
      </c>
      <c r="AW64" s="44" t="n">
        <f aca="false">AW11*Assumptions!$C$88*Assumptions!$C$91</f>
        <v>505.92</v>
      </c>
      <c r="AX64" s="44" t="n">
        <f aca="false">AX11*Assumptions!$C$88*Assumptions!$C$91</f>
        <v>571.2</v>
      </c>
      <c r="AY64" s="44" t="n">
        <f aca="false">AY11*Assumptions!$C$88*Assumptions!$C$91</f>
        <v>542.64</v>
      </c>
      <c r="AZ64" s="44" t="n">
        <f aca="false">AZ11*Assumptions!$C$88*Assumptions!$C$91</f>
        <v>510</v>
      </c>
      <c r="BA64" s="44" t="n">
        <f aca="false">BA11*Assumptions!$C$88*Assumptions!$C$91</f>
        <v>575.28</v>
      </c>
      <c r="BB64" s="44" t="n">
        <f aca="false">BB11*Assumptions!$C$88*Assumptions!$C$91</f>
        <v>546.72</v>
      </c>
      <c r="BC64" s="44" t="n">
        <f aca="false">BC11*Assumptions!$C$88*Assumptions!$C$91</f>
        <v>510</v>
      </c>
      <c r="BD64" s="44" t="n">
        <f aca="false">BD11*Assumptions!$C$88*Assumptions!$C$91</f>
        <v>575.28</v>
      </c>
      <c r="BE64" s="44" t="n">
        <f aca="false">BE11*Assumptions!$C$88*Assumptions!$C$91</f>
        <v>546.72</v>
      </c>
      <c r="BF64" s="44" t="n">
        <f aca="false">BF11*Assumptions!$C$88*Assumptions!$C$91</f>
        <v>510</v>
      </c>
      <c r="BG64" s="44" t="n">
        <f aca="false">BG11*Assumptions!$C$88*Assumptions!$C$91</f>
        <v>575.28</v>
      </c>
      <c r="BH64" s="44" t="n">
        <f aca="false">BH11*Assumptions!$C$88*Assumptions!$C$91</f>
        <v>546.72</v>
      </c>
      <c r="BI64" s="44" t="n">
        <f aca="false">BI11*Assumptions!$C$88*Assumptions!$C$91</f>
        <v>510</v>
      </c>
      <c r="BJ64" s="44" t="n">
        <f aca="false">BJ11*Assumptions!$C$88*Assumptions!$C$91</f>
        <v>575.28</v>
      </c>
      <c r="BK64" s="44" t="n">
        <f aca="false">BK11*Assumptions!$C$88*Assumptions!$C$91</f>
        <v>546.72</v>
      </c>
    </row>
    <row r="65" customFormat="false" ht="15" hidden="false" customHeight="false" outlineLevel="0" collapsed="false">
      <c r="A65" s="28" t="s">
        <v>642</v>
      </c>
      <c r="B65" s="6" t="s">
        <v>643</v>
      </c>
      <c r="C65" s="43"/>
      <c r="D65" s="17" t="n">
        <f aca="false">D8*Assumptions!$C$89*Assumptions!$C$91</f>
        <v>0</v>
      </c>
      <c r="E65" s="17" t="n">
        <f aca="false">E8*Assumptions!$C$89*Assumptions!$C$91</f>
        <v>0</v>
      </c>
      <c r="F65" s="17" t="n">
        <f aca="false">F8*Assumptions!$C$89*Assumptions!$C$91</f>
        <v>0</v>
      </c>
      <c r="G65" s="17" t="n">
        <f aca="false">G8*Assumptions!$C$89*Assumptions!$C$91</f>
        <v>0</v>
      </c>
      <c r="H65" s="17" t="n">
        <f aca="false">H8*Assumptions!$C$89*Assumptions!$C$91</f>
        <v>750</v>
      </c>
      <c r="I65" s="17" t="n">
        <f aca="false">I8*Assumptions!$C$89*Assumptions!$C$91</f>
        <v>0</v>
      </c>
      <c r="J65" s="17" t="n">
        <f aca="false">J8*Assumptions!$C$89*Assumptions!$C$91</f>
        <v>0</v>
      </c>
      <c r="K65" s="17" t="n">
        <f aca="false">K8*Assumptions!$C$89*Assumptions!$C$91</f>
        <v>750</v>
      </c>
      <c r="L65" s="17" t="n">
        <f aca="false">L8*Assumptions!$C$89*Assumptions!$C$91</f>
        <v>0</v>
      </c>
      <c r="M65" s="17" t="n">
        <f aca="false">M8*Assumptions!$C$89*Assumptions!$C$91</f>
        <v>0</v>
      </c>
      <c r="N65" s="17" t="n">
        <f aca="false">N8*Assumptions!$C$89*Assumptions!$C$91</f>
        <v>750</v>
      </c>
      <c r="O65" s="17" t="n">
        <f aca="false">O8*Assumptions!$C$89*Assumptions!$C$91</f>
        <v>750</v>
      </c>
      <c r="P65" s="17" t="n">
        <f aca="false">P8*Assumptions!$C$89*Assumptions!$C$91</f>
        <v>0</v>
      </c>
      <c r="Q65" s="17" t="n">
        <f aca="false">Q8*Assumptions!$C$89*Assumptions!$C$91</f>
        <v>750</v>
      </c>
      <c r="R65" s="17" t="n">
        <f aca="false">R8*Assumptions!$C$89*Assumptions!$C$91</f>
        <v>750</v>
      </c>
      <c r="S65" s="17" t="n">
        <f aca="false">S8*Assumptions!$C$89*Assumptions!$C$91</f>
        <v>0</v>
      </c>
      <c r="T65" s="17" t="n">
        <f aca="false">T8*Assumptions!$C$89*Assumptions!$C$91</f>
        <v>750</v>
      </c>
      <c r="U65" s="17" t="n">
        <f aca="false">U8*Assumptions!$C$89*Assumptions!$C$91</f>
        <v>750</v>
      </c>
      <c r="V65" s="17" t="n">
        <f aca="false">V8*Assumptions!$C$89*Assumptions!$C$91</f>
        <v>750</v>
      </c>
      <c r="W65" s="17" t="n">
        <f aca="false">W8*Assumptions!$C$89*Assumptions!$C$91</f>
        <v>750</v>
      </c>
      <c r="X65" s="17" t="n">
        <f aca="false">X8*Assumptions!$C$89*Assumptions!$C$91</f>
        <v>750</v>
      </c>
      <c r="Y65" s="17" t="n">
        <f aca="false">Y8*Assumptions!$C$89*Assumptions!$C$91</f>
        <v>750</v>
      </c>
      <c r="Z65" s="17" t="n">
        <f aca="false">Z8*Assumptions!$C$89*Assumptions!$C$91</f>
        <v>750</v>
      </c>
      <c r="AA65" s="17" t="n">
        <f aca="false">AA8*Assumptions!$C$89*Assumptions!$C$91</f>
        <v>750</v>
      </c>
      <c r="AB65" s="17" t="n">
        <f aca="false">AB8*Assumptions!$C$89*Assumptions!$C$91</f>
        <v>750</v>
      </c>
      <c r="AC65" s="17" t="n">
        <f aca="false">AC8*Assumptions!$C$89*Assumptions!$C$91</f>
        <v>750</v>
      </c>
      <c r="AD65" s="17" t="n">
        <f aca="false">AD8*Assumptions!$C$89*Assumptions!$C$91</f>
        <v>750</v>
      </c>
      <c r="AE65" s="17" t="n">
        <f aca="false">AE8*Assumptions!$C$89*Assumptions!$C$91</f>
        <v>750</v>
      </c>
      <c r="AF65" s="17" t="n">
        <f aca="false">AF8*Assumptions!$C$89*Assumptions!$C$91</f>
        <v>1500</v>
      </c>
      <c r="AG65" s="17" t="n">
        <f aca="false">AG8*Assumptions!$C$89*Assumptions!$C$91</f>
        <v>750</v>
      </c>
      <c r="AH65" s="17" t="n">
        <f aca="false">AH8*Assumptions!$C$89*Assumptions!$C$91</f>
        <v>750</v>
      </c>
      <c r="AI65" s="17" t="n">
        <f aca="false">AI8*Assumptions!$C$89*Assumptions!$C$91</f>
        <v>1500</v>
      </c>
      <c r="AJ65" s="17" t="n">
        <f aca="false">AJ8*Assumptions!$C$89*Assumptions!$C$91</f>
        <v>750</v>
      </c>
      <c r="AK65" s="17" t="n">
        <f aca="false">AK8*Assumptions!$C$89*Assumptions!$C$91</f>
        <v>750</v>
      </c>
      <c r="AL65" s="17" t="n">
        <f aca="false">AL8*Assumptions!$C$89*Assumptions!$C$91</f>
        <v>1500</v>
      </c>
      <c r="AM65" s="17" t="n">
        <f aca="false">AM8*Assumptions!$C$89*Assumptions!$C$91</f>
        <v>750</v>
      </c>
      <c r="AN65" s="44" t="n">
        <f aca="false">AN8*Assumptions!$C$89*Assumptions!$C$91</f>
        <v>750</v>
      </c>
      <c r="AO65" s="44" t="n">
        <f aca="false">AO8*Assumptions!$C$89*Assumptions!$C$91</f>
        <v>1500</v>
      </c>
      <c r="AP65" s="44" t="n">
        <f aca="false">AP8*Assumptions!$C$89*Assumptions!$C$91</f>
        <v>750</v>
      </c>
      <c r="AQ65" s="44" t="n">
        <f aca="false">AQ8*Assumptions!$C$89*Assumptions!$C$91</f>
        <v>750</v>
      </c>
      <c r="AR65" s="44" t="n">
        <f aca="false">AR8*Assumptions!$C$89*Assumptions!$C$91</f>
        <v>1500</v>
      </c>
      <c r="AS65" s="44" t="n">
        <f aca="false">AS8*Assumptions!$C$89*Assumptions!$C$91</f>
        <v>750</v>
      </c>
      <c r="AT65" s="44" t="n">
        <f aca="false">AT8*Assumptions!$C$89*Assumptions!$C$91</f>
        <v>750</v>
      </c>
      <c r="AU65" s="44" t="n">
        <f aca="false">AU8*Assumptions!$C$89*Assumptions!$C$91</f>
        <v>1500</v>
      </c>
      <c r="AV65" s="44" t="n">
        <f aca="false">AV8*Assumptions!$C$89*Assumptions!$C$91</f>
        <v>750</v>
      </c>
      <c r="AW65" s="44" t="n">
        <f aca="false">AW8*Assumptions!$C$89*Assumptions!$C$91</f>
        <v>750</v>
      </c>
      <c r="AX65" s="44" t="n">
        <f aca="false">AX8*Assumptions!$C$89*Assumptions!$C$91</f>
        <v>1500</v>
      </c>
      <c r="AY65" s="44" t="n">
        <f aca="false">AY8*Assumptions!$C$89*Assumptions!$C$91</f>
        <v>750</v>
      </c>
      <c r="AZ65" s="44" t="n">
        <f aca="false">AZ8*Assumptions!$C$89*Assumptions!$C$91</f>
        <v>750</v>
      </c>
      <c r="BA65" s="44" t="n">
        <f aca="false">BA8*Assumptions!$C$89*Assumptions!$C$91</f>
        <v>1500</v>
      </c>
      <c r="BB65" s="44" t="n">
        <f aca="false">BB8*Assumptions!$C$89*Assumptions!$C$91</f>
        <v>750</v>
      </c>
      <c r="BC65" s="44" t="n">
        <f aca="false">BC8*Assumptions!$C$89*Assumptions!$C$91</f>
        <v>750</v>
      </c>
      <c r="BD65" s="44" t="n">
        <f aca="false">BD8*Assumptions!$C$89*Assumptions!$C$91</f>
        <v>1500</v>
      </c>
      <c r="BE65" s="44" t="n">
        <f aca="false">BE8*Assumptions!$C$89*Assumptions!$C$91</f>
        <v>750</v>
      </c>
      <c r="BF65" s="44" t="n">
        <f aca="false">BF8*Assumptions!$C$89*Assumptions!$C$91</f>
        <v>750</v>
      </c>
      <c r="BG65" s="44" t="n">
        <f aca="false">BG8*Assumptions!$C$89*Assumptions!$C$91</f>
        <v>1500</v>
      </c>
      <c r="BH65" s="44" t="n">
        <f aca="false">BH8*Assumptions!$C$89*Assumptions!$C$91</f>
        <v>750</v>
      </c>
      <c r="BI65" s="44" t="n">
        <f aca="false">BI8*Assumptions!$C$89*Assumptions!$C$91</f>
        <v>750</v>
      </c>
      <c r="BJ65" s="44" t="n">
        <f aca="false">BJ8*Assumptions!$C$89*Assumptions!$C$91</f>
        <v>1500</v>
      </c>
      <c r="BK65" s="44" t="n">
        <f aca="false">BK8*Assumptions!$C$89*Assumptions!$C$91</f>
        <v>750</v>
      </c>
    </row>
    <row r="66" customFormat="false" ht="15" hidden="false" customHeight="false" outlineLevel="0" collapsed="false">
      <c r="A66" s="28" t="s">
        <v>644</v>
      </c>
      <c r="B66" s="6" t="s">
        <v>645</v>
      </c>
      <c r="C66" s="43"/>
      <c r="D66" s="17" t="n">
        <f aca="false">D35*Assumptions!$C$90*Assumptions!$C$91</f>
        <v>0</v>
      </c>
      <c r="E66" s="17" t="n">
        <f aca="false">E35*Assumptions!$C$90*Assumptions!$C$91</f>
        <v>0</v>
      </c>
      <c r="F66" s="17" t="n">
        <f aca="false">F35*Assumptions!$C$90*Assumptions!$C$91</f>
        <v>0</v>
      </c>
      <c r="G66" s="17" t="n">
        <f aca="false">G35*Assumptions!$C$90*Assumptions!$C$91</f>
        <v>0</v>
      </c>
      <c r="H66" s="17" t="n">
        <f aca="false">H35*Assumptions!$C$90*Assumptions!$C$91</f>
        <v>0</v>
      </c>
      <c r="I66" s="17" t="n">
        <f aca="false">I35*Assumptions!$C$90*Assumptions!$C$91</f>
        <v>0</v>
      </c>
      <c r="J66" s="17" t="n">
        <f aca="false">J35*Assumptions!$C$90*Assumptions!$C$91</f>
        <v>0</v>
      </c>
      <c r="K66" s="17" t="n">
        <f aca="false">K35*Assumptions!$C$90*Assumptions!$C$91</f>
        <v>0</v>
      </c>
      <c r="L66" s="17" t="n">
        <f aca="false">L35*Assumptions!$C$90*Assumptions!$C$91</f>
        <v>0</v>
      </c>
      <c r="M66" s="17" t="n">
        <f aca="false">M35*Assumptions!$C$90*Assumptions!$C$91</f>
        <v>0</v>
      </c>
      <c r="N66" s="17" t="n">
        <f aca="false">N35*Assumptions!$C$90*Assumptions!$C$91</f>
        <v>0</v>
      </c>
      <c r="O66" s="17" t="n">
        <f aca="false">O35*Assumptions!$C$90*Assumptions!$C$91</f>
        <v>0</v>
      </c>
      <c r="P66" s="17" t="n">
        <f aca="false">P35*Assumptions!$C$90*Assumptions!$C$91</f>
        <v>0</v>
      </c>
      <c r="Q66" s="17" t="n">
        <f aca="false">Q35*Assumptions!$C$90*Assumptions!$C$91</f>
        <v>0</v>
      </c>
      <c r="R66" s="17" t="n">
        <f aca="false">R35*Assumptions!$C$90*Assumptions!$C$91</f>
        <v>0</v>
      </c>
      <c r="S66" s="17" t="n">
        <f aca="false">S35*Assumptions!$C$90*Assumptions!$C$91</f>
        <v>0</v>
      </c>
      <c r="T66" s="17" t="n">
        <f aca="false">T35*Assumptions!$C$90*Assumptions!$C$91</f>
        <v>0</v>
      </c>
      <c r="U66" s="17" t="n">
        <f aca="false">U35*Assumptions!$C$90*Assumptions!$C$91</f>
        <v>0</v>
      </c>
      <c r="V66" s="17" t="n">
        <f aca="false">V35*Assumptions!$C$90*Assumptions!$C$91</f>
        <v>0</v>
      </c>
      <c r="W66" s="17" t="n">
        <f aca="false">W35*Assumptions!$C$90*Assumptions!$C$91</f>
        <v>0</v>
      </c>
      <c r="X66" s="17" t="n">
        <f aca="false">X35*Assumptions!$C$90*Assumptions!$C$91</f>
        <v>0</v>
      </c>
      <c r="Y66" s="17" t="n">
        <f aca="false">Y35*Assumptions!$C$90*Assumptions!$C$91</f>
        <v>0</v>
      </c>
      <c r="Z66" s="17" t="n">
        <f aca="false">Z35*Assumptions!$C$90*Assumptions!$C$91</f>
        <v>0</v>
      </c>
      <c r="AA66" s="17" t="n">
        <f aca="false">AA35*Assumptions!$C$90*Assumptions!$C$91</f>
        <v>290.736761332221</v>
      </c>
      <c r="AB66" s="17" t="n">
        <f aca="false">AB35*Assumptions!$C$90*Assumptions!$C$91</f>
        <v>301.869139757619</v>
      </c>
      <c r="AC66" s="17" t="n">
        <f aca="false">AC35*Assumptions!$C$90*Assumptions!$C$91</f>
        <v>312.884563481796</v>
      </c>
      <c r="AD66" s="17" t="n">
        <f aca="false">AD35*Assumptions!$C$90*Assumptions!$C$91</f>
        <v>323.790014711129</v>
      </c>
      <c r="AE66" s="17" t="n">
        <f aca="false">AE35*Assumptions!$C$90*Assumptions!$C$91</f>
        <v>334.294776853291</v>
      </c>
      <c r="AF66" s="17" t="n">
        <f aca="false">AF35*Assumptions!$C$90*Assumptions!$C$91</f>
        <v>352.149767974212</v>
      </c>
      <c r="AG66" s="17" t="n">
        <f aca="false">AG35*Assumptions!$C$90*Assumptions!$C$91</f>
        <v>368.622414970059</v>
      </c>
      <c r="AH66" s="17" t="n">
        <f aca="false">AH35*Assumptions!$C$90*Assumptions!$C$91</f>
        <v>382.308912528213</v>
      </c>
      <c r="AI66" s="17" t="n">
        <f aca="false">AI35*Assumptions!$C$90*Assumptions!$C$91</f>
        <v>401.691519527946</v>
      </c>
      <c r="AJ66" s="17" t="n">
        <f aca="false">AJ35*Assumptions!$C$90*Assumptions!$C$91</f>
        <v>418.429141260633</v>
      </c>
      <c r="AK66" s="17" t="n">
        <f aca="false">AK35*Assumptions!$C$90*Assumptions!$C$91</f>
        <v>432.080849143993</v>
      </c>
      <c r="AL66" s="17" t="n">
        <f aca="false">AL35*Assumptions!$C$90*Assumptions!$C$91</f>
        <v>449.956473498265</v>
      </c>
      <c r="AM66" s="17" t="n">
        <f aca="false">AM35*Assumptions!$C$90*Assumptions!$C$91</f>
        <v>465.282828070362</v>
      </c>
      <c r="AN66" s="44" t="n">
        <f aca="false">AN35*Assumptions!$C$90*Assumptions!$C$91</f>
        <v>477.612218957008</v>
      </c>
      <c r="AO66" s="44" t="n">
        <f aca="false">AO35*Assumptions!$C$90*Assumptions!$C$91</f>
        <v>494.248206024349</v>
      </c>
      <c r="AP66" s="44" t="n">
        <f aca="false">AP35*Assumptions!$C$90*Assumptions!$C$91</f>
        <v>508.411790686446</v>
      </c>
      <c r="AQ66" s="44" t="n">
        <f aca="false">AQ35*Assumptions!$C$90*Assumptions!$C$91</f>
        <v>519.649890836379</v>
      </c>
      <c r="AR66" s="44" t="n">
        <f aca="false">AR35*Assumptions!$C$90*Assumptions!$C$91</f>
        <v>535.261070819821</v>
      </c>
      <c r="AS66" s="44" t="n">
        <f aca="false">AS35*Assumptions!$C$90*Assumptions!$C$91</f>
        <v>548.164459918291</v>
      </c>
      <c r="AT66" s="44" t="n">
        <f aca="false">AT35*Assumptions!$C$90*Assumptions!$C$91</f>
        <v>558.21649737638</v>
      </c>
      <c r="AU66" s="44" t="n">
        <f aca="false">AU35*Assumptions!$C$90*Assumptions!$C$91</f>
        <v>572.710628376257</v>
      </c>
      <c r="AV66" s="44" t="n">
        <f aca="false">AV35*Assumptions!$C$90*Assumptions!$C$91</f>
        <v>584.561234500812</v>
      </c>
      <c r="AW66" s="44" t="n">
        <f aca="false">AW35*Assumptions!$C$90*Assumptions!$C$91</f>
        <v>593.620351287888</v>
      </c>
      <c r="AX66" s="44" t="n">
        <f aca="false">AX35*Assumptions!$C$90*Assumptions!$C$91</f>
        <v>607.177338785235</v>
      </c>
      <c r="AY66" s="44" t="n">
        <f aca="false">AY35*Assumptions!$C$90*Assumptions!$C$91</f>
        <v>618.14278849285</v>
      </c>
      <c r="AZ66" s="44" t="n">
        <f aca="false">AZ35*Assumptions!$C$90*Assumptions!$C$91</f>
        <v>626.365219152329</v>
      </c>
      <c r="BA66" s="44" t="n">
        <f aca="false">BA35*Assumptions!$C$90*Assumptions!$C$91</f>
        <v>639.130727160757</v>
      </c>
      <c r="BB66" s="44" t="n">
        <f aca="false">BB35*Assumptions!$C$90*Assumptions!$C$91</f>
        <v>649.346874873683</v>
      </c>
      <c r="BC66" s="44" t="n">
        <f aca="false">BC35*Assumptions!$C$90*Assumptions!$C$91</f>
        <v>656.562128940881</v>
      </c>
      <c r="BD66" s="44" t="n">
        <f aca="false">BD35*Assumptions!$C$90*Assumptions!$C$91</f>
        <v>668.373791765916</v>
      </c>
      <c r="BE66" s="44" t="n">
        <f aca="false">BE35*Assumptions!$C$90*Assumptions!$C$91</f>
        <v>677.68586593523</v>
      </c>
      <c r="BF66" s="44" t="n">
        <f aca="false">BF35*Assumptions!$C$90*Assumptions!$C$91</f>
        <v>684.043513896852</v>
      </c>
      <c r="BG66" s="44" t="n">
        <f aca="false">BG35*Assumptions!$C$90*Assumptions!$C$91</f>
        <v>695.040970605713</v>
      </c>
      <c r="BH66" s="44" t="n">
        <f aca="false">BH35*Assumptions!$C$90*Assumptions!$C$91</f>
        <v>703.579390540742</v>
      </c>
      <c r="BI66" s="44" t="n">
        <f aca="false">BI35*Assumptions!$C$90*Assumptions!$C$91</f>
        <v>709.201291268523</v>
      </c>
      <c r="BJ66" s="44" t="n">
        <f aca="false">BJ35*Assumptions!$C$90*Assumptions!$C$91</f>
        <v>719.498451173065</v>
      </c>
      <c r="BK66" s="44" t="n">
        <f aca="false">BK35*Assumptions!$C$90*Assumptions!$C$91</f>
        <v>727.369742666871</v>
      </c>
    </row>
    <row r="67" customFormat="false" ht="15" hidden="false" customHeight="false" outlineLevel="0" collapsed="false">
      <c r="A67" s="28" t="s">
        <v>646</v>
      </c>
      <c r="B67" s="5" t="s">
        <v>647</v>
      </c>
      <c r="C67" s="43"/>
      <c r="D67" s="45" t="n">
        <f aca="false">D62+D63+D64+D65+D66</f>
        <v>0</v>
      </c>
      <c r="E67" s="45" t="n">
        <f aca="false">E62+E63+E64+E65+E66</f>
        <v>0</v>
      </c>
      <c r="F67" s="45" t="n">
        <f aca="false">F62+F63+F64+F65+F66</f>
        <v>0</v>
      </c>
      <c r="G67" s="45" t="n">
        <f aca="false">G62+G63+G64+G65+G66</f>
        <v>0</v>
      </c>
      <c r="H67" s="45" t="n">
        <f aca="false">H62+H63+H64+H65+H66</f>
        <v>1312.0795</v>
      </c>
      <c r="I67" s="45" t="n">
        <f aca="false">I62+I63+I64+I65+I66</f>
        <v>494.62996</v>
      </c>
      <c r="J67" s="45" t="n">
        <f aca="false">J62+J63+J64+J65+J66</f>
        <v>337.2477</v>
      </c>
      <c r="K67" s="45" t="n">
        <f aca="false">K62+K63+K64+K65+K66</f>
        <v>1536.9113</v>
      </c>
      <c r="L67" s="45" t="n">
        <f aca="false">L62+L63+L64+L65+L66</f>
        <v>629.52904</v>
      </c>
      <c r="M67" s="45" t="n">
        <f aca="false">M62+M63+M64+M65+M66</f>
        <v>449.6636</v>
      </c>
      <c r="N67" s="45" t="n">
        <f aca="false">N62+N63+N64+N65+N66</f>
        <v>1559.39448</v>
      </c>
      <c r="O67" s="45" t="n">
        <f aca="false">O62+O63+O64+O65+O66</f>
        <v>1982.711973</v>
      </c>
      <c r="P67" s="45" t="n">
        <f aca="false">P62+P63+P64+P65+P66</f>
        <v>981.6039785</v>
      </c>
      <c r="Q67" s="45" t="n">
        <f aca="false">Q62+Q63+Q64+Q65+Q66</f>
        <v>1937.055974</v>
      </c>
      <c r="R67" s="45" t="n">
        <f aca="false">R62+R63+R64+R65+R66</f>
        <v>2233.8199675</v>
      </c>
      <c r="S67" s="45" t="n">
        <f aca="false">S62+S63+S64+S65+S66</f>
        <v>1141.399975</v>
      </c>
      <c r="T67" s="45" t="n">
        <f aca="false">T62+T63+T64+T65+T66</f>
        <v>2074.023971</v>
      </c>
      <c r="U67" s="45" t="n">
        <f aca="false">U62+U63+U64+U65+U66</f>
        <v>2279.4759665</v>
      </c>
      <c r="V67" s="45" t="n">
        <f aca="false">V62+V63+V64+V65+V66</f>
        <v>2507.7559615</v>
      </c>
      <c r="W67" s="45" t="n">
        <f aca="false">W62+W63+W64+W65+W66</f>
        <v>2621.895959</v>
      </c>
      <c r="X67" s="45" t="n">
        <f aca="false">X62+X63+X64+X65+X66</f>
        <v>2667.551958</v>
      </c>
      <c r="Y67" s="45" t="n">
        <f aca="false">Y62+Y63+Y64+Y65+Y66</f>
        <v>2781.6919555</v>
      </c>
      <c r="Z67" s="45" t="n">
        <f aca="false">Z62+Z63+Z64+Z65+Z66</f>
        <v>2804.519955</v>
      </c>
      <c r="AA67" s="45" t="n">
        <f aca="false">AA62+AA63+AA64+AA65+AA66</f>
        <v>3150.24775469472</v>
      </c>
      <c r="AB67" s="45" t="n">
        <f aca="false">AB62+AB63+AB64+AB65+AB66</f>
        <v>3184.56157260762</v>
      </c>
      <c r="AC67" s="45" t="n">
        <f aca="false">AC62+AC63+AC64+AC65+AC66</f>
        <v>3218.7584358193</v>
      </c>
      <c r="AD67" s="45" t="n">
        <f aca="false">AD62+AD63+AD64+AD65+AD66</f>
        <v>3252.84532653613</v>
      </c>
      <c r="AE67" s="45" t="n">
        <f aca="false">AE62+AE63+AE64+AE65+AE66</f>
        <v>3263.35008867829</v>
      </c>
      <c r="AF67" s="45" t="n">
        <f aca="false">AF62+AF63+AF64+AF65+AF66</f>
        <v>4633.92250647421</v>
      </c>
      <c r="AG67" s="45" t="n">
        <f aca="false">AG62+AG63+AG64+AG65+AG66</f>
        <v>3854.03227449506</v>
      </c>
      <c r="AH67" s="45" t="n">
        <f aca="false">AH62+AH63+AH64+AH65+AH66</f>
        <v>3705.44869564071</v>
      </c>
      <c r="AI67" s="45" t="n">
        <f aca="false">AI62+AI63+AI64+AI65+AI66</f>
        <v>4961.64153187795</v>
      </c>
      <c r="AJ67" s="45" t="n">
        <f aca="false">AJ62+AJ63+AJ64+AJ65+AJ66</f>
        <v>4089.29051668563</v>
      </c>
      <c r="AK67" s="45" t="n">
        <f aca="false">AK62+AK63+AK64+AK65+AK66</f>
        <v>3917.49070866899</v>
      </c>
      <c r="AL67" s="45" t="n">
        <f aca="false">AL62+AL63+AL64+AL65+AL66</f>
        <v>5056.26936482327</v>
      </c>
      <c r="AM67" s="45" t="n">
        <f aca="false">AM62+AM63+AM64+AM65+AM66</f>
        <v>4228.87840883036</v>
      </c>
      <c r="AN67" s="46" t="n">
        <f aca="false">AN62+AN63+AN64+AN65+AN66</f>
        <v>4052.85807591951</v>
      </c>
      <c r="AO67" s="46" t="n">
        <f aca="false">AO62+AO63+AO64+AO65+AO66</f>
        <v>5196.19351058185</v>
      </c>
      <c r="AP67" s="46" t="n">
        <f aca="false">AP62+AP63+AP64+AP65+AP66</f>
        <v>4319.09480239582</v>
      </c>
      <c r="AQ67" s="46" t="n">
        <f aca="false">AQ62+AQ63+AQ64+AQ65+AQ66</f>
        <v>4141.98317874825</v>
      </c>
      <c r="AR67" s="46" t="n">
        <f aca="false">AR62+AR63+AR64+AR65+AR66</f>
        <v>5284.2938063267</v>
      </c>
      <c r="AS67" s="46" t="n">
        <f aca="false">AS62+AS63+AS64+AS65+AS66</f>
        <v>4382.39118710235</v>
      </c>
      <c r="AT67" s="46" t="n">
        <f aca="false">AT62+AT63+AT64+AT65+AT66</f>
        <v>4204.09350076294</v>
      </c>
      <c r="AU67" s="46" t="n">
        <f aca="false">AU62+AU63+AU64+AU65+AU66</f>
        <v>5345.28707935782</v>
      </c>
      <c r="AV67" s="46" t="n">
        <f aca="false">AV62+AV63+AV64+AV65+AV66</f>
        <v>4442.33167715956</v>
      </c>
      <c r="AW67" s="46" t="n">
        <f aca="false">AW62+AW63+AW64+AW65+AW66</f>
        <v>4263.04107014914</v>
      </c>
      <c r="AX67" s="46" t="n">
        <f aca="false">AX62+AX63+AX64+AX65+AX66</f>
        <v>5403.29750524148</v>
      </c>
      <c r="AY67" s="46" t="n">
        <f aca="false">AY62+AY63+AY64+AY65+AY66</f>
        <v>4548.84422057962</v>
      </c>
      <c r="AZ67" s="46" t="n">
        <f aca="false">AZ62+AZ63+AZ64+AZ65+AZ66</f>
        <v>4365.74626434666</v>
      </c>
      <c r="BA67" s="46" t="n">
        <f aca="false">BA62+BA63+BA64+BA65+BA66</f>
        <v>5511.15254613997</v>
      </c>
      <c r="BB67" s="46" t="n">
        <f aca="false">BB62+BB63+BB64+BB65+BB66</f>
        <v>4603.96335532201</v>
      </c>
      <c r="BC67" s="46" t="n">
        <f aca="false">BC62+BC63+BC64+BC65+BC66</f>
        <v>4395.94317413522</v>
      </c>
      <c r="BD67" s="46" t="n">
        <f aca="false">BD62+BD63+BD64+BD65+BD66</f>
        <v>5540.39561074513</v>
      </c>
      <c r="BE67" s="46" t="n">
        <f aca="false">BE62+BE63+BE64+BE65+BE66</f>
        <v>4632.30234638356</v>
      </c>
      <c r="BF67" s="46" t="n">
        <f aca="false">BF62+BF63+BF64+BF65+BF66</f>
        <v>4423.42455909119</v>
      </c>
      <c r="BG67" s="46" t="n">
        <f aca="false">BG62+BG63+BG64+BG65+BG66</f>
        <v>5567.06278958492</v>
      </c>
      <c r="BH67" s="46" t="n">
        <f aca="false">BH62+BH63+BH64+BH65+BH66</f>
        <v>4658.19587098907</v>
      </c>
      <c r="BI67" s="46" t="n">
        <f aca="false">BI62+BI63+BI64+BI65+BI66</f>
        <v>4448.58233646286</v>
      </c>
      <c r="BJ67" s="46" t="n">
        <f aca="false">BJ62+BJ63+BJ64+BJ65+BJ66</f>
        <v>5591.52027015228</v>
      </c>
      <c r="BK67" s="46" t="n">
        <f aca="false">BK62+BK63+BK64+BK65+BK66</f>
        <v>4732.98879512641</v>
      </c>
    </row>
    <row r="68" customFormat="false" ht="15" hidden="false" customHeight="false" outlineLevel="0" collapsed="false">
      <c r="B68" s="5" t="s">
        <v>648</v>
      </c>
    </row>
    <row r="69" customFormat="false" ht="15" hidden="false" customHeight="false" outlineLevel="0" collapsed="false">
      <c r="A69" s="28" t="s">
        <v>649</v>
      </c>
      <c r="B69" s="6" t="s">
        <v>650</v>
      </c>
      <c r="C69" s="43"/>
      <c r="D69" s="17" t="n">
        <f aca="false">Assumptions!$C$108</f>
        <v>1465</v>
      </c>
      <c r="E69" s="17" t="n">
        <f aca="false">Assumptions!$C$108</f>
        <v>1465</v>
      </c>
      <c r="F69" s="17" t="n">
        <f aca="false">Assumptions!$C$108</f>
        <v>1465</v>
      </c>
      <c r="G69" s="17" t="n">
        <f aca="false">Assumptions!$C$108</f>
        <v>1465</v>
      </c>
      <c r="H69" s="17" t="n">
        <f aca="false">Assumptions!$C$108</f>
        <v>1465</v>
      </c>
      <c r="I69" s="17" t="n">
        <f aca="false">Assumptions!$C$108</f>
        <v>1465</v>
      </c>
      <c r="J69" s="17" t="n">
        <f aca="false">Assumptions!$C$108</f>
        <v>1465</v>
      </c>
      <c r="K69" s="17" t="n">
        <f aca="false">Assumptions!$C$108</f>
        <v>1465</v>
      </c>
      <c r="L69" s="17" t="n">
        <f aca="false">Assumptions!$C$108</f>
        <v>1465</v>
      </c>
      <c r="M69" s="17" t="n">
        <f aca="false">Assumptions!$C$108</f>
        <v>1465</v>
      </c>
      <c r="N69" s="17" t="n">
        <f aca="false">Assumptions!$C$108</f>
        <v>1465</v>
      </c>
      <c r="O69" s="17" t="n">
        <f aca="false">Assumptions!$C$108</f>
        <v>1465</v>
      </c>
      <c r="P69" s="17" t="n">
        <f aca="false">Assumptions!$C$108</f>
        <v>1465</v>
      </c>
      <c r="Q69" s="17" t="n">
        <f aca="false">Assumptions!$C$108</f>
        <v>1465</v>
      </c>
      <c r="R69" s="17" t="n">
        <f aca="false">Assumptions!$C$108</f>
        <v>1465</v>
      </c>
      <c r="S69" s="17" t="n">
        <f aca="false">Assumptions!$C$108</f>
        <v>1465</v>
      </c>
      <c r="T69" s="17" t="n">
        <f aca="false">Assumptions!$C$108</f>
        <v>1465</v>
      </c>
      <c r="U69" s="17" t="n">
        <f aca="false">Assumptions!$C$108</f>
        <v>1465</v>
      </c>
      <c r="V69" s="17" t="n">
        <f aca="false">Assumptions!$C$108</f>
        <v>1465</v>
      </c>
      <c r="W69" s="17" t="n">
        <f aca="false">Assumptions!$C$108</f>
        <v>1465</v>
      </c>
      <c r="X69" s="17" t="n">
        <f aca="false">Assumptions!$C$108</f>
        <v>1465</v>
      </c>
      <c r="Y69" s="17" t="n">
        <f aca="false">Assumptions!$C$108</f>
        <v>1465</v>
      </c>
      <c r="Z69" s="17" t="n">
        <f aca="false">Assumptions!$C$108</f>
        <v>1465</v>
      </c>
      <c r="AA69" s="17" t="n">
        <f aca="false">Assumptions!$C$108</f>
        <v>1465</v>
      </c>
      <c r="AB69" s="17" t="n">
        <f aca="false">Assumptions!$C$108</f>
        <v>1465</v>
      </c>
      <c r="AC69" s="17" t="n">
        <f aca="false">Assumptions!$C$108</f>
        <v>1465</v>
      </c>
      <c r="AD69" s="17" t="n">
        <f aca="false">Assumptions!$C$108</f>
        <v>1465</v>
      </c>
      <c r="AE69" s="17" t="n">
        <f aca="false">Assumptions!$C$108</f>
        <v>1465</v>
      </c>
      <c r="AF69" s="17" t="n">
        <f aca="false">Assumptions!$C$108</f>
        <v>1465</v>
      </c>
      <c r="AG69" s="17" t="n">
        <f aca="false">Assumptions!$C$108</f>
        <v>1465</v>
      </c>
      <c r="AH69" s="17" t="n">
        <f aca="false">Assumptions!$C$108</f>
        <v>1465</v>
      </c>
      <c r="AI69" s="17" t="n">
        <f aca="false">Assumptions!$C$108</f>
        <v>1465</v>
      </c>
      <c r="AJ69" s="17" t="n">
        <f aca="false">Assumptions!$C$108</f>
        <v>1465</v>
      </c>
      <c r="AK69" s="17" t="n">
        <f aca="false">Assumptions!$C$108</f>
        <v>1465</v>
      </c>
      <c r="AL69" s="17" t="n">
        <f aca="false">Assumptions!$C$108</f>
        <v>1465</v>
      </c>
      <c r="AM69" s="17" t="n">
        <f aca="false">Assumptions!$C$108</f>
        <v>1465</v>
      </c>
      <c r="AN69" s="44" t="n">
        <f aca="false">Assumptions!$C$108</f>
        <v>1465</v>
      </c>
      <c r="AO69" s="44" t="n">
        <f aca="false">Assumptions!$C$108</f>
        <v>1465</v>
      </c>
      <c r="AP69" s="44" t="n">
        <f aca="false">Assumptions!$C$108</f>
        <v>1465</v>
      </c>
      <c r="AQ69" s="44" t="n">
        <f aca="false">Assumptions!$C$108</f>
        <v>1465</v>
      </c>
      <c r="AR69" s="44" t="n">
        <f aca="false">Assumptions!$C$108</f>
        <v>1465</v>
      </c>
      <c r="AS69" s="44" t="n">
        <f aca="false">Assumptions!$C$108</f>
        <v>1465</v>
      </c>
      <c r="AT69" s="44" t="n">
        <f aca="false">Assumptions!$C$108</f>
        <v>1465</v>
      </c>
      <c r="AU69" s="44" t="n">
        <f aca="false">Assumptions!$C$108</f>
        <v>1465</v>
      </c>
      <c r="AV69" s="44" t="n">
        <f aca="false">Assumptions!$C$108</f>
        <v>1465</v>
      </c>
      <c r="AW69" s="44" t="n">
        <f aca="false">Assumptions!$C$108</f>
        <v>1465</v>
      </c>
      <c r="AX69" s="44" t="n">
        <f aca="false">Assumptions!$C$108</f>
        <v>1465</v>
      </c>
      <c r="AY69" s="44" t="n">
        <f aca="false">Assumptions!$C$108</f>
        <v>1465</v>
      </c>
      <c r="AZ69" s="44" t="n">
        <f aca="false">Assumptions!$C$108</f>
        <v>1465</v>
      </c>
      <c r="BA69" s="44" t="n">
        <f aca="false">Assumptions!$C$108</f>
        <v>1465</v>
      </c>
      <c r="BB69" s="44" t="n">
        <f aca="false">Assumptions!$C$108</f>
        <v>1465</v>
      </c>
      <c r="BC69" s="44" t="n">
        <f aca="false">Assumptions!$C$108</f>
        <v>1465</v>
      </c>
      <c r="BD69" s="44" t="n">
        <f aca="false">Assumptions!$C$108</f>
        <v>1465</v>
      </c>
      <c r="BE69" s="44" t="n">
        <f aca="false">Assumptions!$C$108</f>
        <v>1465</v>
      </c>
      <c r="BF69" s="44" t="n">
        <f aca="false">Assumptions!$C$108</f>
        <v>1465</v>
      </c>
      <c r="BG69" s="44" t="n">
        <f aca="false">Assumptions!$C$108</f>
        <v>1465</v>
      </c>
      <c r="BH69" s="44" t="n">
        <f aca="false">Assumptions!$C$108</f>
        <v>1465</v>
      </c>
      <c r="BI69" s="44" t="n">
        <f aca="false">Assumptions!$C$108</f>
        <v>1465</v>
      </c>
      <c r="BJ69" s="44" t="n">
        <f aca="false">Assumptions!$C$108</f>
        <v>1465</v>
      </c>
      <c r="BK69" s="44" t="n">
        <f aca="false">Assumptions!$C$108</f>
        <v>1465</v>
      </c>
    </row>
    <row r="70" customFormat="false" ht="15" hidden="false" customHeight="false" outlineLevel="0" collapsed="false">
      <c r="A70" s="28" t="s">
        <v>651</v>
      </c>
      <c r="B70" s="6" t="s">
        <v>652</v>
      </c>
      <c r="C70" s="43"/>
      <c r="D70" s="17" t="n">
        <f aca="false">IF(D7&lt;=12,Assumptions!$C$100,IF(D7&lt;=24,Assumptions!$C$101,Assumptions!$C$102))</f>
        <v>4000</v>
      </c>
      <c r="E70" s="17" t="n">
        <f aca="false">IF(E7&lt;=12,Assumptions!$C$100,IF(E7&lt;=24,Assumptions!$C$101,Assumptions!$C$102))</f>
        <v>4000</v>
      </c>
      <c r="F70" s="17" t="n">
        <f aca="false">IF(F7&lt;=12,Assumptions!$C$100,IF(F7&lt;=24,Assumptions!$C$101,Assumptions!$C$102))</f>
        <v>4000</v>
      </c>
      <c r="G70" s="17" t="n">
        <f aca="false">IF(G7&lt;=12,Assumptions!$C$100,IF(G7&lt;=24,Assumptions!$C$101,Assumptions!$C$102))</f>
        <v>4000</v>
      </c>
      <c r="H70" s="17" t="n">
        <f aca="false">IF(H7&lt;=12,Assumptions!$C$100,IF(H7&lt;=24,Assumptions!$C$101,Assumptions!$C$102))</f>
        <v>4000</v>
      </c>
      <c r="I70" s="17" t="n">
        <f aca="false">IF(I7&lt;=12,Assumptions!$C$100,IF(I7&lt;=24,Assumptions!$C$101,Assumptions!$C$102))</f>
        <v>4000</v>
      </c>
      <c r="J70" s="17" t="n">
        <f aca="false">IF(J7&lt;=12,Assumptions!$C$100,IF(J7&lt;=24,Assumptions!$C$101,Assumptions!$C$102))</f>
        <v>4000</v>
      </c>
      <c r="K70" s="17" t="n">
        <f aca="false">IF(K7&lt;=12,Assumptions!$C$100,IF(K7&lt;=24,Assumptions!$C$101,Assumptions!$C$102))</f>
        <v>4000</v>
      </c>
      <c r="L70" s="17" t="n">
        <f aca="false">IF(L7&lt;=12,Assumptions!$C$100,IF(L7&lt;=24,Assumptions!$C$101,Assumptions!$C$102))</f>
        <v>4000</v>
      </c>
      <c r="M70" s="17" t="n">
        <f aca="false">IF(M7&lt;=12,Assumptions!$C$100,IF(M7&lt;=24,Assumptions!$C$101,Assumptions!$C$102))</f>
        <v>4000</v>
      </c>
      <c r="N70" s="17" t="n">
        <f aca="false">IF(N7&lt;=12,Assumptions!$C$100,IF(N7&lt;=24,Assumptions!$C$101,Assumptions!$C$102))</f>
        <v>4000</v>
      </c>
      <c r="O70" s="17" t="n">
        <f aca="false">IF(O7&lt;=12,Assumptions!$C$100,IF(O7&lt;=24,Assumptions!$C$101,Assumptions!$C$102))</f>
        <v>4000</v>
      </c>
      <c r="P70" s="17" t="n">
        <f aca="false">IF(P7&lt;=12,Assumptions!$C$100,IF(P7&lt;=24,Assumptions!$C$101,Assumptions!$C$102))</f>
        <v>5000</v>
      </c>
      <c r="Q70" s="17" t="n">
        <f aca="false">IF(Q7&lt;=12,Assumptions!$C$100,IF(Q7&lt;=24,Assumptions!$C$101,Assumptions!$C$102))</f>
        <v>5000</v>
      </c>
      <c r="R70" s="17" t="n">
        <f aca="false">IF(R7&lt;=12,Assumptions!$C$100,IF(R7&lt;=24,Assumptions!$C$101,Assumptions!$C$102))</f>
        <v>5000</v>
      </c>
      <c r="S70" s="17" t="n">
        <f aca="false">IF(S7&lt;=12,Assumptions!$C$100,IF(S7&lt;=24,Assumptions!$C$101,Assumptions!$C$102))</f>
        <v>5000</v>
      </c>
      <c r="T70" s="17" t="n">
        <f aca="false">IF(T7&lt;=12,Assumptions!$C$100,IF(T7&lt;=24,Assumptions!$C$101,Assumptions!$C$102))</f>
        <v>5000</v>
      </c>
      <c r="U70" s="17" t="n">
        <f aca="false">IF(U7&lt;=12,Assumptions!$C$100,IF(U7&lt;=24,Assumptions!$C$101,Assumptions!$C$102))</f>
        <v>5000</v>
      </c>
      <c r="V70" s="17" t="n">
        <f aca="false">IF(V7&lt;=12,Assumptions!$C$100,IF(V7&lt;=24,Assumptions!$C$101,Assumptions!$C$102))</f>
        <v>5000</v>
      </c>
      <c r="W70" s="17" t="n">
        <f aca="false">IF(W7&lt;=12,Assumptions!$C$100,IF(W7&lt;=24,Assumptions!$C$101,Assumptions!$C$102))</f>
        <v>5000</v>
      </c>
      <c r="X70" s="17" t="n">
        <f aca="false">IF(X7&lt;=12,Assumptions!$C$100,IF(X7&lt;=24,Assumptions!$C$101,Assumptions!$C$102))</f>
        <v>5000</v>
      </c>
      <c r="Y70" s="17" t="n">
        <f aca="false">IF(Y7&lt;=12,Assumptions!$C$100,IF(Y7&lt;=24,Assumptions!$C$101,Assumptions!$C$102))</f>
        <v>5000</v>
      </c>
      <c r="Z70" s="17" t="n">
        <f aca="false">IF(Z7&lt;=12,Assumptions!$C$100,IF(Z7&lt;=24,Assumptions!$C$101,Assumptions!$C$102))</f>
        <v>5000</v>
      </c>
      <c r="AA70" s="17" t="n">
        <f aca="false">IF(AA7&lt;=12,Assumptions!$C$100,IF(AA7&lt;=24,Assumptions!$C$101,Assumptions!$C$102))</f>
        <v>5000</v>
      </c>
      <c r="AB70" s="17" t="n">
        <f aca="false">IF(AB7&lt;=12,Assumptions!$C$100,IF(AB7&lt;=24,Assumptions!$C$101,Assumptions!$C$102))</f>
        <v>6000</v>
      </c>
      <c r="AC70" s="17" t="n">
        <f aca="false">IF(AC7&lt;=12,Assumptions!$C$100,IF(AC7&lt;=24,Assumptions!$C$101,Assumptions!$C$102))</f>
        <v>6000</v>
      </c>
      <c r="AD70" s="17" t="n">
        <f aca="false">IF(AD7&lt;=12,Assumptions!$C$100,IF(AD7&lt;=24,Assumptions!$C$101,Assumptions!$C$102))</f>
        <v>6000</v>
      </c>
      <c r="AE70" s="17" t="n">
        <f aca="false">IF(AE7&lt;=12,Assumptions!$C$100,IF(AE7&lt;=24,Assumptions!$C$101,Assumptions!$C$102))</f>
        <v>6000</v>
      </c>
      <c r="AF70" s="17" t="n">
        <f aca="false">IF(AF7&lt;=12,Assumptions!$C$100,IF(AF7&lt;=24,Assumptions!$C$101,Assumptions!$C$102))</f>
        <v>6000</v>
      </c>
      <c r="AG70" s="17" t="n">
        <f aca="false">IF(AG7&lt;=12,Assumptions!$C$100,IF(AG7&lt;=24,Assumptions!$C$101,Assumptions!$C$102))</f>
        <v>6000</v>
      </c>
      <c r="AH70" s="17" t="n">
        <f aca="false">IF(AH7&lt;=12,Assumptions!$C$100,IF(AH7&lt;=24,Assumptions!$C$101,Assumptions!$C$102))</f>
        <v>6000</v>
      </c>
      <c r="AI70" s="17" t="n">
        <f aca="false">IF(AI7&lt;=12,Assumptions!$C$100,IF(AI7&lt;=24,Assumptions!$C$101,Assumptions!$C$102))</f>
        <v>6000</v>
      </c>
      <c r="AJ70" s="17" t="n">
        <f aca="false">IF(AJ7&lt;=12,Assumptions!$C$100,IF(AJ7&lt;=24,Assumptions!$C$101,Assumptions!$C$102))</f>
        <v>6000</v>
      </c>
      <c r="AK70" s="17" t="n">
        <f aca="false">IF(AK7&lt;=12,Assumptions!$C$100,IF(AK7&lt;=24,Assumptions!$C$101,Assumptions!$C$102))</f>
        <v>6000</v>
      </c>
      <c r="AL70" s="17" t="n">
        <f aca="false">IF(AL7&lt;=12,Assumptions!$C$100,IF(AL7&lt;=24,Assumptions!$C$101,Assumptions!$C$102))</f>
        <v>6000</v>
      </c>
      <c r="AM70" s="17" t="n">
        <f aca="false">IF(AM7&lt;=12,Assumptions!$C$100,IF(AM7&lt;=24,Assumptions!$C$101,Assumptions!$C$102))</f>
        <v>6000</v>
      </c>
      <c r="AN70" s="44" t="n">
        <f aca="false">IF(AN7&lt;=12,Assumptions!$C$100,IF(AN7&lt;=24,Assumptions!$C$101,Assumptions!$C$102))</f>
        <v>6000</v>
      </c>
      <c r="AO70" s="44" t="n">
        <f aca="false">IF(AO7&lt;=12,Assumptions!$C$100,IF(AO7&lt;=24,Assumptions!$C$101,Assumptions!$C$102))</f>
        <v>6000</v>
      </c>
      <c r="AP70" s="44" t="n">
        <f aca="false">IF(AP7&lt;=12,Assumptions!$C$100,IF(AP7&lt;=24,Assumptions!$C$101,Assumptions!$C$102))</f>
        <v>6000</v>
      </c>
      <c r="AQ70" s="44" t="n">
        <f aca="false">IF(AQ7&lt;=12,Assumptions!$C$100,IF(AQ7&lt;=24,Assumptions!$C$101,Assumptions!$C$102))</f>
        <v>6000</v>
      </c>
      <c r="AR70" s="44" t="n">
        <f aca="false">IF(AR7&lt;=12,Assumptions!$C$100,IF(AR7&lt;=24,Assumptions!$C$101,Assumptions!$C$102))</f>
        <v>6000</v>
      </c>
      <c r="AS70" s="44" t="n">
        <f aca="false">IF(AS7&lt;=12,Assumptions!$C$100,IF(AS7&lt;=24,Assumptions!$C$101,Assumptions!$C$102))</f>
        <v>6000</v>
      </c>
      <c r="AT70" s="44" t="n">
        <f aca="false">IF(AT7&lt;=12,Assumptions!$C$100,IF(AT7&lt;=24,Assumptions!$C$101,Assumptions!$C$102))</f>
        <v>6000</v>
      </c>
      <c r="AU70" s="44" t="n">
        <f aca="false">IF(AU7&lt;=12,Assumptions!$C$100,IF(AU7&lt;=24,Assumptions!$C$101,Assumptions!$C$102))</f>
        <v>6000</v>
      </c>
      <c r="AV70" s="44" t="n">
        <f aca="false">IF(AV7&lt;=12,Assumptions!$C$100,IF(AV7&lt;=24,Assumptions!$C$101,Assumptions!$C$102))</f>
        <v>6000</v>
      </c>
      <c r="AW70" s="44" t="n">
        <f aca="false">IF(AW7&lt;=12,Assumptions!$C$100,IF(AW7&lt;=24,Assumptions!$C$101,Assumptions!$C$102))</f>
        <v>6000</v>
      </c>
      <c r="AX70" s="44" t="n">
        <f aca="false">IF(AX7&lt;=12,Assumptions!$C$100,IF(AX7&lt;=24,Assumptions!$C$101,Assumptions!$C$102))</f>
        <v>6000</v>
      </c>
      <c r="AY70" s="44" t="n">
        <f aca="false">IF(AY7&lt;=12,Assumptions!$C$100,IF(AY7&lt;=24,Assumptions!$C$101,Assumptions!$C$102))</f>
        <v>6000</v>
      </c>
      <c r="AZ70" s="44" t="n">
        <f aca="false">IF(AZ7&lt;=12,Assumptions!$C$100,IF(AZ7&lt;=24,Assumptions!$C$101,Assumptions!$C$102))</f>
        <v>6000</v>
      </c>
      <c r="BA70" s="44" t="n">
        <f aca="false">IF(BA7&lt;=12,Assumptions!$C$100,IF(BA7&lt;=24,Assumptions!$C$101,Assumptions!$C$102))</f>
        <v>6000</v>
      </c>
      <c r="BB70" s="44" t="n">
        <f aca="false">IF(BB7&lt;=12,Assumptions!$C$100,IF(BB7&lt;=24,Assumptions!$C$101,Assumptions!$C$102))</f>
        <v>6000</v>
      </c>
      <c r="BC70" s="44" t="n">
        <f aca="false">IF(BC7&lt;=12,Assumptions!$C$100,IF(BC7&lt;=24,Assumptions!$C$101,Assumptions!$C$102))</f>
        <v>6000</v>
      </c>
      <c r="BD70" s="44" t="n">
        <f aca="false">IF(BD7&lt;=12,Assumptions!$C$100,IF(BD7&lt;=24,Assumptions!$C$101,Assumptions!$C$102))</f>
        <v>6000</v>
      </c>
      <c r="BE70" s="44" t="n">
        <f aca="false">IF(BE7&lt;=12,Assumptions!$C$100,IF(BE7&lt;=24,Assumptions!$C$101,Assumptions!$C$102))</f>
        <v>6000</v>
      </c>
      <c r="BF70" s="44" t="n">
        <f aca="false">IF(BF7&lt;=12,Assumptions!$C$100,IF(BF7&lt;=24,Assumptions!$C$101,Assumptions!$C$102))</f>
        <v>6000</v>
      </c>
      <c r="BG70" s="44" t="n">
        <f aca="false">IF(BG7&lt;=12,Assumptions!$C$100,IF(BG7&lt;=24,Assumptions!$C$101,Assumptions!$C$102))</f>
        <v>6000</v>
      </c>
      <c r="BH70" s="44" t="n">
        <f aca="false">IF(BH7&lt;=12,Assumptions!$C$100,IF(BH7&lt;=24,Assumptions!$C$101,Assumptions!$C$102))</f>
        <v>6000</v>
      </c>
      <c r="BI70" s="44" t="n">
        <f aca="false">IF(BI7&lt;=12,Assumptions!$C$100,IF(BI7&lt;=24,Assumptions!$C$101,Assumptions!$C$102))</f>
        <v>6000</v>
      </c>
      <c r="BJ70" s="44" t="n">
        <f aca="false">IF(BJ7&lt;=12,Assumptions!$C$100,IF(BJ7&lt;=24,Assumptions!$C$101,Assumptions!$C$102))</f>
        <v>6000</v>
      </c>
      <c r="BK70" s="44" t="n">
        <f aca="false">IF(BK7&lt;=12,Assumptions!$C$100,IF(BK7&lt;=24,Assumptions!$C$101,Assumptions!$C$102))</f>
        <v>6000</v>
      </c>
    </row>
    <row r="71" customFormat="false" ht="15" hidden="false" customHeight="false" outlineLevel="0" collapsed="false">
      <c r="A71" s="28" t="s">
        <v>653</v>
      </c>
      <c r="B71" s="6" t="s">
        <v>654</v>
      </c>
      <c r="C71" s="43"/>
      <c r="D71" s="17" t="n">
        <f aca="false">INT(D13/Assumptions!$C$103)*Assumptions!$C$104</f>
        <v>0</v>
      </c>
      <c r="E71" s="17" t="n">
        <f aca="false">INT(E13/Assumptions!$C$103)*Assumptions!$C$104</f>
        <v>0</v>
      </c>
      <c r="F71" s="17" t="n">
        <f aca="false">INT(F13/Assumptions!$C$103)*Assumptions!$C$104</f>
        <v>0</v>
      </c>
      <c r="G71" s="17" t="n">
        <f aca="false">INT(G13/Assumptions!$C$103)*Assumptions!$C$104</f>
        <v>0</v>
      </c>
      <c r="H71" s="17" t="n">
        <f aca="false">INT(H13/Assumptions!$C$103)*Assumptions!$C$104</f>
        <v>0</v>
      </c>
      <c r="I71" s="17" t="n">
        <f aca="false">INT(I13/Assumptions!$C$103)*Assumptions!$C$104</f>
        <v>0</v>
      </c>
      <c r="J71" s="17" t="n">
        <f aca="false">INT(J13/Assumptions!$C$103)*Assumptions!$C$104</f>
        <v>0</v>
      </c>
      <c r="K71" s="17" t="n">
        <f aca="false">INT(K13/Assumptions!$C$103)*Assumptions!$C$104</f>
        <v>0</v>
      </c>
      <c r="L71" s="17" t="n">
        <f aca="false">INT(L13/Assumptions!$C$103)*Assumptions!$C$104</f>
        <v>0</v>
      </c>
      <c r="M71" s="17" t="n">
        <f aca="false">INT(M13/Assumptions!$C$103)*Assumptions!$C$104</f>
        <v>0</v>
      </c>
      <c r="N71" s="17" t="n">
        <f aca="false">INT(N13/Assumptions!$C$103)*Assumptions!$C$104</f>
        <v>0</v>
      </c>
      <c r="O71" s="17" t="n">
        <f aca="false">INT(O13/Assumptions!$C$103)*Assumptions!$C$104</f>
        <v>0</v>
      </c>
      <c r="P71" s="17" t="n">
        <f aca="false">INT(P13/Assumptions!$C$103)*Assumptions!$C$104</f>
        <v>0</v>
      </c>
      <c r="Q71" s="17" t="n">
        <f aca="false">INT(Q13/Assumptions!$C$103)*Assumptions!$C$104</f>
        <v>0</v>
      </c>
      <c r="R71" s="17" t="n">
        <f aca="false">INT(R13/Assumptions!$C$103)*Assumptions!$C$104</f>
        <v>0</v>
      </c>
      <c r="S71" s="17" t="n">
        <f aca="false">INT(S13/Assumptions!$C$103)*Assumptions!$C$104</f>
        <v>0</v>
      </c>
      <c r="T71" s="17" t="n">
        <f aca="false">INT(T13/Assumptions!$C$103)*Assumptions!$C$104</f>
        <v>0</v>
      </c>
      <c r="U71" s="17" t="n">
        <f aca="false">INT(U13/Assumptions!$C$103)*Assumptions!$C$104</f>
        <v>0</v>
      </c>
      <c r="V71" s="17" t="n">
        <f aca="false">INT(V13/Assumptions!$C$103)*Assumptions!$C$104</f>
        <v>0</v>
      </c>
      <c r="W71" s="17" t="n">
        <f aca="false">INT(W13/Assumptions!$C$103)*Assumptions!$C$104</f>
        <v>0</v>
      </c>
      <c r="X71" s="17" t="n">
        <f aca="false">INT(X13/Assumptions!$C$103)*Assumptions!$C$104</f>
        <v>0</v>
      </c>
      <c r="Y71" s="17" t="n">
        <f aca="false">INT(Y13/Assumptions!$C$103)*Assumptions!$C$104</f>
        <v>0</v>
      </c>
      <c r="Z71" s="17" t="n">
        <f aca="false">INT(Z13/Assumptions!$C$103)*Assumptions!$C$104</f>
        <v>0</v>
      </c>
      <c r="AA71" s="17" t="n">
        <f aca="false">INT(AA13/Assumptions!$C$103)*Assumptions!$C$104</f>
        <v>0</v>
      </c>
      <c r="AB71" s="17" t="n">
        <f aca="false">INT(AB13/Assumptions!$C$103)*Assumptions!$C$104</f>
        <v>0</v>
      </c>
      <c r="AC71" s="17" t="n">
        <f aca="false">INT(AC13/Assumptions!$C$103)*Assumptions!$C$104</f>
        <v>0</v>
      </c>
      <c r="AD71" s="17" t="n">
        <f aca="false">INT(AD13/Assumptions!$C$103)*Assumptions!$C$104</f>
        <v>0</v>
      </c>
      <c r="AE71" s="17" t="n">
        <f aca="false">INT(AE13/Assumptions!$C$103)*Assumptions!$C$104</f>
        <v>0</v>
      </c>
      <c r="AF71" s="17" t="n">
        <f aca="false">INT(AF13/Assumptions!$C$103)*Assumptions!$C$104</f>
        <v>0</v>
      </c>
      <c r="AG71" s="17" t="n">
        <f aca="false">INT(AG13/Assumptions!$C$103)*Assumptions!$C$104</f>
        <v>0</v>
      </c>
      <c r="AH71" s="17" t="n">
        <f aca="false">INT(AH13/Assumptions!$C$103)*Assumptions!$C$104</f>
        <v>0</v>
      </c>
      <c r="AI71" s="17" t="n">
        <f aca="false">INT(AI13/Assumptions!$C$103)*Assumptions!$C$104</f>
        <v>0</v>
      </c>
      <c r="AJ71" s="17" t="n">
        <f aca="false">INT(AJ13/Assumptions!$C$103)*Assumptions!$C$104</f>
        <v>0</v>
      </c>
      <c r="AK71" s="17" t="n">
        <f aca="false">INT(AK13/Assumptions!$C$103)*Assumptions!$C$104</f>
        <v>0</v>
      </c>
      <c r="AL71" s="17" t="n">
        <f aca="false">INT(AL13/Assumptions!$C$103)*Assumptions!$C$104</f>
        <v>0</v>
      </c>
      <c r="AM71" s="17" t="n">
        <f aca="false">INT(AM13/Assumptions!$C$103)*Assumptions!$C$104</f>
        <v>0</v>
      </c>
      <c r="AN71" s="44" t="n">
        <f aca="false">INT(AN13/Assumptions!$C$103)*Assumptions!$C$104</f>
        <v>0</v>
      </c>
      <c r="AO71" s="44" t="n">
        <f aca="false">INT(AO13/Assumptions!$C$103)*Assumptions!$C$104</f>
        <v>0</v>
      </c>
      <c r="AP71" s="44" t="n">
        <f aca="false">INT(AP13/Assumptions!$C$103)*Assumptions!$C$104</f>
        <v>0</v>
      </c>
      <c r="AQ71" s="44" t="n">
        <f aca="false">INT(AQ13/Assumptions!$C$103)*Assumptions!$C$104</f>
        <v>0</v>
      </c>
      <c r="AR71" s="44" t="n">
        <f aca="false">INT(AR13/Assumptions!$C$103)*Assumptions!$C$104</f>
        <v>0</v>
      </c>
      <c r="AS71" s="44" t="n">
        <f aca="false">INT(AS13/Assumptions!$C$103)*Assumptions!$C$104</f>
        <v>0</v>
      </c>
      <c r="AT71" s="44" t="n">
        <f aca="false">INT(AT13/Assumptions!$C$103)*Assumptions!$C$104</f>
        <v>0</v>
      </c>
      <c r="AU71" s="44" t="n">
        <f aca="false">INT(AU13/Assumptions!$C$103)*Assumptions!$C$104</f>
        <v>0</v>
      </c>
      <c r="AV71" s="44" t="n">
        <f aca="false">INT(AV13/Assumptions!$C$103)*Assumptions!$C$104</f>
        <v>0</v>
      </c>
      <c r="AW71" s="44" t="n">
        <f aca="false">INT(AW13/Assumptions!$C$103)*Assumptions!$C$104</f>
        <v>0</v>
      </c>
      <c r="AX71" s="44" t="n">
        <f aca="false">INT(AX13/Assumptions!$C$103)*Assumptions!$C$104</f>
        <v>0</v>
      </c>
      <c r="AY71" s="44" t="n">
        <f aca="false">INT(AY13/Assumptions!$C$103)*Assumptions!$C$104</f>
        <v>0</v>
      </c>
      <c r="AZ71" s="44" t="n">
        <f aca="false">INT(AZ13/Assumptions!$C$103)*Assumptions!$C$104</f>
        <v>0</v>
      </c>
      <c r="BA71" s="44" t="n">
        <f aca="false">INT(BA13/Assumptions!$C$103)*Assumptions!$C$104</f>
        <v>0</v>
      </c>
      <c r="BB71" s="44" t="n">
        <f aca="false">INT(BB13/Assumptions!$C$103)*Assumptions!$C$104</f>
        <v>0</v>
      </c>
      <c r="BC71" s="44" t="n">
        <f aca="false">INT(BC13/Assumptions!$C$103)*Assumptions!$C$104</f>
        <v>0</v>
      </c>
      <c r="BD71" s="44" t="n">
        <f aca="false">INT(BD13/Assumptions!$C$103)*Assumptions!$C$104</f>
        <v>0</v>
      </c>
      <c r="BE71" s="44" t="n">
        <f aca="false">INT(BE13/Assumptions!$C$103)*Assumptions!$C$104</f>
        <v>0</v>
      </c>
      <c r="BF71" s="44" t="n">
        <f aca="false">INT(BF13/Assumptions!$C$103)*Assumptions!$C$104</f>
        <v>0</v>
      </c>
      <c r="BG71" s="44" t="n">
        <f aca="false">INT(BG13/Assumptions!$C$103)*Assumptions!$C$104</f>
        <v>0</v>
      </c>
      <c r="BH71" s="44" t="n">
        <f aca="false">INT(BH13/Assumptions!$C$103)*Assumptions!$C$104</f>
        <v>0</v>
      </c>
      <c r="BI71" s="44" t="n">
        <f aca="false">INT(BI13/Assumptions!$C$103)*Assumptions!$C$104</f>
        <v>0</v>
      </c>
      <c r="BJ71" s="44" t="n">
        <f aca="false">INT(BJ13/Assumptions!$C$103)*Assumptions!$C$104</f>
        <v>0</v>
      </c>
      <c r="BK71" s="44" t="n">
        <f aca="false">INT(BK13/Assumptions!$C$103)*Assumptions!$C$104</f>
        <v>0</v>
      </c>
    </row>
    <row r="72" customFormat="false" ht="15" hidden="false" customHeight="false" outlineLevel="0" collapsed="false">
      <c r="A72" s="28" t="s">
        <v>655</v>
      </c>
      <c r="B72" s="6" t="s">
        <v>342</v>
      </c>
      <c r="C72" s="43"/>
      <c r="D72" s="17" t="n">
        <f aca="false">IF(D7&gt;=Assumptions!$C$106,Assumptions!$C$105,0)</f>
        <v>0</v>
      </c>
      <c r="E72" s="17" t="n">
        <f aca="false">IF(E7&gt;=Assumptions!$C$106,Assumptions!$C$105,0)</f>
        <v>0</v>
      </c>
      <c r="F72" s="17" t="n">
        <f aca="false">IF(F7&gt;=Assumptions!$C$106,Assumptions!$C$105,0)</f>
        <v>0</v>
      </c>
      <c r="G72" s="17" t="n">
        <f aca="false">IF(G7&gt;=Assumptions!$C$106,Assumptions!$C$105,0)</f>
        <v>0</v>
      </c>
      <c r="H72" s="17" t="n">
        <f aca="false">IF(H7&gt;=Assumptions!$C$106,Assumptions!$C$105,0)</f>
        <v>0</v>
      </c>
      <c r="I72" s="17" t="n">
        <f aca="false">IF(I7&gt;=Assumptions!$C$106,Assumptions!$C$105,0)</f>
        <v>0</v>
      </c>
      <c r="J72" s="17" t="n">
        <f aca="false">IF(J7&gt;=Assumptions!$C$106,Assumptions!$C$105,0)</f>
        <v>0</v>
      </c>
      <c r="K72" s="17" t="n">
        <f aca="false">IF(K7&gt;=Assumptions!$C$106,Assumptions!$C$105,0)</f>
        <v>0</v>
      </c>
      <c r="L72" s="17" t="n">
        <f aca="false">IF(L7&gt;=Assumptions!$C$106,Assumptions!$C$105,0)</f>
        <v>0</v>
      </c>
      <c r="M72" s="17" t="n">
        <f aca="false">IF(M7&gt;=Assumptions!$C$106,Assumptions!$C$105,0)</f>
        <v>0</v>
      </c>
      <c r="N72" s="17" t="n">
        <f aca="false">IF(N7&gt;=Assumptions!$C$106,Assumptions!$C$105,0)</f>
        <v>0</v>
      </c>
      <c r="O72" s="17" t="n">
        <f aca="false">IF(O7&gt;=Assumptions!$C$106,Assumptions!$C$105,0)</f>
        <v>0</v>
      </c>
      <c r="P72" s="17" t="n">
        <f aca="false">IF(P7&gt;=Assumptions!$C$106,Assumptions!$C$105,0)</f>
        <v>0</v>
      </c>
      <c r="Q72" s="17" t="n">
        <f aca="false">IF(Q7&gt;=Assumptions!$C$106,Assumptions!$C$105,0)</f>
        <v>0</v>
      </c>
      <c r="R72" s="17" t="n">
        <f aca="false">IF(R7&gt;=Assumptions!$C$106,Assumptions!$C$105,0)</f>
        <v>0</v>
      </c>
      <c r="S72" s="17" t="n">
        <f aca="false">IF(S7&gt;=Assumptions!$C$106,Assumptions!$C$105,0)</f>
        <v>0</v>
      </c>
      <c r="T72" s="17" t="n">
        <f aca="false">IF(T7&gt;=Assumptions!$C$106,Assumptions!$C$105,0)</f>
        <v>0</v>
      </c>
      <c r="U72" s="17" t="n">
        <f aca="false">IF(U7&gt;=Assumptions!$C$106,Assumptions!$C$105,0)</f>
        <v>0</v>
      </c>
      <c r="V72" s="17" t="n">
        <f aca="false">IF(V7&gt;=Assumptions!$C$106,Assumptions!$C$105,0)</f>
        <v>0</v>
      </c>
      <c r="W72" s="17" t="n">
        <f aca="false">IF(W7&gt;=Assumptions!$C$106,Assumptions!$C$105,0)</f>
        <v>0</v>
      </c>
      <c r="X72" s="17" t="n">
        <f aca="false">IF(X7&gt;=Assumptions!$C$106,Assumptions!$C$105,0)</f>
        <v>0</v>
      </c>
      <c r="Y72" s="17" t="n">
        <f aca="false">IF(Y7&gt;=Assumptions!$C$106,Assumptions!$C$105,0)</f>
        <v>0</v>
      </c>
      <c r="Z72" s="17" t="n">
        <f aca="false">IF(Z7&gt;=Assumptions!$C$106,Assumptions!$C$105,0)</f>
        <v>0</v>
      </c>
      <c r="AA72" s="17" t="n">
        <f aca="false">IF(AA7&gt;=Assumptions!$C$106,Assumptions!$C$105,0)</f>
        <v>0</v>
      </c>
      <c r="AB72" s="17" t="n">
        <f aca="false">IF(AB7&gt;=Assumptions!$C$106,Assumptions!$C$105,0)</f>
        <v>0</v>
      </c>
      <c r="AC72" s="17" t="n">
        <f aca="false">IF(AC7&gt;=Assumptions!$C$106,Assumptions!$C$105,0)</f>
        <v>0</v>
      </c>
      <c r="AD72" s="17" t="n">
        <f aca="false">IF(AD7&gt;=Assumptions!$C$106,Assumptions!$C$105,0)</f>
        <v>0</v>
      </c>
      <c r="AE72" s="17" t="n">
        <f aca="false">IF(AE7&gt;=Assumptions!$C$106,Assumptions!$C$105,0)</f>
        <v>0</v>
      </c>
      <c r="AF72" s="17" t="n">
        <f aca="false">IF(AF7&gt;=Assumptions!$C$106,Assumptions!$C$105,0)</f>
        <v>0</v>
      </c>
      <c r="AG72" s="17" t="n">
        <f aca="false">IF(AG7&gt;=Assumptions!$C$106,Assumptions!$C$105,0)</f>
        <v>0</v>
      </c>
      <c r="AH72" s="17" t="n">
        <f aca="false">IF(AH7&gt;=Assumptions!$C$106,Assumptions!$C$105,0)</f>
        <v>0</v>
      </c>
      <c r="AI72" s="17" t="n">
        <f aca="false">IF(AI7&gt;=Assumptions!$C$106,Assumptions!$C$105,0)</f>
        <v>0</v>
      </c>
      <c r="AJ72" s="17" t="n">
        <f aca="false">IF(AJ7&gt;=Assumptions!$C$106,Assumptions!$C$105,0)</f>
        <v>0</v>
      </c>
      <c r="AK72" s="17" t="n">
        <f aca="false">IF(AK7&gt;=Assumptions!$C$106,Assumptions!$C$105,0)</f>
        <v>0</v>
      </c>
      <c r="AL72" s="17" t="n">
        <f aca="false">IF(AL7&gt;=Assumptions!$C$106,Assumptions!$C$105,0)</f>
        <v>0</v>
      </c>
      <c r="AM72" s="17" t="n">
        <f aca="false">IF(AM7&gt;=Assumptions!$C$106,Assumptions!$C$105,0)</f>
        <v>0</v>
      </c>
      <c r="AN72" s="44" t="n">
        <f aca="false">IF(AN7&gt;=Assumptions!$C$106,Assumptions!$C$105,0)</f>
        <v>0</v>
      </c>
      <c r="AO72" s="44" t="n">
        <f aca="false">IF(AO7&gt;=Assumptions!$C$106,Assumptions!$C$105,0)</f>
        <v>0</v>
      </c>
      <c r="AP72" s="44" t="n">
        <f aca="false">IF(AP7&gt;=Assumptions!$C$106,Assumptions!$C$105,0)</f>
        <v>0</v>
      </c>
      <c r="AQ72" s="44" t="n">
        <f aca="false">IF(AQ7&gt;=Assumptions!$C$106,Assumptions!$C$105,0)</f>
        <v>0</v>
      </c>
      <c r="AR72" s="44" t="n">
        <f aca="false">IF(AR7&gt;=Assumptions!$C$106,Assumptions!$C$105,0)</f>
        <v>0</v>
      </c>
      <c r="AS72" s="44" t="n">
        <f aca="false">IF(AS7&gt;=Assumptions!$C$106,Assumptions!$C$105,0)</f>
        <v>0</v>
      </c>
      <c r="AT72" s="44" t="n">
        <f aca="false">IF(AT7&gt;=Assumptions!$C$106,Assumptions!$C$105,0)</f>
        <v>0</v>
      </c>
      <c r="AU72" s="44" t="n">
        <f aca="false">IF(AU7&gt;=Assumptions!$C$106,Assumptions!$C$105,0)</f>
        <v>0</v>
      </c>
      <c r="AV72" s="44" t="n">
        <f aca="false">IF(AV7&gt;=Assumptions!$C$106,Assumptions!$C$105,0)</f>
        <v>0</v>
      </c>
      <c r="AW72" s="44" t="n">
        <f aca="false">IF(AW7&gt;=Assumptions!$C$106,Assumptions!$C$105,0)</f>
        <v>0</v>
      </c>
      <c r="AX72" s="44" t="n">
        <f aca="false">IF(AX7&gt;=Assumptions!$C$106,Assumptions!$C$105,0)</f>
        <v>0</v>
      </c>
      <c r="AY72" s="44" t="n">
        <f aca="false">IF(AY7&gt;=Assumptions!$C$106,Assumptions!$C$105,0)</f>
        <v>0</v>
      </c>
      <c r="AZ72" s="44" t="n">
        <f aca="false">IF(AZ7&gt;=Assumptions!$C$106,Assumptions!$C$105,0)</f>
        <v>0</v>
      </c>
      <c r="BA72" s="44" t="n">
        <f aca="false">IF(BA7&gt;=Assumptions!$C$106,Assumptions!$C$105,0)</f>
        <v>0</v>
      </c>
      <c r="BB72" s="44" t="n">
        <f aca="false">IF(BB7&gt;=Assumptions!$C$106,Assumptions!$C$105,0)</f>
        <v>0</v>
      </c>
      <c r="BC72" s="44" t="n">
        <f aca="false">IF(BC7&gt;=Assumptions!$C$106,Assumptions!$C$105,0)</f>
        <v>0</v>
      </c>
      <c r="BD72" s="44" t="n">
        <f aca="false">IF(BD7&gt;=Assumptions!$C$106,Assumptions!$C$105,0)</f>
        <v>0</v>
      </c>
      <c r="BE72" s="44" t="n">
        <f aca="false">IF(BE7&gt;=Assumptions!$C$106,Assumptions!$C$105,0)</f>
        <v>0</v>
      </c>
      <c r="BF72" s="44" t="n">
        <f aca="false">IF(BF7&gt;=Assumptions!$C$106,Assumptions!$C$105,0)</f>
        <v>0</v>
      </c>
      <c r="BG72" s="44" t="n">
        <f aca="false">IF(BG7&gt;=Assumptions!$C$106,Assumptions!$C$105,0)</f>
        <v>0</v>
      </c>
      <c r="BH72" s="44" t="n">
        <f aca="false">IF(BH7&gt;=Assumptions!$C$106,Assumptions!$C$105,0)</f>
        <v>0</v>
      </c>
      <c r="BI72" s="44" t="n">
        <f aca="false">IF(BI7&gt;=Assumptions!$C$106,Assumptions!$C$105,0)</f>
        <v>0</v>
      </c>
      <c r="BJ72" s="44" t="n">
        <f aca="false">IF(BJ7&gt;=Assumptions!$C$106,Assumptions!$C$105,0)</f>
        <v>0</v>
      </c>
      <c r="BK72" s="44" t="n">
        <f aca="false">IF(BK7&gt;=Assumptions!$C$106,Assumptions!$C$105,0)</f>
        <v>0</v>
      </c>
    </row>
    <row r="73" customFormat="false" ht="15" hidden="false" customHeight="false" outlineLevel="0" collapsed="false">
      <c r="A73" s="28" t="s">
        <v>656</v>
      </c>
      <c r="B73" s="6" t="s">
        <v>657</v>
      </c>
      <c r="C73" s="43"/>
      <c r="D73" s="22" t="n">
        <f aca="false">Assumptions!C$144</f>
        <v>3500</v>
      </c>
      <c r="E73" s="22" t="n">
        <f aca="false">Assumptions!D$144</f>
        <v>1500</v>
      </c>
      <c r="F73" s="22" t="n">
        <f aca="false">Assumptions!E$144</f>
        <v>3000</v>
      </c>
      <c r="G73" s="22" t="n">
        <f aca="false">Assumptions!F$144</f>
        <v>0</v>
      </c>
      <c r="H73" s="22" t="n">
        <f aca="false">Assumptions!G$144</f>
        <v>0</v>
      </c>
      <c r="I73" s="22" t="n">
        <f aca="false">Assumptions!H$144</f>
        <v>0</v>
      </c>
      <c r="J73" s="22" t="n">
        <f aca="false">Assumptions!I$144</f>
        <v>0</v>
      </c>
      <c r="K73" s="22" t="n">
        <f aca="false">Assumptions!J$144</f>
        <v>0</v>
      </c>
      <c r="L73" s="22" t="n">
        <f aca="false">Assumptions!K$144</f>
        <v>0</v>
      </c>
      <c r="M73" s="22" t="n">
        <f aca="false">Assumptions!L$144</f>
        <v>0</v>
      </c>
      <c r="N73" s="22" t="n">
        <f aca="false">Assumptions!M$144</f>
        <v>0</v>
      </c>
      <c r="O73" s="22" t="n">
        <f aca="false">Assumptions!N$144</f>
        <v>0</v>
      </c>
      <c r="P73" s="22" t="n">
        <f aca="false">Assumptions!O$144</f>
        <v>0</v>
      </c>
      <c r="Q73" s="22" t="n">
        <f aca="false">Assumptions!P$144</f>
        <v>0</v>
      </c>
      <c r="R73" s="22" t="n">
        <f aca="false">Assumptions!Q$144</f>
        <v>0</v>
      </c>
      <c r="S73" s="22" t="n">
        <f aca="false">Assumptions!R$144</f>
        <v>0</v>
      </c>
      <c r="T73" s="22" t="n">
        <f aca="false">Assumptions!S$144</f>
        <v>0</v>
      </c>
      <c r="U73" s="22" t="n">
        <f aca="false">Assumptions!T$144</f>
        <v>0</v>
      </c>
      <c r="V73" s="22" t="n">
        <f aca="false">Assumptions!U$144</f>
        <v>0</v>
      </c>
      <c r="W73" s="22" t="n">
        <f aca="false">Assumptions!V$144</f>
        <v>0</v>
      </c>
      <c r="X73" s="22" t="n">
        <f aca="false">Assumptions!W$144</f>
        <v>0</v>
      </c>
      <c r="Y73" s="22" t="n">
        <f aca="false">Assumptions!X$144</f>
        <v>0</v>
      </c>
      <c r="Z73" s="22" t="n">
        <f aca="false">Assumptions!Y$144</f>
        <v>0</v>
      </c>
      <c r="AA73" s="22" t="n">
        <f aca="false">Assumptions!Z$144</f>
        <v>0</v>
      </c>
      <c r="AB73" s="22" t="n">
        <f aca="false">Assumptions!AA$144</f>
        <v>0</v>
      </c>
      <c r="AC73" s="22" t="n">
        <f aca="false">Assumptions!AB$144</f>
        <v>0</v>
      </c>
      <c r="AD73" s="22" t="n">
        <f aca="false">Assumptions!AC$144</f>
        <v>0</v>
      </c>
      <c r="AE73" s="22" t="n">
        <f aca="false">Assumptions!AD$144</f>
        <v>0</v>
      </c>
      <c r="AF73" s="22" t="n">
        <f aca="false">Assumptions!AE$144</f>
        <v>0</v>
      </c>
      <c r="AG73" s="22" t="n">
        <f aca="false">Assumptions!AF$144</f>
        <v>0</v>
      </c>
      <c r="AH73" s="22" t="n">
        <f aca="false">Assumptions!AG$144</f>
        <v>0</v>
      </c>
      <c r="AI73" s="22" t="n">
        <f aca="false">Assumptions!AH$144</f>
        <v>0</v>
      </c>
      <c r="AJ73" s="22" t="n">
        <f aca="false">Assumptions!AI$144</f>
        <v>0</v>
      </c>
      <c r="AK73" s="22" t="n">
        <f aca="false">Assumptions!AJ$144</f>
        <v>0</v>
      </c>
      <c r="AL73" s="22" t="n">
        <f aca="false">Assumptions!AK$144</f>
        <v>0</v>
      </c>
      <c r="AM73" s="22" t="n">
        <f aca="false">Assumptions!AL$144</f>
        <v>0</v>
      </c>
      <c r="AN73" s="49" t="n">
        <f aca="false">Assumptions!AM$144</f>
        <v>0</v>
      </c>
      <c r="AO73" s="49" t="n">
        <f aca="false">Assumptions!AN$144</f>
        <v>0</v>
      </c>
      <c r="AP73" s="49" t="n">
        <f aca="false">Assumptions!AO$144</f>
        <v>0</v>
      </c>
      <c r="AQ73" s="49" t="n">
        <f aca="false">Assumptions!AP$144</f>
        <v>0</v>
      </c>
      <c r="AR73" s="49" t="n">
        <f aca="false">Assumptions!AQ$144</f>
        <v>0</v>
      </c>
      <c r="AS73" s="49" t="n">
        <f aca="false">Assumptions!AR$144</f>
        <v>0</v>
      </c>
      <c r="AT73" s="49" t="n">
        <f aca="false">Assumptions!AS$144</f>
        <v>0</v>
      </c>
      <c r="AU73" s="49" t="n">
        <f aca="false">Assumptions!AT$144</f>
        <v>0</v>
      </c>
      <c r="AV73" s="49" t="n">
        <f aca="false">Assumptions!AU$144</f>
        <v>0</v>
      </c>
      <c r="AW73" s="49" t="n">
        <f aca="false">Assumptions!AV$144</f>
        <v>0</v>
      </c>
      <c r="AX73" s="49" t="n">
        <f aca="false">Assumptions!AW$144</f>
        <v>0</v>
      </c>
      <c r="AY73" s="49" t="n">
        <f aca="false">Assumptions!AX$144</f>
        <v>0</v>
      </c>
      <c r="AZ73" s="49" t="n">
        <f aca="false">Assumptions!AY$144</f>
        <v>0</v>
      </c>
      <c r="BA73" s="49" t="n">
        <f aca="false">Assumptions!AZ$144</f>
        <v>0</v>
      </c>
      <c r="BB73" s="49" t="n">
        <f aca="false">Assumptions!BA$144</f>
        <v>0</v>
      </c>
      <c r="BC73" s="49" t="n">
        <f aca="false">Assumptions!BB$144</f>
        <v>0</v>
      </c>
      <c r="BD73" s="49" t="n">
        <f aca="false">Assumptions!BC$144</f>
        <v>0</v>
      </c>
      <c r="BE73" s="49" t="n">
        <f aca="false">Assumptions!BD$144</f>
        <v>0</v>
      </c>
      <c r="BF73" s="49" t="n">
        <f aca="false">Assumptions!BE$144</f>
        <v>0</v>
      </c>
      <c r="BG73" s="49" t="n">
        <f aca="false">Assumptions!BF$144</f>
        <v>0</v>
      </c>
      <c r="BH73" s="49" t="n">
        <f aca="false">Assumptions!BG$144</f>
        <v>0</v>
      </c>
      <c r="BI73" s="49" t="n">
        <f aca="false">Assumptions!BH$144</f>
        <v>0</v>
      </c>
      <c r="BJ73" s="49" t="n">
        <f aca="false">Assumptions!BI$144</f>
        <v>0</v>
      </c>
      <c r="BK73" s="49" t="n">
        <f aca="false">Assumptions!BJ$144</f>
        <v>0</v>
      </c>
    </row>
    <row r="74" customFormat="false" ht="15" hidden="false" customHeight="false" outlineLevel="0" collapsed="false">
      <c r="A74" s="28" t="s">
        <v>658</v>
      </c>
      <c r="B74" s="5" t="s">
        <v>659</v>
      </c>
      <c r="C74" s="43"/>
      <c r="D74" s="45" t="n">
        <f aca="false">D69+D70+D71+D72+D73</f>
        <v>8965</v>
      </c>
      <c r="E74" s="45" t="n">
        <f aca="false">E69+E70+E71+E72+E73</f>
        <v>6965</v>
      </c>
      <c r="F74" s="45" t="n">
        <f aca="false">F69+F70+F71+F72+F73</f>
        <v>8465</v>
      </c>
      <c r="G74" s="45" t="n">
        <f aca="false">G69+G70+G71+G72+G73</f>
        <v>5465</v>
      </c>
      <c r="H74" s="45" t="n">
        <f aca="false">H69+H70+H71+H72+H73</f>
        <v>5465</v>
      </c>
      <c r="I74" s="45" t="n">
        <f aca="false">I69+I70+I71+I72+I73</f>
        <v>5465</v>
      </c>
      <c r="J74" s="45" t="n">
        <f aca="false">J69+J70+J71+J72+J73</f>
        <v>5465</v>
      </c>
      <c r="K74" s="45" t="n">
        <f aca="false">K69+K70+K71+K72+K73</f>
        <v>5465</v>
      </c>
      <c r="L74" s="45" t="n">
        <f aca="false">L69+L70+L71+L72+L73</f>
        <v>5465</v>
      </c>
      <c r="M74" s="45" t="n">
        <f aca="false">M69+M70+M71+M72+M73</f>
        <v>5465</v>
      </c>
      <c r="N74" s="45" t="n">
        <f aca="false">N69+N70+N71+N72+N73</f>
        <v>5465</v>
      </c>
      <c r="O74" s="45" t="n">
        <f aca="false">O69+O70+O71+O72+O73</f>
        <v>5465</v>
      </c>
      <c r="P74" s="45" t="n">
        <f aca="false">P69+P70+P71+P72+P73</f>
        <v>6465</v>
      </c>
      <c r="Q74" s="45" t="n">
        <f aca="false">Q69+Q70+Q71+Q72+Q73</f>
        <v>6465</v>
      </c>
      <c r="R74" s="45" t="n">
        <f aca="false">R69+R70+R71+R72+R73</f>
        <v>6465</v>
      </c>
      <c r="S74" s="45" t="n">
        <f aca="false">S69+S70+S71+S72+S73</f>
        <v>6465</v>
      </c>
      <c r="T74" s="45" t="n">
        <f aca="false">T69+T70+T71+T72+T73</f>
        <v>6465</v>
      </c>
      <c r="U74" s="45" t="n">
        <f aca="false">U69+U70+U71+U72+U73</f>
        <v>6465</v>
      </c>
      <c r="V74" s="45" t="n">
        <f aca="false">V69+V70+V71+V72+V73</f>
        <v>6465</v>
      </c>
      <c r="W74" s="45" t="n">
        <f aca="false">W69+W70+W71+W72+W73</f>
        <v>6465</v>
      </c>
      <c r="X74" s="45" t="n">
        <f aca="false">X69+X70+X71+X72+X73</f>
        <v>6465</v>
      </c>
      <c r="Y74" s="45" t="n">
        <f aca="false">Y69+Y70+Y71+Y72+Y73</f>
        <v>6465</v>
      </c>
      <c r="Z74" s="45" t="n">
        <f aca="false">Z69+Z70+Z71+Z72+Z73</f>
        <v>6465</v>
      </c>
      <c r="AA74" s="45" t="n">
        <f aca="false">AA69+AA70+AA71+AA72+AA73</f>
        <v>6465</v>
      </c>
      <c r="AB74" s="45" t="n">
        <f aca="false">AB69+AB70+AB71+AB72+AB73</f>
        <v>7465</v>
      </c>
      <c r="AC74" s="45" t="n">
        <f aca="false">AC69+AC70+AC71+AC72+AC73</f>
        <v>7465</v>
      </c>
      <c r="AD74" s="45" t="n">
        <f aca="false">AD69+AD70+AD71+AD72+AD73</f>
        <v>7465</v>
      </c>
      <c r="AE74" s="45" t="n">
        <f aca="false">AE69+AE70+AE71+AE72+AE73</f>
        <v>7465</v>
      </c>
      <c r="AF74" s="45" t="n">
        <f aca="false">AF69+AF70+AF71+AF72+AF73</f>
        <v>7465</v>
      </c>
      <c r="AG74" s="45" t="n">
        <f aca="false">AG69+AG70+AG71+AG72+AG73</f>
        <v>7465</v>
      </c>
      <c r="AH74" s="45" t="n">
        <f aca="false">AH69+AH70+AH71+AH72+AH73</f>
        <v>7465</v>
      </c>
      <c r="AI74" s="45" t="n">
        <f aca="false">AI69+AI70+AI71+AI72+AI73</f>
        <v>7465</v>
      </c>
      <c r="AJ74" s="45" t="n">
        <f aca="false">AJ69+AJ70+AJ71+AJ72+AJ73</f>
        <v>7465</v>
      </c>
      <c r="AK74" s="45" t="n">
        <f aca="false">AK69+AK70+AK71+AK72+AK73</f>
        <v>7465</v>
      </c>
      <c r="AL74" s="45" t="n">
        <f aca="false">AL69+AL70+AL71+AL72+AL73</f>
        <v>7465</v>
      </c>
      <c r="AM74" s="45" t="n">
        <f aca="false">AM69+AM70+AM71+AM72+AM73</f>
        <v>7465</v>
      </c>
      <c r="AN74" s="46" t="n">
        <f aca="false">AN69+AN70+AN71+AN72+AN73</f>
        <v>7465</v>
      </c>
      <c r="AO74" s="46" t="n">
        <f aca="false">AO69+AO70+AO71+AO72+AO73</f>
        <v>7465</v>
      </c>
      <c r="AP74" s="46" t="n">
        <f aca="false">AP69+AP70+AP71+AP72+AP73</f>
        <v>7465</v>
      </c>
      <c r="AQ74" s="46" t="n">
        <f aca="false">AQ69+AQ70+AQ71+AQ72+AQ73</f>
        <v>7465</v>
      </c>
      <c r="AR74" s="46" t="n">
        <f aca="false">AR69+AR70+AR71+AR72+AR73</f>
        <v>7465</v>
      </c>
      <c r="AS74" s="46" t="n">
        <f aca="false">AS69+AS70+AS71+AS72+AS73</f>
        <v>7465</v>
      </c>
      <c r="AT74" s="46" t="n">
        <f aca="false">AT69+AT70+AT71+AT72+AT73</f>
        <v>7465</v>
      </c>
      <c r="AU74" s="46" t="n">
        <f aca="false">AU69+AU70+AU71+AU72+AU73</f>
        <v>7465</v>
      </c>
      <c r="AV74" s="46" t="n">
        <f aca="false">AV69+AV70+AV71+AV72+AV73</f>
        <v>7465</v>
      </c>
      <c r="AW74" s="46" t="n">
        <f aca="false">AW69+AW70+AW71+AW72+AW73</f>
        <v>7465</v>
      </c>
      <c r="AX74" s="46" t="n">
        <f aca="false">AX69+AX70+AX71+AX72+AX73</f>
        <v>7465</v>
      </c>
      <c r="AY74" s="46" t="n">
        <f aca="false">AY69+AY70+AY71+AY72+AY73</f>
        <v>7465</v>
      </c>
      <c r="AZ74" s="46" t="n">
        <f aca="false">AZ69+AZ70+AZ71+AZ72+AZ73</f>
        <v>7465</v>
      </c>
      <c r="BA74" s="46" t="n">
        <f aca="false">BA69+BA70+BA71+BA72+BA73</f>
        <v>7465</v>
      </c>
      <c r="BB74" s="46" t="n">
        <f aca="false">BB69+BB70+BB71+BB72+BB73</f>
        <v>7465</v>
      </c>
      <c r="BC74" s="46" t="n">
        <f aca="false">BC69+BC70+BC71+BC72+BC73</f>
        <v>7465</v>
      </c>
      <c r="BD74" s="46" t="n">
        <f aca="false">BD69+BD70+BD71+BD72+BD73</f>
        <v>7465</v>
      </c>
      <c r="BE74" s="46" t="n">
        <f aca="false">BE69+BE70+BE71+BE72+BE73</f>
        <v>7465</v>
      </c>
      <c r="BF74" s="46" t="n">
        <f aca="false">BF69+BF70+BF71+BF72+BF73</f>
        <v>7465</v>
      </c>
      <c r="BG74" s="46" t="n">
        <f aca="false">BG69+BG70+BG71+BG72+BG73</f>
        <v>7465</v>
      </c>
      <c r="BH74" s="46" t="n">
        <f aca="false">BH69+BH70+BH71+BH72+BH73</f>
        <v>7465</v>
      </c>
      <c r="BI74" s="46" t="n">
        <f aca="false">BI69+BI70+BI71+BI72+BI73</f>
        <v>7465</v>
      </c>
      <c r="BJ74" s="46" t="n">
        <f aca="false">BJ69+BJ70+BJ71+BJ72+BJ73</f>
        <v>7465</v>
      </c>
      <c r="BK74" s="46" t="n">
        <f aca="false">BK69+BK70+BK71+BK72+BK73</f>
        <v>7465</v>
      </c>
    </row>
    <row r="75" customFormat="false" ht="15" hidden="false" customHeight="false" outlineLevel="0" collapsed="false">
      <c r="B75" s="5" t="s">
        <v>660</v>
      </c>
    </row>
    <row r="76" customFormat="false" ht="15" hidden="false" customHeight="false" outlineLevel="0" collapsed="false">
      <c r="A76" s="28" t="s">
        <v>661</v>
      </c>
      <c r="B76" s="5" t="s">
        <v>662</v>
      </c>
      <c r="C76" s="43"/>
      <c r="D76" s="45" t="n">
        <f aca="false">D59-D67-D74</f>
        <v>-8965</v>
      </c>
      <c r="E76" s="45" t="n">
        <f aca="false">E59-E67-E74</f>
        <v>-6965</v>
      </c>
      <c r="F76" s="45" t="n">
        <f aca="false">F59-F67-F74</f>
        <v>-8465</v>
      </c>
      <c r="G76" s="45" t="n">
        <f aca="false">G59-G67-G74</f>
        <v>-5465</v>
      </c>
      <c r="H76" s="45" t="n">
        <f aca="false">H59-H67-H74</f>
        <v>-6819.27066666667</v>
      </c>
      <c r="I76" s="45" t="n">
        <f aca="false">I59-I67-I74</f>
        <v>-6031.62809083333</v>
      </c>
      <c r="J76" s="45" t="n">
        <f aca="false">J59-J67-J74</f>
        <v>-5888.24731452083</v>
      </c>
      <c r="K76" s="45" t="n">
        <f aca="false">K59-K67-K74</f>
        <v>-7135.02390780885</v>
      </c>
      <c r="L76" s="45" t="n">
        <f aca="false">L59-L67-L74</f>
        <v>-6256.60329257051</v>
      </c>
      <c r="M76" s="45" t="n">
        <f aca="false">M59-M67-M74</f>
        <v>-6089.97641740317</v>
      </c>
      <c r="N76" s="45" t="n">
        <f aca="false">N59-N67-N74</f>
        <v>-7240.72805357925</v>
      </c>
      <c r="O76" s="45" t="n">
        <f aca="false">O59-O67-O74</f>
        <v>-7731.18403365969</v>
      </c>
      <c r="P76" s="45" t="n">
        <f aca="false">P59-P67-P74</f>
        <v>-7770.45870266114</v>
      </c>
      <c r="Q76" s="45" t="n">
        <f aca="false">Q59-Q67-Q74</f>
        <v>-8779.14932409944</v>
      </c>
      <c r="R76" s="45" t="n">
        <f aca="false">R59-R67-R74</f>
        <v>-9146.76232216841</v>
      </c>
      <c r="S76" s="45" t="n">
        <f aca="false">S59-S67-S74</f>
        <v>-8093.04114214835</v>
      </c>
      <c r="T76" s="45" t="n">
        <f aca="false">T59-T67-T74</f>
        <v>-9077.5453867111</v>
      </c>
      <c r="U76" s="45" t="n">
        <f aca="false">U59-U67-U74</f>
        <v>-9347.31744485425</v>
      </c>
      <c r="V76" s="45" t="n">
        <f aca="false">V59-V67-V74</f>
        <v>-9652.14032460017</v>
      </c>
      <c r="W76" s="45" t="n">
        <f aca="false">W59-W67-W74</f>
        <v>-9188.79019055247</v>
      </c>
      <c r="X76" s="45" t="n">
        <f aca="false">X59-X67-X74</f>
        <v>-9179.51475518007</v>
      </c>
      <c r="Y76" s="45" t="n">
        <f aca="false">Y59-Y67-Y74</f>
        <v>-9373.71882277128</v>
      </c>
      <c r="Z76" s="45" t="n">
        <f aca="false">Z59-Z67-Z74</f>
        <v>-9342.20373122734</v>
      </c>
      <c r="AA76" s="45" t="n">
        <f aca="false">AA59-AA67-AA74</f>
        <v>-9391.95039777964</v>
      </c>
      <c r="AB76" s="45" t="n">
        <f aca="false">AB59-AB67-AB74</f>
        <v>-10127.187921008</v>
      </c>
      <c r="AC76" s="45" t="n">
        <f aca="false">AC59-AC67-AC74</f>
        <v>-9859.7991316138</v>
      </c>
      <c r="AD76" s="45" t="n">
        <f aca="false">AD59-AD67-AD74</f>
        <v>-9590.21159646992</v>
      </c>
      <c r="AE76" s="45" t="n">
        <f aca="false">AE59-AE67-AE74</f>
        <v>-9293.82090755245</v>
      </c>
      <c r="AF76" s="45" t="n">
        <f aca="false">AF59-AF67-AF74</f>
        <v>-10392.5412752145</v>
      </c>
      <c r="AG76" s="45" t="n">
        <f aca="false">AG59-AG67-AG74</f>
        <v>-9322.60284177088</v>
      </c>
      <c r="AH76" s="45" t="n">
        <f aca="false">AH59-AH67-AH74</f>
        <v>-8863.1227347039</v>
      </c>
      <c r="AI76" s="45" t="n">
        <f aca="false">AI59-AI67-AI74</f>
        <v>-9833.8637494829</v>
      </c>
      <c r="AJ76" s="45" t="n">
        <f aca="false">AJ59-AJ67-AJ74</f>
        <v>-8652.55932882234</v>
      </c>
      <c r="AK76" s="45" t="n">
        <f aca="false">AK59-AK67-AK74</f>
        <v>-8151.68549584544</v>
      </c>
      <c r="AL76" s="45" t="n">
        <f aca="false">AL59-AL67-AL74</f>
        <v>-8850.37443721715</v>
      </c>
      <c r="AM76" s="45" t="n">
        <f aca="false">AM59-AM67-AM74</f>
        <v>-7694.6640079276</v>
      </c>
      <c r="AN76" s="46" t="n">
        <f aca="false">AN59-AN67-AN74</f>
        <v>-7173.2632695849</v>
      </c>
      <c r="AO76" s="46" t="n">
        <f aca="false">AO59-AO67-AO74</f>
        <v>-7862.60293970893</v>
      </c>
      <c r="AP76" s="46" t="n">
        <f aca="false">AP59-AP67-AP74</f>
        <v>-6645.21898099188</v>
      </c>
      <c r="AQ76" s="46" t="n">
        <f aca="false">AQ59-AQ67-AQ74</f>
        <v>-5827.18407749965</v>
      </c>
      <c r="AR76" s="46" t="n">
        <f aca="false">AR59-AR67-AR74</f>
        <v>-6197.71991788931</v>
      </c>
      <c r="AS76" s="46" t="n">
        <f aca="false">AS59-AS67-AS74</f>
        <v>-4616.60100376198</v>
      </c>
      <c r="AT76" s="46" t="n">
        <f aca="false">AT59-AT67-AT74</f>
        <v>-3727.5261421109</v>
      </c>
      <c r="AU76" s="46" t="n">
        <f aca="false">AU59-AU67-AU74</f>
        <v>-4024.45531681589</v>
      </c>
      <c r="AV76" s="46" t="n">
        <f aca="false">AV59-AV67-AV74</f>
        <v>-2374.37179024749</v>
      </c>
      <c r="AW76" s="46" t="n">
        <f aca="false">AW59-AW67-AW74</f>
        <v>-1770.45504106206</v>
      </c>
      <c r="AX76" s="46" t="n">
        <f aca="false">AX59-AX67-AX74</f>
        <v>-2371.65330804874</v>
      </c>
      <c r="AY76" s="46" t="n">
        <f aca="false">AY59-AY67-AY74</f>
        <v>-1098.94262249392</v>
      </c>
      <c r="AZ76" s="46" t="n">
        <f aca="false">AZ59-AZ67-AZ74</f>
        <v>-491.596809834256</v>
      </c>
      <c r="BA76" s="46" t="n">
        <f aca="false">BA59-BA67-BA74</f>
        <v>-1098.96401018081</v>
      </c>
      <c r="BB76" s="46" t="n">
        <f aca="false">BB59-BB67-BB74</f>
        <v>224.883309634511</v>
      </c>
      <c r="BC76" s="46" t="n">
        <f aca="false">BC59-BC67-BC74</f>
        <v>855.816748163741</v>
      </c>
      <c r="BD76" s="46" t="n">
        <f aca="false">BD59-BD67-BD74</f>
        <v>247.066800301173</v>
      </c>
      <c r="BE76" s="46" t="n">
        <f aca="false">BE59-BE67-BE74</f>
        <v>1568.64807908092</v>
      </c>
      <c r="BF76" s="46" t="n">
        <f aca="false">BF59-BF67-BF74</f>
        <v>2196.56206174783</v>
      </c>
      <c r="BG76" s="46" t="n">
        <f aca="false">BG59-BG67-BG74</f>
        <v>1584.14036720939</v>
      </c>
      <c r="BH76" s="46" t="n">
        <f aca="false">BH59-BH67-BH74</f>
        <v>2901.47878620238</v>
      </c>
      <c r="BI76" s="46" t="n">
        <f aca="false">BI59-BI67-BI74</f>
        <v>3524.64584502322</v>
      </c>
      <c r="BJ76" s="46" t="n">
        <f aca="false">BJ59-BJ67-BJ74</f>
        <v>2907.02994986367</v>
      </c>
      <c r="BK76" s="46" t="n">
        <f aca="false">BK59-BK67-BK74</f>
        <v>4167.77343754047</v>
      </c>
    </row>
    <row r="77" customFormat="false" ht="15" hidden="false" customHeight="false" outlineLevel="0" collapsed="false">
      <c r="A77" s="28" t="s">
        <v>663</v>
      </c>
      <c r="B77" s="5" t="s">
        <v>664</v>
      </c>
      <c r="C77" s="50" t="n">
        <f aca="false">Assumptions!$C$9</f>
        <v>0</v>
      </c>
      <c r="D77" s="45" t="n">
        <f aca="false">C77+D76</f>
        <v>-8965</v>
      </c>
      <c r="E77" s="45" t="n">
        <f aca="false">D77+E76</f>
        <v>-15930</v>
      </c>
      <c r="F77" s="45" t="n">
        <f aca="false">E77+F76</f>
        <v>-24395</v>
      </c>
      <c r="G77" s="45" t="n">
        <f aca="false">F77+G76</f>
        <v>-29860</v>
      </c>
      <c r="H77" s="45" t="n">
        <f aca="false">G77+H76</f>
        <v>-36679.2706666667</v>
      </c>
      <c r="I77" s="45" t="n">
        <f aca="false">H77+I76</f>
        <v>-42710.8987575</v>
      </c>
      <c r="J77" s="45" t="n">
        <f aca="false">I77+J76</f>
        <v>-48599.1460720208</v>
      </c>
      <c r="K77" s="45" t="n">
        <f aca="false">J77+K76</f>
        <v>-55734.1699798297</v>
      </c>
      <c r="L77" s="45" t="n">
        <f aca="false">K77+L76</f>
        <v>-61990.7732724002</v>
      </c>
      <c r="M77" s="45" t="n">
        <f aca="false">L77+M76</f>
        <v>-68080.7496898034</v>
      </c>
      <c r="N77" s="45" t="n">
        <f aca="false">M77+N76</f>
        <v>-75321.4777433826</v>
      </c>
      <c r="O77" s="45" t="n">
        <f aca="false">N77+O76</f>
        <v>-83052.6617770423</v>
      </c>
      <c r="P77" s="45" t="n">
        <f aca="false">O77+P76</f>
        <v>-90823.1204797034</v>
      </c>
      <c r="Q77" s="45" t="n">
        <f aca="false">P77+Q76</f>
        <v>-99602.2698038029</v>
      </c>
      <c r="R77" s="45" t="n">
        <f aca="false">Q77+R76</f>
        <v>-108749.032125971</v>
      </c>
      <c r="S77" s="45" t="n">
        <f aca="false">R77+S76</f>
        <v>-116842.07326812</v>
      </c>
      <c r="T77" s="45" t="n">
        <f aca="false">S77+T76</f>
        <v>-125919.618654831</v>
      </c>
      <c r="U77" s="45" t="n">
        <f aca="false">T77+U76</f>
        <v>-135266.936099685</v>
      </c>
      <c r="V77" s="45" t="n">
        <f aca="false">U77+V76</f>
        <v>-144919.076424285</v>
      </c>
      <c r="W77" s="45" t="n">
        <f aca="false">V77+W76</f>
        <v>-154107.866614838</v>
      </c>
      <c r="X77" s="45" t="n">
        <f aca="false">W77+X76</f>
        <v>-163287.381370018</v>
      </c>
      <c r="Y77" s="45" t="n">
        <f aca="false">X77+Y76</f>
        <v>-172661.100192789</v>
      </c>
      <c r="Z77" s="45" t="n">
        <f aca="false">Y77+Z76</f>
        <v>-182003.303924016</v>
      </c>
      <c r="AA77" s="45" t="n">
        <f aca="false">Z77+AA76</f>
        <v>-191395.254321796</v>
      </c>
      <c r="AB77" s="45" t="n">
        <f aca="false">AA77+AB76</f>
        <v>-201522.442242804</v>
      </c>
      <c r="AC77" s="45" t="n">
        <f aca="false">AB77+AC76</f>
        <v>-211382.241374418</v>
      </c>
      <c r="AD77" s="45" t="n">
        <f aca="false">AC77+AD76</f>
        <v>-220972.452970888</v>
      </c>
      <c r="AE77" s="45" t="n">
        <f aca="false">AD77+AE76</f>
        <v>-230266.27387844</v>
      </c>
      <c r="AF77" s="45" t="n">
        <f aca="false">AE77+AF76</f>
        <v>-240658.815153655</v>
      </c>
      <c r="AG77" s="45" t="n">
        <f aca="false">AF77+AG76</f>
        <v>-249981.417995426</v>
      </c>
      <c r="AH77" s="45" t="n">
        <f aca="false">AG77+AH76</f>
        <v>-258844.54073013</v>
      </c>
      <c r="AI77" s="45" t="n">
        <f aca="false">AH77+AI76</f>
        <v>-268678.404479612</v>
      </c>
      <c r="AJ77" s="45" t="n">
        <f aca="false">AI77+AJ76</f>
        <v>-277330.963808435</v>
      </c>
      <c r="AK77" s="45" t="n">
        <f aca="false">AJ77+AK76</f>
        <v>-285482.64930428</v>
      </c>
      <c r="AL77" s="45" t="n">
        <f aca="false">AK77+AL76</f>
        <v>-294333.023741497</v>
      </c>
      <c r="AM77" s="45" t="n">
        <f aca="false">AL77+AM76</f>
        <v>-302027.687749425</v>
      </c>
      <c r="AN77" s="46" t="n">
        <f aca="false">AM77+AN76</f>
        <v>-309200.95101901</v>
      </c>
      <c r="AO77" s="46" t="n">
        <f aca="false">AN77+AO76</f>
        <v>-317063.553958719</v>
      </c>
      <c r="AP77" s="46" t="n">
        <f aca="false">AO77+AP76</f>
        <v>-323708.772939711</v>
      </c>
      <c r="AQ77" s="46" t="n">
        <f aca="false">AP77+AQ76</f>
        <v>-329535.95701721</v>
      </c>
      <c r="AR77" s="46" t="n">
        <f aca="false">AQ77+AR76</f>
        <v>-335733.6769351</v>
      </c>
      <c r="AS77" s="46" t="n">
        <f aca="false">AR77+AS76</f>
        <v>-340350.277938862</v>
      </c>
      <c r="AT77" s="46" t="n">
        <f aca="false">AS77+AT76</f>
        <v>-344077.804080972</v>
      </c>
      <c r="AU77" s="46" t="n">
        <f aca="false">AT77+AU76</f>
        <v>-348102.259397788</v>
      </c>
      <c r="AV77" s="46" t="n">
        <f aca="false">AU77+AV76</f>
        <v>-350476.631188036</v>
      </c>
      <c r="AW77" s="46" t="n">
        <f aca="false">AV77+AW76</f>
        <v>-352247.086229098</v>
      </c>
      <c r="AX77" s="46" t="n">
        <f aca="false">AW77+AX76</f>
        <v>-354618.739537147</v>
      </c>
      <c r="AY77" s="46" t="n">
        <f aca="false">AX77+AY76</f>
        <v>-355717.682159641</v>
      </c>
      <c r="AZ77" s="46" t="n">
        <f aca="false">AY77+AZ76</f>
        <v>-356209.278969475</v>
      </c>
      <c r="BA77" s="46" t="n">
        <f aca="false">AZ77+BA76</f>
        <v>-357308.242979656</v>
      </c>
      <c r="BB77" s="46" t="n">
        <f aca="false">BA77+BB76</f>
        <v>-357083.359670021</v>
      </c>
      <c r="BC77" s="46" t="n">
        <f aca="false">BB77+BC76</f>
        <v>-356227.542921857</v>
      </c>
      <c r="BD77" s="46" t="n">
        <f aca="false">BC77+BD76</f>
        <v>-355980.476121556</v>
      </c>
      <c r="BE77" s="46" t="n">
        <f aca="false">BD77+BE76</f>
        <v>-354411.828042475</v>
      </c>
      <c r="BF77" s="46" t="n">
        <f aca="false">BE77+BF76</f>
        <v>-352215.265980727</v>
      </c>
      <c r="BG77" s="46" t="n">
        <f aca="false">BF77+BG76</f>
        <v>-350631.125613518</v>
      </c>
      <c r="BH77" s="46" t="n">
        <f aca="false">BG77+BH76</f>
        <v>-347729.646827316</v>
      </c>
      <c r="BI77" s="46" t="n">
        <f aca="false">BH77+BI76</f>
        <v>-344205.000982292</v>
      </c>
      <c r="BJ77" s="46" t="n">
        <f aca="false">BI77+BJ76</f>
        <v>-341297.971032429</v>
      </c>
      <c r="BK77" s="46" t="n">
        <f aca="false">BJ77+BK76</f>
        <v>-337130.197594888</v>
      </c>
    </row>
    <row r="78" customFormat="false" ht="15" hidden="false" customHeight="false" outlineLevel="0" collapsed="false">
      <c r="A78" s="28" t="s">
        <v>665</v>
      </c>
      <c r="B78" s="6" t="s">
        <v>666</v>
      </c>
      <c r="C78" s="43"/>
      <c r="D78" s="17" t="n">
        <f aca="false">D39*Assumptions!$C$49+D39/Assumptions!$C$48*Assumptions!$C$50</f>
        <v>0</v>
      </c>
      <c r="E78" s="17" t="n">
        <f aca="false">E39*Assumptions!$C$49+E39/Assumptions!$C$48*Assumptions!$C$50</f>
        <v>0</v>
      </c>
      <c r="F78" s="17" t="n">
        <f aca="false">F39*Assumptions!$C$49+F39/Assumptions!$C$48*Assumptions!$C$50</f>
        <v>0</v>
      </c>
      <c r="G78" s="17" t="n">
        <f aca="false">G39*Assumptions!$C$49+G39/Assumptions!$C$48*Assumptions!$C$50</f>
        <v>0</v>
      </c>
      <c r="H78" s="17" t="n">
        <f aca="false">H39*Assumptions!$C$49+H39/Assumptions!$C$48*Assumptions!$C$50</f>
        <v>0</v>
      </c>
      <c r="I78" s="17" t="n">
        <f aca="false">I39*Assumptions!$C$49+I39/Assumptions!$C$48*Assumptions!$C$50</f>
        <v>0</v>
      </c>
      <c r="J78" s="17" t="n">
        <f aca="false">J39*Assumptions!$C$49+J39/Assumptions!$C$48*Assumptions!$C$50</f>
        <v>0</v>
      </c>
      <c r="K78" s="17" t="n">
        <f aca="false">K39*Assumptions!$C$49+K39/Assumptions!$C$48*Assumptions!$C$50</f>
        <v>0</v>
      </c>
      <c r="L78" s="17" t="n">
        <f aca="false">L39*Assumptions!$C$49+L39/Assumptions!$C$48*Assumptions!$C$50</f>
        <v>0</v>
      </c>
      <c r="M78" s="17" t="n">
        <f aca="false">M39*Assumptions!$C$49+M39/Assumptions!$C$48*Assumptions!$C$50</f>
        <v>0</v>
      </c>
      <c r="N78" s="17" t="n">
        <f aca="false">N39*Assumptions!$C$49+N39/Assumptions!$C$48*Assumptions!$C$50</f>
        <v>0</v>
      </c>
      <c r="O78" s="17" t="n">
        <f aca="false">O39*Assumptions!$C$49+O39/Assumptions!$C$48*Assumptions!$C$50</f>
        <v>0</v>
      </c>
      <c r="P78" s="17" t="n">
        <f aca="false">P39*Assumptions!$C$49+P39/Assumptions!$C$48*Assumptions!$C$50</f>
        <v>0</v>
      </c>
      <c r="Q78" s="17" t="n">
        <f aca="false">Q39*Assumptions!$C$49+Q39/Assumptions!$C$48*Assumptions!$C$50</f>
        <v>0</v>
      </c>
      <c r="R78" s="17" t="n">
        <f aca="false">R39*Assumptions!$C$49+R39/Assumptions!$C$48*Assumptions!$C$50</f>
        <v>0</v>
      </c>
      <c r="S78" s="17" t="n">
        <f aca="false">S39*Assumptions!$C$49+S39/Assumptions!$C$48*Assumptions!$C$50</f>
        <v>0</v>
      </c>
      <c r="T78" s="17" t="n">
        <f aca="false">T39*Assumptions!$C$49+T39/Assumptions!$C$48*Assumptions!$C$50</f>
        <v>0</v>
      </c>
      <c r="U78" s="17" t="n">
        <f aca="false">U39*Assumptions!$C$49+U39/Assumptions!$C$48*Assumptions!$C$50</f>
        <v>0</v>
      </c>
      <c r="V78" s="17" t="n">
        <f aca="false">V39*Assumptions!$C$49+V39/Assumptions!$C$48*Assumptions!$C$50</f>
        <v>0</v>
      </c>
      <c r="W78" s="17" t="n">
        <f aca="false">W39*Assumptions!$C$49+W39/Assumptions!$C$48*Assumptions!$C$50</f>
        <v>0</v>
      </c>
      <c r="X78" s="17" t="n">
        <f aca="false">X39*Assumptions!$C$49+X39/Assumptions!$C$48*Assumptions!$C$50</f>
        <v>0</v>
      </c>
      <c r="Y78" s="17" t="n">
        <f aca="false">Y39*Assumptions!$C$49+Y39/Assumptions!$C$48*Assumptions!$C$50</f>
        <v>0</v>
      </c>
      <c r="Z78" s="17" t="n">
        <f aca="false">Z39*Assumptions!$C$49+Z39/Assumptions!$C$48*Assumptions!$C$50</f>
        <v>0</v>
      </c>
      <c r="AA78" s="17" t="n">
        <f aca="false">AA39*Assumptions!$C$49+AA39/Assumptions!$C$48*Assumptions!$C$50</f>
        <v>460.085812369925</v>
      </c>
      <c r="AB78" s="17" t="n">
        <f aca="false">AB39*Assumptions!$C$49+AB39/Assumptions!$C$48*Assumptions!$C$50</f>
        <v>923.313997931381</v>
      </c>
      <c r="AC78" s="17" t="n">
        <f aca="false">AC39*Assumptions!$C$49+AC39/Assumptions!$C$48*Assumptions!$C$50</f>
        <v>1389.42272230801</v>
      </c>
      <c r="AD78" s="17" t="n">
        <f aca="false">AD39*Assumptions!$C$49+AD39/Assumptions!$C$48*Assumptions!$C$50</f>
        <v>1858.16810639501</v>
      </c>
      <c r="AE78" s="17" t="n">
        <f aca="false">AE39*Assumptions!$C$49+AE39/Assumptions!$C$48*Assumptions!$C$50</f>
        <v>2328.85263737608</v>
      </c>
      <c r="AF78" s="17" t="n">
        <f aca="false">AF39*Assumptions!$C$49+AF39/Assumptions!$C$48*Assumptions!$C$50</f>
        <v>2813.06525988732</v>
      </c>
      <c r="AG78" s="17" t="n">
        <f aca="false">AG39*Assumptions!$C$49+AG39/Assumptions!$C$48*Assumptions!$C$50</f>
        <v>3308.21005318751</v>
      </c>
      <c r="AH78" s="17" t="n">
        <f aca="false">AH39*Assumptions!$C$49+AH39/Assumptions!$C$48*Assumptions!$C$50</f>
        <v>3809.55077103005</v>
      </c>
      <c r="AI78" s="17" t="n">
        <f aca="false">AI39*Assumptions!$C$49+AI39/Assumptions!$C$48*Assumptions!$C$50</f>
        <v>4325.92260951491</v>
      </c>
      <c r="AJ78" s="17" t="n">
        <f aca="false">AJ39*Assumptions!$C$49+AJ39/Assumptions!$C$48*Assumptions!$C$50</f>
        <v>4852.68239772883</v>
      </c>
      <c r="AK78" s="17" t="n">
        <f aca="false">AK39*Assumptions!$C$49+AK39/Assumptions!$C$48*Assumptions!$C$50</f>
        <v>5384.63498208681</v>
      </c>
      <c r="AL78" s="17" t="n">
        <f aca="false">AL39*Assumptions!$C$49+AL39/Assumptions!$C$48*Assumptions!$C$50</f>
        <v>5928.31582922638</v>
      </c>
      <c r="AM78" s="17" t="n">
        <f aca="false">AM39*Assumptions!$C$49+AM39/Assumptions!$C$48*Assumptions!$C$50</f>
        <v>6479.33563620819</v>
      </c>
      <c r="AN78" s="44" t="n">
        <f aca="false">AN39*Assumptions!$C$49+AN39/Assumptions!$C$48*Assumptions!$C$50</f>
        <v>7032.73436962146</v>
      </c>
      <c r="AO78" s="44" t="n">
        <f aca="false">AO39*Assumptions!$C$49+AO39/Assumptions!$C$48*Assumptions!$C$50</f>
        <v>7595.26525698786</v>
      </c>
      <c r="AP78" s="44" t="n">
        <f aca="false">AP39*Assumptions!$C$49+AP39/Assumptions!$C$48*Assumptions!$C$50</f>
        <v>8162.74068170739</v>
      </c>
      <c r="AQ78" s="44" t="n">
        <f aca="false">AQ39*Assumptions!$C$49+AQ39/Assumptions!$C$48*Assumptions!$C$50</f>
        <v>8730.38741096403</v>
      </c>
      <c r="AR78" s="44" t="n">
        <f aca="false">AR39*Assumptions!$C$49+AR39/Assumptions!$C$48*Assumptions!$C$50</f>
        <v>9305.13168721049</v>
      </c>
      <c r="AS78" s="44" t="n">
        <f aca="false">AS39*Assumptions!$C$49+AS39/Assumptions!$C$48*Assumptions!$C$50</f>
        <v>9882.4757637592</v>
      </c>
      <c r="AT78" s="44" t="n">
        <f aca="false">AT39*Assumptions!$C$49+AT39/Assumptions!$C$48*Assumptions!$C$50</f>
        <v>10457.8358597085</v>
      </c>
      <c r="AU78" s="44" t="n">
        <f aca="false">AU39*Assumptions!$C$49+AU39/Assumptions!$C$48*Assumptions!$C$50</f>
        <v>11038.3136053649</v>
      </c>
      <c r="AV78" s="44" t="n">
        <f aca="false">AV39*Assumptions!$C$49+AV39/Assumptions!$C$48*Assumptions!$C$50</f>
        <v>11619.5736172199</v>
      </c>
      <c r="AW78" s="44" t="n">
        <f aca="false">AW39*Assumptions!$C$49+AW39/Assumptions!$C$48*Assumptions!$C$50</f>
        <v>12197.1824148136</v>
      </c>
      <c r="AX78" s="44" t="n">
        <f aca="false">AX39*Assumptions!$C$49+AX39/Assumptions!$C$48*Assumptions!$C$50</f>
        <v>12778.3807564692</v>
      </c>
      <c r="AY78" s="44" t="n">
        <f aca="false">AY39*Assumptions!$C$49+AY39/Assumptions!$C$48*Assumptions!$C$50</f>
        <v>13358.9620383348</v>
      </c>
      <c r="AZ78" s="44" t="n">
        <f aca="false">AZ39*Assumptions!$C$49+AZ39/Assumptions!$C$48*Assumptions!$C$50</f>
        <v>13934.6119740417</v>
      </c>
      <c r="BA78" s="44" t="n">
        <f aca="false">BA39*Assumptions!$C$49+BA39/Assumptions!$C$48*Assumptions!$C$50</f>
        <v>14512.6816365575</v>
      </c>
      <c r="BB78" s="44" t="n">
        <f aca="false">BB39*Assumptions!$C$49+BB39/Assumptions!$C$48*Assumptions!$C$50</f>
        <v>15089.0665109224</v>
      </c>
      <c r="BC78" s="44" t="n">
        <f aca="false">BC39*Assumptions!$C$49+BC39/Assumptions!$C$48*Assumptions!$C$50</f>
        <v>15659.0764017103</v>
      </c>
      <c r="BD78" s="44" t="n">
        <f aca="false">BD39*Assumptions!$C$49+BD39/Assumptions!$C$48*Assumptions!$C$50</f>
        <v>16230.1908200653</v>
      </c>
      <c r="BE78" s="44" t="n">
        <f aca="false">BE39*Assumptions!$C$49+BE39/Assumptions!$C$48*Assumptions!$C$50</f>
        <v>16798.424037197</v>
      </c>
      <c r="BF78" s="44" t="n">
        <f aca="false">BF39*Assumptions!$C$49+BF39/Assumptions!$C$48*Assumptions!$C$50</f>
        <v>17359.1957045384</v>
      </c>
      <c r="BG78" s="44" t="n">
        <f aca="false">BG39*Assumptions!$C$49+BG39/Assumptions!$C$48*Assumptions!$C$50</f>
        <v>17920.0869005192</v>
      </c>
      <c r="BH78" s="44" t="n">
        <f aca="false">BH39*Assumptions!$C$49+BH39/Assumptions!$C$48*Assumptions!$C$50</f>
        <v>18477.2057948081</v>
      </c>
      <c r="BI78" s="44" t="n">
        <f aca="false">BI39*Assumptions!$C$49+BI39/Assumptions!$C$48*Assumptions!$C$50</f>
        <v>19026.0588338993</v>
      </c>
      <c r="BJ78" s="44" t="n">
        <f aca="false">BJ39*Assumptions!$C$49+BJ39/Assumptions!$C$48*Assumptions!$C$50</f>
        <v>19574.3073113889</v>
      </c>
      <c r="BK78" s="44" t="n">
        <f aca="false">BK39*Assumptions!$C$49+BK39/Assumptions!$C$48*Assumptions!$C$50</f>
        <v>20118.1335169332</v>
      </c>
    </row>
    <row r="79" customFormat="false" ht="15" hidden="false" customHeight="false" outlineLevel="0" collapsed="false">
      <c r="B79" s="5" t="s">
        <v>667</v>
      </c>
    </row>
    <row r="80" customFormat="false" ht="15" hidden="false" customHeight="false" outlineLevel="0" collapsed="false">
      <c r="A80" s="28" t="s">
        <v>668</v>
      </c>
      <c r="B80" s="6" t="s">
        <v>669</v>
      </c>
      <c r="C80" s="51"/>
      <c r="D80" s="39" t="n">
        <f aca="false">IF(D76&gt;=0,1,0)</f>
        <v>0</v>
      </c>
      <c r="E80" s="39" t="n">
        <f aca="false">IF(E76&gt;=0,1,0)</f>
        <v>0</v>
      </c>
      <c r="F80" s="39" t="n">
        <f aca="false">IF(F76&gt;=0,1,0)</f>
        <v>0</v>
      </c>
      <c r="G80" s="39" t="n">
        <f aca="false">IF(G76&gt;=0,1,0)</f>
        <v>0</v>
      </c>
      <c r="H80" s="39" t="n">
        <f aca="false">IF(H76&gt;=0,1,0)</f>
        <v>0</v>
      </c>
      <c r="I80" s="39" t="n">
        <f aca="false">IF(I76&gt;=0,1,0)</f>
        <v>0</v>
      </c>
      <c r="J80" s="39" t="n">
        <f aca="false">IF(J76&gt;=0,1,0)</f>
        <v>0</v>
      </c>
      <c r="K80" s="39" t="n">
        <f aca="false">IF(K76&gt;=0,1,0)</f>
        <v>0</v>
      </c>
      <c r="L80" s="39" t="n">
        <f aca="false">IF(L76&gt;=0,1,0)</f>
        <v>0</v>
      </c>
      <c r="M80" s="39" t="n">
        <f aca="false">IF(M76&gt;=0,1,0)</f>
        <v>0</v>
      </c>
      <c r="N80" s="39" t="n">
        <f aca="false">IF(N76&gt;=0,1,0)</f>
        <v>0</v>
      </c>
      <c r="O80" s="39" t="n">
        <f aca="false">IF(O76&gt;=0,1,0)</f>
        <v>0</v>
      </c>
      <c r="P80" s="39" t="n">
        <f aca="false">IF(P76&gt;=0,1,0)</f>
        <v>0</v>
      </c>
      <c r="Q80" s="39" t="n">
        <f aca="false">IF(Q76&gt;=0,1,0)</f>
        <v>0</v>
      </c>
      <c r="R80" s="39" t="n">
        <f aca="false">IF(R76&gt;=0,1,0)</f>
        <v>0</v>
      </c>
      <c r="S80" s="39" t="n">
        <f aca="false">IF(S76&gt;=0,1,0)</f>
        <v>0</v>
      </c>
      <c r="T80" s="39" t="n">
        <f aca="false">IF(T76&gt;=0,1,0)</f>
        <v>0</v>
      </c>
      <c r="U80" s="39" t="n">
        <f aca="false">IF(U76&gt;=0,1,0)</f>
        <v>0</v>
      </c>
      <c r="V80" s="39" t="n">
        <f aca="false">IF(V76&gt;=0,1,0)</f>
        <v>0</v>
      </c>
      <c r="W80" s="39" t="n">
        <f aca="false">IF(W76&gt;=0,1,0)</f>
        <v>0</v>
      </c>
      <c r="X80" s="39" t="n">
        <f aca="false">IF(X76&gt;=0,1,0)</f>
        <v>0</v>
      </c>
      <c r="Y80" s="39" t="n">
        <f aca="false">IF(Y76&gt;=0,1,0)</f>
        <v>0</v>
      </c>
      <c r="Z80" s="39" t="n">
        <f aca="false">IF(Z76&gt;=0,1,0)</f>
        <v>0</v>
      </c>
      <c r="AA80" s="39" t="n">
        <f aca="false">IF(AA76&gt;=0,1,0)</f>
        <v>0</v>
      </c>
      <c r="AB80" s="39" t="n">
        <f aca="false">IF(AB76&gt;=0,1,0)</f>
        <v>0</v>
      </c>
      <c r="AC80" s="39" t="n">
        <f aca="false">IF(AC76&gt;=0,1,0)</f>
        <v>0</v>
      </c>
      <c r="AD80" s="39" t="n">
        <f aca="false">IF(AD76&gt;=0,1,0)</f>
        <v>0</v>
      </c>
      <c r="AE80" s="39" t="n">
        <f aca="false">IF(AE76&gt;=0,1,0)</f>
        <v>0</v>
      </c>
      <c r="AF80" s="39" t="n">
        <f aca="false">IF(AF76&gt;=0,1,0)</f>
        <v>0</v>
      </c>
      <c r="AG80" s="39" t="n">
        <f aca="false">IF(AG76&gt;=0,1,0)</f>
        <v>0</v>
      </c>
      <c r="AH80" s="39" t="n">
        <f aca="false">IF(AH76&gt;=0,1,0)</f>
        <v>0</v>
      </c>
      <c r="AI80" s="39" t="n">
        <f aca="false">IF(AI76&gt;=0,1,0)</f>
        <v>0</v>
      </c>
      <c r="AJ80" s="39" t="n">
        <f aca="false">IF(AJ76&gt;=0,1,0)</f>
        <v>0</v>
      </c>
      <c r="AK80" s="39" t="n">
        <f aca="false">IF(AK76&gt;=0,1,0)</f>
        <v>0</v>
      </c>
      <c r="AL80" s="39" t="n">
        <f aca="false">IF(AL76&gt;=0,1,0)</f>
        <v>0</v>
      </c>
      <c r="AM80" s="39" t="n">
        <f aca="false">IF(AM76&gt;=0,1,0)</f>
        <v>0</v>
      </c>
      <c r="AN80" s="40" t="n">
        <f aca="false">IF(AN76&gt;=0,1,0)</f>
        <v>0</v>
      </c>
      <c r="AO80" s="40" t="n">
        <f aca="false">IF(AO76&gt;=0,1,0)</f>
        <v>0</v>
      </c>
      <c r="AP80" s="40" t="n">
        <f aca="false">IF(AP76&gt;=0,1,0)</f>
        <v>0</v>
      </c>
      <c r="AQ80" s="40" t="n">
        <f aca="false">IF(AQ76&gt;=0,1,0)</f>
        <v>0</v>
      </c>
      <c r="AR80" s="40" t="n">
        <f aca="false">IF(AR76&gt;=0,1,0)</f>
        <v>0</v>
      </c>
      <c r="AS80" s="40" t="n">
        <f aca="false">IF(AS76&gt;=0,1,0)</f>
        <v>0</v>
      </c>
      <c r="AT80" s="40" t="n">
        <f aca="false">IF(AT76&gt;=0,1,0)</f>
        <v>0</v>
      </c>
      <c r="AU80" s="40" t="n">
        <f aca="false">IF(AU76&gt;=0,1,0)</f>
        <v>0</v>
      </c>
      <c r="AV80" s="40" t="n">
        <f aca="false">IF(AV76&gt;=0,1,0)</f>
        <v>0</v>
      </c>
      <c r="AW80" s="40" t="n">
        <f aca="false">IF(AW76&gt;=0,1,0)</f>
        <v>0</v>
      </c>
      <c r="AX80" s="40" t="n">
        <f aca="false">IF(AX76&gt;=0,1,0)</f>
        <v>0</v>
      </c>
      <c r="AY80" s="40" t="n">
        <f aca="false">IF(AY76&gt;=0,1,0)</f>
        <v>0</v>
      </c>
      <c r="AZ80" s="40" t="n">
        <f aca="false">IF(AZ76&gt;=0,1,0)</f>
        <v>0</v>
      </c>
      <c r="BA80" s="40" t="n">
        <f aca="false">IF(BA76&gt;=0,1,0)</f>
        <v>0</v>
      </c>
      <c r="BB80" s="40" t="n">
        <f aca="false">IF(BB76&gt;=0,1,0)</f>
        <v>1</v>
      </c>
      <c r="BC80" s="40" t="n">
        <f aca="false">IF(BC76&gt;=0,1,0)</f>
        <v>1</v>
      </c>
      <c r="BD80" s="40" t="n">
        <f aca="false">IF(BD76&gt;=0,1,0)</f>
        <v>1</v>
      </c>
      <c r="BE80" s="40" t="n">
        <f aca="false">IF(BE76&gt;=0,1,0)</f>
        <v>1</v>
      </c>
      <c r="BF80" s="40" t="n">
        <f aca="false">IF(BF76&gt;=0,1,0)</f>
        <v>1</v>
      </c>
      <c r="BG80" s="40" t="n">
        <f aca="false">IF(BG76&gt;=0,1,0)</f>
        <v>1</v>
      </c>
      <c r="BH80" s="40" t="n">
        <f aca="false">IF(BH76&gt;=0,1,0)</f>
        <v>1</v>
      </c>
      <c r="BI80" s="40" t="n">
        <f aca="false">IF(BI76&gt;=0,1,0)</f>
        <v>1</v>
      </c>
      <c r="BJ80" s="40" t="n">
        <f aca="false">IF(BJ76&gt;=0,1,0)</f>
        <v>1</v>
      </c>
      <c r="BK80" s="40" t="n">
        <f aca="false">IF(BK76&gt;=0,1,0)</f>
        <v>1</v>
      </c>
    </row>
    <row r="81" customFormat="false" ht="15" hidden="false" customHeight="false" outlineLevel="0" collapsed="false">
      <c r="A81" s="28" t="s">
        <v>670</v>
      </c>
      <c r="B81" s="6" t="s">
        <v>671</v>
      </c>
      <c r="C81" s="51"/>
      <c r="D81" s="39" t="n">
        <f aca="false">IF(AND(D80=1,E81=1),1,0)</f>
        <v>0</v>
      </c>
      <c r="E81" s="39" t="n">
        <f aca="false">IF(AND(E80=1,F81=1),1,0)</f>
        <v>0</v>
      </c>
      <c r="F81" s="39" t="n">
        <f aca="false">IF(AND(F80=1,G81=1),1,0)</f>
        <v>0</v>
      </c>
      <c r="G81" s="39" t="n">
        <f aca="false">IF(AND(G80=1,H81=1),1,0)</f>
        <v>0</v>
      </c>
      <c r="H81" s="39" t="n">
        <f aca="false">IF(AND(H80=1,I81=1),1,0)</f>
        <v>0</v>
      </c>
      <c r="I81" s="39" t="n">
        <f aca="false">IF(AND(I80=1,J81=1),1,0)</f>
        <v>0</v>
      </c>
      <c r="J81" s="39" t="n">
        <f aca="false">IF(AND(J80=1,K81=1),1,0)</f>
        <v>0</v>
      </c>
      <c r="K81" s="39" t="n">
        <f aca="false">IF(AND(K80=1,L81=1),1,0)</f>
        <v>0</v>
      </c>
      <c r="L81" s="39" t="n">
        <f aca="false">IF(AND(L80=1,M81=1),1,0)</f>
        <v>0</v>
      </c>
      <c r="M81" s="39" t="n">
        <f aca="false">IF(AND(M80=1,N81=1),1,0)</f>
        <v>0</v>
      </c>
      <c r="N81" s="39" t="n">
        <f aca="false">IF(AND(N80=1,O81=1),1,0)</f>
        <v>0</v>
      </c>
      <c r="O81" s="39" t="n">
        <f aca="false">IF(AND(O80=1,P81=1),1,0)</f>
        <v>0</v>
      </c>
      <c r="P81" s="39" t="n">
        <f aca="false">IF(AND(P80=1,Q81=1),1,0)</f>
        <v>0</v>
      </c>
      <c r="Q81" s="39" t="n">
        <f aca="false">IF(AND(Q80=1,R81=1),1,0)</f>
        <v>0</v>
      </c>
      <c r="R81" s="39" t="n">
        <f aca="false">IF(AND(R80=1,S81=1),1,0)</f>
        <v>0</v>
      </c>
      <c r="S81" s="39" t="n">
        <f aca="false">IF(AND(S80=1,T81=1),1,0)</f>
        <v>0</v>
      </c>
      <c r="T81" s="39" t="n">
        <f aca="false">IF(AND(T80=1,U81=1),1,0)</f>
        <v>0</v>
      </c>
      <c r="U81" s="39" t="n">
        <f aca="false">IF(AND(U80=1,V81=1),1,0)</f>
        <v>0</v>
      </c>
      <c r="V81" s="39" t="n">
        <f aca="false">IF(AND(V80=1,W81=1),1,0)</f>
        <v>0</v>
      </c>
      <c r="W81" s="39" t="n">
        <f aca="false">IF(AND(W80=1,X81=1),1,0)</f>
        <v>0</v>
      </c>
      <c r="X81" s="39" t="n">
        <f aca="false">IF(AND(X80=1,Y81=1),1,0)</f>
        <v>0</v>
      </c>
      <c r="Y81" s="39" t="n">
        <f aca="false">IF(AND(Y80=1,Z81=1),1,0)</f>
        <v>0</v>
      </c>
      <c r="Z81" s="39" t="n">
        <f aca="false">IF(AND(Z80=1,AA81=1),1,0)</f>
        <v>0</v>
      </c>
      <c r="AA81" s="39" t="n">
        <f aca="false">IF(AND(AA80=1,AB81=1),1,0)</f>
        <v>0</v>
      </c>
      <c r="AB81" s="39" t="n">
        <f aca="false">IF(AND(AB80=1,AC81=1),1,0)</f>
        <v>0</v>
      </c>
      <c r="AC81" s="39" t="n">
        <f aca="false">IF(AND(AC80=1,AD81=1),1,0)</f>
        <v>0</v>
      </c>
      <c r="AD81" s="39" t="n">
        <f aca="false">IF(AND(AD80=1,AE81=1),1,0)</f>
        <v>0</v>
      </c>
      <c r="AE81" s="39" t="n">
        <f aca="false">IF(AND(AE80=1,AF81=1),1,0)</f>
        <v>0</v>
      </c>
      <c r="AF81" s="39" t="n">
        <f aca="false">IF(AND(AF80=1,AG81=1),1,0)</f>
        <v>0</v>
      </c>
      <c r="AG81" s="39" t="n">
        <f aca="false">IF(AND(AG80=1,AH81=1),1,0)</f>
        <v>0</v>
      </c>
      <c r="AH81" s="39" t="n">
        <f aca="false">IF(AND(AH80=1,AI81=1),1,0)</f>
        <v>0</v>
      </c>
      <c r="AI81" s="39" t="n">
        <f aca="false">IF(AND(AI80=1,AJ81=1),1,0)</f>
        <v>0</v>
      </c>
      <c r="AJ81" s="39" t="n">
        <f aca="false">IF(AND(AJ80=1,AK81=1),1,0)</f>
        <v>0</v>
      </c>
      <c r="AK81" s="39" t="n">
        <f aca="false">IF(AND(AK80=1,AL81=1),1,0)</f>
        <v>0</v>
      </c>
      <c r="AL81" s="39" t="n">
        <f aca="false">IF(AND(AL80=1,AM81=1),1,0)</f>
        <v>0</v>
      </c>
      <c r="AM81" s="39" t="n">
        <f aca="false">AM80</f>
        <v>0</v>
      </c>
    </row>
    <row r="82" customFormat="false" ht="15" hidden="false" customHeight="false" outlineLevel="0" collapsed="false">
      <c r="A82" s="28" t="s">
        <v>672</v>
      </c>
      <c r="B82" s="6" t="s">
        <v>673</v>
      </c>
      <c r="C82" s="51"/>
      <c r="D82" s="39" t="n">
        <f aca="false">IF(AND(D80=1,E82=1),1,0)</f>
        <v>0</v>
      </c>
      <c r="E82" s="39" t="n">
        <f aca="false">IF(AND(E80=1,F82=1),1,0)</f>
        <v>0</v>
      </c>
      <c r="F82" s="39" t="n">
        <f aca="false">IF(AND(F80=1,G82=1),1,0)</f>
        <v>0</v>
      </c>
      <c r="G82" s="39" t="n">
        <f aca="false">IF(AND(G80=1,H82=1),1,0)</f>
        <v>0</v>
      </c>
      <c r="H82" s="39" t="n">
        <f aca="false">IF(AND(H80=1,I82=1),1,0)</f>
        <v>0</v>
      </c>
      <c r="I82" s="39" t="n">
        <f aca="false">IF(AND(I80=1,J82=1),1,0)</f>
        <v>0</v>
      </c>
      <c r="J82" s="39" t="n">
        <f aca="false">IF(AND(J80=1,K82=1),1,0)</f>
        <v>0</v>
      </c>
      <c r="K82" s="39" t="n">
        <f aca="false">IF(AND(K80=1,L82=1),1,0)</f>
        <v>0</v>
      </c>
      <c r="L82" s="39" t="n">
        <f aca="false">IF(AND(L80=1,M82=1),1,0)</f>
        <v>0</v>
      </c>
      <c r="M82" s="39" t="n">
        <f aca="false">IF(AND(M80=1,N82=1),1,0)</f>
        <v>0</v>
      </c>
      <c r="N82" s="39" t="n">
        <f aca="false">IF(AND(N80=1,O82=1),1,0)</f>
        <v>0</v>
      </c>
      <c r="O82" s="39" t="n">
        <f aca="false">IF(AND(O80=1,P82=1),1,0)</f>
        <v>0</v>
      </c>
      <c r="P82" s="39" t="n">
        <f aca="false">IF(AND(P80=1,Q82=1),1,0)</f>
        <v>0</v>
      </c>
      <c r="Q82" s="39" t="n">
        <f aca="false">IF(AND(Q80=1,R82=1),1,0)</f>
        <v>0</v>
      </c>
      <c r="R82" s="39" t="n">
        <f aca="false">IF(AND(R80=1,S82=1),1,0)</f>
        <v>0</v>
      </c>
      <c r="S82" s="39" t="n">
        <f aca="false">IF(AND(S80=1,T82=1),1,0)</f>
        <v>0</v>
      </c>
      <c r="T82" s="39" t="n">
        <f aca="false">IF(AND(T80=1,U82=1),1,0)</f>
        <v>0</v>
      </c>
      <c r="U82" s="39" t="n">
        <f aca="false">IF(AND(U80=1,V82=1),1,0)</f>
        <v>0</v>
      </c>
      <c r="V82" s="39" t="n">
        <f aca="false">IF(AND(V80=1,W82=1),1,0)</f>
        <v>0</v>
      </c>
      <c r="W82" s="39" t="n">
        <f aca="false">IF(AND(W80=1,X82=1),1,0)</f>
        <v>0</v>
      </c>
      <c r="X82" s="39" t="n">
        <f aca="false">IF(AND(X80=1,Y82=1),1,0)</f>
        <v>0</v>
      </c>
      <c r="Y82" s="39" t="n">
        <f aca="false">IF(AND(Y80=1,Z82=1),1,0)</f>
        <v>0</v>
      </c>
      <c r="Z82" s="39" t="n">
        <f aca="false">IF(AND(Z80=1,AA82=1),1,0)</f>
        <v>0</v>
      </c>
      <c r="AA82" s="39" t="n">
        <f aca="false">IF(AND(AA80=1,AB82=1),1,0)</f>
        <v>0</v>
      </c>
      <c r="AB82" s="39" t="n">
        <f aca="false">IF(AND(AB80=1,AC82=1),1,0)</f>
        <v>0</v>
      </c>
      <c r="AC82" s="39" t="n">
        <f aca="false">IF(AND(AC80=1,AD82=1),1,0)</f>
        <v>0</v>
      </c>
      <c r="AD82" s="39" t="n">
        <f aca="false">IF(AND(AD80=1,AE82=1),1,0)</f>
        <v>0</v>
      </c>
      <c r="AE82" s="39" t="n">
        <f aca="false">IF(AND(AE80=1,AF82=1),1,0)</f>
        <v>0</v>
      </c>
      <c r="AF82" s="39" t="n">
        <f aca="false">IF(AND(AF80=1,AG82=1),1,0)</f>
        <v>0</v>
      </c>
      <c r="AG82" s="39" t="n">
        <f aca="false">IF(AND(AG80=1,AH82=1),1,0)</f>
        <v>0</v>
      </c>
      <c r="AH82" s="39" t="n">
        <f aca="false">IF(AND(AH80=1,AI82=1),1,0)</f>
        <v>0</v>
      </c>
      <c r="AI82" s="39" t="n">
        <f aca="false">IF(AND(AI80=1,AJ82=1),1,0)</f>
        <v>0</v>
      </c>
      <c r="AJ82" s="39" t="n">
        <f aca="false">IF(AND(AJ80=1,AK82=1),1,0)</f>
        <v>0</v>
      </c>
      <c r="AK82" s="39" t="n">
        <f aca="false">IF(AND(AK80=1,AL82=1),1,0)</f>
        <v>0</v>
      </c>
      <c r="AL82" s="39" t="n">
        <f aca="false">IF(AND(AL80=1,AM82=1),1,0)</f>
        <v>0</v>
      </c>
      <c r="AM82" s="39" t="n">
        <f aca="false">IF(AND(AM80=1,AN82=1),1,0)</f>
        <v>0</v>
      </c>
      <c r="AN82" s="39" t="n">
        <f aca="false">IF(AND(AN80=1,AO82=1),1,0)</f>
        <v>0</v>
      </c>
      <c r="AO82" s="39" t="n">
        <f aca="false">IF(AND(AO80=1,AP82=1),1,0)</f>
        <v>0</v>
      </c>
      <c r="AP82" s="39" t="n">
        <f aca="false">IF(AND(AP80=1,AQ82=1),1,0)</f>
        <v>0</v>
      </c>
      <c r="AQ82" s="39" t="n">
        <f aca="false">IF(AND(AQ80=1,AR82=1),1,0)</f>
        <v>0</v>
      </c>
      <c r="AR82" s="39" t="n">
        <f aca="false">IF(AND(AR80=1,AS82=1),1,0)</f>
        <v>0</v>
      </c>
      <c r="AS82" s="39" t="n">
        <f aca="false">IF(AND(AS80=1,AT82=1),1,0)</f>
        <v>0</v>
      </c>
      <c r="AT82" s="39" t="n">
        <f aca="false">IF(AND(AT80=1,AU82=1),1,0)</f>
        <v>0</v>
      </c>
      <c r="AU82" s="39" t="n">
        <f aca="false">IF(AND(AU80=1,AV82=1),1,0)</f>
        <v>0</v>
      </c>
      <c r="AV82" s="39" t="n">
        <f aca="false">IF(AND(AV80=1,AW82=1),1,0)</f>
        <v>0</v>
      </c>
      <c r="AW82" s="39" t="n">
        <f aca="false">IF(AND(AW80=1,AX82=1),1,0)</f>
        <v>0</v>
      </c>
      <c r="AX82" s="39" t="n">
        <f aca="false">IF(AND(AX80=1,AY82=1),1,0)</f>
        <v>0</v>
      </c>
      <c r="AY82" s="39" t="n">
        <f aca="false">IF(AND(AY80=1,AZ82=1),1,0)</f>
        <v>0</v>
      </c>
      <c r="AZ82" s="39" t="n">
        <f aca="false">IF(AND(AZ80=1,BA82=1),1,0)</f>
        <v>0</v>
      </c>
      <c r="BA82" s="39" t="n">
        <f aca="false">IF(AND(BA80=1,BB82=1),1,0)</f>
        <v>0</v>
      </c>
      <c r="BB82" s="39" t="n">
        <f aca="false">IF(AND(BB80=1,BC82=1),1,0)</f>
        <v>1</v>
      </c>
      <c r="BC82" s="39" t="n">
        <f aca="false">IF(AND(BC80=1,BD82=1),1,0)</f>
        <v>1</v>
      </c>
      <c r="BD82" s="39" t="n">
        <f aca="false">IF(AND(BD80=1,BE82=1),1,0)</f>
        <v>1</v>
      </c>
      <c r="BE82" s="39" t="n">
        <f aca="false">IF(AND(BE80=1,BF82=1),1,0)</f>
        <v>1</v>
      </c>
      <c r="BF82" s="39" t="n">
        <f aca="false">IF(AND(BF80=1,BG82=1),1,0)</f>
        <v>1</v>
      </c>
      <c r="BG82" s="39" t="n">
        <f aca="false">IF(AND(BG80=1,BH82=1),1,0)</f>
        <v>1</v>
      </c>
      <c r="BH82" s="39" t="n">
        <f aca="false">IF(AND(BH80=1,BI82=1),1,0)</f>
        <v>1</v>
      </c>
      <c r="BI82" s="39" t="n">
        <f aca="false">IF(AND(BI80=1,BJ82=1),1,0)</f>
        <v>1</v>
      </c>
      <c r="BJ82" s="39" t="n">
        <f aca="false">IF(AND(BJ80=1,BK82=1),1,0)</f>
        <v>1</v>
      </c>
      <c r="BK82" s="39" t="n">
        <f aca="false">BK80</f>
        <v>1</v>
      </c>
    </row>
    <row r="84" customFormat="false" ht="17.35" hidden="false" customHeight="false" outlineLevel="0" collapsed="false">
      <c r="B84" s="1" t="s">
        <v>674</v>
      </c>
    </row>
    <row r="85" customFormat="false" ht="15" hidden="false" customHeight="false" outlineLevel="0" collapsed="false">
      <c r="B85" s="5" t="s">
        <v>675</v>
      </c>
      <c r="C85" s="52" t="str">
        <f aca="false">IFERROR(MATCH(1,D81:AM81,0),"none")</f>
        <v>none</v>
      </c>
    </row>
    <row r="86" customFormat="false" ht="15" hidden="false" customHeight="false" outlineLevel="0" collapsed="false">
      <c r="B86" s="5" t="s">
        <v>676</v>
      </c>
      <c r="C86" s="52" t="n">
        <f aca="false">IFERROR(MATCH(1,D82:BK82,0),"none")</f>
        <v>51</v>
      </c>
    </row>
    <row r="87" customFormat="false" ht="15" hidden="false" customHeight="false" outlineLevel="0" collapsed="false">
      <c r="B87" s="5" t="s">
        <v>677</v>
      </c>
      <c r="C87" s="52" t="str">
        <f aca="false">IFERROR(MATCH(1,D80:AM80,0),"none")</f>
        <v>none</v>
      </c>
    </row>
    <row r="88" customFormat="false" ht="15" hidden="false" customHeight="false" outlineLevel="0" collapsed="false">
      <c r="B88" s="5" t="s">
        <v>486</v>
      </c>
      <c r="C88" s="53" t="n">
        <f aca="false">-MIN(0,MIN(D77:AM77))</f>
        <v>302027.687749425</v>
      </c>
    </row>
    <row r="89" customFormat="false" ht="15" hidden="false" customHeight="false" outlineLevel="0" collapsed="false">
      <c r="B89" s="5" t="s">
        <v>678</v>
      </c>
      <c r="C89" s="52" t="n">
        <f aca="false">MATCH(MIN(D77:AM77),D77:AM77,0)</f>
        <v>36</v>
      </c>
    </row>
    <row r="90" customFormat="false" ht="15" hidden="false" customHeight="false" outlineLevel="0" collapsed="false">
      <c r="B90" s="5" t="s">
        <v>679</v>
      </c>
      <c r="C90" s="53" t="n">
        <f aca="false">-MIN(0,MIN(D77:BK77))</f>
        <v>357308.242979656</v>
      </c>
    </row>
    <row r="91" customFormat="false" ht="15" hidden="false" customHeight="false" outlineLevel="0" collapsed="false">
      <c r="B91" s="5" t="s">
        <v>489</v>
      </c>
      <c r="C91" s="52" t="n">
        <f aca="false">IFERROR(MATCH(1,D16:AM16,0),"none")</f>
        <v>24</v>
      </c>
    </row>
    <row r="92" customFormat="false" ht="15" hidden="false" customHeight="false" outlineLevel="0" collapsed="false">
      <c r="B92" s="5" t="s">
        <v>490</v>
      </c>
      <c r="C92" s="52" t="n">
        <f aca="false">IFERROR(MATCH(1,D17:AM17,0),"none")</f>
        <v>24</v>
      </c>
    </row>
    <row r="93" customFormat="false" ht="15" hidden="false" customHeight="false" outlineLevel="0" collapsed="false">
      <c r="B93" s="5" t="s">
        <v>680</v>
      </c>
      <c r="C93" s="52" t="n">
        <f aca="false">IFERROR(MATCH(1,D18:AM18,0),"none")</f>
        <v>20</v>
      </c>
    </row>
    <row r="94" customFormat="false" ht="15" hidden="false" customHeight="false" outlineLevel="0" collapsed="false">
      <c r="B94" s="5" t="s">
        <v>492</v>
      </c>
      <c r="C94" s="52" t="str">
        <f aca="false">IFERROR(MATCH(1,D19:AM19,0),"none")</f>
        <v>none</v>
      </c>
    </row>
    <row r="95" customFormat="false" ht="15" hidden="false" customHeight="false" outlineLevel="0" collapsed="false">
      <c r="B95" s="5" t="s">
        <v>493</v>
      </c>
      <c r="C95" s="54" t="n">
        <f aca="false">AM13</f>
        <v>338.946407731599</v>
      </c>
    </row>
    <row r="96" customFormat="false" ht="15" hidden="false" customHeight="false" outlineLevel="0" collapsed="false">
      <c r="B96" s="5" t="s">
        <v>494</v>
      </c>
      <c r="C96" s="54" t="n">
        <f aca="false">AM32</f>
        <v>82.4442386045144</v>
      </c>
    </row>
    <row r="97" customFormat="false" ht="15" hidden="false" customHeight="false" outlineLevel="0" collapsed="false">
      <c r="B97" s="5" t="s">
        <v>495</v>
      </c>
      <c r="C97" s="54" t="n">
        <f aca="false">AM24</f>
        <v>16553.7425473492</v>
      </c>
    </row>
    <row r="98" customFormat="false" ht="15" hidden="false" customHeight="false" outlineLevel="0" collapsed="false">
      <c r="B98" s="5" t="s">
        <v>496</v>
      </c>
      <c r="C98" s="53" t="n">
        <f aca="false">AM46</f>
        <v>9375.51342227172</v>
      </c>
    </row>
    <row r="99" customFormat="false" ht="15" hidden="false" customHeight="false" outlineLevel="0" collapsed="false">
      <c r="B99" s="5" t="s">
        <v>497</v>
      </c>
      <c r="C99" s="53" t="n">
        <f aca="false">AM76</f>
        <v>-7694.6640079276</v>
      </c>
    </row>
    <row r="100" customFormat="false" ht="15" hidden="false" customHeight="false" outlineLevel="0" collapsed="false">
      <c r="B100" s="5" t="s">
        <v>498</v>
      </c>
      <c r="C100" s="53" t="n">
        <f aca="false">SUM(D46:O46)</f>
        <v>0</v>
      </c>
    </row>
    <row r="101" customFormat="false" ht="15" hidden="false" customHeight="false" outlineLevel="0" collapsed="false">
      <c r="B101" s="5" t="s">
        <v>499</v>
      </c>
      <c r="C101" s="53" t="n">
        <f aca="false">SUM(P46:AA46)</f>
        <v>6385.73170154312</v>
      </c>
    </row>
    <row r="102" customFormat="false" ht="15" hidden="false" customHeight="false" outlineLevel="0" collapsed="false">
      <c r="B102" s="5" t="s">
        <v>500</v>
      </c>
      <c r="C102" s="53" t="n">
        <f aca="false">SUM(AB46:AM46)</f>
        <v>69415.5087592027</v>
      </c>
    </row>
    <row r="103" customFormat="false" ht="15" hidden="false" customHeight="false" outlineLevel="0" collapsed="false">
      <c r="B103" s="5" t="s">
        <v>501</v>
      </c>
      <c r="C103" s="53" t="n">
        <f aca="false">SUM(D76:O76)</f>
        <v>-83052.6617770423</v>
      </c>
    </row>
    <row r="104" customFormat="false" ht="15" hidden="false" customHeight="false" outlineLevel="0" collapsed="false">
      <c r="B104" s="5" t="s">
        <v>502</v>
      </c>
      <c r="C104" s="53" t="n">
        <f aca="false">SUM(P76:AA76)</f>
        <v>-108342.592544754</v>
      </c>
    </row>
    <row r="105" customFormat="false" ht="15" hidden="false" customHeight="false" outlineLevel="0" collapsed="false">
      <c r="B105" s="5" t="s">
        <v>503</v>
      </c>
      <c r="C105" s="53" t="n">
        <f aca="false">SUM(AB76:AM76)</f>
        <v>-110632.433427629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6"/>
    <col collapsed="false" customWidth="true" hidden="false" outlineLevel="0" max="63" min="3" style="0" width="11"/>
  </cols>
  <sheetData>
    <row r="1" customFormat="false" ht="17.35" hidden="false" customHeight="false" outlineLevel="0" collapsed="false">
      <c r="A1" s="1" t="s">
        <v>681</v>
      </c>
    </row>
    <row r="2" customFormat="false" ht="15" hidden="false" customHeight="false" outlineLevel="0" collapsed="false">
      <c r="A2" s="3" t="s">
        <v>682</v>
      </c>
    </row>
    <row r="4" customFormat="false" ht="15" hidden="false" customHeight="false" outlineLevel="0" collapsed="false">
      <c r="B4" s="5" t="s">
        <v>532</v>
      </c>
      <c r="C4" s="4" t="n">
        <v>0</v>
      </c>
      <c r="D4" s="4" t="n">
        <v>1</v>
      </c>
      <c r="E4" s="4" t="n">
        <v>2</v>
      </c>
      <c r="F4" s="4" t="n">
        <v>3</v>
      </c>
      <c r="G4" s="4" t="n">
        <v>4</v>
      </c>
      <c r="H4" s="4" t="n">
        <v>5</v>
      </c>
      <c r="I4" s="4" t="n">
        <v>6</v>
      </c>
      <c r="J4" s="4" t="n">
        <v>7</v>
      </c>
      <c r="K4" s="4" t="n">
        <v>8</v>
      </c>
      <c r="L4" s="4" t="n">
        <v>9</v>
      </c>
      <c r="M4" s="4" t="n">
        <v>10</v>
      </c>
      <c r="N4" s="4" t="n">
        <v>11</v>
      </c>
      <c r="O4" s="4" t="n">
        <v>12</v>
      </c>
      <c r="P4" s="4" t="n">
        <v>13</v>
      </c>
      <c r="Q4" s="4" t="n">
        <v>14</v>
      </c>
      <c r="R4" s="4" t="n">
        <v>15</v>
      </c>
      <c r="S4" s="4" t="n">
        <v>16</v>
      </c>
      <c r="T4" s="4" t="n">
        <v>17</v>
      </c>
      <c r="U4" s="4" t="n">
        <v>18</v>
      </c>
      <c r="V4" s="4" t="n">
        <v>19</v>
      </c>
      <c r="W4" s="4" t="n">
        <v>20</v>
      </c>
      <c r="X4" s="4" t="n">
        <v>21</v>
      </c>
      <c r="Y4" s="4" t="n">
        <v>22</v>
      </c>
      <c r="Z4" s="4" t="n">
        <v>23</v>
      </c>
      <c r="AA4" s="4" t="n">
        <v>24</v>
      </c>
      <c r="AB4" s="4" t="n">
        <v>25</v>
      </c>
      <c r="AC4" s="4" t="n">
        <v>26</v>
      </c>
      <c r="AD4" s="4" t="n">
        <v>27</v>
      </c>
      <c r="AE4" s="4" t="n">
        <v>28</v>
      </c>
      <c r="AF4" s="4" t="n">
        <v>29</v>
      </c>
      <c r="AG4" s="4" t="n">
        <v>30</v>
      </c>
      <c r="AH4" s="4" t="n">
        <v>31</v>
      </c>
      <c r="AI4" s="4" t="n">
        <v>32</v>
      </c>
      <c r="AJ4" s="4" t="n">
        <v>33</v>
      </c>
      <c r="AK4" s="4" t="n">
        <v>34</v>
      </c>
      <c r="AL4" s="4" t="n">
        <v>35</v>
      </c>
      <c r="AM4" s="4" t="n">
        <v>36</v>
      </c>
      <c r="AN4" s="19" t="n">
        <v>37</v>
      </c>
      <c r="AO4" s="19" t="n">
        <v>38</v>
      </c>
      <c r="AP4" s="19" t="n">
        <v>39</v>
      </c>
      <c r="AQ4" s="19" t="n">
        <v>40</v>
      </c>
      <c r="AR4" s="19" t="n">
        <v>41</v>
      </c>
      <c r="AS4" s="19" t="n">
        <v>42</v>
      </c>
      <c r="AT4" s="19" t="n">
        <v>43</v>
      </c>
      <c r="AU4" s="19" t="n">
        <v>44</v>
      </c>
      <c r="AV4" s="19" t="n">
        <v>45</v>
      </c>
      <c r="AW4" s="19" t="n">
        <v>46</v>
      </c>
      <c r="AX4" s="19" t="n">
        <v>47</v>
      </c>
      <c r="AY4" s="19" t="n">
        <v>48</v>
      </c>
      <c r="AZ4" s="19" t="n">
        <v>49</v>
      </c>
      <c r="BA4" s="19" t="n">
        <v>50</v>
      </c>
      <c r="BB4" s="19" t="n">
        <v>51</v>
      </c>
      <c r="BC4" s="19" t="n">
        <v>52</v>
      </c>
      <c r="BD4" s="19" t="n">
        <v>53</v>
      </c>
      <c r="BE4" s="19" t="n">
        <v>54</v>
      </c>
      <c r="BF4" s="19" t="n">
        <v>55</v>
      </c>
      <c r="BG4" s="19" t="n">
        <v>56</v>
      </c>
      <c r="BH4" s="19" t="n">
        <v>57</v>
      </c>
      <c r="BI4" s="19" t="n">
        <v>58</v>
      </c>
      <c r="BJ4" s="19" t="n">
        <v>59</v>
      </c>
      <c r="BK4" s="19" t="n">
        <v>60</v>
      </c>
    </row>
    <row r="5" customFormat="false" ht="15" hidden="false" customHeight="false" outlineLevel="0" collapsed="false">
      <c r="B5" s="5" t="s">
        <v>403</v>
      </c>
      <c r="C5" s="5" t="s">
        <v>533</v>
      </c>
      <c r="D5" s="5" t="s">
        <v>404</v>
      </c>
      <c r="E5" s="5" t="s">
        <v>405</v>
      </c>
      <c r="F5" s="5" t="s">
        <v>406</v>
      </c>
      <c r="G5" s="5" t="s">
        <v>407</v>
      </c>
      <c r="H5" s="5" t="s">
        <v>408</v>
      </c>
      <c r="I5" s="5" t="s">
        <v>409</v>
      </c>
      <c r="J5" s="5" t="s">
        <v>410</v>
      </c>
      <c r="K5" s="5" t="s">
        <v>411</v>
      </c>
      <c r="L5" s="5" t="s">
        <v>412</v>
      </c>
      <c r="M5" s="5" t="s">
        <v>413</v>
      </c>
      <c r="N5" s="5" t="s">
        <v>414</v>
      </c>
      <c r="O5" s="5" t="s">
        <v>415</v>
      </c>
      <c r="P5" s="5" t="s">
        <v>416</v>
      </c>
      <c r="Q5" s="5" t="s">
        <v>417</v>
      </c>
      <c r="R5" s="5" t="s">
        <v>418</v>
      </c>
      <c r="S5" s="5" t="s">
        <v>419</v>
      </c>
      <c r="T5" s="5" t="s">
        <v>420</v>
      </c>
      <c r="U5" s="5" t="s">
        <v>421</v>
      </c>
      <c r="V5" s="5" t="s">
        <v>422</v>
      </c>
      <c r="W5" s="5" t="s">
        <v>423</v>
      </c>
      <c r="X5" s="5" t="s">
        <v>424</v>
      </c>
      <c r="Y5" s="5" t="s">
        <v>425</v>
      </c>
      <c r="Z5" s="5" t="s">
        <v>426</v>
      </c>
      <c r="AA5" s="5" t="s">
        <v>427</v>
      </c>
      <c r="AB5" s="5" t="s">
        <v>428</v>
      </c>
      <c r="AC5" s="5" t="s">
        <v>429</v>
      </c>
      <c r="AD5" s="5" t="s">
        <v>430</v>
      </c>
      <c r="AE5" s="5" t="s">
        <v>431</v>
      </c>
      <c r="AF5" s="5" t="s">
        <v>432</v>
      </c>
      <c r="AG5" s="5" t="s">
        <v>433</v>
      </c>
      <c r="AH5" s="5" t="s">
        <v>434</v>
      </c>
      <c r="AI5" s="5" t="s">
        <v>435</v>
      </c>
      <c r="AJ5" s="5" t="s">
        <v>436</v>
      </c>
      <c r="AK5" s="5" t="s">
        <v>437</v>
      </c>
      <c r="AL5" s="5" t="s">
        <v>438</v>
      </c>
      <c r="AM5" s="5" t="s">
        <v>439</v>
      </c>
      <c r="AN5" s="5" t="s">
        <v>440</v>
      </c>
      <c r="AO5" s="5" t="s">
        <v>441</v>
      </c>
      <c r="AP5" s="5" t="s">
        <v>442</v>
      </c>
      <c r="AQ5" s="5" t="s">
        <v>443</v>
      </c>
      <c r="AR5" s="5" t="s">
        <v>444</v>
      </c>
      <c r="AS5" s="5" t="s">
        <v>445</v>
      </c>
      <c r="AT5" s="5" t="s">
        <v>446</v>
      </c>
      <c r="AU5" s="5" t="s">
        <v>447</v>
      </c>
      <c r="AV5" s="5" t="s">
        <v>448</v>
      </c>
      <c r="AW5" s="5" t="s">
        <v>449</v>
      </c>
      <c r="AX5" s="5" t="s">
        <v>450</v>
      </c>
      <c r="AY5" s="5" t="s">
        <v>451</v>
      </c>
      <c r="AZ5" s="5" t="s">
        <v>452</v>
      </c>
      <c r="BA5" s="5" t="s">
        <v>453</v>
      </c>
      <c r="BB5" s="5" t="s">
        <v>454</v>
      </c>
      <c r="BC5" s="5" t="s">
        <v>455</v>
      </c>
      <c r="BD5" s="5" t="s">
        <v>456</v>
      </c>
      <c r="BE5" s="5" t="s">
        <v>457</v>
      </c>
      <c r="BF5" s="5" t="s">
        <v>458</v>
      </c>
      <c r="BG5" s="5" t="s">
        <v>459</v>
      </c>
      <c r="BH5" s="5" t="s">
        <v>460</v>
      </c>
      <c r="BI5" s="5" t="s">
        <v>461</v>
      </c>
      <c r="BJ5" s="5" t="s">
        <v>462</v>
      </c>
      <c r="BK5" s="5" t="s">
        <v>463</v>
      </c>
    </row>
    <row r="6" customFormat="false" ht="15" hidden="false" customHeight="false" outlineLevel="0" collapsed="false">
      <c r="B6" s="5" t="s">
        <v>534</v>
      </c>
    </row>
    <row r="7" customFormat="false" ht="15" hidden="false" customHeight="false" outlineLevel="0" collapsed="false">
      <c r="A7" s="28" t="s">
        <v>535</v>
      </c>
      <c r="B7" s="6" t="s">
        <v>532</v>
      </c>
      <c r="C7" s="29" t="n">
        <v>0</v>
      </c>
      <c r="D7" s="30" t="n">
        <v>1</v>
      </c>
      <c r="E7" s="30" t="n">
        <v>2</v>
      </c>
      <c r="F7" s="30" t="n">
        <v>3</v>
      </c>
      <c r="G7" s="30" t="n">
        <v>4</v>
      </c>
      <c r="H7" s="30" t="n">
        <v>5</v>
      </c>
      <c r="I7" s="30" t="n">
        <v>6</v>
      </c>
      <c r="J7" s="30" t="n">
        <v>7</v>
      </c>
      <c r="K7" s="30" t="n">
        <v>8</v>
      </c>
      <c r="L7" s="30" t="n">
        <v>9</v>
      </c>
      <c r="M7" s="30" t="n">
        <v>10</v>
      </c>
      <c r="N7" s="30" t="n">
        <v>11</v>
      </c>
      <c r="O7" s="30" t="n">
        <v>12</v>
      </c>
      <c r="P7" s="30" t="n">
        <v>13</v>
      </c>
      <c r="Q7" s="30" t="n">
        <v>14</v>
      </c>
      <c r="R7" s="30" t="n">
        <v>15</v>
      </c>
      <c r="S7" s="30" t="n">
        <v>16</v>
      </c>
      <c r="T7" s="30" t="n">
        <v>17</v>
      </c>
      <c r="U7" s="30" t="n">
        <v>18</v>
      </c>
      <c r="V7" s="30" t="n">
        <v>19</v>
      </c>
      <c r="W7" s="30" t="n">
        <v>20</v>
      </c>
      <c r="X7" s="30" t="n">
        <v>21</v>
      </c>
      <c r="Y7" s="30" t="n">
        <v>22</v>
      </c>
      <c r="Z7" s="30" t="n">
        <v>23</v>
      </c>
      <c r="AA7" s="30" t="n">
        <v>24</v>
      </c>
      <c r="AB7" s="30" t="n">
        <v>25</v>
      </c>
      <c r="AC7" s="30" t="n">
        <v>26</v>
      </c>
      <c r="AD7" s="30" t="n">
        <v>27</v>
      </c>
      <c r="AE7" s="30" t="n">
        <v>28</v>
      </c>
      <c r="AF7" s="30" t="n">
        <v>29</v>
      </c>
      <c r="AG7" s="30" t="n">
        <v>30</v>
      </c>
      <c r="AH7" s="30" t="n">
        <v>31</v>
      </c>
      <c r="AI7" s="30" t="n">
        <v>32</v>
      </c>
      <c r="AJ7" s="30" t="n">
        <v>33</v>
      </c>
      <c r="AK7" s="30" t="n">
        <v>34</v>
      </c>
      <c r="AL7" s="30" t="n">
        <v>35</v>
      </c>
      <c r="AM7" s="30" t="n">
        <v>36</v>
      </c>
      <c r="AN7" s="31" t="n">
        <v>37</v>
      </c>
      <c r="AO7" s="31" t="n">
        <v>38</v>
      </c>
      <c r="AP7" s="31" t="n">
        <v>39</v>
      </c>
      <c r="AQ7" s="31" t="n">
        <v>40</v>
      </c>
      <c r="AR7" s="31" t="n">
        <v>41</v>
      </c>
      <c r="AS7" s="31" t="n">
        <v>42</v>
      </c>
      <c r="AT7" s="31" t="n">
        <v>43</v>
      </c>
      <c r="AU7" s="31" t="n">
        <v>44</v>
      </c>
      <c r="AV7" s="31" t="n">
        <v>45</v>
      </c>
      <c r="AW7" s="31" t="n">
        <v>46</v>
      </c>
      <c r="AX7" s="31" t="n">
        <v>47</v>
      </c>
      <c r="AY7" s="31" t="n">
        <v>48</v>
      </c>
      <c r="AZ7" s="31" t="n">
        <v>49</v>
      </c>
      <c r="BA7" s="31" t="n">
        <v>50</v>
      </c>
      <c r="BB7" s="31" t="n">
        <v>51</v>
      </c>
      <c r="BC7" s="31" t="n">
        <v>52</v>
      </c>
      <c r="BD7" s="31" t="n">
        <v>53</v>
      </c>
      <c r="BE7" s="31" t="n">
        <v>54</v>
      </c>
      <c r="BF7" s="31" t="n">
        <v>55</v>
      </c>
      <c r="BG7" s="31" t="n">
        <v>56</v>
      </c>
      <c r="BH7" s="31" t="n">
        <v>57</v>
      </c>
      <c r="BI7" s="31" t="n">
        <v>58</v>
      </c>
      <c r="BJ7" s="31" t="n">
        <v>59</v>
      </c>
      <c r="BK7" s="31" t="n">
        <v>60</v>
      </c>
    </row>
    <row r="8" customFormat="false" ht="15" hidden="false" customHeight="false" outlineLevel="0" collapsed="false">
      <c r="A8" s="28" t="s">
        <v>536</v>
      </c>
      <c r="B8" s="6" t="s">
        <v>537</v>
      </c>
      <c r="C8" s="32" t="n">
        <v>0</v>
      </c>
      <c r="D8" s="23" t="n">
        <f aca="false">Assumptions!C$140</f>
        <v>0</v>
      </c>
      <c r="E8" s="23" t="n">
        <f aca="false">Assumptions!D$140</f>
        <v>0</v>
      </c>
      <c r="F8" s="23" t="n">
        <f aca="false">Assumptions!E$140</f>
        <v>0</v>
      </c>
      <c r="G8" s="23" t="n">
        <f aca="false">Assumptions!F$140</f>
        <v>0</v>
      </c>
      <c r="H8" s="23" t="n">
        <f aca="false">Assumptions!G$140</f>
        <v>1</v>
      </c>
      <c r="I8" s="23" t="n">
        <f aca="false">Assumptions!H$140</f>
        <v>0</v>
      </c>
      <c r="J8" s="23" t="n">
        <f aca="false">Assumptions!I$140</f>
        <v>0</v>
      </c>
      <c r="K8" s="23" t="n">
        <f aca="false">Assumptions!J$140</f>
        <v>0</v>
      </c>
      <c r="L8" s="23" t="n">
        <f aca="false">Assumptions!K$140</f>
        <v>0</v>
      </c>
      <c r="M8" s="23" t="n">
        <f aca="false">Assumptions!L$140</f>
        <v>0</v>
      </c>
      <c r="N8" s="23" t="n">
        <f aca="false">Assumptions!M$140</f>
        <v>1</v>
      </c>
      <c r="O8" s="23" t="n">
        <f aca="false">Assumptions!N$140</f>
        <v>0</v>
      </c>
      <c r="P8" s="23" t="n">
        <f aca="false">Assumptions!O$140</f>
        <v>0</v>
      </c>
      <c r="Q8" s="23" t="n">
        <f aca="false">Assumptions!P$140</f>
        <v>1</v>
      </c>
      <c r="R8" s="23" t="n">
        <f aca="false">Assumptions!Q$140</f>
        <v>0</v>
      </c>
      <c r="S8" s="23" t="n">
        <f aca="false">Assumptions!R$140</f>
        <v>0</v>
      </c>
      <c r="T8" s="23" t="n">
        <f aca="false">Assumptions!S$140</f>
        <v>1</v>
      </c>
      <c r="U8" s="23" t="n">
        <f aca="false">Assumptions!T$140</f>
        <v>1</v>
      </c>
      <c r="V8" s="23" t="n">
        <f aca="false">Assumptions!U$140</f>
        <v>0</v>
      </c>
      <c r="W8" s="23" t="n">
        <f aca="false">Assumptions!V$140</f>
        <v>1</v>
      </c>
      <c r="X8" s="23" t="n">
        <f aca="false">Assumptions!W$140</f>
        <v>1</v>
      </c>
      <c r="Y8" s="23" t="n">
        <f aca="false">Assumptions!X$140</f>
        <v>0</v>
      </c>
      <c r="Z8" s="23" t="n">
        <f aca="false">Assumptions!Y$140</f>
        <v>1</v>
      </c>
      <c r="AA8" s="23" t="n">
        <f aca="false">Assumptions!Z$140</f>
        <v>1</v>
      </c>
      <c r="AB8" s="23" t="n">
        <f aca="false">Assumptions!AA$140</f>
        <v>0</v>
      </c>
      <c r="AC8" s="23" t="n">
        <f aca="false">Assumptions!AB$140</f>
        <v>1</v>
      </c>
      <c r="AD8" s="23" t="n">
        <f aca="false">Assumptions!AC$140</f>
        <v>1</v>
      </c>
      <c r="AE8" s="23" t="n">
        <f aca="false">Assumptions!AD$140</f>
        <v>1</v>
      </c>
      <c r="AF8" s="23" t="n">
        <f aca="false">Assumptions!AE$140</f>
        <v>1</v>
      </c>
      <c r="AG8" s="23" t="n">
        <f aca="false">Assumptions!AF$140</f>
        <v>1</v>
      </c>
      <c r="AH8" s="23" t="n">
        <f aca="false">Assumptions!AG$140</f>
        <v>1</v>
      </c>
      <c r="AI8" s="23" t="n">
        <f aca="false">Assumptions!AH$140</f>
        <v>1</v>
      </c>
      <c r="AJ8" s="23" t="n">
        <f aca="false">Assumptions!AI$140</f>
        <v>1</v>
      </c>
      <c r="AK8" s="23" t="n">
        <f aca="false">Assumptions!AJ$140</f>
        <v>1</v>
      </c>
      <c r="AL8" s="23" t="n">
        <f aca="false">Assumptions!AK$140</f>
        <v>1</v>
      </c>
      <c r="AM8" s="23" t="n">
        <f aca="false">Assumptions!AL$140</f>
        <v>1</v>
      </c>
      <c r="AN8" s="33" t="n">
        <f aca="false">Assumptions!AM$140</f>
        <v>1</v>
      </c>
      <c r="AO8" s="33" t="n">
        <f aca="false">Assumptions!AN$140</f>
        <v>1</v>
      </c>
      <c r="AP8" s="33" t="n">
        <f aca="false">Assumptions!AO$140</f>
        <v>1</v>
      </c>
      <c r="AQ8" s="33" t="n">
        <f aca="false">Assumptions!AP$140</f>
        <v>1</v>
      </c>
      <c r="AR8" s="33" t="n">
        <f aca="false">Assumptions!AQ$140</f>
        <v>1</v>
      </c>
      <c r="AS8" s="33" t="n">
        <f aca="false">Assumptions!AR$140</f>
        <v>1</v>
      </c>
      <c r="AT8" s="33" t="n">
        <f aca="false">Assumptions!AS$140</f>
        <v>1</v>
      </c>
      <c r="AU8" s="33" t="n">
        <f aca="false">Assumptions!AT$140</f>
        <v>1</v>
      </c>
      <c r="AV8" s="33" t="n">
        <f aca="false">Assumptions!AU$140</f>
        <v>1</v>
      </c>
      <c r="AW8" s="33" t="n">
        <f aca="false">Assumptions!AV$140</f>
        <v>1</v>
      </c>
      <c r="AX8" s="33" t="n">
        <f aca="false">Assumptions!AW$140</f>
        <v>1</v>
      </c>
      <c r="AY8" s="33" t="n">
        <f aca="false">Assumptions!AX$140</f>
        <v>1</v>
      </c>
      <c r="AZ8" s="33" t="n">
        <f aca="false">Assumptions!AY$140</f>
        <v>1</v>
      </c>
      <c r="BA8" s="33" t="n">
        <f aca="false">Assumptions!AZ$140</f>
        <v>1</v>
      </c>
      <c r="BB8" s="33" t="n">
        <f aca="false">Assumptions!BA$140</f>
        <v>1</v>
      </c>
      <c r="BC8" s="33" t="n">
        <f aca="false">Assumptions!BB$140</f>
        <v>1</v>
      </c>
      <c r="BD8" s="33" t="n">
        <f aca="false">Assumptions!BC$140</f>
        <v>1</v>
      </c>
      <c r="BE8" s="33" t="n">
        <f aca="false">Assumptions!BD$140</f>
        <v>1</v>
      </c>
      <c r="BF8" s="33" t="n">
        <f aca="false">Assumptions!BE$140</f>
        <v>1</v>
      </c>
      <c r="BG8" s="33" t="n">
        <f aca="false">Assumptions!BF$140</f>
        <v>1</v>
      </c>
      <c r="BH8" s="33" t="n">
        <f aca="false">Assumptions!BG$140</f>
        <v>1</v>
      </c>
      <c r="BI8" s="33" t="n">
        <f aca="false">Assumptions!BH$140</f>
        <v>1</v>
      </c>
      <c r="BJ8" s="33" t="n">
        <f aca="false">Assumptions!BI$140</f>
        <v>1</v>
      </c>
      <c r="BK8" s="33" t="n">
        <f aca="false">Assumptions!BJ$140</f>
        <v>1</v>
      </c>
    </row>
    <row r="9" customFormat="false" ht="15" hidden="false" customHeight="false" outlineLevel="0" collapsed="false">
      <c r="A9" s="28" t="s">
        <v>538</v>
      </c>
      <c r="B9" s="6" t="s">
        <v>539</v>
      </c>
      <c r="C9" s="32" t="n">
        <v>0</v>
      </c>
      <c r="D9" s="34" t="n">
        <f aca="false">C9+D8</f>
        <v>0</v>
      </c>
      <c r="E9" s="34" t="n">
        <f aca="false">D9+E8</f>
        <v>0</v>
      </c>
      <c r="F9" s="34" t="n">
        <f aca="false">E9+F8</f>
        <v>0</v>
      </c>
      <c r="G9" s="34" t="n">
        <f aca="false">F9+G8</f>
        <v>0</v>
      </c>
      <c r="H9" s="34" t="n">
        <f aca="false">G9+H8</f>
        <v>1</v>
      </c>
      <c r="I9" s="34" t="n">
        <f aca="false">H9+I8</f>
        <v>1</v>
      </c>
      <c r="J9" s="34" t="n">
        <f aca="false">I9+J8</f>
        <v>1</v>
      </c>
      <c r="K9" s="34" t="n">
        <f aca="false">J9+K8</f>
        <v>1</v>
      </c>
      <c r="L9" s="34" t="n">
        <f aca="false">K9+L8</f>
        <v>1</v>
      </c>
      <c r="M9" s="34" t="n">
        <f aca="false">L9+M8</f>
        <v>1</v>
      </c>
      <c r="N9" s="34" t="n">
        <f aca="false">M9+N8</f>
        <v>2</v>
      </c>
      <c r="O9" s="34" t="n">
        <f aca="false">N9+O8</f>
        <v>2</v>
      </c>
      <c r="P9" s="34" t="n">
        <f aca="false">O9+P8</f>
        <v>2</v>
      </c>
      <c r="Q9" s="34" t="n">
        <f aca="false">P9+Q8</f>
        <v>3</v>
      </c>
      <c r="R9" s="34" t="n">
        <f aca="false">Q9+R8</f>
        <v>3</v>
      </c>
      <c r="S9" s="34" t="n">
        <f aca="false">R9+S8</f>
        <v>3</v>
      </c>
      <c r="T9" s="34" t="n">
        <f aca="false">S9+T8</f>
        <v>4</v>
      </c>
      <c r="U9" s="34" t="n">
        <f aca="false">T9+U8</f>
        <v>5</v>
      </c>
      <c r="V9" s="34" t="n">
        <f aca="false">U9+V8</f>
        <v>5</v>
      </c>
      <c r="W9" s="34" t="n">
        <f aca="false">V9+W8</f>
        <v>6</v>
      </c>
      <c r="X9" s="34" t="n">
        <f aca="false">W9+X8</f>
        <v>7</v>
      </c>
      <c r="Y9" s="34" t="n">
        <f aca="false">X9+Y8</f>
        <v>7</v>
      </c>
      <c r="Z9" s="34" t="n">
        <f aca="false">Y9+Z8</f>
        <v>8</v>
      </c>
      <c r="AA9" s="34" t="n">
        <f aca="false">Z9+AA8</f>
        <v>9</v>
      </c>
      <c r="AB9" s="34" t="n">
        <f aca="false">AA9+AB8</f>
        <v>9</v>
      </c>
      <c r="AC9" s="34" t="n">
        <f aca="false">AB9+AC8</f>
        <v>10</v>
      </c>
      <c r="AD9" s="34" t="n">
        <f aca="false">AC9+AD8</f>
        <v>11</v>
      </c>
      <c r="AE9" s="34" t="n">
        <f aca="false">AD9+AE8</f>
        <v>12</v>
      </c>
      <c r="AF9" s="34" t="n">
        <f aca="false">AE9+AF8</f>
        <v>13</v>
      </c>
      <c r="AG9" s="34" t="n">
        <f aca="false">AF9+AG8</f>
        <v>14</v>
      </c>
      <c r="AH9" s="34" t="n">
        <f aca="false">AG9+AH8</f>
        <v>15</v>
      </c>
      <c r="AI9" s="34" t="n">
        <f aca="false">AH9+AI8</f>
        <v>16</v>
      </c>
      <c r="AJ9" s="34" t="n">
        <f aca="false">AI9+AJ8</f>
        <v>17</v>
      </c>
      <c r="AK9" s="34" t="n">
        <f aca="false">AJ9+AK8</f>
        <v>18</v>
      </c>
      <c r="AL9" s="34" t="n">
        <f aca="false">AK9+AL8</f>
        <v>19</v>
      </c>
      <c r="AM9" s="34" t="n">
        <f aca="false">AL9+AM8</f>
        <v>20</v>
      </c>
      <c r="AN9" s="35" t="n">
        <f aca="false">AM9+AN8</f>
        <v>21</v>
      </c>
      <c r="AO9" s="35" t="n">
        <f aca="false">AN9+AO8</f>
        <v>22</v>
      </c>
      <c r="AP9" s="35" t="n">
        <f aca="false">AO9+AP8</f>
        <v>23</v>
      </c>
      <c r="AQ9" s="35" t="n">
        <f aca="false">AP9+AQ8</f>
        <v>24</v>
      </c>
      <c r="AR9" s="35" t="n">
        <f aca="false">AQ9+AR8</f>
        <v>25</v>
      </c>
      <c r="AS9" s="35" t="n">
        <f aca="false">AR9+AS8</f>
        <v>26</v>
      </c>
      <c r="AT9" s="35" t="n">
        <f aca="false">AS9+AT8</f>
        <v>27</v>
      </c>
      <c r="AU9" s="35" t="n">
        <f aca="false">AT9+AU8</f>
        <v>28</v>
      </c>
      <c r="AV9" s="35" t="n">
        <f aca="false">AU9+AV8</f>
        <v>29</v>
      </c>
      <c r="AW9" s="35" t="n">
        <f aca="false">AV9+AW8</f>
        <v>30</v>
      </c>
      <c r="AX9" s="35" t="n">
        <f aca="false">AW9+AX8</f>
        <v>31</v>
      </c>
      <c r="AY9" s="35" t="n">
        <f aca="false">AX9+AY8</f>
        <v>32</v>
      </c>
      <c r="AZ9" s="35" t="n">
        <f aca="false">AY9+AZ8</f>
        <v>33</v>
      </c>
      <c r="BA9" s="35" t="n">
        <f aca="false">AZ9+BA8</f>
        <v>34</v>
      </c>
      <c r="BB9" s="35" t="n">
        <f aca="false">BA9+BB8</f>
        <v>35</v>
      </c>
      <c r="BC9" s="35" t="n">
        <f aca="false">BB9+BC8</f>
        <v>36</v>
      </c>
      <c r="BD9" s="35" t="n">
        <f aca="false">BC9+BD8</f>
        <v>37</v>
      </c>
      <c r="BE9" s="35" t="n">
        <f aca="false">BD9+BE8</f>
        <v>38</v>
      </c>
      <c r="BF9" s="35" t="n">
        <f aca="false">BE9+BF8</f>
        <v>39</v>
      </c>
      <c r="BG9" s="35" t="n">
        <f aca="false">BF9+BG8</f>
        <v>40</v>
      </c>
      <c r="BH9" s="35" t="n">
        <f aca="false">BG9+BH8</f>
        <v>41</v>
      </c>
      <c r="BI9" s="35" t="n">
        <f aca="false">BH9+BI8</f>
        <v>42</v>
      </c>
      <c r="BJ9" s="35" t="n">
        <f aca="false">BI9+BJ8</f>
        <v>43</v>
      </c>
      <c r="BK9" s="35" t="n">
        <f aca="false">BJ9+BK8</f>
        <v>44</v>
      </c>
    </row>
    <row r="10" customFormat="false" ht="15" hidden="false" customHeight="false" outlineLevel="0" collapsed="false">
      <c r="A10" s="28" t="s">
        <v>540</v>
      </c>
      <c r="B10" s="6" t="s">
        <v>541</v>
      </c>
      <c r="C10" s="32" t="n">
        <v>0</v>
      </c>
      <c r="D10" s="34" t="n">
        <f aca="false">IF(D7&gt;Assumptions!$D$79,INDEX($D$9:$BK$9,D7-Assumptions!$D$79),0)</f>
        <v>0</v>
      </c>
      <c r="E10" s="34" t="n">
        <f aca="false">IF(E7&gt;Assumptions!$D$79,INDEX($D$9:$BK$9,E7-Assumptions!$D$79),0)</f>
        <v>0</v>
      </c>
      <c r="F10" s="34" t="n">
        <f aca="false">IF(F7&gt;Assumptions!$D$79,INDEX($D$9:$BK$9,F7-Assumptions!$D$79),0)</f>
        <v>0</v>
      </c>
      <c r="G10" s="34" t="n">
        <f aca="false">IF(G7&gt;Assumptions!$D$79,INDEX($D$9:$BK$9,G7-Assumptions!$D$79),0)</f>
        <v>0</v>
      </c>
      <c r="H10" s="34" t="n">
        <f aca="false">IF(H7&gt;Assumptions!$D$79,INDEX($D$9:$BK$9,H7-Assumptions!$D$79),0)</f>
        <v>0</v>
      </c>
      <c r="I10" s="34" t="n">
        <f aca="false">IF(I7&gt;Assumptions!$D$79,INDEX($D$9:$BK$9,I7-Assumptions!$D$79),0)</f>
        <v>0</v>
      </c>
      <c r="J10" s="34" t="n">
        <f aca="false">IF(J7&gt;Assumptions!$D$79,INDEX($D$9:$BK$9,J7-Assumptions!$D$79),0)</f>
        <v>0</v>
      </c>
      <c r="K10" s="34" t="n">
        <f aca="false">IF(K7&gt;Assumptions!$D$79,INDEX($D$9:$BK$9,K7-Assumptions!$D$79),0)</f>
        <v>0</v>
      </c>
      <c r="L10" s="34" t="n">
        <f aca="false">IF(L7&gt;Assumptions!$D$79,INDEX($D$9:$BK$9,L7-Assumptions!$D$79),0)</f>
        <v>0</v>
      </c>
      <c r="M10" s="34" t="n">
        <f aca="false">IF(M7&gt;Assumptions!$D$79,INDEX($D$9:$BK$9,M7-Assumptions!$D$79),0)</f>
        <v>0</v>
      </c>
      <c r="N10" s="34" t="n">
        <f aca="false">IF(N7&gt;Assumptions!$D$79,INDEX($D$9:$BK$9,N7-Assumptions!$D$79),0)</f>
        <v>1</v>
      </c>
      <c r="O10" s="34" t="n">
        <f aca="false">IF(O7&gt;Assumptions!$D$79,INDEX($D$9:$BK$9,O7-Assumptions!$D$79),0)</f>
        <v>1</v>
      </c>
      <c r="P10" s="34" t="n">
        <f aca="false">IF(P7&gt;Assumptions!$D$79,INDEX($D$9:$BK$9,P7-Assumptions!$D$79),0)</f>
        <v>1</v>
      </c>
      <c r="Q10" s="34" t="n">
        <f aca="false">IF(Q7&gt;Assumptions!$D$79,INDEX($D$9:$BK$9,Q7-Assumptions!$D$79),0)</f>
        <v>1</v>
      </c>
      <c r="R10" s="34" t="n">
        <f aca="false">IF(R7&gt;Assumptions!$D$79,INDEX($D$9:$BK$9,R7-Assumptions!$D$79),0)</f>
        <v>1</v>
      </c>
      <c r="S10" s="34" t="n">
        <f aca="false">IF(S7&gt;Assumptions!$D$79,INDEX($D$9:$BK$9,S7-Assumptions!$D$79),0)</f>
        <v>1</v>
      </c>
      <c r="T10" s="34" t="n">
        <f aca="false">IF(T7&gt;Assumptions!$D$79,INDEX($D$9:$BK$9,T7-Assumptions!$D$79),0)</f>
        <v>2</v>
      </c>
      <c r="U10" s="34" t="n">
        <f aca="false">IF(U7&gt;Assumptions!$D$79,INDEX($D$9:$BK$9,U7-Assumptions!$D$79),0)</f>
        <v>2</v>
      </c>
      <c r="V10" s="34" t="n">
        <f aca="false">IF(V7&gt;Assumptions!$D$79,INDEX($D$9:$BK$9,V7-Assumptions!$D$79),0)</f>
        <v>2</v>
      </c>
      <c r="W10" s="34" t="n">
        <f aca="false">IF(W7&gt;Assumptions!$D$79,INDEX($D$9:$BK$9,W7-Assumptions!$D$79),0)</f>
        <v>3</v>
      </c>
      <c r="X10" s="34" t="n">
        <f aca="false">IF(X7&gt;Assumptions!$D$79,INDEX($D$9:$BK$9,X7-Assumptions!$D$79),0)</f>
        <v>3</v>
      </c>
      <c r="Y10" s="34" t="n">
        <f aca="false">IF(Y7&gt;Assumptions!$D$79,INDEX($D$9:$BK$9,Y7-Assumptions!$D$79),0)</f>
        <v>3</v>
      </c>
      <c r="Z10" s="34" t="n">
        <f aca="false">IF(Z7&gt;Assumptions!$D$79,INDEX($D$9:$BK$9,Z7-Assumptions!$D$79),0)</f>
        <v>4</v>
      </c>
      <c r="AA10" s="34" t="n">
        <f aca="false">IF(AA7&gt;Assumptions!$D$79,INDEX($D$9:$BK$9,AA7-Assumptions!$D$79),0)</f>
        <v>5</v>
      </c>
      <c r="AB10" s="34" t="n">
        <f aca="false">IF(AB7&gt;Assumptions!$D$79,INDEX($D$9:$BK$9,AB7-Assumptions!$D$79),0)</f>
        <v>5</v>
      </c>
      <c r="AC10" s="34" t="n">
        <f aca="false">IF(AC7&gt;Assumptions!$D$79,INDEX($D$9:$BK$9,AC7-Assumptions!$D$79),0)</f>
        <v>6</v>
      </c>
      <c r="AD10" s="34" t="n">
        <f aca="false">IF(AD7&gt;Assumptions!$D$79,INDEX($D$9:$BK$9,AD7-Assumptions!$D$79),0)</f>
        <v>7</v>
      </c>
      <c r="AE10" s="34" t="n">
        <f aca="false">IF(AE7&gt;Assumptions!$D$79,INDEX($D$9:$BK$9,AE7-Assumptions!$D$79),0)</f>
        <v>7</v>
      </c>
      <c r="AF10" s="34" t="n">
        <f aca="false">IF(AF7&gt;Assumptions!$D$79,INDEX($D$9:$BK$9,AF7-Assumptions!$D$79),0)</f>
        <v>8</v>
      </c>
      <c r="AG10" s="34" t="n">
        <f aca="false">IF(AG7&gt;Assumptions!$D$79,INDEX($D$9:$BK$9,AG7-Assumptions!$D$79),0)</f>
        <v>9</v>
      </c>
      <c r="AH10" s="34" t="n">
        <f aca="false">IF(AH7&gt;Assumptions!$D$79,INDEX($D$9:$BK$9,AH7-Assumptions!$D$79),0)</f>
        <v>9</v>
      </c>
      <c r="AI10" s="34" t="n">
        <f aca="false">IF(AI7&gt;Assumptions!$D$79,INDEX($D$9:$BK$9,AI7-Assumptions!$D$79),0)</f>
        <v>10</v>
      </c>
      <c r="AJ10" s="34" t="n">
        <f aca="false">IF(AJ7&gt;Assumptions!$D$79,INDEX($D$9:$BK$9,AJ7-Assumptions!$D$79),0)</f>
        <v>11</v>
      </c>
      <c r="AK10" s="34" t="n">
        <f aca="false">IF(AK7&gt;Assumptions!$D$79,INDEX($D$9:$BK$9,AK7-Assumptions!$D$79),0)</f>
        <v>12</v>
      </c>
      <c r="AL10" s="34" t="n">
        <f aca="false">IF(AL7&gt;Assumptions!$D$79,INDEX($D$9:$BK$9,AL7-Assumptions!$D$79),0)</f>
        <v>13</v>
      </c>
      <c r="AM10" s="34" t="n">
        <f aca="false">IF(AM7&gt;Assumptions!$D$79,INDEX($D$9:$BK$9,AM7-Assumptions!$D$79),0)</f>
        <v>14</v>
      </c>
      <c r="AN10" s="35" t="n">
        <f aca="false">IF(AN7&gt;Assumptions!$D$79,INDEX($D$9:$BK$9,AN7-Assumptions!$D$79),0)</f>
        <v>15</v>
      </c>
      <c r="AO10" s="35" t="n">
        <f aca="false">IF(AO7&gt;Assumptions!$D$79,INDEX($D$9:$BK$9,AO7-Assumptions!$D$79),0)</f>
        <v>16</v>
      </c>
      <c r="AP10" s="35" t="n">
        <f aca="false">IF(AP7&gt;Assumptions!$D$79,INDEX($D$9:$BK$9,AP7-Assumptions!$D$79),0)</f>
        <v>17</v>
      </c>
      <c r="AQ10" s="35" t="n">
        <f aca="false">IF(AQ7&gt;Assumptions!$D$79,INDEX($D$9:$BK$9,AQ7-Assumptions!$D$79),0)</f>
        <v>18</v>
      </c>
      <c r="AR10" s="35" t="n">
        <f aca="false">IF(AR7&gt;Assumptions!$D$79,INDEX($D$9:$BK$9,AR7-Assumptions!$D$79),0)</f>
        <v>19</v>
      </c>
      <c r="AS10" s="35" t="n">
        <f aca="false">IF(AS7&gt;Assumptions!$D$79,INDEX($D$9:$BK$9,AS7-Assumptions!$D$79),0)</f>
        <v>20</v>
      </c>
      <c r="AT10" s="35" t="n">
        <f aca="false">IF(AT7&gt;Assumptions!$D$79,INDEX($D$9:$BK$9,AT7-Assumptions!$D$79),0)</f>
        <v>21</v>
      </c>
      <c r="AU10" s="35" t="n">
        <f aca="false">IF(AU7&gt;Assumptions!$D$79,INDEX($D$9:$BK$9,AU7-Assumptions!$D$79),0)</f>
        <v>22</v>
      </c>
      <c r="AV10" s="35" t="n">
        <f aca="false">IF(AV7&gt;Assumptions!$D$79,INDEX($D$9:$BK$9,AV7-Assumptions!$D$79),0)</f>
        <v>23</v>
      </c>
      <c r="AW10" s="35" t="n">
        <f aca="false">IF(AW7&gt;Assumptions!$D$79,INDEX($D$9:$BK$9,AW7-Assumptions!$D$79),0)</f>
        <v>24</v>
      </c>
      <c r="AX10" s="35" t="n">
        <f aca="false">IF(AX7&gt;Assumptions!$D$79,INDEX($D$9:$BK$9,AX7-Assumptions!$D$79),0)</f>
        <v>25</v>
      </c>
      <c r="AY10" s="35" t="n">
        <f aca="false">IF(AY7&gt;Assumptions!$D$79,INDEX($D$9:$BK$9,AY7-Assumptions!$D$79),0)</f>
        <v>26</v>
      </c>
      <c r="AZ10" s="35" t="n">
        <f aca="false">IF(AZ7&gt;Assumptions!$D$79,INDEX($D$9:$BK$9,AZ7-Assumptions!$D$79),0)</f>
        <v>27</v>
      </c>
      <c r="BA10" s="35" t="n">
        <f aca="false">IF(BA7&gt;Assumptions!$D$79,INDEX($D$9:$BK$9,BA7-Assumptions!$D$79),0)</f>
        <v>28</v>
      </c>
      <c r="BB10" s="35" t="n">
        <f aca="false">IF(BB7&gt;Assumptions!$D$79,INDEX($D$9:$BK$9,BB7-Assumptions!$D$79),0)</f>
        <v>29</v>
      </c>
      <c r="BC10" s="35" t="n">
        <f aca="false">IF(BC7&gt;Assumptions!$D$79,INDEX($D$9:$BK$9,BC7-Assumptions!$D$79),0)</f>
        <v>30</v>
      </c>
      <c r="BD10" s="35" t="n">
        <f aca="false">IF(BD7&gt;Assumptions!$D$79,INDEX($D$9:$BK$9,BD7-Assumptions!$D$79),0)</f>
        <v>31</v>
      </c>
      <c r="BE10" s="35" t="n">
        <f aca="false">IF(BE7&gt;Assumptions!$D$79,INDEX($D$9:$BK$9,BE7-Assumptions!$D$79),0)</f>
        <v>32</v>
      </c>
      <c r="BF10" s="35" t="n">
        <f aca="false">IF(BF7&gt;Assumptions!$D$79,INDEX($D$9:$BK$9,BF7-Assumptions!$D$79),0)</f>
        <v>33</v>
      </c>
      <c r="BG10" s="35" t="n">
        <f aca="false">IF(BG7&gt;Assumptions!$D$79,INDEX($D$9:$BK$9,BG7-Assumptions!$D$79),0)</f>
        <v>34</v>
      </c>
      <c r="BH10" s="35" t="n">
        <f aca="false">IF(BH7&gt;Assumptions!$D$79,INDEX($D$9:$BK$9,BH7-Assumptions!$D$79),0)</f>
        <v>35</v>
      </c>
      <c r="BI10" s="35" t="n">
        <f aca="false">IF(BI7&gt;Assumptions!$D$79,INDEX($D$9:$BK$9,BI7-Assumptions!$D$79),0)</f>
        <v>36</v>
      </c>
      <c r="BJ10" s="35" t="n">
        <f aca="false">IF(BJ7&gt;Assumptions!$D$79,INDEX($D$9:$BK$9,BJ7-Assumptions!$D$79),0)</f>
        <v>37</v>
      </c>
      <c r="BK10" s="35" t="n">
        <f aca="false">IF(BK7&gt;Assumptions!$D$79,INDEX($D$9:$BK$9,BK7-Assumptions!$D$79),0)</f>
        <v>38</v>
      </c>
    </row>
    <row r="11" customFormat="false" ht="15" hidden="false" customHeight="false" outlineLevel="0" collapsed="false">
      <c r="A11" s="28" t="s">
        <v>542</v>
      </c>
      <c r="B11" s="6" t="s">
        <v>543</v>
      </c>
      <c r="C11" s="36" t="n">
        <v>0</v>
      </c>
      <c r="D11" s="26" t="n">
        <f aca="false">Assumptions!$D$10*(D8*Assumptions!$D$111)</f>
        <v>0</v>
      </c>
      <c r="E11" s="26" t="n">
        <f aca="false">Assumptions!$D$10*(E8*Assumptions!$D$111+D8*Assumptions!$D$112)</f>
        <v>0</v>
      </c>
      <c r="F11" s="26" t="n">
        <f aca="false">Assumptions!$D$10*(F8*Assumptions!$D$111+E8*Assumptions!$D$112+D8*Assumptions!$D$113)</f>
        <v>0</v>
      </c>
      <c r="G11" s="26" t="n">
        <f aca="false">Assumptions!$D$10*(G8*Assumptions!$D$111+F8*Assumptions!$D$112+E8*Assumptions!$D$113+D8*Assumptions!$D$114)</f>
        <v>0</v>
      </c>
      <c r="H11" s="26" t="n">
        <f aca="false">Assumptions!$D$10*(H8*Assumptions!$D$111+G8*Assumptions!$D$112+F8*Assumptions!$D$113+E8*Assumptions!$D$114+D8*Assumptions!$D$115)</f>
        <v>5.1</v>
      </c>
      <c r="I11" s="26" t="n">
        <f aca="false">Assumptions!$D$10*(I8*Assumptions!$D$111+H8*Assumptions!$D$112+G8*Assumptions!$D$113+F8*Assumptions!$D$114+E8*Assumptions!$D$115+D8*Assumptions!$D$116)</f>
        <v>4.488</v>
      </c>
      <c r="J11" s="26" t="n">
        <f aca="false">Assumptions!$D$10*(J8*Assumptions!$D$111+I8*Assumptions!$D$112+H8*Assumptions!$D$113+G8*Assumptions!$D$114+F8*Assumptions!$D$115+E8*Assumptions!$D$116+D8*Assumptions!$D$117)</f>
        <v>3.06</v>
      </c>
      <c r="K11" s="26" t="n">
        <f aca="false">Assumptions!$D$10*(K8*Assumptions!$D$111+J8*Assumptions!$D$112+I8*Assumptions!$D$113+H8*Assumptions!$D$114+G8*Assumptions!$D$115+F8*Assumptions!$D$116+E8*Assumptions!$D$117+D8*Assumptions!$D$118)</f>
        <v>2.04</v>
      </c>
      <c r="L11" s="26" t="n">
        <f aca="false">Assumptions!$D$10*(L8*Assumptions!$D$111+K8*Assumptions!$D$112+J8*Assumptions!$D$113+I8*Assumptions!$D$114+H8*Assumptions!$D$115+G8*Assumptions!$D$116+F8*Assumptions!$D$117+E8*Assumptions!$D$118+D8*Assumptions!$D$119)</f>
        <v>1.224</v>
      </c>
      <c r="M11" s="26" t="n">
        <f aca="false">Assumptions!$D$10*(M8*Assumptions!$D$111+L8*Assumptions!$D$112+K8*Assumptions!$D$113+J8*Assumptions!$D$114+I8*Assumptions!$D$115+H8*Assumptions!$D$116+G8*Assumptions!$D$117+F8*Assumptions!$D$118+E8*Assumptions!$D$119+D8*Assumptions!$D$120)</f>
        <v>1.02</v>
      </c>
      <c r="N11" s="26" t="n">
        <f aca="false">Assumptions!$D$10*(N8*Assumptions!$D$111+M8*Assumptions!$D$112+L8*Assumptions!$D$113+K8*Assumptions!$D$114+J8*Assumptions!$D$115+I8*Assumptions!$D$116+H8*Assumptions!$D$117+G8*Assumptions!$D$118+F8*Assumptions!$D$119+E8*Assumptions!$D$120+D8*Assumptions!$D$121)</f>
        <v>5.304</v>
      </c>
      <c r="O11" s="26" t="n">
        <f aca="false">Assumptions!$D$10*(O8*Assumptions!$D$111+N8*Assumptions!$D$112+M8*Assumptions!$D$113+L8*Assumptions!$D$114+K8*Assumptions!$D$115+J8*Assumptions!$D$116+I8*Assumptions!$D$117+H8*Assumptions!$D$118+G8*Assumptions!$D$119+F8*Assumptions!$D$120+E8*Assumptions!$D$121+D8*Assumptions!$D$122)</f>
        <v>4.692</v>
      </c>
      <c r="P11" s="26" t="n">
        <f aca="false">Assumptions!$D$10*(P8*Assumptions!$D$111+O8*Assumptions!$D$112+N8*Assumptions!$D$113+M8*Assumptions!$D$114+L8*Assumptions!$D$115+K8*Assumptions!$D$116+J8*Assumptions!$D$117+I8*Assumptions!$D$118+H8*Assumptions!$D$119+G8*Assumptions!$D$120+F8*Assumptions!$D$121+E8*Assumptions!$D$122+D8*Assumptions!$D$123)</f>
        <v>3.264</v>
      </c>
      <c r="Q11" s="26" t="n">
        <f aca="false">Assumptions!$D$10*(Q8*Assumptions!$D$111+P8*Assumptions!$D$112+O8*Assumptions!$D$113+N8*Assumptions!$D$114+M8*Assumptions!$D$115+L8*Assumptions!$D$116+K8*Assumptions!$D$117+J8*Assumptions!$D$118+I8*Assumptions!$D$119+H8*Assumptions!$D$120+G8*Assumptions!$D$121+F8*Assumptions!$D$122+E8*Assumptions!$D$123+D8*Assumptions!$D$124)</f>
        <v>7.344</v>
      </c>
      <c r="R11" s="26" t="n">
        <f aca="false">Assumptions!$D$10*(R8*Assumptions!$D$111+Q8*Assumptions!$D$112+P8*Assumptions!$D$113+O8*Assumptions!$D$114+N8*Assumptions!$D$115+M8*Assumptions!$D$116+L8*Assumptions!$D$117+K8*Assumptions!$D$118+J8*Assumptions!$D$119+I8*Assumptions!$D$120+H8*Assumptions!$D$121+G8*Assumptions!$D$122+F8*Assumptions!$D$123+E8*Assumptions!$D$124+D8*Assumptions!$D$125)</f>
        <v>5.916</v>
      </c>
      <c r="S11" s="26" t="n">
        <f aca="false">Assumptions!$D$10*(S8*Assumptions!$D$111+R8*Assumptions!$D$112+Q8*Assumptions!$D$113+P8*Assumptions!$D$114+O8*Assumptions!$D$115+N8*Assumptions!$D$116+M8*Assumptions!$D$117+L8*Assumptions!$D$118+K8*Assumptions!$D$119+J8*Assumptions!$D$120+I8*Assumptions!$D$121+H8*Assumptions!$D$122+G8*Assumptions!$D$123+F8*Assumptions!$D$124+E8*Assumptions!$D$125+D8*Assumptions!$D$126)</f>
        <v>4.284</v>
      </c>
      <c r="T11" s="26" t="n">
        <f aca="false">Assumptions!$D$10*(T8*Assumptions!$D$111+S8*Assumptions!$D$112+R8*Assumptions!$D$113+Q8*Assumptions!$D$114+P8*Assumptions!$D$115+O8*Assumptions!$D$116+N8*Assumptions!$D$117+M8*Assumptions!$D$118+L8*Assumptions!$D$119+K8*Assumptions!$D$120+J8*Assumptions!$D$121+I8*Assumptions!$D$122+H8*Assumptions!$D$123+G8*Assumptions!$D$124+F8*Assumptions!$D$125+E8*Assumptions!$D$126+D8*Assumptions!$D$127)</f>
        <v>7.548</v>
      </c>
      <c r="U11" s="26" t="n">
        <f aca="false">Assumptions!$D$10*(U8*Assumptions!$D$111+T8*Assumptions!$D$112+S8*Assumptions!$D$113+R8*Assumptions!$D$114+Q8*Assumptions!$D$115+P8*Assumptions!$D$116+O8*Assumptions!$D$117+N8*Assumptions!$D$118+M8*Assumptions!$D$119+L8*Assumptions!$D$120+K8*Assumptions!$D$121+J8*Assumptions!$D$122+I8*Assumptions!$D$123+H8*Assumptions!$D$124+G8*Assumptions!$D$125+F8*Assumptions!$D$126+E8*Assumptions!$D$127+D8*Assumptions!$D$128)</f>
        <v>11.22</v>
      </c>
      <c r="V11" s="26" t="n">
        <f aca="false">Assumptions!$D$10*(V8*Assumptions!$D$111+U8*Assumptions!$D$112+T8*Assumptions!$D$113+S8*Assumptions!$D$114+R8*Assumptions!$D$115+Q8*Assumptions!$D$116+P8*Assumptions!$D$117+O8*Assumptions!$D$118+N8*Assumptions!$D$119+M8*Assumptions!$D$120+L8*Assumptions!$D$121+K8*Assumptions!$D$122+J8*Assumptions!$D$123+I8*Assumptions!$D$124+H8*Assumptions!$D$125+G8*Assumptions!$D$126+F8*Assumptions!$D$127+E8*Assumptions!$D$128+D8*Assumptions!$D$129)</f>
        <v>8.976</v>
      </c>
      <c r="W11" s="26" t="n">
        <f aca="false">Assumptions!$D$10*(W8*Assumptions!$D$111+V8*Assumptions!$D$112+U8*Assumptions!$D$113+T8*Assumptions!$D$114+S8*Assumptions!$D$115+R8*Assumptions!$D$116+Q8*Assumptions!$D$117+P8*Assumptions!$D$118+O8*Assumptions!$D$119+N8*Assumptions!$D$120+M8*Assumptions!$D$121+L8*Assumptions!$D$122+K8*Assumptions!$D$123+J8*Assumptions!$D$124+I8*Assumptions!$D$125+H8*Assumptions!$D$126+G8*Assumptions!$D$127+F8*Assumptions!$D$128+E8*Assumptions!$D$129+D8*Assumptions!$D$130)</f>
        <v>10.812</v>
      </c>
      <c r="X11" s="26" t="n">
        <f aca="false">Assumptions!$D$10*(X8*Assumptions!$D$111+W8*Assumptions!$D$112+V8*Assumptions!$D$113+U8*Assumptions!$D$114+T8*Assumptions!$D$115+S8*Assumptions!$D$116+R8*Assumptions!$D$117+Q8*Assumptions!$D$118+P8*Assumptions!$D$119+O8*Assumptions!$D$120+N8*Assumptions!$D$121+M8*Assumptions!$D$122+L8*Assumptions!$D$123+K8*Assumptions!$D$124+J8*Assumptions!$D$125+I8*Assumptions!$D$126+H8*Assumptions!$D$127+G8*Assumptions!$D$128+F8*Assumptions!$D$129+E8*Assumptions!$D$130+D8*Assumptions!$D$131)</f>
        <v>13.464</v>
      </c>
      <c r="Y11" s="26" t="n">
        <f aca="false">Assumptions!$D$10*(Y8*Assumptions!$D$111+X8*Assumptions!$D$112+W8*Assumptions!$D$113+V8*Assumptions!$D$114+U8*Assumptions!$D$115+T8*Assumptions!$D$116+S8*Assumptions!$D$117+R8*Assumptions!$D$118+Q8*Assumptions!$D$119+P8*Assumptions!$D$120+O8*Assumptions!$D$121+N8*Assumptions!$D$122+M8*Assumptions!$D$123+L8*Assumptions!$D$124+K8*Assumptions!$D$125+J8*Assumptions!$D$126+I8*Assumptions!$D$127+H8*Assumptions!$D$128+G8*Assumptions!$D$129+F8*Assumptions!$D$130+E8*Assumptions!$D$131+D8*Assumptions!$D$132)</f>
        <v>10.404</v>
      </c>
      <c r="Z11" s="26" t="n">
        <f aca="false">Assumptions!$D$10*(Z8*Assumptions!$D$111+Y8*Assumptions!$D$112+X8*Assumptions!$D$113+W8*Assumptions!$D$114+V8*Assumptions!$D$115+U8*Assumptions!$D$116+T8*Assumptions!$D$117+S8*Assumptions!$D$118+R8*Assumptions!$D$119+Q8*Assumptions!$D$120+P8*Assumptions!$D$121+O8*Assumptions!$D$122+N8*Assumptions!$D$123+M8*Assumptions!$D$124+L8*Assumptions!$D$125+K8*Assumptions!$D$126+J8*Assumptions!$D$127+I8*Assumptions!$D$128+H8*Assumptions!$D$129+G8*Assumptions!$D$130+F8*Assumptions!$D$131+E8*Assumptions!$D$132+D8*Assumptions!$D$133)</f>
        <v>12.036</v>
      </c>
      <c r="AA11" s="26" t="n">
        <f aca="false">Assumptions!$D$10*(AA8*Assumptions!$D$111+Z8*Assumptions!$D$112+Y8*Assumptions!$D$113+X8*Assumptions!$D$114+W8*Assumptions!$D$115+V8*Assumptions!$D$116+U8*Assumptions!$D$117+T8*Assumptions!$D$118+S8*Assumptions!$D$119+R8*Assumptions!$D$120+Q8*Assumptions!$D$121+P8*Assumptions!$D$122+O8*Assumptions!$D$123+N8*Assumptions!$D$124+M8*Assumptions!$D$125+L8*Assumptions!$D$126+K8*Assumptions!$D$127+J8*Assumptions!$D$128+I8*Assumptions!$D$129+H8*Assumptions!$D$130+G8*Assumptions!$D$131+F8*Assumptions!$D$132+E8*Assumptions!$D$133)</f>
        <v>13.872</v>
      </c>
      <c r="AB11" s="26" t="n">
        <f aca="false">Assumptions!$D$10*(AB8*Assumptions!$D$111+AA8*Assumptions!$D$112+Z8*Assumptions!$D$113+Y8*Assumptions!$D$114+X8*Assumptions!$D$115+W8*Assumptions!$D$116+V8*Assumptions!$D$117+U8*Assumptions!$D$118+T8*Assumptions!$D$119+S8*Assumptions!$D$120+R8*Assumptions!$D$121+Q8*Assumptions!$D$122+P8*Assumptions!$D$123+O8*Assumptions!$D$124+N8*Assumptions!$D$125+M8*Assumptions!$D$126+L8*Assumptions!$D$127+K8*Assumptions!$D$128+J8*Assumptions!$D$129+I8*Assumptions!$D$130+H8*Assumptions!$D$131+G8*Assumptions!$D$132+F8*Assumptions!$D$133)</f>
        <v>10.812</v>
      </c>
      <c r="AC11" s="26" t="n">
        <f aca="false">Assumptions!$D$10*(AC8*Assumptions!$D$111+AB8*Assumptions!$D$112+AA8*Assumptions!$D$113+Z8*Assumptions!$D$114+Y8*Assumptions!$D$115+X8*Assumptions!$D$116+W8*Assumptions!$D$117+V8*Assumptions!$D$118+U8*Assumptions!$D$119+T8*Assumptions!$D$120+S8*Assumptions!$D$121+R8*Assumptions!$D$122+Q8*Assumptions!$D$123+P8*Assumptions!$D$124+O8*Assumptions!$D$125+N8*Assumptions!$D$126+M8*Assumptions!$D$127+L8*Assumptions!$D$128+K8*Assumptions!$D$129+J8*Assumptions!$D$130+I8*Assumptions!$D$131+H8*Assumptions!$D$132+G8*Assumptions!$D$133)</f>
        <v>12.444</v>
      </c>
      <c r="AD11" s="26" t="n">
        <f aca="false">Assumptions!$D$10*(AD8*Assumptions!$D$111+AC8*Assumptions!$D$112+AB8*Assumptions!$D$113+AA8*Assumptions!$D$114+Z8*Assumptions!$D$115+Y8*Assumptions!$D$116+X8*Assumptions!$D$117+W8*Assumptions!$D$118+V8*Assumptions!$D$119+U8*Assumptions!$D$120+T8*Assumptions!$D$121+S8*Assumptions!$D$122+R8*Assumptions!$D$123+Q8*Assumptions!$D$124+P8*Assumptions!$D$125+O8*Assumptions!$D$126+N8*Assumptions!$D$127+M8*Assumptions!$D$128+L8*Assumptions!$D$129+K8*Assumptions!$D$130+J8*Assumptions!$D$131+I8*Assumptions!$D$132+H8*Assumptions!$D$133)</f>
        <v>14.28</v>
      </c>
      <c r="AE11" s="26" t="n">
        <f aca="false">Assumptions!$D$10*(AE8*Assumptions!$D$111+AD8*Assumptions!$D$112+AC8*Assumptions!$D$113+AB8*Assumptions!$D$114+AA8*Assumptions!$D$115+Z8*Assumptions!$D$116+Y8*Assumptions!$D$117+X8*Assumptions!$D$118+W8*Assumptions!$D$119+V8*Assumptions!$D$120+U8*Assumptions!$D$121+T8*Assumptions!$D$122+S8*Assumptions!$D$123+R8*Assumptions!$D$124+Q8*Assumptions!$D$125+P8*Assumptions!$D$126+O8*Assumptions!$D$127+N8*Assumptions!$D$128+M8*Assumptions!$D$129+L8*Assumptions!$D$130+K8*Assumptions!$D$131+J8*Assumptions!$D$132+I8*Assumptions!$D$133)</f>
        <v>16.116</v>
      </c>
      <c r="AF11" s="26" t="n">
        <f aca="false">Assumptions!$D$10*(AF8*Assumptions!$D$111+AE8*Assumptions!$D$112+AD8*Assumptions!$D$113+AC8*Assumptions!$D$114+AB8*Assumptions!$D$115+AA8*Assumptions!$D$116+Z8*Assumptions!$D$117+Y8*Assumptions!$D$118+X8*Assumptions!$D$119+W8*Assumptions!$D$120+V8*Assumptions!$D$121+U8*Assumptions!$D$122+T8*Assumptions!$D$123+S8*Assumptions!$D$124+R8*Assumptions!$D$125+Q8*Assumptions!$D$126+P8*Assumptions!$D$127+O8*Assumptions!$D$128+N8*Assumptions!$D$129+M8*Assumptions!$D$130+L8*Assumptions!$D$131+K8*Assumptions!$D$132+J8*Assumptions!$D$133)</f>
        <v>17.136</v>
      </c>
      <c r="AG11" s="26" t="n">
        <f aca="false">Assumptions!$D$10*(AG8*Assumptions!$D$111+AF8*Assumptions!$D$112+AE8*Assumptions!$D$113+AD8*Assumptions!$D$114+AC8*Assumptions!$D$115+AB8*Assumptions!$D$116+AA8*Assumptions!$D$117+Z8*Assumptions!$D$118+Y8*Assumptions!$D$119+X8*Assumptions!$D$120+W8*Assumptions!$D$121+V8*Assumptions!$D$122+U8*Assumptions!$D$123+T8*Assumptions!$D$124+S8*Assumptions!$D$125+R8*Assumptions!$D$126+Q8*Assumptions!$D$127+P8*Assumptions!$D$128+O8*Assumptions!$D$129+N8*Assumptions!$D$130+M8*Assumptions!$D$131+L8*Assumptions!$D$132+K8*Assumptions!$D$133)</f>
        <v>17.544</v>
      </c>
      <c r="AH11" s="26" t="n">
        <f aca="false">Assumptions!$D$10*(AH8*Assumptions!$D$111+AG8*Assumptions!$D$112+AF8*Assumptions!$D$113+AE8*Assumptions!$D$114+AD8*Assumptions!$D$115+AC8*Assumptions!$D$116+AB8*Assumptions!$D$117+AA8*Assumptions!$D$118+Z8*Assumptions!$D$119+Y8*Assumptions!$D$120+X8*Assumptions!$D$121+W8*Assumptions!$D$122+V8*Assumptions!$D$123+U8*Assumptions!$D$124+T8*Assumptions!$D$125+S8*Assumptions!$D$126+R8*Assumptions!$D$127+Q8*Assumptions!$D$128+P8*Assumptions!$D$129+O8*Assumptions!$D$130+N8*Assumptions!$D$131+M8*Assumptions!$D$132+L8*Assumptions!$D$133)</f>
        <v>18.564</v>
      </c>
      <c r="AI11" s="26" t="n">
        <f aca="false">Assumptions!$D$10*(AI8*Assumptions!$D$111+AH8*Assumptions!$D$112+AG8*Assumptions!$D$113+AF8*Assumptions!$D$114+AE8*Assumptions!$D$115+AD8*Assumptions!$D$116+AC8*Assumptions!$D$117+AB8*Assumptions!$D$118+AA8*Assumptions!$D$119+Z8*Assumptions!$D$120+Y8*Assumptions!$D$121+X8*Assumptions!$D$122+W8*Assumptions!$D$123+V8*Assumptions!$D$124+U8*Assumptions!$D$125+T8*Assumptions!$D$126+S8*Assumptions!$D$127+R8*Assumptions!$D$128+Q8*Assumptions!$D$129+P8*Assumptions!$D$130+O8*Assumptions!$D$131+N8*Assumptions!$D$132+M8*Assumptions!$D$133)</f>
        <v>18.768</v>
      </c>
      <c r="AJ11" s="26" t="n">
        <f aca="false">Assumptions!$D$10*(AJ8*Assumptions!$D$111+AI8*Assumptions!$D$112+AH8*Assumptions!$D$113+AG8*Assumptions!$D$114+AF8*Assumptions!$D$115+AE8*Assumptions!$D$116+AD8*Assumptions!$D$117+AC8*Assumptions!$D$118+AB8*Assumptions!$D$119+AA8*Assumptions!$D$120+Z8*Assumptions!$D$121+Y8*Assumptions!$D$122+X8*Assumptions!$D$123+W8*Assumptions!$D$124+V8*Assumptions!$D$125+U8*Assumptions!$D$126+T8*Assumptions!$D$127+S8*Assumptions!$D$128+R8*Assumptions!$D$129+Q8*Assumptions!$D$130+P8*Assumptions!$D$131+O8*Assumptions!$D$132+N8*Assumptions!$D$133)</f>
        <v>18.972</v>
      </c>
      <c r="AK11" s="26" t="n">
        <f aca="false">Assumptions!$D$10*(AK8*Assumptions!$D$111+AJ8*Assumptions!$D$112+AI8*Assumptions!$D$113+AH8*Assumptions!$D$114+AG8*Assumptions!$D$115+AF8*Assumptions!$D$116+AE8*Assumptions!$D$117+AD8*Assumptions!$D$118+AC8*Assumptions!$D$119+AB8*Assumptions!$D$120+AA8*Assumptions!$D$121+Z8*Assumptions!$D$122+Y8*Assumptions!$D$123+X8*Assumptions!$D$124+W8*Assumptions!$D$125+V8*Assumptions!$D$126+U8*Assumptions!$D$127+T8*Assumptions!$D$128+S8*Assumptions!$D$129+R8*Assumptions!$D$130+Q8*Assumptions!$D$131+P8*Assumptions!$D$132+O8*Assumptions!$D$133)</f>
        <v>18.972</v>
      </c>
      <c r="AL11" s="26" t="n">
        <f aca="false">Assumptions!$D$10*(AL8*Assumptions!$D$111+AK8*Assumptions!$D$112+AJ8*Assumptions!$D$113+AI8*Assumptions!$D$114+AH8*Assumptions!$D$115+AG8*Assumptions!$D$116+AF8*Assumptions!$D$117+AE8*Assumptions!$D$118+AD8*Assumptions!$D$119+AC8*Assumptions!$D$120+AB8*Assumptions!$D$121+AA8*Assumptions!$D$122+Z8*Assumptions!$D$123+Y8*Assumptions!$D$124+X8*Assumptions!$D$125+W8*Assumptions!$D$126+V8*Assumptions!$D$127+U8*Assumptions!$D$128+T8*Assumptions!$D$129+S8*Assumptions!$D$130+R8*Assumptions!$D$131+Q8*Assumptions!$D$132+P8*Assumptions!$D$133)</f>
        <v>19.176</v>
      </c>
      <c r="AM11" s="26" t="n">
        <f aca="false">Assumptions!$D$10*(AM8*Assumptions!$D$111+AL8*Assumptions!$D$112+AK8*Assumptions!$D$113+AJ8*Assumptions!$D$114+AI8*Assumptions!$D$115+AH8*Assumptions!$D$116+AG8*Assumptions!$D$117+AF8*Assumptions!$D$118+AE8*Assumptions!$D$119+AD8*Assumptions!$D$120+AC8*Assumptions!$D$121+AB8*Assumptions!$D$122+AA8*Assumptions!$D$123+Z8*Assumptions!$D$124+Y8*Assumptions!$D$125+X8*Assumptions!$D$126+W8*Assumptions!$D$127+V8*Assumptions!$D$128+U8*Assumptions!$D$129+T8*Assumptions!$D$130+S8*Assumptions!$D$131+R8*Assumptions!$D$132+Q8*Assumptions!$D$133)</f>
        <v>19.38</v>
      </c>
      <c r="AN11" s="37" t="n">
        <f aca="false">Assumptions!$D$10*(AN8*Assumptions!$D$111+AM8*Assumptions!$D$112+AL8*Assumptions!$D$113+AK8*Assumptions!$D$114+AJ8*Assumptions!$D$115+AI8*Assumptions!$D$116+AH8*Assumptions!$D$117+AG8*Assumptions!$D$118+AF8*Assumptions!$D$119+AE8*Assumptions!$D$120+AD8*Assumptions!$D$121+AC8*Assumptions!$D$122+AB8*Assumptions!$D$123+AA8*Assumptions!$D$124+Z8*Assumptions!$D$125+Y8*Assumptions!$D$126+X8*Assumptions!$D$127+W8*Assumptions!$D$128+V8*Assumptions!$D$129+U8*Assumptions!$D$130+T8*Assumptions!$D$131+S8*Assumptions!$D$132+R8*Assumptions!$D$133)</f>
        <v>19.38</v>
      </c>
      <c r="AO11" s="37" t="n">
        <f aca="false">Assumptions!$D$10*(AO8*Assumptions!$D$111+AN8*Assumptions!$D$112+AM8*Assumptions!$D$113+AL8*Assumptions!$D$114+AK8*Assumptions!$D$115+AJ8*Assumptions!$D$116+AI8*Assumptions!$D$117+AH8*Assumptions!$D$118+AG8*Assumptions!$D$119+AF8*Assumptions!$D$120+AE8*Assumptions!$D$121+AD8*Assumptions!$D$122+AC8*Assumptions!$D$123+AB8*Assumptions!$D$124+AA8*Assumptions!$D$125+Z8*Assumptions!$D$126+Y8*Assumptions!$D$127+X8*Assumptions!$D$128+W8*Assumptions!$D$129+V8*Assumptions!$D$130+U8*Assumptions!$D$131+T8*Assumptions!$D$132+S8*Assumptions!$D$133)</f>
        <v>19.584</v>
      </c>
      <c r="AP11" s="37" t="n">
        <f aca="false">Assumptions!$D$10*(AP8*Assumptions!$D$111+AO8*Assumptions!$D$112+AN8*Assumptions!$D$113+AM8*Assumptions!$D$114+AL8*Assumptions!$D$115+AK8*Assumptions!$D$116+AJ8*Assumptions!$D$117+AI8*Assumptions!$D$118+AH8*Assumptions!$D$119+AG8*Assumptions!$D$120+AF8*Assumptions!$D$121+AE8*Assumptions!$D$122+AD8*Assumptions!$D$123+AC8*Assumptions!$D$124+AB8*Assumptions!$D$125+AA8*Assumptions!$D$126+Z8*Assumptions!$D$127+Y8*Assumptions!$D$128+X8*Assumptions!$D$129+W8*Assumptions!$D$130+V8*Assumptions!$D$131+U8*Assumptions!$D$132+T8*Assumptions!$D$133)</f>
        <v>19.788</v>
      </c>
      <c r="AQ11" s="37" t="n">
        <f aca="false">Assumptions!$D$10*(AQ8*Assumptions!$D$111+AP8*Assumptions!$D$112+AO8*Assumptions!$D$113+AN8*Assumptions!$D$114+AM8*Assumptions!$D$115+AL8*Assumptions!$D$116+AK8*Assumptions!$D$117+AJ8*Assumptions!$D$118+AI8*Assumptions!$D$119+AH8*Assumptions!$D$120+AG8*Assumptions!$D$121+AF8*Assumptions!$D$122+AE8*Assumptions!$D$123+AD8*Assumptions!$D$124+AC8*Assumptions!$D$125+AB8*Assumptions!$D$126+AA8*Assumptions!$D$127+Z8*Assumptions!$D$128+Y8*Assumptions!$D$129+X8*Assumptions!$D$130+W8*Assumptions!$D$131+V8*Assumptions!$D$132+U8*Assumptions!$D$133)</f>
        <v>19.788</v>
      </c>
      <c r="AR11" s="37" t="n">
        <f aca="false">Assumptions!$D$10*(AR8*Assumptions!$D$111+AQ8*Assumptions!$D$112+AP8*Assumptions!$D$113+AO8*Assumptions!$D$114+AN8*Assumptions!$D$115+AM8*Assumptions!$D$116+AL8*Assumptions!$D$117+AK8*Assumptions!$D$118+AJ8*Assumptions!$D$119+AI8*Assumptions!$D$120+AH8*Assumptions!$D$121+AG8*Assumptions!$D$122+AF8*Assumptions!$D$123+AE8*Assumptions!$D$124+AD8*Assumptions!$D$125+AC8*Assumptions!$D$126+AB8*Assumptions!$D$127+AA8*Assumptions!$D$128+Z8*Assumptions!$D$129+Y8*Assumptions!$D$130+X8*Assumptions!$D$131+W8*Assumptions!$D$132+V8*Assumptions!$D$133)</f>
        <v>19.788</v>
      </c>
      <c r="AS11" s="37" t="n">
        <f aca="false">Assumptions!$D$10*(AS8*Assumptions!$D$111+AR8*Assumptions!$D$112+AQ8*Assumptions!$D$113+AP8*Assumptions!$D$114+AO8*Assumptions!$D$115+AN8*Assumptions!$D$116+AM8*Assumptions!$D$117+AL8*Assumptions!$D$118+AK8*Assumptions!$D$119+AJ8*Assumptions!$D$120+AI8*Assumptions!$D$121+AH8*Assumptions!$D$122+AG8*Assumptions!$D$123+AF8*Assumptions!$D$124+AE8*Assumptions!$D$125+AD8*Assumptions!$D$126+AC8*Assumptions!$D$127+AB8*Assumptions!$D$128+AA8*Assumptions!$D$129+Z8*Assumptions!$D$130+Y8*Assumptions!$D$131+X8*Assumptions!$D$132+W8*Assumptions!$D$133)</f>
        <v>19.992</v>
      </c>
      <c r="AT11" s="37" t="n">
        <f aca="false">Assumptions!$D$10*(AT8*Assumptions!$D$111+AS8*Assumptions!$D$112+AR8*Assumptions!$D$113+AQ8*Assumptions!$D$114+AP8*Assumptions!$D$115+AO8*Assumptions!$D$116+AN8*Assumptions!$D$117+AM8*Assumptions!$D$118+AL8*Assumptions!$D$119+AK8*Assumptions!$D$120+AJ8*Assumptions!$D$121+AI8*Assumptions!$D$122+AH8*Assumptions!$D$123+AG8*Assumptions!$D$124+AF8*Assumptions!$D$125+AE8*Assumptions!$D$126+AD8*Assumptions!$D$127+AC8*Assumptions!$D$128+AB8*Assumptions!$D$129+AA8*Assumptions!$D$130+Z8*Assumptions!$D$131+Y8*Assumptions!$D$132+X8*Assumptions!$D$133)</f>
        <v>19.992</v>
      </c>
      <c r="AU11" s="37" t="n">
        <f aca="false">Assumptions!$D$10*(AU8*Assumptions!$D$111+AT8*Assumptions!$D$112+AS8*Assumptions!$D$113+AR8*Assumptions!$D$114+AQ8*Assumptions!$D$115+AP8*Assumptions!$D$116+AO8*Assumptions!$D$117+AN8*Assumptions!$D$118+AM8*Assumptions!$D$119+AL8*Assumptions!$D$120+AK8*Assumptions!$D$121+AJ8*Assumptions!$D$122+AI8*Assumptions!$D$123+AH8*Assumptions!$D$124+AG8*Assumptions!$D$125+AF8*Assumptions!$D$126+AE8*Assumptions!$D$127+AD8*Assumptions!$D$128+AC8*Assumptions!$D$129+AB8*Assumptions!$D$130+AA8*Assumptions!$D$131+Z8*Assumptions!$D$132+Y8*Assumptions!$D$133)</f>
        <v>19.992</v>
      </c>
      <c r="AV11" s="37" t="n">
        <f aca="false">Assumptions!$D$10*(AV8*Assumptions!$D$111+AU8*Assumptions!$D$112+AT8*Assumptions!$D$113+AS8*Assumptions!$D$114+AR8*Assumptions!$D$115+AQ8*Assumptions!$D$116+AP8*Assumptions!$D$117+AO8*Assumptions!$D$118+AN8*Assumptions!$D$119+AM8*Assumptions!$D$120+AL8*Assumptions!$D$121+AK8*Assumptions!$D$122+AJ8*Assumptions!$D$123+AI8*Assumptions!$D$124+AH8*Assumptions!$D$125+AG8*Assumptions!$D$126+AF8*Assumptions!$D$127+AE8*Assumptions!$D$128+AD8*Assumptions!$D$129+AC8*Assumptions!$D$130+AB8*Assumptions!$D$131+AA8*Assumptions!$D$132+Z8*Assumptions!$D$133)</f>
        <v>20.196</v>
      </c>
      <c r="AW11" s="37" t="n">
        <f aca="false">Assumptions!$D$10*(AW8*Assumptions!$D$111+AV8*Assumptions!$D$112+AU8*Assumptions!$D$113+AT8*Assumptions!$D$114+AS8*Assumptions!$D$115+AR8*Assumptions!$D$116+AQ8*Assumptions!$D$117+AP8*Assumptions!$D$118+AO8*Assumptions!$D$119+AN8*Assumptions!$D$120+AM8*Assumptions!$D$121+AL8*Assumptions!$D$122+AK8*Assumptions!$D$123+AJ8*Assumptions!$D$124+AI8*Assumptions!$D$125+AH8*Assumptions!$D$126+AG8*Assumptions!$D$127+AF8*Assumptions!$D$128+AE8*Assumptions!$D$129+AD8*Assumptions!$D$130+AC8*Assumptions!$D$131+AB8*Assumptions!$D$132+AA8*Assumptions!$D$133)</f>
        <v>20.196</v>
      </c>
      <c r="AX11" s="37" t="n">
        <f aca="false">Assumptions!$D$10*(AX8*Assumptions!$D$111+AW8*Assumptions!$D$112+AV8*Assumptions!$D$113+AU8*Assumptions!$D$114+AT8*Assumptions!$D$115+AS8*Assumptions!$D$116+AR8*Assumptions!$D$117+AQ8*Assumptions!$D$118+AP8*Assumptions!$D$119+AO8*Assumptions!$D$120+AN8*Assumptions!$D$121+AM8*Assumptions!$D$122+AL8*Assumptions!$D$123+AK8*Assumptions!$D$124+AJ8*Assumptions!$D$125+AI8*Assumptions!$D$126+AH8*Assumptions!$D$127+AG8*Assumptions!$D$128+AF8*Assumptions!$D$129+AE8*Assumptions!$D$130+AD8*Assumptions!$D$131+AC8*Assumptions!$D$132+AB8*Assumptions!$D$133)</f>
        <v>20.196</v>
      </c>
      <c r="AY11" s="37" t="n">
        <f aca="false">Assumptions!$D$10*(AY8*Assumptions!$D$111+AX8*Assumptions!$D$112+AW8*Assumptions!$D$113+AV8*Assumptions!$D$114+AU8*Assumptions!$D$115+AT8*Assumptions!$D$116+AS8*Assumptions!$D$117+AR8*Assumptions!$D$118+AQ8*Assumptions!$D$119+AP8*Assumptions!$D$120+AO8*Assumptions!$D$121+AN8*Assumptions!$D$122+AM8*Assumptions!$D$123+AL8*Assumptions!$D$124+AK8*Assumptions!$D$125+AJ8*Assumptions!$D$126+AI8*Assumptions!$D$127+AH8*Assumptions!$D$128+AG8*Assumptions!$D$129+AF8*Assumptions!$D$130+AE8*Assumptions!$D$131+AD8*Assumptions!$D$132+AC8*Assumptions!$D$133)</f>
        <v>20.4</v>
      </c>
      <c r="AZ11" s="37" t="n">
        <f aca="false">Assumptions!$D$10*(AZ8*Assumptions!$D$111+AY8*Assumptions!$D$112+AX8*Assumptions!$D$113+AW8*Assumptions!$D$114+AV8*Assumptions!$D$115+AU8*Assumptions!$D$116+AT8*Assumptions!$D$117+AS8*Assumptions!$D$118+AR8*Assumptions!$D$119+AQ8*Assumptions!$D$120+AP8*Assumptions!$D$121+AO8*Assumptions!$D$122+AN8*Assumptions!$D$123+AM8*Assumptions!$D$124+AL8*Assumptions!$D$125+AK8*Assumptions!$D$126+AJ8*Assumptions!$D$127+AI8*Assumptions!$D$128+AH8*Assumptions!$D$129+AG8*Assumptions!$D$130+AF8*Assumptions!$D$131+AE8*Assumptions!$D$132+AD8*Assumptions!$D$133)</f>
        <v>20.4</v>
      </c>
      <c r="BA11" s="37" t="n">
        <f aca="false">Assumptions!$D$10*(BA8*Assumptions!$D$111+AZ8*Assumptions!$D$112+AY8*Assumptions!$D$113+AX8*Assumptions!$D$114+AW8*Assumptions!$D$115+AV8*Assumptions!$D$116+AU8*Assumptions!$D$117+AT8*Assumptions!$D$118+AS8*Assumptions!$D$119+AR8*Assumptions!$D$120+AQ8*Assumptions!$D$121+AP8*Assumptions!$D$122+AO8*Assumptions!$D$123+AN8*Assumptions!$D$124+AM8*Assumptions!$D$125+AL8*Assumptions!$D$126+AK8*Assumptions!$D$127+AJ8*Assumptions!$D$128+AI8*Assumptions!$D$129+AH8*Assumptions!$D$130+AG8*Assumptions!$D$131+AF8*Assumptions!$D$132+AE8*Assumptions!$D$133)</f>
        <v>20.4</v>
      </c>
      <c r="BB11" s="37" t="n">
        <f aca="false">Assumptions!$D$10*(BB8*Assumptions!$D$111+BA8*Assumptions!$D$112+AZ8*Assumptions!$D$113+AY8*Assumptions!$D$114+AX8*Assumptions!$D$115+AW8*Assumptions!$D$116+AV8*Assumptions!$D$117+AU8*Assumptions!$D$118+AT8*Assumptions!$D$119+AS8*Assumptions!$D$120+AR8*Assumptions!$D$121+AQ8*Assumptions!$D$122+AP8*Assumptions!$D$123+AO8*Assumptions!$D$124+AN8*Assumptions!$D$125+AM8*Assumptions!$D$126+AL8*Assumptions!$D$127+AK8*Assumptions!$D$128+AJ8*Assumptions!$D$129+AI8*Assumptions!$D$130+AH8*Assumptions!$D$131+AG8*Assumptions!$D$132+AF8*Assumptions!$D$133)</f>
        <v>20.4</v>
      </c>
      <c r="BC11" s="37" t="n">
        <f aca="false">Assumptions!$D$10*(BC8*Assumptions!$D$111+BB8*Assumptions!$D$112+BA8*Assumptions!$D$113+AZ8*Assumptions!$D$114+AY8*Assumptions!$D$115+AX8*Assumptions!$D$116+AW8*Assumptions!$D$117+AV8*Assumptions!$D$118+AU8*Assumptions!$D$119+AT8*Assumptions!$D$120+AS8*Assumptions!$D$121+AR8*Assumptions!$D$122+AQ8*Assumptions!$D$123+AP8*Assumptions!$D$124+AO8*Assumptions!$D$125+AN8*Assumptions!$D$126+AM8*Assumptions!$D$127+AL8*Assumptions!$D$128+AK8*Assumptions!$D$129+AJ8*Assumptions!$D$130+AI8*Assumptions!$D$131+AH8*Assumptions!$D$132+AG8*Assumptions!$D$133)</f>
        <v>20.4</v>
      </c>
      <c r="BD11" s="37" t="n">
        <f aca="false">Assumptions!$D$10*(BD8*Assumptions!$D$111+BC8*Assumptions!$D$112+BB8*Assumptions!$D$113+BA8*Assumptions!$D$114+AZ8*Assumptions!$D$115+AY8*Assumptions!$D$116+AX8*Assumptions!$D$117+AW8*Assumptions!$D$118+AV8*Assumptions!$D$119+AU8*Assumptions!$D$120+AT8*Assumptions!$D$121+AS8*Assumptions!$D$122+AR8*Assumptions!$D$123+AQ8*Assumptions!$D$124+AP8*Assumptions!$D$125+AO8*Assumptions!$D$126+AN8*Assumptions!$D$127+AM8*Assumptions!$D$128+AL8*Assumptions!$D$129+AK8*Assumptions!$D$130+AJ8*Assumptions!$D$131+AI8*Assumptions!$D$132+AH8*Assumptions!$D$133)</f>
        <v>20.4</v>
      </c>
      <c r="BE11" s="37" t="n">
        <f aca="false">Assumptions!$D$10*(BE8*Assumptions!$D$111+BD8*Assumptions!$D$112+BC8*Assumptions!$D$113+BB8*Assumptions!$D$114+BA8*Assumptions!$D$115+AZ8*Assumptions!$D$116+AY8*Assumptions!$D$117+AX8*Assumptions!$D$118+AW8*Assumptions!$D$119+AV8*Assumptions!$D$120+AU8*Assumptions!$D$121+AT8*Assumptions!$D$122+AS8*Assumptions!$D$123+AR8*Assumptions!$D$124+AQ8*Assumptions!$D$125+AP8*Assumptions!$D$126+AO8*Assumptions!$D$127+AN8*Assumptions!$D$128+AM8*Assumptions!$D$129+AL8*Assumptions!$D$130+AK8*Assumptions!$D$131+AJ8*Assumptions!$D$132+AI8*Assumptions!$D$133)</f>
        <v>20.4</v>
      </c>
      <c r="BF11" s="37" t="n">
        <f aca="false">Assumptions!$D$10*(BF8*Assumptions!$D$111+BE8*Assumptions!$D$112+BD8*Assumptions!$D$113+BC8*Assumptions!$D$114+BB8*Assumptions!$D$115+BA8*Assumptions!$D$116+AZ8*Assumptions!$D$117+AY8*Assumptions!$D$118+AX8*Assumptions!$D$119+AW8*Assumptions!$D$120+AV8*Assumptions!$D$121+AU8*Assumptions!$D$122+AT8*Assumptions!$D$123+AS8*Assumptions!$D$124+AR8*Assumptions!$D$125+AQ8*Assumptions!$D$126+AP8*Assumptions!$D$127+AO8*Assumptions!$D$128+AN8*Assumptions!$D$129+AM8*Assumptions!$D$130+AL8*Assumptions!$D$131+AK8*Assumptions!$D$132+AJ8*Assumptions!$D$133)</f>
        <v>20.4</v>
      </c>
      <c r="BG11" s="37" t="n">
        <f aca="false">Assumptions!$D$10*(BG8*Assumptions!$D$111+BF8*Assumptions!$D$112+BE8*Assumptions!$D$113+BD8*Assumptions!$D$114+BC8*Assumptions!$D$115+BB8*Assumptions!$D$116+BA8*Assumptions!$D$117+AZ8*Assumptions!$D$118+AY8*Assumptions!$D$119+AX8*Assumptions!$D$120+AW8*Assumptions!$D$121+AV8*Assumptions!$D$122+AU8*Assumptions!$D$123+AT8*Assumptions!$D$124+AS8*Assumptions!$D$125+AR8*Assumptions!$D$126+AQ8*Assumptions!$D$127+AP8*Assumptions!$D$128+AO8*Assumptions!$D$129+AN8*Assumptions!$D$130+AM8*Assumptions!$D$131+AL8*Assumptions!$D$132+AK8*Assumptions!$D$133)</f>
        <v>20.4</v>
      </c>
      <c r="BH11" s="37" t="n">
        <f aca="false">Assumptions!$D$10*(BH8*Assumptions!$D$111+BG8*Assumptions!$D$112+BF8*Assumptions!$D$113+BE8*Assumptions!$D$114+BD8*Assumptions!$D$115+BC8*Assumptions!$D$116+BB8*Assumptions!$D$117+BA8*Assumptions!$D$118+AZ8*Assumptions!$D$119+AY8*Assumptions!$D$120+AX8*Assumptions!$D$121+AW8*Assumptions!$D$122+AV8*Assumptions!$D$123+AU8*Assumptions!$D$124+AT8*Assumptions!$D$125+AS8*Assumptions!$D$126+AR8*Assumptions!$D$127+AQ8*Assumptions!$D$128+AP8*Assumptions!$D$129+AO8*Assumptions!$D$130+AN8*Assumptions!$D$131+AM8*Assumptions!$D$132+AL8*Assumptions!$D$133)</f>
        <v>20.4</v>
      </c>
      <c r="BI11" s="37" t="n">
        <f aca="false">Assumptions!$D$10*(BI8*Assumptions!$D$111+BH8*Assumptions!$D$112+BG8*Assumptions!$D$113+BF8*Assumptions!$D$114+BE8*Assumptions!$D$115+BD8*Assumptions!$D$116+BC8*Assumptions!$D$117+BB8*Assumptions!$D$118+BA8*Assumptions!$D$119+AZ8*Assumptions!$D$120+AY8*Assumptions!$D$121+AX8*Assumptions!$D$122+AW8*Assumptions!$D$123+AV8*Assumptions!$D$124+AU8*Assumptions!$D$125+AT8*Assumptions!$D$126+AS8*Assumptions!$D$127+AR8*Assumptions!$D$128+AQ8*Assumptions!$D$129+AP8*Assumptions!$D$130+AO8*Assumptions!$D$131+AN8*Assumptions!$D$132+AM8*Assumptions!$D$133)</f>
        <v>20.4</v>
      </c>
      <c r="BJ11" s="37" t="n">
        <f aca="false">Assumptions!$D$10*(BJ8*Assumptions!$D$111+BI8*Assumptions!$D$112+BH8*Assumptions!$D$113+BG8*Assumptions!$D$114+BF8*Assumptions!$D$115+BE8*Assumptions!$D$116+BD8*Assumptions!$D$117+BC8*Assumptions!$D$118+BB8*Assumptions!$D$119+BA8*Assumptions!$D$120+AZ8*Assumptions!$D$121+AY8*Assumptions!$D$122+AX8*Assumptions!$D$123+AW8*Assumptions!$D$124+AV8*Assumptions!$D$125+AU8*Assumptions!$D$126+AT8*Assumptions!$D$127+AS8*Assumptions!$D$128+AR8*Assumptions!$D$129+AQ8*Assumptions!$D$130+AP8*Assumptions!$D$131+AO8*Assumptions!$D$132+AN8*Assumptions!$D$133)</f>
        <v>20.4</v>
      </c>
      <c r="BK11" s="37" t="n">
        <f aca="false">Assumptions!$D$10*(BK8*Assumptions!$D$111+BJ8*Assumptions!$D$112+BI8*Assumptions!$D$113+BH8*Assumptions!$D$114+BG8*Assumptions!$D$115+BF8*Assumptions!$D$116+BE8*Assumptions!$D$117+BD8*Assumptions!$D$118+BC8*Assumptions!$D$119+BB8*Assumptions!$D$120+BA8*Assumptions!$D$121+AZ8*Assumptions!$D$122+AY8*Assumptions!$D$123+AX8*Assumptions!$D$124+AW8*Assumptions!$D$125+AV8*Assumptions!$D$126+AU8*Assumptions!$D$127+AT8*Assumptions!$D$128+AS8*Assumptions!$D$129+AR8*Assumptions!$D$130+AQ8*Assumptions!$D$131+AP8*Assumptions!$D$132+AO8*Assumptions!$D$133)</f>
        <v>20.4</v>
      </c>
    </row>
    <row r="12" customFormat="false" ht="15" hidden="false" customHeight="false" outlineLevel="0" collapsed="false">
      <c r="A12" s="28" t="s">
        <v>544</v>
      </c>
      <c r="B12" s="6" t="s">
        <v>545</v>
      </c>
      <c r="C12" s="36" t="n">
        <v>0</v>
      </c>
      <c r="D12" s="26" t="n">
        <f aca="false">C12*(1-Assumptions!$D$12)+D11</f>
        <v>0</v>
      </c>
      <c r="E12" s="26" t="n">
        <f aca="false">D12*(1-Assumptions!$D$12)+E11</f>
        <v>0</v>
      </c>
      <c r="F12" s="26" t="n">
        <f aca="false">E12*(1-Assumptions!$D$12)+F11</f>
        <v>0</v>
      </c>
      <c r="G12" s="26" t="n">
        <f aca="false">F12*(1-Assumptions!$D$12)+G11</f>
        <v>0</v>
      </c>
      <c r="H12" s="26" t="n">
        <f aca="false">G12*(1-Assumptions!$D$12)+H11</f>
        <v>5.1</v>
      </c>
      <c r="I12" s="26" t="n">
        <f aca="false">H12*(1-Assumptions!$D$12)+I11</f>
        <v>9.4605</v>
      </c>
      <c r="J12" s="26" t="n">
        <f aca="false">I12*(1-Assumptions!$D$12)+J11</f>
        <v>12.2839875</v>
      </c>
      <c r="K12" s="26" t="n">
        <f aca="false">J12*(1-Assumptions!$D$12)+K11</f>
        <v>14.0168878125</v>
      </c>
      <c r="L12" s="26" t="n">
        <f aca="false">K12*(1-Assumptions!$D$12)+L11</f>
        <v>14.8904656171875</v>
      </c>
      <c r="M12" s="26" t="n">
        <f aca="false">L12*(1-Assumptions!$D$12)+M11</f>
        <v>15.5382039767578</v>
      </c>
      <c r="N12" s="26" t="n">
        <f aca="false">M12*(1-Assumptions!$D$12)+N11</f>
        <v>20.4537488773389</v>
      </c>
      <c r="O12" s="26" t="n">
        <f aca="false">N12*(1-Assumptions!$D$12)+O11</f>
        <v>24.6344051554054</v>
      </c>
      <c r="P12" s="26" t="n">
        <f aca="false">O12*(1-Assumptions!$D$12)+P11</f>
        <v>27.2825450265203</v>
      </c>
      <c r="Q12" s="26" t="n">
        <f aca="false">P12*(1-Assumptions!$D$12)+Q11</f>
        <v>33.9444814008573</v>
      </c>
      <c r="R12" s="26" t="n">
        <f aca="false">Q12*(1-Assumptions!$D$12)+R11</f>
        <v>39.0118693658358</v>
      </c>
      <c r="S12" s="26" t="n">
        <f aca="false">R12*(1-Assumptions!$D$12)+S11</f>
        <v>42.3205726316899</v>
      </c>
      <c r="T12" s="26" t="n">
        <f aca="false">S12*(1-Assumptions!$D$12)+T11</f>
        <v>48.8105583158977</v>
      </c>
      <c r="U12" s="26" t="n">
        <f aca="false">T12*(1-Assumptions!$D$12)+U11</f>
        <v>58.8102943580002</v>
      </c>
      <c r="V12" s="26" t="n">
        <f aca="false">U12*(1-Assumptions!$D$12)+V11</f>
        <v>66.3160369990502</v>
      </c>
      <c r="W12" s="26" t="n">
        <f aca="false">V12*(1-Assumptions!$D$12)+W11</f>
        <v>75.470136074074</v>
      </c>
      <c r="X12" s="26" t="n">
        <f aca="false">W12*(1-Assumptions!$D$12)+X11</f>
        <v>87.0473826722221</v>
      </c>
      <c r="Y12" s="26" t="n">
        <f aca="false">X12*(1-Assumptions!$D$12)+Y11</f>
        <v>95.2751981054166</v>
      </c>
      <c r="Z12" s="26" t="n">
        <f aca="false">Y12*(1-Assumptions!$D$12)+Z11</f>
        <v>104.929318152781</v>
      </c>
      <c r="AA12" s="26" t="n">
        <f aca="false">Z12*(1-Assumptions!$D$12)+AA11</f>
        <v>116.178085198962</v>
      </c>
      <c r="AB12" s="26" t="n">
        <f aca="false">AA12*(1-Assumptions!$D$12)+AB11</f>
        <v>124.085633068988</v>
      </c>
      <c r="AC12" s="26" t="n">
        <f aca="false">AB12*(1-Assumptions!$D$12)+AC11</f>
        <v>133.427492242263</v>
      </c>
      <c r="AD12" s="26" t="n">
        <f aca="false">AC12*(1-Assumptions!$D$12)+AD11</f>
        <v>144.371804936206</v>
      </c>
      <c r="AE12" s="26" t="n">
        <f aca="false">AD12*(1-Assumptions!$D$12)+AE11</f>
        <v>156.878509812801</v>
      </c>
      <c r="AF12" s="26" t="n">
        <f aca="false">AE12*(1-Assumptions!$D$12)+AF11</f>
        <v>170.092547067481</v>
      </c>
      <c r="AG12" s="26" t="n">
        <f aca="false">AF12*(1-Assumptions!$D$12)+AG11</f>
        <v>183.384233390794</v>
      </c>
      <c r="AH12" s="26" t="n">
        <f aca="false">AG12*(1-Assumptions!$D$12)+AH11</f>
        <v>197.363627556024</v>
      </c>
      <c r="AI12" s="26" t="n">
        <f aca="false">AH12*(1-Assumptions!$D$12)+AI11</f>
        <v>211.197536867124</v>
      </c>
      <c r="AJ12" s="26" t="n">
        <f aca="false">AI12*(1-Assumptions!$D$12)+AJ11</f>
        <v>224.889598445446</v>
      </c>
      <c r="AK12" s="26" t="n">
        <f aca="false">AJ12*(1-Assumptions!$D$12)+AK11</f>
        <v>238.239358484309</v>
      </c>
      <c r="AL12" s="26" t="n">
        <f aca="false">AK12*(1-Assumptions!$D$12)+AL11</f>
        <v>251.459374522202</v>
      </c>
      <c r="AM12" s="26" t="n">
        <f aca="false">AL12*(1-Assumptions!$D$12)+AM11</f>
        <v>264.552890159147</v>
      </c>
      <c r="AN12" s="37" t="n">
        <f aca="false">AM12*(1-Assumptions!$D$12)+AN11</f>
        <v>277.319067905168</v>
      </c>
      <c r="AO12" s="37" t="n">
        <f aca="false">AN12*(1-Assumptions!$D$12)+AO11</f>
        <v>289.970091207539</v>
      </c>
      <c r="AP12" s="37" t="n">
        <f aca="false">AO12*(1-Assumptions!$D$12)+AP11</f>
        <v>302.50883892735</v>
      </c>
      <c r="AQ12" s="37" t="n">
        <f aca="false">AP12*(1-Assumptions!$D$12)+AQ11</f>
        <v>314.734117954167</v>
      </c>
      <c r="AR12" s="37" t="n">
        <f aca="false">AQ12*(1-Assumptions!$D$12)+AR11</f>
        <v>326.653765005312</v>
      </c>
      <c r="AS12" s="37" t="n">
        <f aca="false">AR12*(1-Assumptions!$D$12)+AS11</f>
        <v>338.47942088018</v>
      </c>
      <c r="AT12" s="37" t="n">
        <f aca="false">AS12*(1-Assumptions!$D$12)+AT11</f>
        <v>350.009435358175</v>
      </c>
      <c r="AU12" s="37" t="n">
        <f aca="false">AT12*(1-Assumptions!$D$12)+AU11</f>
        <v>361.251199474221</v>
      </c>
      <c r="AV12" s="37" t="n">
        <f aca="false">AU12*(1-Assumptions!$D$12)+AV11</f>
        <v>372.415919487365</v>
      </c>
      <c r="AW12" s="37" t="n">
        <f aca="false">AV12*(1-Assumptions!$D$12)+AW11</f>
        <v>383.301521500181</v>
      </c>
      <c r="AX12" s="37" t="n">
        <f aca="false">AW12*(1-Assumptions!$D$12)+AX11</f>
        <v>393.914983462677</v>
      </c>
      <c r="AY12" s="37" t="n">
        <f aca="false">AX12*(1-Assumptions!$D$12)+AY11</f>
        <v>404.46710887611</v>
      </c>
      <c r="AZ12" s="37" t="n">
        <f aca="false">AY12*(1-Assumptions!$D$12)+AZ11</f>
        <v>414.755431154207</v>
      </c>
      <c r="BA12" s="37" t="n">
        <f aca="false">AZ12*(1-Assumptions!$D$12)+BA11</f>
        <v>424.786545375352</v>
      </c>
      <c r="BB12" s="37" t="n">
        <f aca="false">BA12*(1-Assumptions!$D$12)+BB11</f>
        <v>434.566881740968</v>
      </c>
      <c r="BC12" s="37" t="n">
        <f aca="false">BB12*(1-Assumptions!$D$12)+BC11</f>
        <v>444.102709697444</v>
      </c>
      <c r="BD12" s="37" t="n">
        <f aca="false">BC12*(1-Assumptions!$D$12)+BD11</f>
        <v>453.400141955007</v>
      </c>
      <c r="BE12" s="37" t="n">
        <f aca="false">BD12*(1-Assumptions!$D$12)+BE11</f>
        <v>462.465138406132</v>
      </c>
      <c r="BF12" s="37" t="n">
        <f aca="false">BE12*(1-Assumptions!$D$12)+BF11</f>
        <v>471.303509945979</v>
      </c>
      <c r="BG12" s="37" t="n">
        <f aca="false">BF12*(1-Assumptions!$D$12)+BG11</f>
        <v>479.920922197329</v>
      </c>
      <c r="BH12" s="37" t="n">
        <f aca="false">BG12*(1-Assumptions!$D$12)+BH11</f>
        <v>488.322899142396</v>
      </c>
      <c r="BI12" s="37" t="n">
        <f aca="false">BH12*(1-Assumptions!$D$12)+BI11</f>
        <v>496.514826663836</v>
      </c>
      <c r="BJ12" s="37" t="n">
        <f aca="false">BI12*(1-Assumptions!$D$12)+BJ11</f>
        <v>504.50195599724</v>
      </c>
      <c r="BK12" s="37" t="n">
        <f aca="false">BJ12*(1-Assumptions!$D$12)+BK11</f>
        <v>512.289407097309</v>
      </c>
    </row>
    <row r="13" customFormat="false" ht="15" hidden="false" customHeight="false" outlineLevel="0" collapsed="false">
      <c r="A13" s="28" t="s">
        <v>546</v>
      </c>
      <c r="B13" s="6" t="s">
        <v>547</v>
      </c>
      <c r="C13" s="36" t="n">
        <v>0</v>
      </c>
      <c r="D13" s="26" t="n">
        <f aca="false">D12*Assumptions!$D$11</f>
        <v>0</v>
      </c>
      <c r="E13" s="26" t="n">
        <f aca="false">E12*Assumptions!$D$11</f>
        <v>0</v>
      </c>
      <c r="F13" s="26" t="n">
        <f aca="false">F12*Assumptions!$D$11</f>
        <v>0</v>
      </c>
      <c r="G13" s="26" t="n">
        <f aca="false">G12*Assumptions!$D$11</f>
        <v>0</v>
      </c>
      <c r="H13" s="26" t="n">
        <f aca="false">H12*Assumptions!$D$11</f>
        <v>2.55</v>
      </c>
      <c r="I13" s="26" t="n">
        <f aca="false">I12*Assumptions!$D$11</f>
        <v>4.73025</v>
      </c>
      <c r="J13" s="26" t="n">
        <f aca="false">J12*Assumptions!$D$11</f>
        <v>6.14199375</v>
      </c>
      <c r="K13" s="26" t="n">
        <f aca="false">K12*Assumptions!$D$11</f>
        <v>7.00844390625</v>
      </c>
      <c r="L13" s="26" t="n">
        <f aca="false">L12*Assumptions!$D$11</f>
        <v>7.44523280859375</v>
      </c>
      <c r="M13" s="26" t="n">
        <f aca="false">M12*Assumptions!$D$11</f>
        <v>7.76910198837891</v>
      </c>
      <c r="N13" s="26" t="n">
        <f aca="false">N12*Assumptions!$D$11</f>
        <v>10.2268744386694</v>
      </c>
      <c r="O13" s="26" t="n">
        <f aca="false">O12*Assumptions!$D$11</f>
        <v>12.3172025777027</v>
      </c>
      <c r="P13" s="26" t="n">
        <f aca="false">P12*Assumptions!$D$11</f>
        <v>13.6412725132601</v>
      </c>
      <c r="Q13" s="26" t="n">
        <f aca="false">Q12*Assumptions!$D$11</f>
        <v>16.9722407004286</v>
      </c>
      <c r="R13" s="26" t="n">
        <f aca="false">R12*Assumptions!$D$11</f>
        <v>19.5059346829179</v>
      </c>
      <c r="S13" s="26" t="n">
        <f aca="false">S12*Assumptions!$D$11</f>
        <v>21.160286315845</v>
      </c>
      <c r="T13" s="26" t="n">
        <f aca="false">T12*Assumptions!$D$11</f>
        <v>24.4052791579488</v>
      </c>
      <c r="U13" s="26" t="n">
        <f aca="false">U12*Assumptions!$D$11</f>
        <v>29.4051471790001</v>
      </c>
      <c r="V13" s="26" t="n">
        <f aca="false">V12*Assumptions!$D$11</f>
        <v>33.1580184995251</v>
      </c>
      <c r="W13" s="26" t="n">
        <f aca="false">W12*Assumptions!$D$11</f>
        <v>37.735068037037</v>
      </c>
      <c r="X13" s="26" t="n">
        <f aca="false">X12*Assumptions!$D$11</f>
        <v>43.5236913361111</v>
      </c>
      <c r="Y13" s="26" t="n">
        <f aca="false">Y12*Assumptions!$D$11</f>
        <v>47.6375990527083</v>
      </c>
      <c r="Z13" s="26" t="n">
        <f aca="false">Z12*Assumptions!$D$11</f>
        <v>52.4646590763906</v>
      </c>
      <c r="AA13" s="26" t="n">
        <f aca="false">AA12*Assumptions!$D$11</f>
        <v>58.0890425994808</v>
      </c>
      <c r="AB13" s="26" t="n">
        <f aca="false">AB12*Assumptions!$D$11</f>
        <v>62.0428165344938</v>
      </c>
      <c r="AC13" s="26" t="n">
        <f aca="false">AC12*Assumptions!$D$11</f>
        <v>66.7137461211314</v>
      </c>
      <c r="AD13" s="26" t="n">
        <f aca="false">AD12*Assumptions!$D$11</f>
        <v>72.1859024681032</v>
      </c>
      <c r="AE13" s="26" t="n">
        <f aca="false">AE12*Assumptions!$D$11</f>
        <v>78.4392549064006</v>
      </c>
      <c r="AF13" s="26" t="n">
        <f aca="false">AF12*Assumptions!$D$11</f>
        <v>85.0462735337406</v>
      </c>
      <c r="AG13" s="26" t="n">
        <f aca="false">AG12*Assumptions!$D$11</f>
        <v>91.6921166953971</v>
      </c>
      <c r="AH13" s="26" t="n">
        <f aca="false">AH12*Assumptions!$D$11</f>
        <v>98.6818137780121</v>
      </c>
      <c r="AI13" s="26" t="n">
        <f aca="false">AI12*Assumptions!$D$11</f>
        <v>105.598768433562</v>
      </c>
      <c r="AJ13" s="26" t="n">
        <f aca="false">AJ12*Assumptions!$D$11</f>
        <v>112.444799222723</v>
      </c>
      <c r="AK13" s="26" t="n">
        <f aca="false">AK12*Assumptions!$D$11</f>
        <v>119.119679242155</v>
      </c>
      <c r="AL13" s="26" t="n">
        <f aca="false">AL12*Assumptions!$D$11</f>
        <v>125.729687261101</v>
      </c>
      <c r="AM13" s="26" t="n">
        <f aca="false">AM12*Assumptions!$D$11</f>
        <v>132.276445079573</v>
      </c>
      <c r="AN13" s="37" t="n">
        <f aca="false">AN12*Assumptions!$D$11</f>
        <v>138.659533952584</v>
      </c>
      <c r="AO13" s="37" t="n">
        <f aca="false">AO12*Assumptions!$D$11</f>
        <v>144.985045603769</v>
      </c>
      <c r="AP13" s="37" t="n">
        <f aca="false">AP12*Assumptions!$D$11</f>
        <v>151.254419463675</v>
      </c>
      <c r="AQ13" s="37" t="n">
        <f aca="false">AQ12*Assumptions!$D$11</f>
        <v>157.367058977083</v>
      </c>
      <c r="AR13" s="37" t="n">
        <f aca="false">AR12*Assumptions!$D$11</f>
        <v>163.326882502656</v>
      </c>
      <c r="AS13" s="37" t="n">
        <f aca="false">AS12*Assumptions!$D$11</f>
        <v>169.23971044009</v>
      </c>
      <c r="AT13" s="37" t="n">
        <f aca="false">AT12*Assumptions!$D$11</f>
        <v>175.004717679088</v>
      </c>
      <c r="AU13" s="37" t="n">
        <f aca="false">AU12*Assumptions!$D$11</f>
        <v>180.62559973711</v>
      </c>
      <c r="AV13" s="37" t="n">
        <f aca="false">AV12*Assumptions!$D$11</f>
        <v>186.207959743683</v>
      </c>
      <c r="AW13" s="37" t="n">
        <f aca="false">AW12*Assumptions!$D$11</f>
        <v>191.650760750091</v>
      </c>
      <c r="AX13" s="37" t="n">
        <f aca="false">AX12*Assumptions!$D$11</f>
        <v>196.957491731338</v>
      </c>
      <c r="AY13" s="37" t="n">
        <f aca="false">AY12*Assumptions!$D$11</f>
        <v>202.233554438055</v>
      </c>
      <c r="AZ13" s="37" t="n">
        <f aca="false">AZ12*Assumptions!$D$11</f>
        <v>207.377715577103</v>
      </c>
      <c r="BA13" s="37" t="n">
        <f aca="false">BA12*Assumptions!$D$11</f>
        <v>212.393272687676</v>
      </c>
      <c r="BB13" s="37" t="n">
        <f aca="false">BB12*Assumptions!$D$11</f>
        <v>217.283440870484</v>
      </c>
      <c r="BC13" s="37" t="n">
        <f aca="false">BC12*Assumptions!$D$11</f>
        <v>222.051354848722</v>
      </c>
      <c r="BD13" s="37" t="n">
        <f aca="false">BD12*Assumptions!$D$11</f>
        <v>226.700070977504</v>
      </c>
      <c r="BE13" s="37" t="n">
        <f aca="false">BE12*Assumptions!$D$11</f>
        <v>231.232569203066</v>
      </c>
      <c r="BF13" s="37" t="n">
        <f aca="false">BF12*Assumptions!$D$11</f>
        <v>235.651754972989</v>
      </c>
      <c r="BG13" s="37" t="n">
        <f aca="false">BG12*Assumptions!$D$11</f>
        <v>239.960461098665</v>
      </c>
      <c r="BH13" s="37" t="n">
        <f aca="false">BH12*Assumptions!$D$11</f>
        <v>244.161449571198</v>
      </c>
      <c r="BI13" s="37" t="n">
        <f aca="false">BI12*Assumptions!$D$11</f>
        <v>248.257413331918</v>
      </c>
      <c r="BJ13" s="37" t="n">
        <f aca="false">BJ12*Assumptions!$D$11</f>
        <v>252.25097799862</v>
      </c>
      <c r="BK13" s="37" t="n">
        <f aca="false">BK12*Assumptions!$D$11</f>
        <v>256.144703548655</v>
      </c>
    </row>
    <row r="14" customFormat="false" ht="15" hidden="false" customHeight="false" outlineLevel="0" collapsed="false">
      <c r="A14" s="28" t="s">
        <v>548</v>
      </c>
      <c r="B14" s="6" t="s">
        <v>549</v>
      </c>
      <c r="C14" s="36" t="n">
        <v>0</v>
      </c>
      <c r="D14" s="26" t="n">
        <f aca="false">D11*Assumptions!$D$11</f>
        <v>0</v>
      </c>
      <c r="E14" s="26" t="n">
        <f aca="false">E11*Assumptions!$D$11</f>
        <v>0</v>
      </c>
      <c r="F14" s="26" t="n">
        <f aca="false">F11*Assumptions!$D$11</f>
        <v>0</v>
      </c>
      <c r="G14" s="26" t="n">
        <f aca="false">G11*Assumptions!$D$11</f>
        <v>0</v>
      </c>
      <c r="H14" s="26" t="n">
        <f aca="false">H11*Assumptions!$D$11</f>
        <v>2.55</v>
      </c>
      <c r="I14" s="26" t="n">
        <f aca="false">I11*Assumptions!$D$11</f>
        <v>2.244</v>
      </c>
      <c r="J14" s="26" t="n">
        <f aca="false">J11*Assumptions!$D$11</f>
        <v>1.53</v>
      </c>
      <c r="K14" s="26" t="n">
        <f aca="false">K11*Assumptions!$D$11</f>
        <v>1.02</v>
      </c>
      <c r="L14" s="26" t="n">
        <f aca="false">L11*Assumptions!$D$11</f>
        <v>0.612</v>
      </c>
      <c r="M14" s="26" t="n">
        <f aca="false">M11*Assumptions!$D$11</f>
        <v>0.51</v>
      </c>
      <c r="N14" s="26" t="n">
        <f aca="false">N11*Assumptions!$D$11</f>
        <v>2.652</v>
      </c>
      <c r="O14" s="26" t="n">
        <f aca="false">O11*Assumptions!$D$11</f>
        <v>2.346</v>
      </c>
      <c r="P14" s="26" t="n">
        <f aca="false">P11*Assumptions!$D$11</f>
        <v>1.632</v>
      </c>
      <c r="Q14" s="26" t="n">
        <f aca="false">Q11*Assumptions!$D$11</f>
        <v>3.672</v>
      </c>
      <c r="R14" s="26" t="n">
        <f aca="false">R11*Assumptions!$D$11</f>
        <v>2.958</v>
      </c>
      <c r="S14" s="26" t="n">
        <f aca="false">S11*Assumptions!$D$11</f>
        <v>2.142</v>
      </c>
      <c r="T14" s="26" t="n">
        <f aca="false">T11*Assumptions!$D$11</f>
        <v>3.774</v>
      </c>
      <c r="U14" s="26" t="n">
        <f aca="false">U11*Assumptions!$D$11</f>
        <v>5.61</v>
      </c>
      <c r="V14" s="26" t="n">
        <f aca="false">V11*Assumptions!$D$11</f>
        <v>4.488</v>
      </c>
      <c r="W14" s="26" t="n">
        <f aca="false">W11*Assumptions!$D$11</f>
        <v>5.406</v>
      </c>
      <c r="X14" s="26" t="n">
        <f aca="false">X11*Assumptions!$D$11</f>
        <v>6.732</v>
      </c>
      <c r="Y14" s="26" t="n">
        <f aca="false">Y11*Assumptions!$D$11</f>
        <v>5.202</v>
      </c>
      <c r="Z14" s="26" t="n">
        <f aca="false">Z11*Assumptions!$D$11</f>
        <v>6.018</v>
      </c>
      <c r="AA14" s="26" t="n">
        <f aca="false">AA11*Assumptions!$D$11</f>
        <v>6.936</v>
      </c>
      <c r="AB14" s="26" t="n">
        <f aca="false">AB11*Assumptions!$D$11</f>
        <v>5.406</v>
      </c>
      <c r="AC14" s="26" t="n">
        <f aca="false">AC11*Assumptions!$D$11</f>
        <v>6.222</v>
      </c>
      <c r="AD14" s="26" t="n">
        <f aca="false">AD11*Assumptions!$D$11</f>
        <v>7.14</v>
      </c>
      <c r="AE14" s="26" t="n">
        <f aca="false">AE11*Assumptions!$D$11</f>
        <v>8.058</v>
      </c>
      <c r="AF14" s="26" t="n">
        <f aca="false">AF11*Assumptions!$D$11</f>
        <v>8.568</v>
      </c>
      <c r="AG14" s="26" t="n">
        <f aca="false">AG11*Assumptions!$D$11</f>
        <v>8.772</v>
      </c>
      <c r="AH14" s="26" t="n">
        <f aca="false">AH11*Assumptions!$D$11</f>
        <v>9.282</v>
      </c>
      <c r="AI14" s="26" t="n">
        <f aca="false">AI11*Assumptions!$D$11</f>
        <v>9.384</v>
      </c>
      <c r="AJ14" s="26" t="n">
        <f aca="false">AJ11*Assumptions!$D$11</f>
        <v>9.486</v>
      </c>
      <c r="AK14" s="26" t="n">
        <f aca="false">AK11*Assumptions!$D$11</f>
        <v>9.486</v>
      </c>
      <c r="AL14" s="26" t="n">
        <f aca="false">AL11*Assumptions!$D$11</f>
        <v>9.588</v>
      </c>
      <c r="AM14" s="26" t="n">
        <f aca="false">AM11*Assumptions!$D$11</f>
        <v>9.69</v>
      </c>
      <c r="AN14" s="37" t="n">
        <f aca="false">AN11*Assumptions!$D$11</f>
        <v>9.69</v>
      </c>
      <c r="AO14" s="37" t="n">
        <f aca="false">AO11*Assumptions!$D$11</f>
        <v>9.792</v>
      </c>
      <c r="AP14" s="37" t="n">
        <f aca="false">AP11*Assumptions!$D$11</f>
        <v>9.894</v>
      </c>
      <c r="AQ14" s="37" t="n">
        <f aca="false">AQ11*Assumptions!$D$11</f>
        <v>9.894</v>
      </c>
      <c r="AR14" s="37" t="n">
        <f aca="false">AR11*Assumptions!$D$11</f>
        <v>9.894</v>
      </c>
      <c r="AS14" s="37" t="n">
        <f aca="false">AS11*Assumptions!$D$11</f>
        <v>9.996</v>
      </c>
      <c r="AT14" s="37" t="n">
        <f aca="false">AT11*Assumptions!$D$11</f>
        <v>9.996</v>
      </c>
      <c r="AU14" s="37" t="n">
        <f aca="false">AU11*Assumptions!$D$11</f>
        <v>9.996</v>
      </c>
      <c r="AV14" s="37" t="n">
        <f aca="false">AV11*Assumptions!$D$11</f>
        <v>10.098</v>
      </c>
      <c r="AW14" s="37" t="n">
        <f aca="false">AW11*Assumptions!$D$11</f>
        <v>10.098</v>
      </c>
      <c r="AX14" s="37" t="n">
        <f aca="false">AX11*Assumptions!$D$11</f>
        <v>10.098</v>
      </c>
      <c r="AY14" s="37" t="n">
        <f aca="false">AY11*Assumptions!$D$11</f>
        <v>10.2</v>
      </c>
      <c r="AZ14" s="37" t="n">
        <f aca="false">AZ11*Assumptions!$D$11</f>
        <v>10.2</v>
      </c>
      <c r="BA14" s="37" t="n">
        <f aca="false">BA11*Assumptions!$D$11</f>
        <v>10.2</v>
      </c>
      <c r="BB14" s="37" t="n">
        <f aca="false">BB11*Assumptions!$D$11</f>
        <v>10.2</v>
      </c>
      <c r="BC14" s="37" t="n">
        <f aca="false">BC11*Assumptions!$D$11</f>
        <v>10.2</v>
      </c>
      <c r="BD14" s="37" t="n">
        <f aca="false">BD11*Assumptions!$D$11</f>
        <v>10.2</v>
      </c>
      <c r="BE14" s="37" t="n">
        <f aca="false">BE11*Assumptions!$D$11</f>
        <v>10.2</v>
      </c>
      <c r="BF14" s="37" t="n">
        <f aca="false">BF11*Assumptions!$D$11</f>
        <v>10.2</v>
      </c>
      <c r="BG14" s="37" t="n">
        <f aca="false">BG11*Assumptions!$D$11</f>
        <v>10.2</v>
      </c>
      <c r="BH14" s="37" t="n">
        <f aca="false">BH11*Assumptions!$D$11</f>
        <v>10.2</v>
      </c>
      <c r="BI14" s="37" t="n">
        <f aca="false">BI11*Assumptions!$D$11</f>
        <v>10.2</v>
      </c>
      <c r="BJ14" s="37" t="n">
        <f aca="false">BJ11*Assumptions!$D$11</f>
        <v>10.2</v>
      </c>
      <c r="BK14" s="37" t="n">
        <f aca="false">BK11*Assumptions!$D$11</f>
        <v>10.2</v>
      </c>
    </row>
    <row r="15" customFormat="false" ht="15" hidden="false" customHeight="false" outlineLevel="0" collapsed="false">
      <c r="B15" s="5" t="s">
        <v>550</v>
      </c>
    </row>
    <row r="16" customFormat="false" ht="15" hidden="false" customHeight="false" outlineLevel="0" collapsed="false">
      <c r="A16" s="28" t="s">
        <v>551</v>
      </c>
      <c r="B16" s="6" t="s">
        <v>552</v>
      </c>
      <c r="C16" s="38" t="n">
        <v>0</v>
      </c>
      <c r="D16" s="39" t="n">
        <f aca="false">IF(OR(C16=1,AND(D13&gt;=Assumptions!$D$18,D7&gt;=Assumptions!$D$19)),1,0)</f>
        <v>0</v>
      </c>
      <c r="E16" s="39" t="n">
        <f aca="false">IF(OR(D16=1,AND(E13&gt;=Assumptions!$D$18,E7&gt;=Assumptions!$D$19)),1,0)</f>
        <v>0</v>
      </c>
      <c r="F16" s="39" t="n">
        <f aca="false">IF(OR(E16=1,AND(F13&gt;=Assumptions!$D$18,F7&gt;=Assumptions!$D$19)),1,0)</f>
        <v>0</v>
      </c>
      <c r="G16" s="39" t="n">
        <f aca="false">IF(OR(F16=1,AND(G13&gt;=Assumptions!$D$18,G7&gt;=Assumptions!$D$19)),1,0)</f>
        <v>0</v>
      </c>
      <c r="H16" s="39" t="n">
        <f aca="false">IF(OR(G16=1,AND(H13&gt;=Assumptions!$D$18,H7&gt;=Assumptions!$D$19)),1,0)</f>
        <v>0</v>
      </c>
      <c r="I16" s="39" t="n">
        <f aca="false">IF(OR(H16=1,AND(I13&gt;=Assumptions!$D$18,I7&gt;=Assumptions!$D$19)),1,0)</f>
        <v>0</v>
      </c>
      <c r="J16" s="39" t="n">
        <f aca="false">IF(OR(I16=1,AND(J13&gt;=Assumptions!$D$18,J7&gt;=Assumptions!$D$19)),1,0)</f>
        <v>0</v>
      </c>
      <c r="K16" s="39" t="n">
        <f aca="false">IF(OR(J16=1,AND(K13&gt;=Assumptions!$D$18,K7&gt;=Assumptions!$D$19)),1,0)</f>
        <v>0</v>
      </c>
      <c r="L16" s="39" t="n">
        <f aca="false">IF(OR(K16=1,AND(L13&gt;=Assumptions!$D$18,L7&gt;=Assumptions!$D$19)),1,0)</f>
        <v>0</v>
      </c>
      <c r="M16" s="39" t="n">
        <f aca="false">IF(OR(L16=1,AND(M13&gt;=Assumptions!$D$18,M7&gt;=Assumptions!$D$19)),1,0)</f>
        <v>0</v>
      </c>
      <c r="N16" s="39" t="n">
        <f aca="false">IF(OR(M16=1,AND(N13&gt;=Assumptions!$D$18,N7&gt;=Assumptions!$D$19)),1,0)</f>
        <v>0</v>
      </c>
      <c r="O16" s="39" t="n">
        <f aca="false">IF(OR(N16=1,AND(O13&gt;=Assumptions!$D$18,O7&gt;=Assumptions!$D$19)),1,0)</f>
        <v>0</v>
      </c>
      <c r="P16" s="39" t="n">
        <f aca="false">IF(OR(O16=1,AND(P13&gt;=Assumptions!$D$18,P7&gt;=Assumptions!$D$19)),1,0)</f>
        <v>0</v>
      </c>
      <c r="Q16" s="39" t="n">
        <f aca="false">IF(OR(P16=1,AND(Q13&gt;=Assumptions!$D$18,Q7&gt;=Assumptions!$D$19)),1,0)</f>
        <v>0</v>
      </c>
      <c r="R16" s="39" t="n">
        <f aca="false">IF(OR(Q16=1,AND(R13&gt;=Assumptions!$D$18,R7&gt;=Assumptions!$D$19)),1,0)</f>
        <v>0</v>
      </c>
      <c r="S16" s="39" t="n">
        <f aca="false">IF(OR(R16=1,AND(S13&gt;=Assumptions!$D$18,S7&gt;=Assumptions!$D$19)),1,0)</f>
        <v>0</v>
      </c>
      <c r="T16" s="39" t="n">
        <f aca="false">IF(OR(S16=1,AND(T13&gt;=Assumptions!$D$18,T7&gt;=Assumptions!$D$19)),1,0)</f>
        <v>0</v>
      </c>
      <c r="U16" s="39" t="n">
        <f aca="false">IF(OR(T16=1,AND(U13&gt;=Assumptions!$D$18,U7&gt;=Assumptions!$D$19)),1,0)</f>
        <v>0</v>
      </c>
      <c r="V16" s="39" t="n">
        <f aca="false">IF(OR(U16=1,AND(V13&gt;=Assumptions!$D$18,V7&gt;=Assumptions!$D$19)),1,0)</f>
        <v>0</v>
      </c>
      <c r="W16" s="39" t="n">
        <f aca="false">IF(OR(V16=1,AND(W13&gt;=Assumptions!$D$18,W7&gt;=Assumptions!$D$19)),1,0)</f>
        <v>0</v>
      </c>
      <c r="X16" s="39" t="n">
        <f aca="false">IF(OR(W16=1,AND(X13&gt;=Assumptions!$D$18,X7&gt;=Assumptions!$D$19)),1,0)</f>
        <v>0</v>
      </c>
      <c r="Y16" s="39" t="n">
        <f aca="false">IF(OR(X16=1,AND(Y13&gt;=Assumptions!$D$18,Y7&gt;=Assumptions!$D$19)),1,0)</f>
        <v>0</v>
      </c>
      <c r="Z16" s="39" t="n">
        <f aca="false">IF(OR(Y16=1,AND(Z13&gt;=Assumptions!$D$18,Z7&gt;=Assumptions!$D$19)),1,0)</f>
        <v>0</v>
      </c>
      <c r="AA16" s="39" t="n">
        <f aca="false">IF(OR(Z16=1,AND(AA13&gt;=Assumptions!$D$18,AA7&gt;=Assumptions!$D$19)),1,0)</f>
        <v>0</v>
      </c>
      <c r="AB16" s="39" t="n">
        <f aca="false">IF(OR(AA16=1,AND(AB13&gt;=Assumptions!$D$18,AB7&gt;=Assumptions!$D$19)),1,0)</f>
        <v>0</v>
      </c>
      <c r="AC16" s="39" t="n">
        <f aca="false">IF(OR(AB16=1,AND(AC13&gt;=Assumptions!$D$18,AC7&gt;=Assumptions!$D$19)),1,0)</f>
        <v>0</v>
      </c>
      <c r="AD16" s="39" t="n">
        <f aca="false">IF(OR(AC16=1,AND(AD13&gt;=Assumptions!$D$18,AD7&gt;=Assumptions!$D$19)),1,0)</f>
        <v>0</v>
      </c>
      <c r="AE16" s="39" t="n">
        <f aca="false">IF(OR(AD16=1,AND(AE13&gt;=Assumptions!$D$18,AE7&gt;=Assumptions!$D$19)),1,0)</f>
        <v>0</v>
      </c>
      <c r="AF16" s="39" t="n">
        <f aca="false">IF(OR(AE16=1,AND(AF13&gt;=Assumptions!$D$18,AF7&gt;=Assumptions!$D$19)),1,0)</f>
        <v>0</v>
      </c>
      <c r="AG16" s="39" t="n">
        <f aca="false">IF(OR(AF16=1,AND(AG13&gt;=Assumptions!$D$18,AG7&gt;=Assumptions!$D$19)),1,0)</f>
        <v>0</v>
      </c>
      <c r="AH16" s="39" t="n">
        <f aca="false">IF(OR(AG16=1,AND(AH13&gt;=Assumptions!$D$18,AH7&gt;=Assumptions!$D$19)),1,0)</f>
        <v>0</v>
      </c>
      <c r="AI16" s="39" t="n">
        <f aca="false">IF(OR(AH16=1,AND(AI13&gt;=Assumptions!$D$18,AI7&gt;=Assumptions!$D$19)),1,0)</f>
        <v>0</v>
      </c>
      <c r="AJ16" s="39" t="n">
        <f aca="false">IF(OR(AI16=1,AND(AJ13&gt;=Assumptions!$D$18,AJ7&gt;=Assumptions!$D$19)),1,0)</f>
        <v>0</v>
      </c>
      <c r="AK16" s="39" t="n">
        <f aca="false">IF(OR(AJ16=1,AND(AK13&gt;=Assumptions!$D$18,AK7&gt;=Assumptions!$D$19)),1,0)</f>
        <v>0</v>
      </c>
      <c r="AL16" s="39" t="n">
        <f aca="false">IF(OR(AK16=1,AND(AL13&gt;=Assumptions!$D$18,AL7&gt;=Assumptions!$D$19)),1,0)</f>
        <v>0</v>
      </c>
      <c r="AM16" s="39" t="n">
        <f aca="false">IF(OR(AL16=1,AND(AM13&gt;=Assumptions!$D$18,AM7&gt;=Assumptions!$D$19)),1,0)</f>
        <v>0</v>
      </c>
      <c r="AN16" s="40" t="n">
        <f aca="false">IF(OR(AM16=1,AND(AN13&gt;=Assumptions!$D$18,AN7&gt;=Assumptions!$D$19)),1,0)</f>
        <v>0</v>
      </c>
      <c r="AO16" s="40" t="n">
        <f aca="false">IF(OR(AN16=1,AND(AO13&gt;=Assumptions!$D$18,AO7&gt;=Assumptions!$D$19)),1,0)</f>
        <v>0</v>
      </c>
      <c r="AP16" s="40" t="n">
        <f aca="false">IF(OR(AO16=1,AND(AP13&gt;=Assumptions!$D$18,AP7&gt;=Assumptions!$D$19)),1,0)</f>
        <v>1</v>
      </c>
      <c r="AQ16" s="40" t="n">
        <f aca="false">IF(OR(AP16=1,AND(AQ13&gt;=Assumptions!$D$18,AQ7&gt;=Assumptions!$D$19)),1,0)</f>
        <v>1</v>
      </c>
      <c r="AR16" s="40" t="n">
        <f aca="false">IF(OR(AQ16=1,AND(AR13&gt;=Assumptions!$D$18,AR7&gt;=Assumptions!$D$19)),1,0)</f>
        <v>1</v>
      </c>
      <c r="AS16" s="40" t="n">
        <f aca="false">IF(OR(AR16=1,AND(AS13&gt;=Assumptions!$D$18,AS7&gt;=Assumptions!$D$19)),1,0)</f>
        <v>1</v>
      </c>
      <c r="AT16" s="40" t="n">
        <f aca="false">IF(OR(AS16=1,AND(AT13&gt;=Assumptions!$D$18,AT7&gt;=Assumptions!$D$19)),1,0)</f>
        <v>1</v>
      </c>
      <c r="AU16" s="40" t="n">
        <f aca="false">IF(OR(AT16=1,AND(AU13&gt;=Assumptions!$D$18,AU7&gt;=Assumptions!$D$19)),1,0)</f>
        <v>1</v>
      </c>
      <c r="AV16" s="40" t="n">
        <f aca="false">IF(OR(AU16=1,AND(AV13&gt;=Assumptions!$D$18,AV7&gt;=Assumptions!$D$19)),1,0)</f>
        <v>1</v>
      </c>
      <c r="AW16" s="40" t="n">
        <f aca="false">IF(OR(AV16=1,AND(AW13&gt;=Assumptions!$D$18,AW7&gt;=Assumptions!$D$19)),1,0)</f>
        <v>1</v>
      </c>
      <c r="AX16" s="40" t="n">
        <f aca="false">IF(OR(AW16=1,AND(AX13&gt;=Assumptions!$D$18,AX7&gt;=Assumptions!$D$19)),1,0)</f>
        <v>1</v>
      </c>
      <c r="AY16" s="40" t="n">
        <f aca="false">IF(OR(AX16=1,AND(AY13&gt;=Assumptions!$D$18,AY7&gt;=Assumptions!$D$19)),1,0)</f>
        <v>1</v>
      </c>
      <c r="AZ16" s="40" t="n">
        <f aca="false">IF(OR(AY16=1,AND(AZ13&gt;=Assumptions!$D$18,AZ7&gt;=Assumptions!$D$19)),1,0)</f>
        <v>1</v>
      </c>
      <c r="BA16" s="40" t="n">
        <f aca="false">IF(OR(AZ16=1,AND(BA13&gt;=Assumptions!$D$18,BA7&gt;=Assumptions!$D$19)),1,0)</f>
        <v>1</v>
      </c>
      <c r="BB16" s="40" t="n">
        <f aca="false">IF(OR(BA16=1,AND(BB13&gt;=Assumptions!$D$18,BB7&gt;=Assumptions!$D$19)),1,0)</f>
        <v>1</v>
      </c>
      <c r="BC16" s="40" t="n">
        <f aca="false">IF(OR(BB16=1,AND(BC13&gt;=Assumptions!$D$18,BC7&gt;=Assumptions!$D$19)),1,0)</f>
        <v>1</v>
      </c>
      <c r="BD16" s="40" t="n">
        <f aca="false">IF(OR(BC16=1,AND(BD13&gt;=Assumptions!$D$18,BD7&gt;=Assumptions!$D$19)),1,0)</f>
        <v>1</v>
      </c>
      <c r="BE16" s="40" t="n">
        <f aca="false">IF(OR(BD16=1,AND(BE13&gt;=Assumptions!$D$18,BE7&gt;=Assumptions!$D$19)),1,0)</f>
        <v>1</v>
      </c>
      <c r="BF16" s="40" t="n">
        <f aca="false">IF(OR(BE16=1,AND(BF13&gt;=Assumptions!$D$18,BF7&gt;=Assumptions!$D$19)),1,0)</f>
        <v>1</v>
      </c>
      <c r="BG16" s="40" t="n">
        <f aca="false">IF(OR(BF16=1,AND(BG13&gt;=Assumptions!$D$18,BG7&gt;=Assumptions!$D$19)),1,0)</f>
        <v>1</v>
      </c>
      <c r="BH16" s="40" t="n">
        <f aca="false">IF(OR(BG16=1,AND(BH13&gt;=Assumptions!$D$18,BH7&gt;=Assumptions!$D$19)),1,0)</f>
        <v>1</v>
      </c>
      <c r="BI16" s="40" t="n">
        <f aca="false">IF(OR(BH16=1,AND(BI13&gt;=Assumptions!$D$18,BI7&gt;=Assumptions!$D$19)),1,0)</f>
        <v>1</v>
      </c>
      <c r="BJ16" s="40" t="n">
        <f aca="false">IF(OR(BI16=1,AND(BJ13&gt;=Assumptions!$D$18,BJ7&gt;=Assumptions!$D$19)),1,0)</f>
        <v>1</v>
      </c>
      <c r="BK16" s="40" t="n">
        <f aca="false">IF(OR(BJ16=1,AND(BK13&gt;=Assumptions!$D$18,BK7&gt;=Assumptions!$D$19)),1,0)</f>
        <v>1</v>
      </c>
    </row>
    <row r="17" customFormat="false" ht="15" hidden="false" customHeight="false" outlineLevel="0" collapsed="false">
      <c r="A17" s="28" t="s">
        <v>553</v>
      </c>
      <c r="B17" s="6" t="s">
        <v>554</v>
      </c>
      <c r="C17" s="38" t="n">
        <v>0</v>
      </c>
      <c r="D17" s="39" t="n">
        <f aca="false">IF(OR(C17=1,AND(D13&gt;=Assumptions!$D$20,D7&gt;=Assumptions!$D$21)),1,0)</f>
        <v>0</v>
      </c>
      <c r="E17" s="39" t="n">
        <f aca="false">IF(OR(D17=1,AND(E13&gt;=Assumptions!$D$20,E7&gt;=Assumptions!$D$21)),1,0)</f>
        <v>0</v>
      </c>
      <c r="F17" s="39" t="n">
        <f aca="false">IF(OR(E17=1,AND(F13&gt;=Assumptions!$D$20,F7&gt;=Assumptions!$D$21)),1,0)</f>
        <v>0</v>
      </c>
      <c r="G17" s="39" t="n">
        <f aca="false">IF(OR(F17=1,AND(G13&gt;=Assumptions!$D$20,G7&gt;=Assumptions!$D$21)),1,0)</f>
        <v>0</v>
      </c>
      <c r="H17" s="39" t="n">
        <f aca="false">IF(OR(G17=1,AND(H13&gt;=Assumptions!$D$20,H7&gt;=Assumptions!$D$21)),1,0)</f>
        <v>0</v>
      </c>
      <c r="I17" s="39" t="n">
        <f aca="false">IF(OR(H17=1,AND(I13&gt;=Assumptions!$D$20,I7&gt;=Assumptions!$D$21)),1,0)</f>
        <v>0</v>
      </c>
      <c r="J17" s="39" t="n">
        <f aca="false">IF(OR(I17=1,AND(J13&gt;=Assumptions!$D$20,J7&gt;=Assumptions!$D$21)),1,0)</f>
        <v>0</v>
      </c>
      <c r="K17" s="39" t="n">
        <f aca="false">IF(OR(J17=1,AND(K13&gt;=Assumptions!$D$20,K7&gt;=Assumptions!$D$21)),1,0)</f>
        <v>0</v>
      </c>
      <c r="L17" s="39" t="n">
        <f aca="false">IF(OR(K17=1,AND(L13&gt;=Assumptions!$D$20,L7&gt;=Assumptions!$D$21)),1,0)</f>
        <v>0</v>
      </c>
      <c r="M17" s="39" t="n">
        <f aca="false">IF(OR(L17=1,AND(M13&gt;=Assumptions!$D$20,M7&gt;=Assumptions!$D$21)),1,0)</f>
        <v>0</v>
      </c>
      <c r="N17" s="39" t="n">
        <f aca="false">IF(OR(M17=1,AND(N13&gt;=Assumptions!$D$20,N7&gt;=Assumptions!$D$21)),1,0)</f>
        <v>0</v>
      </c>
      <c r="O17" s="39" t="n">
        <f aca="false">IF(OR(N17=1,AND(O13&gt;=Assumptions!$D$20,O7&gt;=Assumptions!$D$21)),1,0)</f>
        <v>0</v>
      </c>
      <c r="P17" s="39" t="n">
        <f aca="false">IF(OR(O17=1,AND(P13&gt;=Assumptions!$D$20,P7&gt;=Assumptions!$D$21)),1,0)</f>
        <v>0</v>
      </c>
      <c r="Q17" s="39" t="n">
        <f aca="false">IF(OR(P17=1,AND(Q13&gt;=Assumptions!$D$20,Q7&gt;=Assumptions!$D$21)),1,0)</f>
        <v>0</v>
      </c>
      <c r="R17" s="39" t="n">
        <f aca="false">IF(OR(Q17=1,AND(R13&gt;=Assumptions!$D$20,R7&gt;=Assumptions!$D$21)),1,0)</f>
        <v>0</v>
      </c>
      <c r="S17" s="39" t="n">
        <f aca="false">IF(OR(R17=1,AND(S13&gt;=Assumptions!$D$20,S7&gt;=Assumptions!$D$21)),1,0)</f>
        <v>0</v>
      </c>
      <c r="T17" s="39" t="n">
        <f aca="false">IF(OR(S17=1,AND(T13&gt;=Assumptions!$D$20,T7&gt;=Assumptions!$D$21)),1,0)</f>
        <v>0</v>
      </c>
      <c r="U17" s="39" t="n">
        <f aca="false">IF(OR(T17=1,AND(U13&gt;=Assumptions!$D$20,U7&gt;=Assumptions!$D$21)),1,0)</f>
        <v>0</v>
      </c>
      <c r="V17" s="39" t="n">
        <f aca="false">IF(OR(U17=1,AND(V13&gt;=Assumptions!$D$20,V7&gt;=Assumptions!$D$21)),1,0)</f>
        <v>0</v>
      </c>
      <c r="W17" s="39" t="n">
        <f aca="false">IF(OR(V17=1,AND(W13&gt;=Assumptions!$D$20,W7&gt;=Assumptions!$D$21)),1,0)</f>
        <v>0</v>
      </c>
      <c r="X17" s="39" t="n">
        <f aca="false">IF(OR(W17=1,AND(X13&gt;=Assumptions!$D$20,X7&gt;=Assumptions!$D$21)),1,0)</f>
        <v>0</v>
      </c>
      <c r="Y17" s="39" t="n">
        <f aca="false">IF(OR(X17=1,AND(Y13&gt;=Assumptions!$D$20,Y7&gt;=Assumptions!$D$21)),1,0)</f>
        <v>0</v>
      </c>
      <c r="Z17" s="39" t="n">
        <f aca="false">IF(OR(Y17=1,AND(Z13&gt;=Assumptions!$D$20,Z7&gt;=Assumptions!$D$21)),1,0)</f>
        <v>0</v>
      </c>
      <c r="AA17" s="39" t="n">
        <f aca="false">IF(OR(Z17=1,AND(AA13&gt;=Assumptions!$D$20,AA7&gt;=Assumptions!$D$21)),1,0)</f>
        <v>0</v>
      </c>
      <c r="AB17" s="39" t="n">
        <f aca="false">IF(OR(AA17=1,AND(AB13&gt;=Assumptions!$D$20,AB7&gt;=Assumptions!$D$21)),1,0)</f>
        <v>0</v>
      </c>
      <c r="AC17" s="39" t="n">
        <f aca="false">IF(OR(AB17=1,AND(AC13&gt;=Assumptions!$D$20,AC7&gt;=Assumptions!$D$21)),1,0)</f>
        <v>0</v>
      </c>
      <c r="AD17" s="39" t="n">
        <f aca="false">IF(OR(AC17=1,AND(AD13&gt;=Assumptions!$D$20,AD7&gt;=Assumptions!$D$21)),1,0)</f>
        <v>0</v>
      </c>
      <c r="AE17" s="39" t="n">
        <f aca="false">IF(OR(AD17=1,AND(AE13&gt;=Assumptions!$D$20,AE7&gt;=Assumptions!$D$21)),1,0)</f>
        <v>0</v>
      </c>
      <c r="AF17" s="39" t="n">
        <f aca="false">IF(OR(AE17=1,AND(AF13&gt;=Assumptions!$D$20,AF7&gt;=Assumptions!$D$21)),1,0)</f>
        <v>0</v>
      </c>
      <c r="AG17" s="39" t="n">
        <f aca="false">IF(OR(AF17=1,AND(AG13&gt;=Assumptions!$D$20,AG7&gt;=Assumptions!$D$21)),1,0)</f>
        <v>0</v>
      </c>
      <c r="AH17" s="39" t="n">
        <f aca="false">IF(OR(AG17=1,AND(AH13&gt;=Assumptions!$D$20,AH7&gt;=Assumptions!$D$21)),1,0)</f>
        <v>0</v>
      </c>
      <c r="AI17" s="39" t="n">
        <f aca="false">IF(OR(AH17=1,AND(AI13&gt;=Assumptions!$D$20,AI7&gt;=Assumptions!$D$21)),1,0)</f>
        <v>0</v>
      </c>
      <c r="AJ17" s="39" t="n">
        <f aca="false">IF(OR(AI17=1,AND(AJ13&gt;=Assumptions!$D$20,AJ7&gt;=Assumptions!$D$21)),1,0)</f>
        <v>0</v>
      </c>
      <c r="AK17" s="39" t="n">
        <f aca="false">IF(OR(AJ17=1,AND(AK13&gt;=Assumptions!$D$20,AK7&gt;=Assumptions!$D$21)),1,0)</f>
        <v>0</v>
      </c>
      <c r="AL17" s="39" t="n">
        <f aca="false">IF(OR(AK17=1,AND(AL13&gt;=Assumptions!$D$20,AL7&gt;=Assumptions!$D$21)),1,0)</f>
        <v>0</v>
      </c>
      <c r="AM17" s="39" t="n">
        <f aca="false">IF(OR(AL17=1,AND(AM13&gt;=Assumptions!$D$20,AM7&gt;=Assumptions!$D$21)),1,0)</f>
        <v>0</v>
      </c>
      <c r="AN17" s="40" t="n">
        <f aca="false">IF(OR(AM17=1,AND(AN13&gt;=Assumptions!$D$20,AN7&gt;=Assumptions!$D$21)),1,0)</f>
        <v>0</v>
      </c>
      <c r="AO17" s="40" t="n">
        <f aca="false">IF(OR(AN17=1,AND(AO13&gt;=Assumptions!$D$20,AO7&gt;=Assumptions!$D$21)),1,0)</f>
        <v>0</v>
      </c>
      <c r="AP17" s="40" t="n">
        <f aca="false">IF(OR(AO17=1,AND(AP13&gt;=Assumptions!$D$20,AP7&gt;=Assumptions!$D$21)),1,0)</f>
        <v>1</v>
      </c>
      <c r="AQ17" s="40" t="n">
        <f aca="false">IF(OR(AP17=1,AND(AQ13&gt;=Assumptions!$D$20,AQ7&gt;=Assumptions!$D$21)),1,0)</f>
        <v>1</v>
      </c>
      <c r="AR17" s="40" t="n">
        <f aca="false">IF(OR(AQ17=1,AND(AR13&gt;=Assumptions!$D$20,AR7&gt;=Assumptions!$D$21)),1,0)</f>
        <v>1</v>
      </c>
      <c r="AS17" s="40" t="n">
        <f aca="false">IF(OR(AR17=1,AND(AS13&gt;=Assumptions!$D$20,AS7&gt;=Assumptions!$D$21)),1,0)</f>
        <v>1</v>
      </c>
      <c r="AT17" s="40" t="n">
        <f aca="false">IF(OR(AS17=1,AND(AT13&gt;=Assumptions!$D$20,AT7&gt;=Assumptions!$D$21)),1,0)</f>
        <v>1</v>
      </c>
      <c r="AU17" s="40" t="n">
        <f aca="false">IF(OR(AT17=1,AND(AU13&gt;=Assumptions!$D$20,AU7&gt;=Assumptions!$D$21)),1,0)</f>
        <v>1</v>
      </c>
      <c r="AV17" s="40" t="n">
        <f aca="false">IF(OR(AU17=1,AND(AV13&gt;=Assumptions!$D$20,AV7&gt;=Assumptions!$D$21)),1,0)</f>
        <v>1</v>
      </c>
      <c r="AW17" s="40" t="n">
        <f aca="false">IF(OR(AV17=1,AND(AW13&gt;=Assumptions!$D$20,AW7&gt;=Assumptions!$D$21)),1,0)</f>
        <v>1</v>
      </c>
      <c r="AX17" s="40" t="n">
        <f aca="false">IF(OR(AW17=1,AND(AX13&gt;=Assumptions!$D$20,AX7&gt;=Assumptions!$D$21)),1,0)</f>
        <v>1</v>
      </c>
      <c r="AY17" s="40" t="n">
        <f aca="false">IF(OR(AX17=1,AND(AY13&gt;=Assumptions!$D$20,AY7&gt;=Assumptions!$D$21)),1,0)</f>
        <v>1</v>
      </c>
      <c r="AZ17" s="40" t="n">
        <f aca="false">IF(OR(AY17=1,AND(AZ13&gt;=Assumptions!$D$20,AZ7&gt;=Assumptions!$D$21)),1,0)</f>
        <v>1</v>
      </c>
      <c r="BA17" s="40" t="n">
        <f aca="false">IF(OR(AZ17=1,AND(BA13&gt;=Assumptions!$D$20,BA7&gt;=Assumptions!$D$21)),1,0)</f>
        <v>1</v>
      </c>
      <c r="BB17" s="40" t="n">
        <f aca="false">IF(OR(BA17=1,AND(BB13&gt;=Assumptions!$D$20,BB7&gt;=Assumptions!$D$21)),1,0)</f>
        <v>1</v>
      </c>
      <c r="BC17" s="40" t="n">
        <f aca="false">IF(OR(BB17=1,AND(BC13&gt;=Assumptions!$D$20,BC7&gt;=Assumptions!$D$21)),1,0)</f>
        <v>1</v>
      </c>
      <c r="BD17" s="40" t="n">
        <f aca="false">IF(OR(BC17=1,AND(BD13&gt;=Assumptions!$D$20,BD7&gt;=Assumptions!$D$21)),1,0)</f>
        <v>1</v>
      </c>
      <c r="BE17" s="40" t="n">
        <f aca="false">IF(OR(BD17=1,AND(BE13&gt;=Assumptions!$D$20,BE7&gt;=Assumptions!$D$21)),1,0)</f>
        <v>1</v>
      </c>
      <c r="BF17" s="40" t="n">
        <f aca="false">IF(OR(BE17=1,AND(BF13&gt;=Assumptions!$D$20,BF7&gt;=Assumptions!$D$21)),1,0)</f>
        <v>1</v>
      </c>
      <c r="BG17" s="40" t="n">
        <f aca="false">IF(OR(BF17=1,AND(BG13&gt;=Assumptions!$D$20,BG7&gt;=Assumptions!$D$21)),1,0)</f>
        <v>1</v>
      </c>
      <c r="BH17" s="40" t="n">
        <f aca="false">IF(OR(BG17=1,AND(BH13&gt;=Assumptions!$D$20,BH7&gt;=Assumptions!$D$21)),1,0)</f>
        <v>1</v>
      </c>
      <c r="BI17" s="40" t="n">
        <f aca="false">IF(OR(BH17=1,AND(BI13&gt;=Assumptions!$D$20,BI7&gt;=Assumptions!$D$21)),1,0)</f>
        <v>1</v>
      </c>
      <c r="BJ17" s="40" t="n">
        <f aca="false">IF(OR(BI17=1,AND(BJ13&gt;=Assumptions!$D$20,BJ7&gt;=Assumptions!$D$21)),1,0)</f>
        <v>1</v>
      </c>
      <c r="BK17" s="40" t="n">
        <f aca="false">IF(OR(BJ17=1,AND(BK13&gt;=Assumptions!$D$20,BK7&gt;=Assumptions!$D$21)),1,0)</f>
        <v>1</v>
      </c>
    </row>
    <row r="18" customFormat="false" ht="15" hidden="false" customHeight="false" outlineLevel="0" collapsed="false">
      <c r="A18" s="28" t="s">
        <v>555</v>
      </c>
      <c r="B18" s="6" t="s">
        <v>556</v>
      </c>
      <c r="C18" s="38" t="n">
        <v>0</v>
      </c>
      <c r="D18" s="39" t="n">
        <f aca="false">IF(OR(C18=1,D13&gt;=Assumptions!$D$22),1,0)</f>
        <v>0</v>
      </c>
      <c r="E18" s="39" t="n">
        <f aca="false">IF(OR(D18=1,E13&gt;=Assumptions!$D$22),1,0)</f>
        <v>0</v>
      </c>
      <c r="F18" s="39" t="n">
        <f aca="false">IF(OR(E18=1,F13&gt;=Assumptions!$D$22),1,0)</f>
        <v>0</v>
      </c>
      <c r="G18" s="39" t="n">
        <f aca="false">IF(OR(F18=1,G13&gt;=Assumptions!$D$22),1,0)</f>
        <v>0</v>
      </c>
      <c r="H18" s="39" t="n">
        <f aca="false">IF(OR(G18=1,H13&gt;=Assumptions!$D$22),1,0)</f>
        <v>0</v>
      </c>
      <c r="I18" s="39" t="n">
        <f aca="false">IF(OR(H18=1,I13&gt;=Assumptions!$D$22),1,0)</f>
        <v>0</v>
      </c>
      <c r="J18" s="39" t="n">
        <f aca="false">IF(OR(I18=1,J13&gt;=Assumptions!$D$22),1,0)</f>
        <v>0</v>
      </c>
      <c r="K18" s="39" t="n">
        <f aca="false">IF(OR(J18=1,K13&gt;=Assumptions!$D$22),1,0)</f>
        <v>0</v>
      </c>
      <c r="L18" s="39" t="n">
        <f aca="false">IF(OR(K18=1,L13&gt;=Assumptions!$D$22),1,0)</f>
        <v>0</v>
      </c>
      <c r="M18" s="39" t="n">
        <f aca="false">IF(OR(L18=1,M13&gt;=Assumptions!$D$22),1,0)</f>
        <v>0</v>
      </c>
      <c r="N18" s="39" t="n">
        <f aca="false">IF(OR(M18=1,N13&gt;=Assumptions!$D$22),1,0)</f>
        <v>0</v>
      </c>
      <c r="O18" s="39" t="n">
        <f aca="false">IF(OR(N18=1,O13&gt;=Assumptions!$D$22),1,0)</f>
        <v>0</v>
      </c>
      <c r="P18" s="39" t="n">
        <f aca="false">IF(OR(O18=1,P13&gt;=Assumptions!$D$22),1,0)</f>
        <v>0</v>
      </c>
      <c r="Q18" s="39" t="n">
        <f aca="false">IF(OR(P18=1,Q13&gt;=Assumptions!$D$22),1,0)</f>
        <v>0</v>
      </c>
      <c r="R18" s="39" t="n">
        <f aca="false">IF(OR(Q18=1,R13&gt;=Assumptions!$D$22),1,0)</f>
        <v>0</v>
      </c>
      <c r="S18" s="39" t="n">
        <f aca="false">IF(OR(R18=1,S13&gt;=Assumptions!$D$22),1,0)</f>
        <v>0</v>
      </c>
      <c r="T18" s="39" t="n">
        <f aca="false">IF(OR(S18=1,T13&gt;=Assumptions!$D$22),1,0)</f>
        <v>0</v>
      </c>
      <c r="U18" s="39" t="n">
        <f aca="false">IF(OR(T18=1,U13&gt;=Assumptions!$D$22),1,0)</f>
        <v>0</v>
      </c>
      <c r="V18" s="39" t="n">
        <f aca="false">IF(OR(U18=1,V13&gt;=Assumptions!$D$22),1,0)</f>
        <v>0</v>
      </c>
      <c r="W18" s="39" t="n">
        <f aca="false">IF(OR(V18=1,W13&gt;=Assumptions!$D$22),1,0)</f>
        <v>0</v>
      </c>
      <c r="X18" s="39" t="n">
        <f aca="false">IF(OR(W18=1,X13&gt;=Assumptions!$D$22),1,0)</f>
        <v>0</v>
      </c>
      <c r="Y18" s="39" t="n">
        <f aca="false">IF(OR(X18=1,Y13&gt;=Assumptions!$D$22),1,0)</f>
        <v>0</v>
      </c>
      <c r="Z18" s="39" t="n">
        <f aca="false">IF(OR(Y18=1,Z13&gt;=Assumptions!$D$22),1,0)</f>
        <v>0</v>
      </c>
      <c r="AA18" s="39" t="n">
        <f aca="false">IF(OR(Z18=1,AA13&gt;=Assumptions!$D$22),1,0)</f>
        <v>0</v>
      </c>
      <c r="AB18" s="39" t="n">
        <f aca="false">IF(OR(AA18=1,AB13&gt;=Assumptions!$D$22),1,0)</f>
        <v>0</v>
      </c>
      <c r="AC18" s="39" t="n">
        <f aca="false">IF(OR(AB18=1,AC13&gt;=Assumptions!$D$22),1,0)</f>
        <v>0</v>
      </c>
      <c r="AD18" s="39" t="n">
        <f aca="false">IF(OR(AC18=1,AD13&gt;=Assumptions!$D$22),1,0)</f>
        <v>0</v>
      </c>
      <c r="AE18" s="39" t="n">
        <f aca="false">IF(OR(AD18=1,AE13&gt;=Assumptions!$D$22),1,0)</f>
        <v>0</v>
      </c>
      <c r="AF18" s="39" t="n">
        <f aca="false">IF(OR(AE18=1,AF13&gt;=Assumptions!$D$22),1,0)</f>
        <v>0</v>
      </c>
      <c r="AG18" s="39" t="n">
        <f aca="false">IF(OR(AF18=1,AG13&gt;=Assumptions!$D$22),1,0)</f>
        <v>0</v>
      </c>
      <c r="AH18" s="39" t="n">
        <f aca="false">IF(OR(AG18=1,AH13&gt;=Assumptions!$D$22),1,0)</f>
        <v>0</v>
      </c>
      <c r="AI18" s="39" t="n">
        <f aca="false">IF(OR(AH18=1,AI13&gt;=Assumptions!$D$22),1,0)</f>
        <v>1</v>
      </c>
      <c r="AJ18" s="39" t="n">
        <f aca="false">IF(OR(AI18=1,AJ13&gt;=Assumptions!$D$22),1,0)</f>
        <v>1</v>
      </c>
      <c r="AK18" s="39" t="n">
        <f aca="false">IF(OR(AJ18=1,AK13&gt;=Assumptions!$D$22),1,0)</f>
        <v>1</v>
      </c>
      <c r="AL18" s="39" t="n">
        <f aca="false">IF(OR(AK18=1,AL13&gt;=Assumptions!$D$22),1,0)</f>
        <v>1</v>
      </c>
      <c r="AM18" s="39" t="n">
        <f aca="false">IF(OR(AL18=1,AM13&gt;=Assumptions!$D$22),1,0)</f>
        <v>1</v>
      </c>
      <c r="AN18" s="40" t="n">
        <f aca="false">IF(OR(AM18=1,AN13&gt;=Assumptions!$D$22),1,0)</f>
        <v>1</v>
      </c>
      <c r="AO18" s="40" t="n">
        <f aca="false">IF(OR(AN18=1,AO13&gt;=Assumptions!$D$22),1,0)</f>
        <v>1</v>
      </c>
      <c r="AP18" s="40" t="n">
        <f aca="false">IF(OR(AO18=1,AP13&gt;=Assumptions!$D$22),1,0)</f>
        <v>1</v>
      </c>
      <c r="AQ18" s="40" t="n">
        <f aca="false">IF(OR(AP18=1,AQ13&gt;=Assumptions!$D$22),1,0)</f>
        <v>1</v>
      </c>
      <c r="AR18" s="40" t="n">
        <f aca="false">IF(OR(AQ18=1,AR13&gt;=Assumptions!$D$22),1,0)</f>
        <v>1</v>
      </c>
      <c r="AS18" s="40" t="n">
        <f aca="false">IF(OR(AR18=1,AS13&gt;=Assumptions!$D$22),1,0)</f>
        <v>1</v>
      </c>
      <c r="AT18" s="40" t="n">
        <f aca="false">IF(OR(AS18=1,AT13&gt;=Assumptions!$D$22),1,0)</f>
        <v>1</v>
      </c>
      <c r="AU18" s="40" t="n">
        <f aca="false">IF(OR(AT18=1,AU13&gt;=Assumptions!$D$22),1,0)</f>
        <v>1</v>
      </c>
      <c r="AV18" s="40" t="n">
        <f aca="false">IF(OR(AU18=1,AV13&gt;=Assumptions!$D$22),1,0)</f>
        <v>1</v>
      </c>
      <c r="AW18" s="40" t="n">
        <f aca="false">IF(OR(AV18=1,AW13&gt;=Assumptions!$D$22),1,0)</f>
        <v>1</v>
      </c>
      <c r="AX18" s="40" t="n">
        <f aca="false">IF(OR(AW18=1,AX13&gt;=Assumptions!$D$22),1,0)</f>
        <v>1</v>
      </c>
      <c r="AY18" s="40" t="n">
        <f aca="false">IF(OR(AX18=1,AY13&gt;=Assumptions!$D$22),1,0)</f>
        <v>1</v>
      </c>
      <c r="AZ18" s="40" t="n">
        <f aca="false">IF(OR(AY18=1,AZ13&gt;=Assumptions!$D$22),1,0)</f>
        <v>1</v>
      </c>
      <c r="BA18" s="40" t="n">
        <f aca="false">IF(OR(AZ18=1,BA13&gt;=Assumptions!$D$22),1,0)</f>
        <v>1</v>
      </c>
      <c r="BB18" s="40" t="n">
        <f aca="false">IF(OR(BA18=1,BB13&gt;=Assumptions!$D$22),1,0)</f>
        <v>1</v>
      </c>
      <c r="BC18" s="40" t="n">
        <f aca="false">IF(OR(BB18=1,BC13&gt;=Assumptions!$D$22),1,0)</f>
        <v>1</v>
      </c>
      <c r="BD18" s="40" t="n">
        <f aca="false">IF(OR(BC18=1,BD13&gt;=Assumptions!$D$22),1,0)</f>
        <v>1</v>
      </c>
      <c r="BE18" s="40" t="n">
        <f aca="false">IF(OR(BD18=1,BE13&gt;=Assumptions!$D$22),1,0)</f>
        <v>1</v>
      </c>
      <c r="BF18" s="40" t="n">
        <f aca="false">IF(OR(BE18=1,BF13&gt;=Assumptions!$D$22),1,0)</f>
        <v>1</v>
      </c>
      <c r="BG18" s="40" t="n">
        <f aca="false">IF(OR(BF18=1,BG13&gt;=Assumptions!$D$22),1,0)</f>
        <v>1</v>
      </c>
      <c r="BH18" s="40" t="n">
        <f aca="false">IF(OR(BG18=1,BH13&gt;=Assumptions!$D$22),1,0)</f>
        <v>1</v>
      </c>
      <c r="BI18" s="40" t="n">
        <f aca="false">IF(OR(BH18=1,BI13&gt;=Assumptions!$D$22),1,0)</f>
        <v>1</v>
      </c>
      <c r="BJ18" s="40" t="n">
        <f aca="false">IF(OR(BI18=1,BJ13&gt;=Assumptions!$D$22),1,0)</f>
        <v>1</v>
      </c>
      <c r="BK18" s="40" t="n">
        <f aca="false">IF(OR(BJ18=1,BK13&gt;=Assumptions!$D$22),1,0)</f>
        <v>1</v>
      </c>
    </row>
    <row r="19" customFormat="false" ht="15" hidden="false" customHeight="false" outlineLevel="0" collapsed="false">
      <c r="A19" s="28" t="s">
        <v>557</v>
      </c>
      <c r="B19" s="6" t="s">
        <v>558</v>
      </c>
      <c r="C19" s="38" t="n">
        <v>0</v>
      </c>
      <c r="D19" s="39" t="n">
        <f aca="false">IF(OR(C19=1,AND(D13&gt;=Assumptions!$D$23,D7&gt;=Assumptions!$D$24)),1,0)</f>
        <v>0</v>
      </c>
      <c r="E19" s="39" t="n">
        <f aca="false">IF(OR(D19=1,AND(E13&gt;=Assumptions!$D$23,E7&gt;=Assumptions!$D$24)),1,0)</f>
        <v>0</v>
      </c>
      <c r="F19" s="39" t="n">
        <f aca="false">IF(OR(E19=1,AND(F13&gt;=Assumptions!$D$23,F7&gt;=Assumptions!$D$24)),1,0)</f>
        <v>0</v>
      </c>
      <c r="G19" s="39" t="n">
        <f aca="false">IF(OR(F19=1,AND(G13&gt;=Assumptions!$D$23,G7&gt;=Assumptions!$D$24)),1,0)</f>
        <v>0</v>
      </c>
      <c r="H19" s="39" t="n">
        <f aca="false">IF(OR(G19=1,AND(H13&gt;=Assumptions!$D$23,H7&gt;=Assumptions!$D$24)),1,0)</f>
        <v>0</v>
      </c>
      <c r="I19" s="39" t="n">
        <f aca="false">IF(OR(H19=1,AND(I13&gt;=Assumptions!$D$23,I7&gt;=Assumptions!$D$24)),1,0)</f>
        <v>0</v>
      </c>
      <c r="J19" s="39" t="n">
        <f aca="false">IF(OR(I19=1,AND(J13&gt;=Assumptions!$D$23,J7&gt;=Assumptions!$D$24)),1,0)</f>
        <v>0</v>
      </c>
      <c r="K19" s="39" t="n">
        <f aca="false">IF(OR(J19=1,AND(K13&gt;=Assumptions!$D$23,K7&gt;=Assumptions!$D$24)),1,0)</f>
        <v>0</v>
      </c>
      <c r="L19" s="39" t="n">
        <f aca="false">IF(OR(K19=1,AND(L13&gt;=Assumptions!$D$23,L7&gt;=Assumptions!$D$24)),1,0)</f>
        <v>0</v>
      </c>
      <c r="M19" s="39" t="n">
        <f aca="false">IF(OR(L19=1,AND(M13&gt;=Assumptions!$D$23,M7&gt;=Assumptions!$D$24)),1,0)</f>
        <v>0</v>
      </c>
      <c r="N19" s="39" t="n">
        <f aca="false">IF(OR(M19=1,AND(N13&gt;=Assumptions!$D$23,N7&gt;=Assumptions!$D$24)),1,0)</f>
        <v>0</v>
      </c>
      <c r="O19" s="39" t="n">
        <f aca="false">IF(OR(N19=1,AND(O13&gt;=Assumptions!$D$23,O7&gt;=Assumptions!$D$24)),1,0)</f>
        <v>0</v>
      </c>
      <c r="P19" s="39" t="n">
        <f aca="false">IF(OR(O19=1,AND(P13&gt;=Assumptions!$D$23,P7&gt;=Assumptions!$D$24)),1,0)</f>
        <v>0</v>
      </c>
      <c r="Q19" s="39" t="n">
        <f aca="false">IF(OR(P19=1,AND(Q13&gt;=Assumptions!$D$23,Q7&gt;=Assumptions!$D$24)),1,0)</f>
        <v>0</v>
      </c>
      <c r="R19" s="39" t="n">
        <f aca="false">IF(OR(Q19=1,AND(R13&gt;=Assumptions!$D$23,R7&gt;=Assumptions!$D$24)),1,0)</f>
        <v>0</v>
      </c>
      <c r="S19" s="39" t="n">
        <f aca="false">IF(OR(R19=1,AND(S13&gt;=Assumptions!$D$23,S7&gt;=Assumptions!$D$24)),1,0)</f>
        <v>0</v>
      </c>
      <c r="T19" s="39" t="n">
        <f aca="false">IF(OR(S19=1,AND(T13&gt;=Assumptions!$D$23,T7&gt;=Assumptions!$D$24)),1,0)</f>
        <v>0</v>
      </c>
      <c r="U19" s="39" t="n">
        <f aca="false">IF(OR(T19=1,AND(U13&gt;=Assumptions!$D$23,U7&gt;=Assumptions!$D$24)),1,0)</f>
        <v>0</v>
      </c>
      <c r="V19" s="39" t="n">
        <f aca="false">IF(OR(U19=1,AND(V13&gt;=Assumptions!$D$23,V7&gt;=Assumptions!$D$24)),1,0)</f>
        <v>0</v>
      </c>
      <c r="W19" s="39" t="n">
        <f aca="false">IF(OR(V19=1,AND(W13&gt;=Assumptions!$D$23,W7&gt;=Assumptions!$D$24)),1,0)</f>
        <v>0</v>
      </c>
      <c r="X19" s="39" t="n">
        <f aca="false">IF(OR(W19=1,AND(X13&gt;=Assumptions!$D$23,X7&gt;=Assumptions!$D$24)),1,0)</f>
        <v>0</v>
      </c>
      <c r="Y19" s="39" t="n">
        <f aca="false">IF(OR(X19=1,AND(Y13&gt;=Assumptions!$D$23,Y7&gt;=Assumptions!$D$24)),1,0)</f>
        <v>0</v>
      </c>
      <c r="Z19" s="39" t="n">
        <f aca="false">IF(OR(Y19=1,AND(Z13&gt;=Assumptions!$D$23,Z7&gt;=Assumptions!$D$24)),1,0)</f>
        <v>0</v>
      </c>
      <c r="AA19" s="39" t="n">
        <f aca="false">IF(OR(Z19=1,AND(AA13&gt;=Assumptions!$D$23,AA7&gt;=Assumptions!$D$24)),1,0)</f>
        <v>0</v>
      </c>
      <c r="AB19" s="39" t="n">
        <f aca="false">IF(OR(AA19=1,AND(AB13&gt;=Assumptions!$D$23,AB7&gt;=Assumptions!$D$24)),1,0)</f>
        <v>0</v>
      </c>
      <c r="AC19" s="39" t="n">
        <f aca="false">IF(OR(AB19=1,AND(AC13&gt;=Assumptions!$D$23,AC7&gt;=Assumptions!$D$24)),1,0)</f>
        <v>0</v>
      </c>
      <c r="AD19" s="39" t="n">
        <f aca="false">IF(OR(AC19=1,AND(AD13&gt;=Assumptions!$D$23,AD7&gt;=Assumptions!$D$24)),1,0)</f>
        <v>0</v>
      </c>
      <c r="AE19" s="39" t="n">
        <f aca="false">IF(OR(AD19=1,AND(AE13&gt;=Assumptions!$D$23,AE7&gt;=Assumptions!$D$24)),1,0)</f>
        <v>0</v>
      </c>
      <c r="AF19" s="39" t="n">
        <f aca="false">IF(OR(AE19=1,AND(AF13&gt;=Assumptions!$D$23,AF7&gt;=Assumptions!$D$24)),1,0)</f>
        <v>0</v>
      </c>
      <c r="AG19" s="39" t="n">
        <f aca="false">IF(OR(AF19=1,AND(AG13&gt;=Assumptions!$D$23,AG7&gt;=Assumptions!$D$24)),1,0)</f>
        <v>0</v>
      </c>
      <c r="AH19" s="39" t="n">
        <f aca="false">IF(OR(AG19=1,AND(AH13&gt;=Assumptions!$D$23,AH7&gt;=Assumptions!$D$24)),1,0)</f>
        <v>0</v>
      </c>
      <c r="AI19" s="39" t="n">
        <f aca="false">IF(OR(AH19=1,AND(AI13&gt;=Assumptions!$D$23,AI7&gt;=Assumptions!$D$24)),1,0)</f>
        <v>0</v>
      </c>
      <c r="AJ19" s="39" t="n">
        <f aca="false">IF(OR(AI19=1,AND(AJ13&gt;=Assumptions!$D$23,AJ7&gt;=Assumptions!$D$24)),1,0)</f>
        <v>0</v>
      </c>
      <c r="AK19" s="39" t="n">
        <f aca="false">IF(OR(AJ19=1,AND(AK13&gt;=Assumptions!$D$23,AK7&gt;=Assumptions!$D$24)),1,0)</f>
        <v>0</v>
      </c>
      <c r="AL19" s="39" t="n">
        <f aca="false">IF(OR(AK19=1,AND(AL13&gt;=Assumptions!$D$23,AL7&gt;=Assumptions!$D$24)),1,0)</f>
        <v>0</v>
      </c>
      <c r="AM19" s="39" t="n">
        <f aca="false">IF(OR(AL19=1,AND(AM13&gt;=Assumptions!$D$23,AM7&gt;=Assumptions!$D$24)),1,0)</f>
        <v>0</v>
      </c>
      <c r="AN19" s="40" t="n">
        <f aca="false">IF(OR(AM19=1,AND(AN13&gt;=Assumptions!$D$23,AN7&gt;=Assumptions!$D$24)),1,0)</f>
        <v>0</v>
      </c>
      <c r="AO19" s="40" t="n">
        <f aca="false">IF(OR(AN19=1,AND(AO13&gt;=Assumptions!$D$23,AO7&gt;=Assumptions!$D$24)),1,0)</f>
        <v>0</v>
      </c>
      <c r="AP19" s="40" t="n">
        <f aca="false">IF(OR(AO19=1,AND(AP13&gt;=Assumptions!$D$23,AP7&gt;=Assumptions!$D$24)),1,0)</f>
        <v>0</v>
      </c>
      <c r="AQ19" s="40" t="n">
        <f aca="false">IF(OR(AP19=1,AND(AQ13&gt;=Assumptions!$D$23,AQ7&gt;=Assumptions!$D$24)),1,0)</f>
        <v>0</v>
      </c>
      <c r="AR19" s="40" t="n">
        <f aca="false">IF(OR(AQ19=1,AND(AR13&gt;=Assumptions!$D$23,AR7&gt;=Assumptions!$D$24)),1,0)</f>
        <v>0</v>
      </c>
      <c r="AS19" s="40" t="n">
        <f aca="false">IF(OR(AR19=1,AND(AS13&gt;=Assumptions!$D$23,AS7&gt;=Assumptions!$D$24)),1,0)</f>
        <v>0</v>
      </c>
      <c r="AT19" s="40" t="n">
        <f aca="false">IF(OR(AS19=1,AND(AT13&gt;=Assumptions!$D$23,AT7&gt;=Assumptions!$D$24)),1,0)</f>
        <v>0</v>
      </c>
      <c r="AU19" s="40" t="n">
        <f aca="false">IF(OR(AT19=1,AND(AU13&gt;=Assumptions!$D$23,AU7&gt;=Assumptions!$D$24)),1,0)</f>
        <v>0</v>
      </c>
      <c r="AV19" s="40" t="n">
        <f aca="false">IF(OR(AU19=1,AND(AV13&gt;=Assumptions!$D$23,AV7&gt;=Assumptions!$D$24)),1,0)</f>
        <v>0</v>
      </c>
      <c r="AW19" s="40" t="n">
        <f aca="false">IF(OR(AV19=1,AND(AW13&gt;=Assumptions!$D$23,AW7&gt;=Assumptions!$D$24)),1,0)</f>
        <v>0</v>
      </c>
      <c r="AX19" s="40" t="n">
        <f aca="false">IF(OR(AW19=1,AND(AX13&gt;=Assumptions!$D$23,AX7&gt;=Assumptions!$D$24)),1,0)</f>
        <v>0</v>
      </c>
      <c r="AY19" s="40" t="n">
        <f aca="false">IF(OR(AX19=1,AND(AY13&gt;=Assumptions!$D$23,AY7&gt;=Assumptions!$D$24)),1,0)</f>
        <v>0</v>
      </c>
      <c r="AZ19" s="40" t="n">
        <f aca="false">IF(OR(AY19=1,AND(AZ13&gt;=Assumptions!$D$23,AZ7&gt;=Assumptions!$D$24)),1,0)</f>
        <v>0</v>
      </c>
      <c r="BA19" s="40" t="n">
        <f aca="false">IF(OR(AZ19=1,AND(BA13&gt;=Assumptions!$D$23,BA7&gt;=Assumptions!$D$24)),1,0)</f>
        <v>0</v>
      </c>
      <c r="BB19" s="40" t="n">
        <f aca="false">IF(OR(BA19=1,AND(BB13&gt;=Assumptions!$D$23,BB7&gt;=Assumptions!$D$24)),1,0)</f>
        <v>0</v>
      </c>
      <c r="BC19" s="40" t="n">
        <f aca="false">IF(OR(BB19=1,AND(BC13&gt;=Assumptions!$D$23,BC7&gt;=Assumptions!$D$24)),1,0)</f>
        <v>0</v>
      </c>
      <c r="BD19" s="40" t="n">
        <f aca="false">IF(OR(BC19=1,AND(BD13&gt;=Assumptions!$D$23,BD7&gt;=Assumptions!$D$24)),1,0)</f>
        <v>0</v>
      </c>
      <c r="BE19" s="40" t="n">
        <f aca="false">IF(OR(BD19=1,AND(BE13&gt;=Assumptions!$D$23,BE7&gt;=Assumptions!$D$24)),1,0)</f>
        <v>0</v>
      </c>
      <c r="BF19" s="40" t="n">
        <f aca="false">IF(OR(BE19=1,AND(BF13&gt;=Assumptions!$D$23,BF7&gt;=Assumptions!$D$24)),1,0)</f>
        <v>0</v>
      </c>
      <c r="BG19" s="40" t="n">
        <f aca="false">IF(OR(BF19=1,AND(BG13&gt;=Assumptions!$D$23,BG7&gt;=Assumptions!$D$24)),1,0)</f>
        <v>0</v>
      </c>
      <c r="BH19" s="40" t="n">
        <f aca="false">IF(OR(BG19=1,AND(BH13&gt;=Assumptions!$D$23,BH7&gt;=Assumptions!$D$24)),1,0)</f>
        <v>0</v>
      </c>
      <c r="BI19" s="40" t="n">
        <f aca="false">IF(OR(BH19=1,AND(BI13&gt;=Assumptions!$D$23,BI7&gt;=Assumptions!$D$24)),1,0)</f>
        <v>0</v>
      </c>
      <c r="BJ19" s="40" t="n">
        <f aca="false">IF(OR(BI19=1,AND(BJ13&gt;=Assumptions!$D$23,BJ7&gt;=Assumptions!$D$24)),1,0)</f>
        <v>0</v>
      </c>
      <c r="BK19" s="40" t="n">
        <f aca="false">IF(OR(BJ19=1,AND(BK13&gt;=Assumptions!$D$23,BK7&gt;=Assumptions!$D$24)),1,0)</f>
        <v>0</v>
      </c>
    </row>
    <row r="20" customFormat="false" ht="15" hidden="false" customHeight="false" outlineLevel="0" collapsed="false">
      <c r="A20" s="28" t="s">
        <v>559</v>
      </c>
      <c r="B20" s="6" t="s">
        <v>560</v>
      </c>
      <c r="C20" s="32" t="n">
        <v>0</v>
      </c>
      <c r="D20" s="34" t="n">
        <f aca="false">IF(D19=1,C20+1,0)</f>
        <v>0</v>
      </c>
      <c r="E20" s="34" t="n">
        <f aca="false">IF(E19=1,D20+1,0)</f>
        <v>0</v>
      </c>
      <c r="F20" s="34" t="n">
        <f aca="false">IF(F19=1,E20+1,0)</f>
        <v>0</v>
      </c>
      <c r="G20" s="34" t="n">
        <f aca="false">IF(G19=1,F20+1,0)</f>
        <v>0</v>
      </c>
      <c r="H20" s="34" t="n">
        <f aca="false">IF(H19=1,G20+1,0)</f>
        <v>0</v>
      </c>
      <c r="I20" s="34" t="n">
        <f aca="false">IF(I19=1,H20+1,0)</f>
        <v>0</v>
      </c>
      <c r="J20" s="34" t="n">
        <f aca="false">IF(J19=1,I20+1,0)</f>
        <v>0</v>
      </c>
      <c r="K20" s="34" t="n">
        <f aca="false">IF(K19=1,J20+1,0)</f>
        <v>0</v>
      </c>
      <c r="L20" s="34" t="n">
        <f aca="false">IF(L19=1,K20+1,0)</f>
        <v>0</v>
      </c>
      <c r="M20" s="34" t="n">
        <f aca="false">IF(M19=1,L20+1,0)</f>
        <v>0</v>
      </c>
      <c r="N20" s="34" t="n">
        <f aca="false">IF(N19=1,M20+1,0)</f>
        <v>0</v>
      </c>
      <c r="O20" s="34" t="n">
        <f aca="false">IF(O19=1,N20+1,0)</f>
        <v>0</v>
      </c>
      <c r="P20" s="34" t="n">
        <f aca="false">IF(P19=1,O20+1,0)</f>
        <v>0</v>
      </c>
      <c r="Q20" s="34" t="n">
        <f aca="false">IF(Q19=1,P20+1,0)</f>
        <v>0</v>
      </c>
      <c r="R20" s="34" t="n">
        <f aca="false">IF(R19=1,Q20+1,0)</f>
        <v>0</v>
      </c>
      <c r="S20" s="34" t="n">
        <f aca="false">IF(S19=1,R20+1,0)</f>
        <v>0</v>
      </c>
      <c r="T20" s="34" t="n">
        <f aca="false">IF(T19=1,S20+1,0)</f>
        <v>0</v>
      </c>
      <c r="U20" s="34" t="n">
        <f aca="false">IF(U19=1,T20+1,0)</f>
        <v>0</v>
      </c>
      <c r="V20" s="34" t="n">
        <f aca="false">IF(V19=1,U20+1,0)</f>
        <v>0</v>
      </c>
      <c r="W20" s="34" t="n">
        <f aca="false">IF(W19=1,V20+1,0)</f>
        <v>0</v>
      </c>
      <c r="X20" s="34" t="n">
        <f aca="false">IF(X19=1,W20+1,0)</f>
        <v>0</v>
      </c>
      <c r="Y20" s="34" t="n">
        <f aca="false">IF(Y19=1,X20+1,0)</f>
        <v>0</v>
      </c>
      <c r="Z20" s="34" t="n">
        <f aca="false">IF(Z19=1,Y20+1,0)</f>
        <v>0</v>
      </c>
      <c r="AA20" s="34" t="n">
        <f aca="false">IF(AA19=1,Z20+1,0)</f>
        <v>0</v>
      </c>
      <c r="AB20" s="34" t="n">
        <f aca="false">IF(AB19=1,AA20+1,0)</f>
        <v>0</v>
      </c>
      <c r="AC20" s="34" t="n">
        <f aca="false">IF(AC19=1,AB20+1,0)</f>
        <v>0</v>
      </c>
      <c r="AD20" s="34" t="n">
        <f aca="false">IF(AD19=1,AC20+1,0)</f>
        <v>0</v>
      </c>
      <c r="AE20" s="34" t="n">
        <f aca="false">IF(AE19=1,AD20+1,0)</f>
        <v>0</v>
      </c>
      <c r="AF20" s="34" t="n">
        <f aca="false">IF(AF19=1,AE20+1,0)</f>
        <v>0</v>
      </c>
      <c r="AG20" s="34" t="n">
        <f aca="false">IF(AG19=1,AF20+1,0)</f>
        <v>0</v>
      </c>
      <c r="AH20" s="34" t="n">
        <f aca="false">IF(AH19=1,AG20+1,0)</f>
        <v>0</v>
      </c>
      <c r="AI20" s="34" t="n">
        <f aca="false">IF(AI19=1,AH20+1,0)</f>
        <v>0</v>
      </c>
      <c r="AJ20" s="34" t="n">
        <f aca="false">IF(AJ19=1,AI20+1,0)</f>
        <v>0</v>
      </c>
      <c r="AK20" s="34" t="n">
        <f aca="false">IF(AK19=1,AJ20+1,0)</f>
        <v>0</v>
      </c>
      <c r="AL20" s="34" t="n">
        <f aca="false">IF(AL19=1,AK20+1,0)</f>
        <v>0</v>
      </c>
      <c r="AM20" s="34" t="n">
        <f aca="false">IF(AM19=1,AL20+1,0)</f>
        <v>0</v>
      </c>
      <c r="AN20" s="35" t="n">
        <f aca="false">IF(AN19=1,AM20+1,0)</f>
        <v>0</v>
      </c>
      <c r="AO20" s="35" t="n">
        <f aca="false">IF(AO19=1,AN20+1,0)</f>
        <v>0</v>
      </c>
      <c r="AP20" s="35" t="n">
        <f aca="false">IF(AP19=1,AO20+1,0)</f>
        <v>0</v>
      </c>
      <c r="AQ20" s="35" t="n">
        <f aca="false">IF(AQ19=1,AP20+1,0)</f>
        <v>0</v>
      </c>
      <c r="AR20" s="35" t="n">
        <f aca="false">IF(AR19=1,AQ20+1,0)</f>
        <v>0</v>
      </c>
      <c r="AS20" s="35" t="n">
        <f aca="false">IF(AS19=1,AR20+1,0)</f>
        <v>0</v>
      </c>
      <c r="AT20" s="35" t="n">
        <f aca="false">IF(AT19=1,AS20+1,0)</f>
        <v>0</v>
      </c>
      <c r="AU20" s="35" t="n">
        <f aca="false">IF(AU19=1,AT20+1,0)</f>
        <v>0</v>
      </c>
      <c r="AV20" s="35" t="n">
        <f aca="false">IF(AV19=1,AU20+1,0)</f>
        <v>0</v>
      </c>
      <c r="AW20" s="35" t="n">
        <f aca="false">IF(AW19=1,AV20+1,0)</f>
        <v>0</v>
      </c>
      <c r="AX20" s="35" t="n">
        <f aca="false">IF(AX19=1,AW20+1,0)</f>
        <v>0</v>
      </c>
      <c r="AY20" s="35" t="n">
        <f aca="false">IF(AY19=1,AX20+1,0)</f>
        <v>0</v>
      </c>
      <c r="AZ20" s="35" t="n">
        <f aca="false">IF(AZ19=1,AY20+1,0)</f>
        <v>0</v>
      </c>
      <c r="BA20" s="35" t="n">
        <f aca="false">IF(BA19=1,AZ20+1,0)</f>
        <v>0</v>
      </c>
      <c r="BB20" s="35" t="n">
        <f aca="false">IF(BB19=1,BA20+1,0)</f>
        <v>0</v>
      </c>
      <c r="BC20" s="35" t="n">
        <f aca="false">IF(BC19=1,BB20+1,0)</f>
        <v>0</v>
      </c>
      <c r="BD20" s="35" t="n">
        <f aca="false">IF(BD19=1,BC20+1,0)</f>
        <v>0</v>
      </c>
      <c r="BE20" s="35" t="n">
        <f aca="false">IF(BE19=1,BD20+1,0)</f>
        <v>0</v>
      </c>
      <c r="BF20" s="35" t="n">
        <f aca="false">IF(BF19=1,BE20+1,0)</f>
        <v>0</v>
      </c>
      <c r="BG20" s="35" t="n">
        <f aca="false">IF(BG19=1,BF20+1,0)</f>
        <v>0</v>
      </c>
      <c r="BH20" s="35" t="n">
        <f aca="false">IF(BH19=1,BG20+1,0)</f>
        <v>0</v>
      </c>
      <c r="BI20" s="35" t="n">
        <f aca="false">IF(BI19=1,BH20+1,0)</f>
        <v>0</v>
      </c>
      <c r="BJ20" s="35" t="n">
        <f aca="false">IF(BJ19=1,BI20+1,0)</f>
        <v>0</v>
      </c>
      <c r="BK20" s="35" t="n">
        <f aca="false">IF(BK19=1,BJ20+1,0)</f>
        <v>0</v>
      </c>
    </row>
    <row r="21" customFormat="false" ht="15" hidden="false" customHeight="false" outlineLevel="0" collapsed="false">
      <c r="A21" s="28" t="s">
        <v>561</v>
      </c>
      <c r="B21" s="6" t="s">
        <v>562</v>
      </c>
      <c r="C21" s="18" t="n">
        <v>0</v>
      </c>
      <c r="D21" s="13" t="n">
        <f aca="false">MIN(1,D20/Assumptions!$D$77)</f>
        <v>0</v>
      </c>
      <c r="E21" s="13" t="n">
        <f aca="false">MIN(1,E20/Assumptions!$D$77)</f>
        <v>0</v>
      </c>
      <c r="F21" s="13" t="n">
        <f aca="false">MIN(1,F20/Assumptions!$D$77)</f>
        <v>0</v>
      </c>
      <c r="G21" s="13" t="n">
        <f aca="false">MIN(1,G20/Assumptions!$D$77)</f>
        <v>0</v>
      </c>
      <c r="H21" s="13" t="n">
        <f aca="false">MIN(1,H20/Assumptions!$D$77)</f>
        <v>0</v>
      </c>
      <c r="I21" s="13" t="n">
        <f aca="false">MIN(1,I20/Assumptions!$D$77)</f>
        <v>0</v>
      </c>
      <c r="J21" s="13" t="n">
        <f aca="false">MIN(1,J20/Assumptions!$D$77)</f>
        <v>0</v>
      </c>
      <c r="K21" s="13" t="n">
        <f aca="false">MIN(1,K20/Assumptions!$D$77)</f>
        <v>0</v>
      </c>
      <c r="L21" s="13" t="n">
        <f aca="false">MIN(1,L20/Assumptions!$D$77)</f>
        <v>0</v>
      </c>
      <c r="M21" s="13" t="n">
        <f aca="false">MIN(1,M20/Assumptions!$D$77)</f>
        <v>0</v>
      </c>
      <c r="N21" s="13" t="n">
        <f aca="false">MIN(1,N20/Assumptions!$D$77)</f>
        <v>0</v>
      </c>
      <c r="O21" s="13" t="n">
        <f aca="false">MIN(1,O20/Assumptions!$D$77)</f>
        <v>0</v>
      </c>
      <c r="P21" s="13" t="n">
        <f aca="false">MIN(1,P20/Assumptions!$D$77)</f>
        <v>0</v>
      </c>
      <c r="Q21" s="13" t="n">
        <f aca="false">MIN(1,Q20/Assumptions!$D$77)</f>
        <v>0</v>
      </c>
      <c r="R21" s="13" t="n">
        <f aca="false">MIN(1,R20/Assumptions!$D$77)</f>
        <v>0</v>
      </c>
      <c r="S21" s="13" t="n">
        <f aca="false">MIN(1,S20/Assumptions!$D$77)</f>
        <v>0</v>
      </c>
      <c r="T21" s="13" t="n">
        <f aca="false">MIN(1,T20/Assumptions!$D$77)</f>
        <v>0</v>
      </c>
      <c r="U21" s="13" t="n">
        <f aca="false">MIN(1,U20/Assumptions!$D$77)</f>
        <v>0</v>
      </c>
      <c r="V21" s="13" t="n">
        <f aca="false">MIN(1,V20/Assumptions!$D$77)</f>
        <v>0</v>
      </c>
      <c r="W21" s="13" t="n">
        <f aca="false">MIN(1,W20/Assumptions!$D$77)</f>
        <v>0</v>
      </c>
      <c r="X21" s="13" t="n">
        <f aca="false">MIN(1,X20/Assumptions!$D$77)</f>
        <v>0</v>
      </c>
      <c r="Y21" s="13" t="n">
        <f aca="false">MIN(1,Y20/Assumptions!$D$77)</f>
        <v>0</v>
      </c>
      <c r="Z21" s="13" t="n">
        <f aca="false">MIN(1,Z20/Assumptions!$D$77)</f>
        <v>0</v>
      </c>
      <c r="AA21" s="13" t="n">
        <f aca="false">MIN(1,AA20/Assumptions!$D$77)</f>
        <v>0</v>
      </c>
      <c r="AB21" s="13" t="n">
        <f aca="false">MIN(1,AB20/Assumptions!$D$77)</f>
        <v>0</v>
      </c>
      <c r="AC21" s="13" t="n">
        <f aca="false">MIN(1,AC20/Assumptions!$D$77)</f>
        <v>0</v>
      </c>
      <c r="AD21" s="13" t="n">
        <f aca="false">MIN(1,AD20/Assumptions!$D$77)</f>
        <v>0</v>
      </c>
      <c r="AE21" s="13" t="n">
        <f aca="false">MIN(1,AE20/Assumptions!$D$77)</f>
        <v>0</v>
      </c>
      <c r="AF21" s="13" t="n">
        <f aca="false">MIN(1,AF20/Assumptions!$D$77)</f>
        <v>0</v>
      </c>
      <c r="AG21" s="13" t="n">
        <f aca="false">MIN(1,AG20/Assumptions!$D$77)</f>
        <v>0</v>
      </c>
      <c r="AH21" s="13" t="n">
        <f aca="false">MIN(1,AH20/Assumptions!$D$77)</f>
        <v>0</v>
      </c>
      <c r="AI21" s="13" t="n">
        <f aca="false">MIN(1,AI20/Assumptions!$D$77)</f>
        <v>0</v>
      </c>
      <c r="AJ21" s="13" t="n">
        <f aca="false">MIN(1,AJ20/Assumptions!$D$77)</f>
        <v>0</v>
      </c>
      <c r="AK21" s="13" t="n">
        <f aca="false">MIN(1,AK20/Assumptions!$D$77)</f>
        <v>0</v>
      </c>
      <c r="AL21" s="13" t="n">
        <f aca="false">MIN(1,AL20/Assumptions!$D$77)</f>
        <v>0</v>
      </c>
      <c r="AM21" s="13" t="n">
        <f aca="false">MIN(1,AM20/Assumptions!$D$77)</f>
        <v>0</v>
      </c>
      <c r="AN21" s="41" t="n">
        <f aca="false">MIN(1,AN20/Assumptions!$D$77)</f>
        <v>0</v>
      </c>
      <c r="AO21" s="41" t="n">
        <f aca="false">MIN(1,AO20/Assumptions!$D$77)</f>
        <v>0</v>
      </c>
      <c r="AP21" s="41" t="n">
        <f aca="false">MIN(1,AP20/Assumptions!$D$77)</f>
        <v>0</v>
      </c>
      <c r="AQ21" s="41" t="n">
        <f aca="false">MIN(1,AQ20/Assumptions!$D$77)</f>
        <v>0</v>
      </c>
      <c r="AR21" s="41" t="n">
        <f aca="false">MIN(1,AR20/Assumptions!$D$77)</f>
        <v>0</v>
      </c>
      <c r="AS21" s="41" t="n">
        <f aca="false">MIN(1,AS20/Assumptions!$D$77)</f>
        <v>0</v>
      </c>
      <c r="AT21" s="41" t="n">
        <f aca="false">MIN(1,AT20/Assumptions!$D$77)</f>
        <v>0</v>
      </c>
      <c r="AU21" s="41" t="n">
        <f aca="false">MIN(1,AU20/Assumptions!$D$77)</f>
        <v>0</v>
      </c>
      <c r="AV21" s="41" t="n">
        <f aca="false">MIN(1,AV20/Assumptions!$D$77)</f>
        <v>0</v>
      </c>
      <c r="AW21" s="41" t="n">
        <f aca="false">MIN(1,AW20/Assumptions!$D$77)</f>
        <v>0</v>
      </c>
      <c r="AX21" s="41" t="n">
        <f aca="false">MIN(1,AX20/Assumptions!$D$77)</f>
        <v>0</v>
      </c>
      <c r="AY21" s="41" t="n">
        <f aca="false">MIN(1,AY20/Assumptions!$D$77)</f>
        <v>0</v>
      </c>
      <c r="AZ21" s="41" t="n">
        <f aca="false">MIN(1,AZ20/Assumptions!$D$77)</f>
        <v>0</v>
      </c>
      <c r="BA21" s="41" t="n">
        <f aca="false">MIN(1,BA20/Assumptions!$D$77)</f>
        <v>0</v>
      </c>
      <c r="BB21" s="41" t="n">
        <f aca="false">MIN(1,BB20/Assumptions!$D$77)</f>
        <v>0</v>
      </c>
      <c r="BC21" s="41" t="n">
        <f aca="false">MIN(1,BC20/Assumptions!$D$77)</f>
        <v>0</v>
      </c>
      <c r="BD21" s="41" t="n">
        <f aca="false">MIN(1,BD20/Assumptions!$D$77)</f>
        <v>0</v>
      </c>
      <c r="BE21" s="41" t="n">
        <f aca="false">MIN(1,BE20/Assumptions!$D$77)</f>
        <v>0</v>
      </c>
      <c r="BF21" s="41" t="n">
        <f aca="false">MIN(1,BF20/Assumptions!$D$77)</f>
        <v>0</v>
      </c>
      <c r="BG21" s="41" t="n">
        <f aca="false">MIN(1,BG20/Assumptions!$D$77)</f>
        <v>0</v>
      </c>
      <c r="BH21" s="41" t="n">
        <f aca="false">MIN(1,BH20/Assumptions!$D$77)</f>
        <v>0</v>
      </c>
      <c r="BI21" s="41" t="n">
        <f aca="false">MIN(1,BI20/Assumptions!$D$77)</f>
        <v>0</v>
      </c>
      <c r="BJ21" s="41" t="n">
        <f aca="false">MIN(1,BJ20/Assumptions!$D$77)</f>
        <v>0</v>
      </c>
      <c r="BK21" s="41" t="n">
        <f aca="false">MIN(1,BK20/Assumptions!$D$77)</f>
        <v>0</v>
      </c>
    </row>
    <row r="22" customFormat="false" ht="15" hidden="false" customHeight="false" outlineLevel="0" collapsed="false">
      <c r="B22" s="5" t="s">
        <v>563</v>
      </c>
    </row>
    <row r="23" customFormat="false" ht="15" hidden="false" customHeight="false" outlineLevel="0" collapsed="false">
      <c r="A23" s="28" t="s">
        <v>564</v>
      </c>
      <c r="B23" s="6" t="s">
        <v>565</v>
      </c>
      <c r="C23" s="32" t="n">
        <v>0</v>
      </c>
      <c r="D23" s="34" t="n">
        <f aca="false">C23+(D13*Assumptions!$D$13-C23)*Assumptions!$D$14</f>
        <v>0</v>
      </c>
      <c r="E23" s="34" t="n">
        <f aca="false">D23+(E13*Assumptions!$D$13-D23)*Assumptions!$D$14</f>
        <v>0</v>
      </c>
      <c r="F23" s="34" t="n">
        <f aca="false">E23+(F13*Assumptions!$D$13-E23)*Assumptions!$D$14</f>
        <v>0</v>
      </c>
      <c r="G23" s="34" t="n">
        <f aca="false">F23+(G13*Assumptions!$D$13-F23)*Assumptions!$D$14</f>
        <v>0</v>
      </c>
      <c r="H23" s="34" t="n">
        <f aca="false">G23+(H13*Assumptions!$D$13-G23)*Assumptions!$D$14</f>
        <v>44.625</v>
      </c>
      <c r="I23" s="34" t="n">
        <f aca="false">H23+(I13*Assumptions!$D$13-H23)*Assumptions!$D$14</f>
        <v>111.785625</v>
      </c>
      <c r="J23" s="34" t="n">
        <f aca="false">I23+(J13*Assumptions!$D$13-I23)*Assumptions!$D$14</f>
        <v>180.145546875</v>
      </c>
      <c r="K23" s="34" t="n">
        <f aca="false">J23+(K13*Assumptions!$D$13-J23)*Assumptions!$D$14</f>
        <v>239.742373828125</v>
      </c>
      <c r="L23" s="34" t="n">
        <f aca="false">K23+(L13*Assumptions!$D$13-K23)*Assumptions!$D$14</f>
        <v>286.124117138672</v>
      </c>
      <c r="M23" s="34" t="n">
        <f aca="false">L23+(M13*Assumptions!$D$13-L23)*Assumptions!$D$14</f>
        <v>321.939960936768</v>
      </c>
      <c r="N23" s="34" t="n">
        <f aca="false">M23+(N13*Assumptions!$D$13-M23)*Assumptions!$D$14</f>
        <v>388.231277285614</v>
      </c>
      <c r="O23" s="34" t="n">
        <f aca="false">N23+(O13*Assumptions!$D$13-N23)*Assumptions!$D$14</f>
        <v>467.901375345446</v>
      </c>
      <c r="P23" s="34" t="n">
        <f aca="false">O23+(P13*Assumptions!$D$13-O23)*Assumptions!$D$14</f>
        <v>542.858162956592</v>
      </c>
      <c r="Q23" s="34" t="n">
        <f aca="false">P23+(Q13*Assumptions!$D$13-P23)*Assumptions!$D$14</f>
        <v>649.872018179286</v>
      </c>
      <c r="R23" s="34" t="n">
        <f aca="false">Q23+(R13*Assumptions!$D$13-Q23)*Assumptions!$D$14</f>
        <v>763.770668767599</v>
      </c>
      <c r="S23" s="34" t="n">
        <f aca="false">R23+(S13*Assumptions!$D$13-R23)*Assumptions!$D$14</f>
        <v>866.755945226226</v>
      </c>
      <c r="T23" s="34" t="n">
        <f aca="false">S23+(T13*Assumptions!$D$13-S23)*Assumptions!$D$14</f>
        <v>990.483749661152</v>
      </c>
      <c r="U23" s="34" t="n">
        <f aca="false">T23+(U13*Assumptions!$D$13-T23)*Assumptions!$D$14</f>
        <v>1158.40451291225</v>
      </c>
      <c r="V23" s="34" t="n">
        <f aca="false">U23+(V13*Assumptions!$D$13-U23)*Assumptions!$D$14</f>
        <v>1333.22825713465</v>
      </c>
      <c r="W23" s="34" t="n">
        <f aca="false">V23+(W13*Assumptions!$D$13-V23)*Assumptions!$D$14</f>
        <v>1526.96205778567</v>
      </c>
      <c r="X23" s="34" t="n">
        <f aca="false">W23+(X13*Assumptions!$D$13-W23)*Assumptions!$D$14</f>
        <v>1754.18993594263</v>
      </c>
      <c r="Y23" s="34" t="n">
        <f aca="false">X23+(Y13*Assumptions!$D$13-X23)*Assumptions!$D$14</f>
        <v>1973.8814417851</v>
      </c>
      <c r="Z23" s="34" t="n">
        <f aca="false">Y23+(Z13*Assumptions!$D$13-Y23)*Assumptions!$D$14</f>
        <v>2201.15447099715</v>
      </c>
      <c r="AA23" s="34" t="n">
        <f aca="false">Z23+(AA13*Assumptions!$D$13-Z23)*Assumptions!$D$14</f>
        <v>2447.30865163906</v>
      </c>
      <c r="AB23" s="34" t="n">
        <f aca="false">AA23+(AB13*Assumptions!$D$13-AA23)*Assumptions!$D$14</f>
        <v>2676.49991291903</v>
      </c>
      <c r="AC23" s="34" t="n">
        <f aca="false">AB23+(AC13*Assumptions!$D$13-AB23)*Assumptions!$D$14</f>
        <v>2907.21550051717</v>
      </c>
      <c r="AD23" s="34" t="n">
        <f aca="false">AC23+(AD13*Assumptions!$D$13-AC23)*Assumptions!$D$14</f>
        <v>3152.94336852797</v>
      </c>
      <c r="AE23" s="34" t="n">
        <f aca="false">AD23+(AE13*Assumptions!$D$13-AD23)*Assumptions!$D$14</f>
        <v>3422.10015040519</v>
      </c>
      <c r="AF23" s="34" t="n">
        <f aca="false">AE23+(AF13*Assumptions!$D$13-AE23)*Assumptions!$D$14</f>
        <v>3712.67488460383</v>
      </c>
      <c r="AG23" s="34" t="n">
        <f aca="false">AF23+(AG13*Assumptions!$D$13-AF23)*Assumptions!$D$14</f>
        <v>4017.85071716194</v>
      </c>
      <c r="AH23" s="34" t="n">
        <f aca="false">AG23+(AH13*Assumptions!$D$13-AG23)*Assumptions!$D$14</f>
        <v>4338.53470727047</v>
      </c>
      <c r="AI23" s="34" t="n">
        <f aca="false">AH23+(AI13*Assumptions!$D$13-AH23)*Assumptions!$D$14</f>
        <v>4668.02600731314</v>
      </c>
      <c r="AJ23" s="34" t="n">
        <f aca="false">AI23+(AJ13*Assumptions!$D$13-AI23)*Assumptions!$D$14</f>
        <v>5002.00089115119</v>
      </c>
      <c r="AK23" s="34" t="n">
        <f aca="false">AJ23+(AK13*Assumptions!$D$13-AJ23)*Assumptions!$D$14</f>
        <v>5335.89496598598</v>
      </c>
      <c r="AL23" s="34" t="n">
        <f aca="false">AK23+(AL13*Assumptions!$D$13-AK23)*Assumptions!$D$14</f>
        <v>5668.60125496015</v>
      </c>
      <c r="AM23" s="34" t="n">
        <f aca="false">AL23+(AM13*Assumptions!$D$13-AL23)*Assumptions!$D$14</f>
        <v>5999.42860461663</v>
      </c>
      <c r="AN23" s="35" t="n">
        <f aca="false">AM23+(AN13*Assumptions!$D$13-AM23)*Assumptions!$D$14</f>
        <v>6326.17043717103</v>
      </c>
      <c r="AO23" s="35" t="n">
        <f aca="false">AN23+(AO13*Assumptions!$D$13-AN23)*Assumptions!$D$14</f>
        <v>6649.24908222713</v>
      </c>
      <c r="AP23" s="35" t="n">
        <f aca="false">AO23+(AP13*Assumptions!$D$13-AO23)*Assumptions!$D$14</f>
        <v>6968.96424406195</v>
      </c>
      <c r="AQ23" s="35" t="n">
        <f aca="false">AP23+(AQ13*Assumptions!$D$13-AP23)*Assumptions!$D$14</f>
        <v>7283.75029073923</v>
      </c>
      <c r="AR23" s="35" t="n">
        <f aca="false">AQ23+(AR13*Assumptions!$D$13-AQ23)*Assumptions!$D$14</f>
        <v>7592.65813277698</v>
      </c>
      <c r="AS23" s="35" t="n">
        <f aca="false">AR23+(AS13*Assumptions!$D$13-AR23)*Assumptions!$D$14</f>
        <v>7896.92271900661</v>
      </c>
      <c r="AT23" s="35" t="n">
        <f aca="false">AS23+(AT13*Assumptions!$D$13-AS23)*Assumptions!$D$14</f>
        <v>8195.58232673833</v>
      </c>
      <c r="AU23" s="35" t="n">
        <f aca="false">AT23+(AU13*Assumptions!$D$13-AT23)*Assumptions!$D$14</f>
        <v>8488.07650777934</v>
      </c>
      <c r="AV23" s="35" t="n">
        <f aca="false">AU23+(AV13*Assumptions!$D$13-AU23)*Assumptions!$D$14</f>
        <v>8775.88902557102</v>
      </c>
      <c r="AW23" s="35" t="n">
        <f aca="false">AV23+(AW13*Assumptions!$D$13-AV23)*Assumptions!$D$14</f>
        <v>9058.21617974775</v>
      </c>
      <c r="AX23" s="35" t="n">
        <f aca="false">AW23+(AX13*Assumptions!$D$13-AW23)*Assumptions!$D$14</f>
        <v>9334.59662213446</v>
      </c>
      <c r="AY23" s="35" t="n">
        <f aca="false">AX23+(AY13*Assumptions!$D$13-AX23)*Assumptions!$D$14</f>
        <v>9606.57500705335</v>
      </c>
      <c r="AZ23" s="35" t="n">
        <f aca="false">AY23+(AZ13*Assumptions!$D$13-AY23)*Assumptions!$D$14</f>
        <v>9873.38377718399</v>
      </c>
      <c r="BA23" s="35" t="n">
        <f aca="false">AZ23+(BA13*Assumptions!$D$13-AZ23)*Assumptions!$D$14</f>
        <v>10134.5817272039</v>
      </c>
      <c r="BB23" s="35" t="n">
        <f aca="false">BA23+(BB13*Assumptions!$D$13-BA23)*Assumptions!$D$14</f>
        <v>10389.938337916</v>
      </c>
      <c r="BC23" s="35" t="n">
        <f aca="false">BB23+(BC13*Assumptions!$D$13-BB23)*Assumptions!$D$14</f>
        <v>10639.358629498</v>
      </c>
      <c r="BD23" s="35" t="n">
        <f aca="false">BC23+(BD13*Assumptions!$D$13-BC23)*Assumptions!$D$14</f>
        <v>10882.83435128</v>
      </c>
      <c r="BE23" s="35" t="n">
        <f aca="false">BD23+(BE13*Assumptions!$D$13-BD23)*Assumptions!$D$14</f>
        <v>11120.4122893857</v>
      </c>
      <c r="BF23" s="35" t="n">
        <f aca="false">BE23+(BF13*Assumptions!$D$13-BE23)*Assumptions!$D$14</f>
        <v>11352.173700128</v>
      </c>
      <c r="BG23" s="35" t="n">
        <f aca="false">BF23+(BG13*Assumptions!$D$13-BF23)*Assumptions!$D$14</f>
        <v>11578.2209743098</v>
      </c>
      <c r="BH23" s="35" t="n">
        <f aca="false">BG23+(BH13*Assumptions!$D$13-BG23)*Assumptions!$D$14</f>
        <v>11798.6690007974</v>
      </c>
      <c r="BI23" s="35" t="n">
        <f aca="false">BH23+(BI13*Assumptions!$D$13-BH23)*Assumptions!$D$14</f>
        <v>12013.6395838268</v>
      </c>
      <c r="BJ23" s="35" t="n">
        <f aca="false">BI23+(BJ13*Assumptions!$D$13-BI23)*Assumptions!$D$14</f>
        <v>12223.2578444633</v>
      </c>
      <c r="BK23" s="35" t="n">
        <f aca="false">BJ23+(BK13*Assumptions!$D$13-BJ23)*Assumptions!$D$14</f>
        <v>12427.6499110026</v>
      </c>
    </row>
    <row r="24" customFormat="false" ht="15" hidden="false" customHeight="false" outlineLevel="0" collapsed="false">
      <c r="A24" s="28" t="s">
        <v>566</v>
      </c>
      <c r="B24" s="6" t="s">
        <v>567</v>
      </c>
      <c r="C24" s="32" t="n">
        <v>0</v>
      </c>
      <c r="D24" s="34" t="n">
        <f aca="false">D23/Assumptions!$D$15</f>
        <v>0</v>
      </c>
      <c r="E24" s="34" t="n">
        <f aca="false">E23/Assumptions!$D$15</f>
        <v>0</v>
      </c>
      <c r="F24" s="34" t="n">
        <f aca="false">F23/Assumptions!$D$15</f>
        <v>0</v>
      </c>
      <c r="G24" s="34" t="n">
        <f aca="false">G23/Assumptions!$D$15</f>
        <v>0</v>
      </c>
      <c r="H24" s="34" t="n">
        <f aca="false">H23/Assumptions!$D$15</f>
        <v>31.875</v>
      </c>
      <c r="I24" s="34" t="n">
        <f aca="false">I23/Assumptions!$D$15</f>
        <v>79.846875</v>
      </c>
      <c r="J24" s="34" t="n">
        <f aca="false">J23/Assumptions!$D$15</f>
        <v>128.675390625</v>
      </c>
      <c r="K24" s="34" t="n">
        <f aca="false">K23/Assumptions!$D$15</f>
        <v>171.244552734375</v>
      </c>
      <c r="L24" s="34" t="n">
        <f aca="false">L23/Assumptions!$D$15</f>
        <v>204.374369384766</v>
      </c>
      <c r="M24" s="34" t="n">
        <f aca="false">M23/Assumptions!$D$15</f>
        <v>229.957114954834</v>
      </c>
      <c r="N24" s="34" t="n">
        <f aca="false">N23/Assumptions!$D$15</f>
        <v>277.30805520401</v>
      </c>
      <c r="O24" s="34" t="n">
        <f aca="false">O23/Assumptions!$D$15</f>
        <v>334.21526810389</v>
      </c>
      <c r="P24" s="34" t="n">
        <f aca="false">P23/Assumptions!$D$15</f>
        <v>387.75583068328</v>
      </c>
      <c r="Q24" s="34" t="n">
        <f aca="false">Q23/Assumptions!$D$15</f>
        <v>464.19429869949</v>
      </c>
      <c r="R24" s="34" t="n">
        <f aca="false">R23/Assumptions!$D$15</f>
        <v>545.550477691142</v>
      </c>
      <c r="S24" s="34" t="n">
        <f aca="false">S23/Assumptions!$D$15</f>
        <v>619.111389447305</v>
      </c>
      <c r="T24" s="34" t="n">
        <f aca="false">T23/Assumptions!$D$15</f>
        <v>707.488392615108</v>
      </c>
      <c r="U24" s="34" t="n">
        <f aca="false">U23/Assumptions!$D$15</f>
        <v>827.431794937322</v>
      </c>
      <c r="V24" s="34" t="n">
        <f aca="false">V23/Assumptions!$D$15</f>
        <v>952.305897953323</v>
      </c>
      <c r="W24" s="34" t="n">
        <f aca="false">W23/Assumptions!$D$15</f>
        <v>1090.68718413262</v>
      </c>
      <c r="X24" s="34" t="n">
        <f aca="false">X23/Assumptions!$D$15</f>
        <v>1252.99281138759</v>
      </c>
      <c r="Y24" s="34" t="n">
        <f aca="false">Y23/Assumptions!$D$15</f>
        <v>1409.91531556079</v>
      </c>
      <c r="Z24" s="34" t="n">
        <f aca="false">Z23/Assumptions!$D$15</f>
        <v>1572.25319356939</v>
      </c>
      <c r="AA24" s="34" t="n">
        <f aca="false">AA23/Assumptions!$D$15</f>
        <v>1748.07760831362</v>
      </c>
      <c r="AB24" s="34" t="n">
        <f aca="false">AB23/Assumptions!$D$15</f>
        <v>1911.78565208502</v>
      </c>
      <c r="AC24" s="34" t="n">
        <f aca="false">AC23/Assumptions!$D$15</f>
        <v>2076.58250036941</v>
      </c>
      <c r="AD24" s="34" t="n">
        <f aca="false">AD23/Assumptions!$D$15</f>
        <v>2252.1024060914</v>
      </c>
      <c r="AE24" s="34" t="n">
        <f aca="false">AE23/Assumptions!$D$15</f>
        <v>2444.35725028942</v>
      </c>
      <c r="AF24" s="34" t="n">
        <f aca="false">AF23/Assumptions!$D$15</f>
        <v>2651.91063185988</v>
      </c>
      <c r="AG24" s="34" t="n">
        <f aca="false">AG23/Assumptions!$D$15</f>
        <v>2869.89336940139</v>
      </c>
      <c r="AH24" s="34" t="n">
        <f aca="false">AH23/Assumptions!$D$15</f>
        <v>3098.95336233605</v>
      </c>
      <c r="AI24" s="34" t="n">
        <f aca="false">AI23/Assumptions!$D$15</f>
        <v>3334.30429093796</v>
      </c>
      <c r="AJ24" s="34" t="n">
        <f aca="false">AJ23/Assumptions!$D$15</f>
        <v>3572.85777939371</v>
      </c>
      <c r="AK24" s="34" t="n">
        <f aca="false">AK23/Assumptions!$D$15</f>
        <v>3811.35354713284</v>
      </c>
      <c r="AL24" s="34" t="n">
        <f aca="false">AL23/Assumptions!$D$15</f>
        <v>4049.00089640011</v>
      </c>
      <c r="AM24" s="34" t="n">
        <f aca="false">AM23/Assumptions!$D$15</f>
        <v>4285.30614615474</v>
      </c>
      <c r="AN24" s="35" t="n">
        <f aca="false">AN23/Assumptions!$D$15</f>
        <v>4518.69316940788</v>
      </c>
      <c r="AO24" s="35" t="n">
        <f aca="false">AO23/Assumptions!$D$15</f>
        <v>4749.46363016224</v>
      </c>
      <c r="AP24" s="35" t="n">
        <f aca="false">AP23/Assumptions!$D$15</f>
        <v>4977.83160290139</v>
      </c>
      <c r="AQ24" s="35" t="n">
        <f aca="false">AQ23/Assumptions!$D$15</f>
        <v>5202.67877909945</v>
      </c>
      <c r="AR24" s="35" t="n">
        <f aca="false">AR23/Assumptions!$D$15</f>
        <v>5423.32723769784</v>
      </c>
      <c r="AS24" s="35" t="n">
        <f aca="false">AS23/Assumptions!$D$15</f>
        <v>5640.65908500472</v>
      </c>
      <c r="AT24" s="35" t="n">
        <f aca="false">AT23/Assumptions!$D$15</f>
        <v>5853.98737624166</v>
      </c>
      <c r="AU24" s="35" t="n">
        <f aca="false">AU23/Assumptions!$D$15</f>
        <v>6062.91179127096</v>
      </c>
      <c r="AV24" s="35" t="n">
        <f aca="false">AV23/Assumptions!$D$15</f>
        <v>6268.49216112216</v>
      </c>
      <c r="AW24" s="35" t="n">
        <f aca="false">AW23/Assumptions!$D$15</f>
        <v>6470.15441410553</v>
      </c>
      <c r="AX24" s="35" t="n">
        <f aca="false">AX23/Assumptions!$D$15</f>
        <v>6667.56901581033</v>
      </c>
      <c r="AY24" s="35" t="n">
        <f aca="false">AY23/Assumptions!$D$15</f>
        <v>6861.8392907524</v>
      </c>
      <c r="AZ24" s="35" t="n">
        <f aca="false">AZ23/Assumptions!$D$15</f>
        <v>7052.41698370285</v>
      </c>
      <c r="BA24" s="35" t="n">
        <f aca="false">BA23/Assumptions!$D$15</f>
        <v>7238.9869480028</v>
      </c>
      <c r="BB24" s="35" t="n">
        <f aca="false">BB23/Assumptions!$D$15</f>
        <v>7421.38452708287</v>
      </c>
      <c r="BC24" s="35" t="n">
        <f aca="false">BC23/Assumptions!$D$15</f>
        <v>7599.54187821289</v>
      </c>
      <c r="BD24" s="35" t="n">
        <f aca="false">BD23/Assumptions!$D$15</f>
        <v>7773.45310805717</v>
      </c>
      <c r="BE24" s="35" t="n">
        <f aca="false">BE23/Assumptions!$D$15</f>
        <v>7943.15163527549</v>
      </c>
      <c r="BF24" s="35" t="n">
        <f aca="false">BF23/Assumptions!$D$15</f>
        <v>8108.69550009144</v>
      </c>
      <c r="BG24" s="35" t="n">
        <f aca="false">BG23/Assumptions!$D$15</f>
        <v>8270.15783879274</v>
      </c>
      <c r="BH24" s="35" t="n">
        <f aca="false">BH23/Assumptions!$D$15</f>
        <v>8427.62071485526</v>
      </c>
      <c r="BI24" s="35" t="n">
        <f aca="false">BI23/Assumptions!$D$15</f>
        <v>8581.17113130489</v>
      </c>
      <c r="BJ24" s="35" t="n">
        <f aca="false">BJ23/Assumptions!$D$15</f>
        <v>8730.89846033093</v>
      </c>
      <c r="BK24" s="35" t="n">
        <f aca="false">BK23/Assumptions!$D$15</f>
        <v>8876.89279357329</v>
      </c>
    </row>
    <row r="25" customFormat="false" ht="15" hidden="false" customHeight="false" outlineLevel="0" collapsed="false">
      <c r="A25" s="28" t="s">
        <v>568</v>
      </c>
      <c r="B25" s="6" t="s">
        <v>569</v>
      </c>
      <c r="C25" s="32" t="n">
        <v>0</v>
      </c>
      <c r="D25" s="34" t="n">
        <f aca="false">MAX(0,D24-C24)+C24*Assumptions!$D$16</f>
        <v>0</v>
      </c>
      <c r="E25" s="34" t="n">
        <f aca="false">MAX(0,E24-D24)+D24*Assumptions!$D$16</f>
        <v>0</v>
      </c>
      <c r="F25" s="34" t="n">
        <f aca="false">MAX(0,F24-E24)+E24*Assumptions!$D$16</f>
        <v>0</v>
      </c>
      <c r="G25" s="34" t="n">
        <f aca="false">MAX(0,G24-F24)+F24*Assumptions!$D$16</f>
        <v>0</v>
      </c>
      <c r="H25" s="34" t="n">
        <f aca="false">MAX(0,H24-G24)+G24*Assumptions!$D$16</f>
        <v>31.875</v>
      </c>
      <c r="I25" s="34" t="n">
        <f aca="false">MAX(0,I24-H24)+H24*Assumptions!$D$16</f>
        <v>49.246875</v>
      </c>
      <c r="J25" s="34" t="n">
        <f aca="false">MAX(0,J24-I24)+I24*Assumptions!$D$16</f>
        <v>52.022390625</v>
      </c>
      <c r="K25" s="34" t="n">
        <f aca="false">MAX(0,K24-J24)+J24*Assumptions!$D$16</f>
        <v>47.716177734375</v>
      </c>
      <c r="L25" s="34" t="n">
        <f aca="false">MAX(0,L24-K24)+K24*Assumptions!$D$16</f>
        <v>39.9795987597656</v>
      </c>
      <c r="M25" s="34" t="n">
        <f aca="false">MAX(0,M24-L24)+L24*Assumptions!$D$16</f>
        <v>33.757720345459</v>
      </c>
      <c r="N25" s="34" t="n">
        <f aca="false">MAX(0,N24-M24)+M24*Assumptions!$D$16</f>
        <v>56.5492248473694</v>
      </c>
      <c r="O25" s="34" t="n">
        <f aca="false">MAX(0,O24-N24)+N24*Assumptions!$D$16</f>
        <v>67.9995351080406</v>
      </c>
      <c r="P25" s="34" t="n">
        <f aca="false">MAX(0,P24-O24)+O24*Assumptions!$D$16</f>
        <v>66.9091733035457</v>
      </c>
      <c r="Q25" s="34" t="n">
        <f aca="false">MAX(0,Q24-P24)+P24*Assumptions!$D$16</f>
        <v>91.9487012435409</v>
      </c>
      <c r="R25" s="34" t="n">
        <f aca="false">MAX(0,R24-Q24)+Q24*Assumptions!$D$16</f>
        <v>99.923950939632</v>
      </c>
      <c r="S25" s="34" t="n">
        <f aca="false">MAX(0,S24-R24)+R24*Assumptions!$D$16</f>
        <v>95.3829308638079</v>
      </c>
      <c r="T25" s="34" t="n">
        <f aca="false">MAX(0,T24-S24)+S24*Assumptions!$D$16</f>
        <v>113.141458745696</v>
      </c>
      <c r="U25" s="34" t="n">
        <f aca="false">MAX(0,U24-T24)+T24*Assumptions!$D$16</f>
        <v>148.242938026818</v>
      </c>
      <c r="V25" s="34" t="n">
        <f aca="false">MAX(0,V24-U24)+U24*Assumptions!$D$16</f>
        <v>157.971374813494</v>
      </c>
      <c r="W25" s="34" t="n">
        <f aca="false">MAX(0,W24-V24)+V24*Assumptions!$D$16</f>
        <v>176.473522097432</v>
      </c>
      <c r="X25" s="34" t="n">
        <f aca="false">MAX(0,X24-W24)+W24*Assumptions!$D$16</f>
        <v>205.933114620276</v>
      </c>
      <c r="Y25" s="34" t="n">
        <f aca="false">MAX(0,Y24-X24)+X24*Assumptions!$D$16</f>
        <v>207.0422166287</v>
      </c>
      <c r="Z25" s="34" t="n">
        <f aca="false">MAX(0,Z24-Y24)+Y24*Assumptions!$D$16</f>
        <v>218.734490631038</v>
      </c>
      <c r="AA25" s="34" t="n">
        <f aca="false">MAX(0,AA24-Z24)+Z24*Assumptions!$D$16</f>
        <v>238.714542486998</v>
      </c>
      <c r="AB25" s="34" t="n">
        <f aca="false">MAX(0,AB24-AA24)+AA24*Assumptions!$D$16</f>
        <v>233.631148103951</v>
      </c>
      <c r="AC25" s="34" t="n">
        <f aca="false">MAX(0,AC24-AB24)+AB24*Assumptions!$D$16</f>
        <v>241.268274367786</v>
      </c>
      <c r="AD25" s="34" t="n">
        <f aca="false">MAX(0,AD24-AC24)+AC24*Assumptions!$D$16</f>
        <v>258.583205736773</v>
      </c>
      <c r="AE25" s="34" t="n">
        <f aca="false">MAX(0,AE24-AD24)+AD24*Assumptions!$D$16</f>
        <v>282.338940441672</v>
      </c>
      <c r="AF25" s="34" t="n">
        <f aca="false">MAX(0,AF24-AE24)+AE24*Assumptions!$D$16</f>
        <v>305.327671582037</v>
      </c>
      <c r="AG25" s="34" t="n">
        <f aca="false">MAX(0,AG24-AF24)+AF24*Assumptions!$D$16</f>
        <v>324.0591628159</v>
      </c>
      <c r="AH25" s="34" t="n">
        <f aca="false">MAX(0,AH24-AG24)+AG24*Assumptions!$D$16</f>
        <v>343.855727710722</v>
      </c>
      <c r="AI25" s="34" t="n">
        <f aca="false">MAX(0,AI24-AH24)+AH24*Assumptions!$D$16</f>
        <v>359.309063095347</v>
      </c>
      <c r="AJ25" s="34" t="n">
        <f aca="false">MAX(0,AJ24-AI24)+AI24*Assumptions!$D$16</f>
        <v>371.925660093268</v>
      </c>
      <c r="AK25" s="34" t="n">
        <f aca="false">MAX(0,AK24-AJ24)+AJ24*Assumptions!$D$16</f>
        <v>381.410078914885</v>
      </c>
      <c r="AL25" s="34" t="n">
        <f aca="false">MAX(0,AL24-AK24)+AK24*Assumptions!$D$16</f>
        <v>390.10149115258</v>
      </c>
      <c r="AM25" s="34" t="n">
        <f aca="false">MAX(0,AM24-AL24)+AL24*Assumptions!$D$16</f>
        <v>398.265285610633</v>
      </c>
      <c r="AN25" s="35" t="n">
        <f aca="false">MAX(0,AN24-AM24)+AM24*Assumptions!$D$16</f>
        <v>404.799269099331</v>
      </c>
      <c r="AO25" s="35" t="n">
        <f aca="false">MAX(0,AO24-AN24)+AN24*Assumptions!$D$16</f>
        <v>411.518187530674</v>
      </c>
      <c r="AP25" s="35" t="n">
        <f aca="false">MAX(0,AP24-AO24)+AO24*Assumptions!$D$16</f>
        <v>418.346517945645</v>
      </c>
      <c r="AQ25" s="35" t="n">
        <f aca="false">MAX(0,AQ24-AP24)+AP24*Assumptions!$D$16</f>
        <v>423.960440314109</v>
      </c>
      <c r="AR25" s="35" t="n">
        <f aca="false">MAX(0,AR24-AQ24)+AQ24*Assumptions!$D$16</f>
        <v>428.755609762374</v>
      </c>
      <c r="AS25" s="35" t="n">
        <f aca="false">MAX(0,AS24-AR24)+AR24*Assumptions!$D$16</f>
        <v>434.264936814791</v>
      </c>
      <c r="AT25" s="35" t="n">
        <f aca="false">MAX(0,AT24-AS24)+AS24*Assumptions!$D$16</f>
        <v>438.95465463713</v>
      </c>
      <c r="AU25" s="35" t="n">
        <f aca="false">MAX(0,AU24-AT24)+AT24*Assumptions!$D$16</f>
        <v>443.083910078964</v>
      </c>
      <c r="AV25" s="35" t="n">
        <f aca="false">MAX(0,AV24-AU24)+AU24*Assumptions!$D$16</f>
        <v>448.096841502036</v>
      </c>
      <c r="AW25" s="35" t="n">
        <f aca="false">MAX(0,AW24-AV24)+AV24*Assumptions!$D$16</f>
        <v>452.401939428263</v>
      </c>
      <c r="AX25" s="35" t="n">
        <f aca="false">MAX(0,AX24-AW24)+AW24*Assumptions!$D$16</f>
        <v>456.220778269014</v>
      </c>
      <c r="AY25" s="35" t="n">
        <f aca="false">MAX(0,AY24-AX24)+AX24*Assumptions!$D$16</f>
        <v>460.973035574484</v>
      </c>
      <c r="AZ25" s="35" t="n">
        <f aca="false">MAX(0,AZ24-AY24)+AY24*Assumptions!$D$16</f>
        <v>465.05126458055</v>
      </c>
      <c r="BA25" s="35" t="n">
        <f aca="false">MAX(0,BA24-AZ24)+AZ24*Assumptions!$D$16</f>
        <v>468.666643648065</v>
      </c>
      <c r="BB25" s="35" t="n">
        <f aca="false">MAX(0,BB24-BA24)+BA24*Assumptions!$D$16</f>
        <v>471.95705700018</v>
      </c>
      <c r="BC25" s="35" t="n">
        <f aca="false">MAX(0,BC24-BB24)+BB24*Assumptions!$D$16</f>
        <v>475.012732213333</v>
      </c>
      <c r="BD25" s="35" t="n">
        <f aca="false">MAX(0,BD24-BC24)+BC24*Assumptions!$D$16</f>
        <v>477.892904972802</v>
      </c>
      <c r="BE25" s="35" t="n">
        <f aca="false">MAX(0,BE24-BD24)+BD24*Assumptions!$D$16</f>
        <v>480.636651540603</v>
      </c>
      <c r="BF25" s="35" t="n">
        <f aca="false">MAX(0,BF24-BE24)+BE24*Assumptions!$D$16</f>
        <v>483.269930226967</v>
      </c>
      <c r="BG25" s="35" t="n">
        <f aca="false">MAX(0,BG24-BF24)+BF24*Assumptions!$D$16</f>
        <v>485.810158704964</v>
      </c>
      <c r="BH25" s="35" t="n">
        <f aca="false">MAX(0,BH24-BG24)+BG24*Assumptions!$D$16</f>
        <v>488.269189614224</v>
      </c>
      <c r="BI25" s="35" t="n">
        <f aca="false">MAX(0,BI24-BH24)+BH24*Assumptions!$D$16</f>
        <v>490.655245043846</v>
      </c>
      <c r="BJ25" s="35" t="n">
        <f aca="false">MAX(0,BJ24-BI24)+BI24*Assumptions!$D$16</f>
        <v>492.974174278234</v>
      </c>
      <c r="BK25" s="35" t="n">
        <f aca="false">MAX(0,BK24-BJ24)+BJ24*Assumptions!$D$16</f>
        <v>495.230271655595</v>
      </c>
    </row>
    <row r="26" customFormat="false" ht="15" hidden="false" customHeight="false" outlineLevel="0" collapsed="false">
      <c r="B26" s="5" t="s">
        <v>570</v>
      </c>
    </row>
    <row r="27" customFormat="false" ht="15" hidden="false" customHeight="false" outlineLevel="0" collapsed="false">
      <c r="A27" s="28" t="s">
        <v>571</v>
      </c>
      <c r="B27" s="6" t="s">
        <v>572</v>
      </c>
      <c r="C27" s="36" t="n">
        <v>0</v>
      </c>
      <c r="D27" s="26" t="n">
        <f aca="false">C27*(1-Assumptions!$D$41)+D16*((1-(1-Assumptions!$D$30)^(1/12))*Assumptions!$D$40)*MAX(0,D13*Assumptions!$D$25-C27)</f>
        <v>0</v>
      </c>
      <c r="E27" s="26" t="n">
        <f aca="false">D27*(1-Assumptions!$D$41)+E16*((1-(1-Assumptions!$D$30)^(1/12))*Assumptions!$D$40)*MAX(0,E13*Assumptions!$D$25-D27)</f>
        <v>0</v>
      </c>
      <c r="F27" s="26" t="n">
        <f aca="false">E27*(1-Assumptions!$D$41)+F16*((1-(1-Assumptions!$D$30)^(1/12))*Assumptions!$D$40)*MAX(0,F13*Assumptions!$D$25-E27)</f>
        <v>0</v>
      </c>
      <c r="G27" s="26" t="n">
        <f aca="false">F27*(1-Assumptions!$D$41)+G16*((1-(1-Assumptions!$D$30)^(1/12))*Assumptions!$D$40)*MAX(0,G13*Assumptions!$D$25-F27)</f>
        <v>0</v>
      </c>
      <c r="H27" s="26" t="n">
        <f aca="false">G27*(1-Assumptions!$D$41)+H16*((1-(1-Assumptions!$D$30)^(1/12))*Assumptions!$D$40)*MAX(0,H13*Assumptions!$D$25-G27)</f>
        <v>0</v>
      </c>
      <c r="I27" s="26" t="n">
        <f aca="false">H27*(1-Assumptions!$D$41)+I16*((1-(1-Assumptions!$D$30)^(1/12))*Assumptions!$D$40)*MAX(0,I13*Assumptions!$D$25-H27)</f>
        <v>0</v>
      </c>
      <c r="J27" s="26" t="n">
        <f aca="false">I27*(1-Assumptions!$D$41)+J16*((1-(1-Assumptions!$D$30)^(1/12))*Assumptions!$D$40)*MAX(0,J13*Assumptions!$D$25-I27)</f>
        <v>0</v>
      </c>
      <c r="K27" s="26" t="n">
        <f aca="false">J27*(1-Assumptions!$D$41)+K16*((1-(1-Assumptions!$D$30)^(1/12))*Assumptions!$D$40)*MAX(0,K13*Assumptions!$D$25-J27)</f>
        <v>0</v>
      </c>
      <c r="L27" s="26" t="n">
        <f aca="false">K27*(1-Assumptions!$D$41)+L16*((1-(1-Assumptions!$D$30)^(1/12))*Assumptions!$D$40)*MAX(0,L13*Assumptions!$D$25-K27)</f>
        <v>0</v>
      </c>
      <c r="M27" s="26" t="n">
        <f aca="false">L27*(1-Assumptions!$D$41)+M16*((1-(1-Assumptions!$D$30)^(1/12))*Assumptions!$D$40)*MAX(0,M13*Assumptions!$D$25-L27)</f>
        <v>0</v>
      </c>
      <c r="N27" s="26" t="n">
        <f aca="false">M27*(1-Assumptions!$D$41)+N16*((1-(1-Assumptions!$D$30)^(1/12))*Assumptions!$D$40)*MAX(0,N13*Assumptions!$D$25-M27)</f>
        <v>0</v>
      </c>
      <c r="O27" s="26" t="n">
        <f aca="false">N27*(1-Assumptions!$D$41)+O16*((1-(1-Assumptions!$D$30)^(1/12))*Assumptions!$D$40)*MAX(0,O13*Assumptions!$D$25-N27)</f>
        <v>0</v>
      </c>
      <c r="P27" s="26" t="n">
        <f aca="false">O27*(1-Assumptions!$D$41)+P16*((1-(1-Assumptions!$D$30)^(1/12))*Assumptions!$D$40)*MAX(0,P13*Assumptions!$D$25-O27)</f>
        <v>0</v>
      </c>
      <c r="Q27" s="26" t="n">
        <f aca="false">P27*(1-Assumptions!$D$41)+Q16*((1-(1-Assumptions!$D$30)^(1/12))*Assumptions!$D$40)*MAX(0,Q13*Assumptions!$D$25-P27)</f>
        <v>0</v>
      </c>
      <c r="R27" s="26" t="n">
        <f aca="false">Q27*(1-Assumptions!$D$41)+R16*((1-(1-Assumptions!$D$30)^(1/12))*Assumptions!$D$40)*MAX(0,R13*Assumptions!$D$25-Q27)</f>
        <v>0</v>
      </c>
      <c r="S27" s="26" t="n">
        <f aca="false">R27*(1-Assumptions!$D$41)+S16*((1-(1-Assumptions!$D$30)^(1/12))*Assumptions!$D$40)*MAX(0,S13*Assumptions!$D$25-R27)</f>
        <v>0</v>
      </c>
      <c r="T27" s="26" t="n">
        <f aca="false">S27*(1-Assumptions!$D$41)+T16*((1-(1-Assumptions!$D$30)^(1/12))*Assumptions!$D$40)*MAX(0,T13*Assumptions!$D$25-S27)</f>
        <v>0</v>
      </c>
      <c r="U27" s="26" t="n">
        <f aca="false">T27*(1-Assumptions!$D$41)+U16*((1-(1-Assumptions!$D$30)^(1/12))*Assumptions!$D$40)*MAX(0,U13*Assumptions!$D$25-T27)</f>
        <v>0</v>
      </c>
      <c r="V27" s="26" t="n">
        <f aca="false">U27*(1-Assumptions!$D$41)+V16*((1-(1-Assumptions!$D$30)^(1/12))*Assumptions!$D$40)*MAX(0,V13*Assumptions!$D$25-U27)</f>
        <v>0</v>
      </c>
      <c r="W27" s="26" t="n">
        <f aca="false">V27*(1-Assumptions!$D$41)+W16*((1-(1-Assumptions!$D$30)^(1/12))*Assumptions!$D$40)*MAX(0,W13*Assumptions!$D$25-V27)</f>
        <v>0</v>
      </c>
      <c r="X27" s="26" t="n">
        <f aca="false">W27*(1-Assumptions!$D$41)+X16*((1-(1-Assumptions!$D$30)^(1/12))*Assumptions!$D$40)*MAX(0,X13*Assumptions!$D$25-W27)</f>
        <v>0</v>
      </c>
      <c r="Y27" s="26" t="n">
        <f aca="false">X27*(1-Assumptions!$D$41)+Y16*((1-(1-Assumptions!$D$30)^(1/12))*Assumptions!$D$40)*MAX(0,Y13*Assumptions!$D$25-X27)</f>
        <v>0</v>
      </c>
      <c r="Z27" s="26" t="n">
        <f aca="false">Y27*(1-Assumptions!$D$41)+Z16*((1-(1-Assumptions!$D$30)^(1/12))*Assumptions!$D$40)*MAX(0,Z13*Assumptions!$D$25-Y27)</f>
        <v>0</v>
      </c>
      <c r="AA27" s="26" t="n">
        <f aca="false">Z27*(1-Assumptions!$D$41)+AA16*((1-(1-Assumptions!$D$30)^(1/12))*Assumptions!$D$40)*MAX(0,AA13*Assumptions!$D$25-Z27)</f>
        <v>0</v>
      </c>
      <c r="AB27" s="26" t="n">
        <f aca="false">AA27*(1-Assumptions!$D$41)+AB16*((1-(1-Assumptions!$D$30)^(1/12))*Assumptions!$D$40)*MAX(0,AB13*Assumptions!$D$25-AA27)</f>
        <v>0</v>
      </c>
      <c r="AC27" s="26" t="n">
        <f aca="false">AB27*(1-Assumptions!$D$41)+AC16*((1-(1-Assumptions!$D$30)^(1/12))*Assumptions!$D$40)*MAX(0,AC13*Assumptions!$D$25-AB27)</f>
        <v>0</v>
      </c>
      <c r="AD27" s="26" t="n">
        <f aca="false">AC27*(1-Assumptions!$D$41)+AD16*((1-(1-Assumptions!$D$30)^(1/12))*Assumptions!$D$40)*MAX(0,AD13*Assumptions!$D$25-AC27)</f>
        <v>0</v>
      </c>
      <c r="AE27" s="26" t="n">
        <f aca="false">AD27*(1-Assumptions!$D$41)+AE16*((1-(1-Assumptions!$D$30)^(1/12))*Assumptions!$D$40)*MAX(0,AE13*Assumptions!$D$25-AD27)</f>
        <v>0</v>
      </c>
      <c r="AF27" s="26" t="n">
        <f aca="false">AE27*(1-Assumptions!$D$41)+AF16*((1-(1-Assumptions!$D$30)^(1/12))*Assumptions!$D$40)*MAX(0,AF13*Assumptions!$D$25-AE27)</f>
        <v>0</v>
      </c>
      <c r="AG27" s="26" t="n">
        <f aca="false">AF27*(1-Assumptions!$D$41)+AG16*((1-(1-Assumptions!$D$30)^(1/12))*Assumptions!$D$40)*MAX(0,AG13*Assumptions!$D$25-AF27)</f>
        <v>0</v>
      </c>
      <c r="AH27" s="26" t="n">
        <f aca="false">AG27*(1-Assumptions!$D$41)+AH16*((1-(1-Assumptions!$D$30)^(1/12))*Assumptions!$D$40)*MAX(0,AH13*Assumptions!$D$25-AG27)</f>
        <v>0</v>
      </c>
      <c r="AI27" s="26" t="n">
        <f aca="false">AH27*(1-Assumptions!$D$41)+AI16*((1-(1-Assumptions!$D$30)^(1/12))*Assumptions!$D$40)*MAX(0,AI13*Assumptions!$D$25-AH27)</f>
        <v>0</v>
      </c>
      <c r="AJ27" s="26" t="n">
        <f aca="false">AI27*(1-Assumptions!$D$41)+AJ16*((1-(1-Assumptions!$D$30)^(1/12))*Assumptions!$D$40)*MAX(0,AJ13*Assumptions!$D$25-AI27)</f>
        <v>0</v>
      </c>
      <c r="AK27" s="26" t="n">
        <f aca="false">AJ27*(1-Assumptions!$D$41)+AK16*((1-(1-Assumptions!$D$30)^(1/12))*Assumptions!$D$40)*MAX(0,AK13*Assumptions!$D$25-AJ27)</f>
        <v>0</v>
      </c>
      <c r="AL27" s="26" t="n">
        <f aca="false">AK27*(1-Assumptions!$D$41)+AL16*((1-(1-Assumptions!$D$30)^(1/12))*Assumptions!$D$40)*MAX(0,AL13*Assumptions!$D$25-AK27)</f>
        <v>0</v>
      </c>
      <c r="AM27" s="26" t="n">
        <f aca="false">AL27*(1-Assumptions!$D$41)+AM16*((1-(1-Assumptions!$D$30)^(1/12))*Assumptions!$D$40)*MAX(0,AM13*Assumptions!$D$25-AL27)</f>
        <v>0</v>
      </c>
      <c r="AN27" s="37" t="n">
        <f aca="false">AM27*(1-Assumptions!$D$41)+AN16*((1-(1-Assumptions!$D$30)^(1/12))*Assumptions!$D$40)*MAX(0,AN13*Assumptions!$D$25-AM27)</f>
        <v>0</v>
      </c>
      <c r="AO27" s="37" t="n">
        <f aca="false">AN27*(1-Assumptions!$D$41)+AO16*((1-(1-Assumptions!$D$30)^(1/12))*Assumptions!$D$40)*MAX(0,AO13*Assumptions!$D$25-AN27)</f>
        <v>0</v>
      </c>
      <c r="AP27" s="37" t="n">
        <f aca="false">AO27*(1-Assumptions!$D$41)+AP16*((1-(1-Assumptions!$D$30)^(1/12))*Assumptions!$D$40)*MAX(0,AP13*Assumptions!$D$25-AO27)</f>
        <v>1.24282008576699</v>
      </c>
      <c r="AQ27" s="37" t="n">
        <f aca="false">AP27*(1-Assumptions!$D$41)+AQ16*((1-(1-Assumptions!$D$30)^(1/12))*Assumptions!$D$40)*MAX(0,AQ13*Assumptions!$D$25-AP27)</f>
        <v>2.45076232709323</v>
      </c>
      <c r="AR27" s="37" t="n">
        <f aca="false">AQ27*(1-Assumptions!$D$41)+AR16*((1-(1-Assumptions!$D$30)^(1/12))*Assumptions!$D$40)*MAX(0,AR13*Assumptions!$D$25-AQ27)</f>
        <v>3.62495938331664</v>
      </c>
      <c r="AS27" s="37" t="n">
        <f aca="false">AR27*(1-Assumptions!$D$41)+AS16*((1-(1-Assumptions!$D$30)^(1/12))*Assumptions!$D$40)*MAX(0,AS13*Assumptions!$D$25-AR27)</f>
        <v>4.76733585330502</v>
      </c>
      <c r="AT27" s="37" t="n">
        <f aca="false">AS27*(1-Assumptions!$D$41)+AT16*((1-(1-Assumptions!$D$30)^(1/12))*Assumptions!$D$40)*MAX(0,AT13*Assumptions!$D$25-AS27)</f>
        <v>5.87885609130903</v>
      </c>
      <c r="AU27" s="37" t="n">
        <f aca="false">AT27*(1-Assumptions!$D$41)+AU16*((1-(1-Assumptions!$D$30)^(1/12))*Assumptions!$D$40)*MAX(0,AU13*Assumptions!$D$25-AT27)</f>
        <v>6.96044878118954</v>
      </c>
      <c r="AV27" s="37" t="n">
        <f aca="false">AU27*(1-Assumptions!$D$41)+AV16*((1-(1-Assumptions!$D$30)^(1/12))*Assumptions!$D$40)*MAX(0,AV13*Assumptions!$D$25-AU27)</f>
        <v>8.01384672859565</v>
      </c>
      <c r="AW27" s="37" t="n">
        <f aca="false">AV27*(1-Assumptions!$D$41)+AW16*((1-(1-Assumptions!$D$30)^(1/12))*Assumptions!$D$40)*MAX(0,AW13*Assumptions!$D$25-AV27)</f>
        <v>9.03983388725134</v>
      </c>
      <c r="AX27" s="37" t="n">
        <f aca="false">AW27*(1-Assumptions!$D$41)+AX16*((1-(1-Assumptions!$D$30)^(1/12))*Assumptions!$D$40)*MAX(0,AX13*Assumptions!$D$25-AW27)</f>
        <v>10.0391691965676</v>
      </c>
      <c r="AY27" s="37" t="n">
        <f aca="false">AX27*(1-Assumptions!$D$41)+AY16*((1-(1-Assumptions!$D$30)^(1/12))*Assumptions!$D$40)*MAX(0,AY13*Assumptions!$D$25-AX27)</f>
        <v>11.0134256865578</v>
      </c>
      <c r="AZ27" s="37" t="n">
        <f aca="false">AY27*(1-Assumptions!$D$41)+AZ16*((1-(1-Assumptions!$D$30)^(1/12))*Assumptions!$D$40)*MAX(0,AZ13*Assumptions!$D$25-AY27)</f>
        <v>11.9632368628628</v>
      </c>
      <c r="BA27" s="37" t="n">
        <f aca="false">AZ27*(1-Assumptions!$D$41)+BA16*((1-(1-Assumptions!$D$30)^(1/12))*Assumptions!$D$40)*MAX(0,BA13*Assumptions!$D$25-AZ27)</f>
        <v>12.8892199459781</v>
      </c>
      <c r="BB27" s="37" t="n">
        <f aca="false">BA27*(1-Assumptions!$D$41)+BB16*((1-(1-Assumptions!$D$30)^(1/12))*Assumptions!$D$40)*MAX(0,BB13*Assumptions!$D$25-BA27)</f>
        <v>13.791976309026</v>
      </c>
      <c r="BC27" s="37" t="n">
        <f aca="false">BB27*(1-Assumptions!$D$41)+BC16*((1-(1-Assumptions!$D$30)^(1/12))*Assumptions!$D$40)*MAX(0,BC13*Assumptions!$D$25-BB27)</f>
        <v>14.672091902485</v>
      </c>
      <c r="BD27" s="37" t="n">
        <f aca="false">BC27*(1-Assumptions!$D$41)+BD16*((1-(1-Assumptions!$D$30)^(1/12))*Assumptions!$D$40)*MAX(0,BD13*Assumptions!$D$25-BC27)</f>
        <v>15.5301376663466</v>
      </c>
      <c r="BE27" s="37" t="n">
        <f aca="false">BD27*(1-Assumptions!$D$41)+BE16*((1-(1-Assumptions!$D$30)^(1/12))*Assumptions!$D$40)*MAX(0,BE13*Assumptions!$D$25-BD27)</f>
        <v>16.366669930147</v>
      </c>
      <c r="BF27" s="37" t="n">
        <f aca="false">BE27*(1-Assumptions!$D$41)+BF16*((1-(1-Assumptions!$D$30)^(1/12))*Assumptions!$D$40)*MAX(0,BF13*Assumptions!$D$25-BE27)</f>
        <v>17.1822308013018</v>
      </c>
      <c r="BG27" s="37" t="n">
        <f aca="false">BF27*(1-Assumptions!$D$41)+BG16*((1-(1-Assumptions!$D$30)^(1/12))*Assumptions!$D$40)*MAX(0,BG13*Assumptions!$D$25-BF27)</f>
        <v>17.9773485421528</v>
      </c>
      <c r="BH27" s="37" t="n">
        <f aca="false">BG27*(1-Assumptions!$D$41)+BH16*((1-(1-Assumptions!$D$30)^(1/12))*Assumptions!$D$40)*MAX(0,BH13*Assumptions!$D$25-BG27)</f>
        <v>18.7525379361165</v>
      </c>
      <c r="BI27" s="37" t="n">
        <f aca="false">BH27*(1-Assumptions!$D$41)+BI16*((1-(1-Assumptions!$D$30)^(1/12))*Assumptions!$D$40)*MAX(0,BI13*Assumptions!$D$25-BH27)</f>
        <v>19.5083006433078</v>
      </c>
      <c r="BJ27" s="37" t="n">
        <f aca="false">BI27*(1-Assumptions!$D$41)+BJ16*((1-(1-Assumptions!$D$30)^(1/12))*Assumptions!$D$40)*MAX(0,BJ13*Assumptions!$D$25-BI27)</f>
        <v>20.2451255459965</v>
      </c>
      <c r="BK27" s="37" t="n">
        <f aca="false">BJ27*(1-Assumptions!$D$41)+BK16*((1-(1-Assumptions!$D$30)^(1/12))*Assumptions!$D$40)*MAX(0,BK13*Assumptions!$D$25-BJ27)</f>
        <v>20.9634890842367</v>
      </c>
    </row>
    <row r="28" customFormat="false" ht="15" hidden="false" customHeight="false" outlineLevel="0" collapsed="false">
      <c r="A28" s="28" t="s">
        <v>573</v>
      </c>
      <c r="B28" s="6" t="s">
        <v>574</v>
      </c>
      <c r="C28" s="36" t="n">
        <v>0</v>
      </c>
      <c r="D28" s="26" t="n">
        <f aca="false">C28*(1-Assumptions!$D$41)+D16*((1-(1-Assumptions!$D$31)^(1/12))*Assumptions!$D$40)*MAX(0,D13*Assumptions!$D$26-C28)</f>
        <v>0</v>
      </c>
      <c r="E28" s="26" t="n">
        <f aca="false">D28*(1-Assumptions!$D$41)+E16*((1-(1-Assumptions!$D$31)^(1/12))*Assumptions!$D$40)*MAX(0,E13*Assumptions!$D$26-D28)</f>
        <v>0</v>
      </c>
      <c r="F28" s="26" t="n">
        <f aca="false">E28*(1-Assumptions!$D$41)+F16*((1-(1-Assumptions!$D$31)^(1/12))*Assumptions!$D$40)*MAX(0,F13*Assumptions!$D$26-E28)</f>
        <v>0</v>
      </c>
      <c r="G28" s="26" t="n">
        <f aca="false">F28*(1-Assumptions!$D$41)+G16*((1-(1-Assumptions!$D$31)^(1/12))*Assumptions!$D$40)*MAX(0,G13*Assumptions!$D$26-F28)</f>
        <v>0</v>
      </c>
      <c r="H28" s="26" t="n">
        <f aca="false">G28*(1-Assumptions!$D$41)+H16*((1-(1-Assumptions!$D$31)^(1/12))*Assumptions!$D$40)*MAX(0,H13*Assumptions!$D$26-G28)</f>
        <v>0</v>
      </c>
      <c r="I28" s="26" t="n">
        <f aca="false">H28*(1-Assumptions!$D$41)+I16*((1-(1-Assumptions!$D$31)^(1/12))*Assumptions!$D$40)*MAX(0,I13*Assumptions!$D$26-H28)</f>
        <v>0</v>
      </c>
      <c r="J28" s="26" t="n">
        <f aca="false">I28*(1-Assumptions!$D$41)+J16*((1-(1-Assumptions!$D$31)^(1/12))*Assumptions!$D$40)*MAX(0,J13*Assumptions!$D$26-I28)</f>
        <v>0</v>
      </c>
      <c r="K28" s="26" t="n">
        <f aca="false">J28*(1-Assumptions!$D$41)+K16*((1-(1-Assumptions!$D$31)^(1/12))*Assumptions!$D$40)*MAX(0,K13*Assumptions!$D$26-J28)</f>
        <v>0</v>
      </c>
      <c r="L28" s="26" t="n">
        <f aca="false">K28*(1-Assumptions!$D$41)+L16*((1-(1-Assumptions!$D$31)^(1/12))*Assumptions!$D$40)*MAX(0,L13*Assumptions!$D$26-K28)</f>
        <v>0</v>
      </c>
      <c r="M28" s="26" t="n">
        <f aca="false">L28*(1-Assumptions!$D$41)+M16*((1-(1-Assumptions!$D$31)^(1/12))*Assumptions!$D$40)*MAX(0,M13*Assumptions!$D$26-L28)</f>
        <v>0</v>
      </c>
      <c r="N28" s="26" t="n">
        <f aca="false">M28*(1-Assumptions!$D$41)+N16*((1-(1-Assumptions!$D$31)^(1/12))*Assumptions!$D$40)*MAX(0,N13*Assumptions!$D$26-M28)</f>
        <v>0</v>
      </c>
      <c r="O28" s="26" t="n">
        <f aca="false">N28*(1-Assumptions!$D$41)+O16*((1-(1-Assumptions!$D$31)^(1/12))*Assumptions!$D$40)*MAX(0,O13*Assumptions!$D$26-N28)</f>
        <v>0</v>
      </c>
      <c r="P28" s="26" t="n">
        <f aca="false">O28*(1-Assumptions!$D$41)+P16*((1-(1-Assumptions!$D$31)^(1/12))*Assumptions!$D$40)*MAX(0,P13*Assumptions!$D$26-O28)</f>
        <v>0</v>
      </c>
      <c r="Q28" s="26" t="n">
        <f aca="false">P28*(1-Assumptions!$D$41)+Q16*((1-(1-Assumptions!$D$31)^(1/12))*Assumptions!$D$40)*MAX(0,Q13*Assumptions!$D$26-P28)</f>
        <v>0</v>
      </c>
      <c r="R28" s="26" t="n">
        <f aca="false">Q28*(1-Assumptions!$D$41)+R16*((1-(1-Assumptions!$D$31)^(1/12))*Assumptions!$D$40)*MAX(0,R13*Assumptions!$D$26-Q28)</f>
        <v>0</v>
      </c>
      <c r="S28" s="26" t="n">
        <f aca="false">R28*(1-Assumptions!$D$41)+S16*((1-(1-Assumptions!$D$31)^(1/12))*Assumptions!$D$40)*MAX(0,S13*Assumptions!$D$26-R28)</f>
        <v>0</v>
      </c>
      <c r="T28" s="26" t="n">
        <f aca="false">S28*(1-Assumptions!$D$41)+T16*((1-(1-Assumptions!$D$31)^(1/12))*Assumptions!$D$40)*MAX(0,T13*Assumptions!$D$26-S28)</f>
        <v>0</v>
      </c>
      <c r="U28" s="26" t="n">
        <f aca="false">T28*(1-Assumptions!$D$41)+U16*((1-(1-Assumptions!$D$31)^(1/12))*Assumptions!$D$40)*MAX(0,U13*Assumptions!$D$26-T28)</f>
        <v>0</v>
      </c>
      <c r="V28" s="26" t="n">
        <f aca="false">U28*(1-Assumptions!$D$41)+V16*((1-(1-Assumptions!$D$31)^(1/12))*Assumptions!$D$40)*MAX(0,V13*Assumptions!$D$26-U28)</f>
        <v>0</v>
      </c>
      <c r="W28" s="26" t="n">
        <f aca="false">V28*(1-Assumptions!$D$41)+W16*((1-(1-Assumptions!$D$31)^(1/12))*Assumptions!$D$40)*MAX(0,W13*Assumptions!$D$26-V28)</f>
        <v>0</v>
      </c>
      <c r="X28" s="26" t="n">
        <f aca="false">W28*(1-Assumptions!$D$41)+X16*((1-(1-Assumptions!$D$31)^(1/12))*Assumptions!$D$40)*MAX(0,X13*Assumptions!$D$26-W28)</f>
        <v>0</v>
      </c>
      <c r="Y28" s="26" t="n">
        <f aca="false">X28*(1-Assumptions!$D$41)+Y16*((1-(1-Assumptions!$D$31)^(1/12))*Assumptions!$D$40)*MAX(0,Y13*Assumptions!$D$26-X28)</f>
        <v>0</v>
      </c>
      <c r="Z28" s="26" t="n">
        <f aca="false">Y28*(1-Assumptions!$D$41)+Z16*((1-(1-Assumptions!$D$31)^(1/12))*Assumptions!$D$40)*MAX(0,Z13*Assumptions!$D$26-Y28)</f>
        <v>0</v>
      </c>
      <c r="AA28" s="26" t="n">
        <f aca="false">Z28*(1-Assumptions!$D$41)+AA16*((1-(1-Assumptions!$D$31)^(1/12))*Assumptions!$D$40)*MAX(0,AA13*Assumptions!$D$26-Z28)</f>
        <v>0</v>
      </c>
      <c r="AB28" s="26" t="n">
        <f aca="false">AA28*(1-Assumptions!$D$41)+AB16*((1-(1-Assumptions!$D$31)^(1/12))*Assumptions!$D$40)*MAX(0,AB13*Assumptions!$D$26-AA28)</f>
        <v>0</v>
      </c>
      <c r="AC28" s="26" t="n">
        <f aca="false">AB28*(1-Assumptions!$D$41)+AC16*((1-(1-Assumptions!$D$31)^(1/12))*Assumptions!$D$40)*MAX(0,AC13*Assumptions!$D$26-AB28)</f>
        <v>0</v>
      </c>
      <c r="AD28" s="26" t="n">
        <f aca="false">AC28*(1-Assumptions!$D$41)+AD16*((1-(1-Assumptions!$D$31)^(1/12))*Assumptions!$D$40)*MAX(0,AD13*Assumptions!$D$26-AC28)</f>
        <v>0</v>
      </c>
      <c r="AE28" s="26" t="n">
        <f aca="false">AD28*(1-Assumptions!$D$41)+AE16*((1-(1-Assumptions!$D$31)^(1/12))*Assumptions!$D$40)*MAX(0,AE13*Assumptions!$D$26-AD28)</f>
        <v>0</v>
      </c>
      <c r="AF28" s="26" t="n">
        <f aca="false">AE28*(1-Assumptions!$D$41)+AF16*((1-(1-Assumptions!$D$31)^(1/12))*Assumptions!$D$40)*MAX(0,AF13*Assumptions!$D$26-AE28)</f>
        <v>0</v>
      </c>
      <c r="AG28" s="26" t="n">
        <f aca="false">AF28*(1-Assumptions!$D$41)+AG16*((1-(1-Assumptions!$D$31)^(1/12))*Assumptions!$D$40)*MAX(0,AG13*Assumptions!$D$26-AF28)</f>
        <v>0</v>
      </c>
      <c r="AH28" s="26" t="n">
        <f aca="false">AG28*(1-Assumptions!$D$41)+AH16*((1-(1-Assumptions!$D$31)^(1/12))*Assumptions!$D$40)*MAX(0,AH13*Assumptions!$D$26-AG28)</f>
        <v>0</v>
      </c>
      <c r="AI28" s="26" t="n">
        <f aca="false">AH28*(1-Assumptions!$D$41)+AI16*((1-(1-Assumptions!$D$31)^(1/12))*Assumptions!$D$40)*MAX(0,AI13*Assumptions!$D$26-AH28)</f>
        <v>0</v>
      </c>
      <c r="AJ28" s="26" t="n">
        <f aca="false">AI28*(1-Assumptions!$D$41)+AJ16*((1-(1-Assumptions!$D$31)^(1/12))*Assumptions!$D$40)*MAX(0,AJ13*Assumptions!$D$26-AI28)</f>
        <v>0</v>
      </c>
      <c r="AK28" s="26" t="n">
        <f aca="false">AJ28*(1-Assumptions!$D$41)+AK16*((1-(1-Assumptions!$D$31)^(1/12))*Assumptions!$D$40)*MAX(0,AK13*Assumptions!$D$26-AJ28)</f>
        <v>0</v>
      </c>
      <c r="AL28" s="26" t="n">
        <f aca="false">AK28*(1-Assumptions!$D$41)+AL16*((1-(1-Assumptions!$D$31)^(1/12))*Assumptions!$D$40)*MAX(0,AL13*Assumptions!$D$26-AK28)</f>
        <v>0</v>
      </c>
      <c r="AM28" s="26" t="n">
        <f aca="false">AL28*(1-Assumptions!$D$41)+AM16*((1-(1-Assumptions!$D$31)^(1/12))*Assumptions!$D$40)*MAX(0,AM13*Assumptions!$D$26-AL28)</f>
        <v>0</v>
      </c>
      <c r="AN28" s="37" t="n">
        <f aca="false">AM28*(1-Assumptions!$D$41)+AN16*((1-(1-Assumptions!$D$31)^(1/12))*Assumptions!$D$40)*MAX(0,AN13*Assumptions!$D$26-AM28)</f>
        <v>0</v>
      </c>
      <c r="AO28" s="37" t="n">
        <f aca="false">AN28*(1-Assumptions!$D$41)+AO16*((1-(1-Assumptions!$D$31)^(1/12))*Assumptions!$D$40)*MAX(0,AO13*Assumptions!$D$26-AN28)</f>
        <v>0</v>
      </c>
      <c r="AP28" s="37" t="n">
        <f aca="false">AO28*(1-Assumptions!$D$41)+AP16*((1-(1-Assumptions!$D$31)^(1/12))*Assumptions!$D$40)*MAX(0,AP13*Assumptions!$D$26-AO28)</f>
        <v>0.480689921720065</v>
      </c>
      <c r="AQ28" s="37" t="n">
        <f aca="false">AP28*(1-Assumptions!$D$41)+AQ16*((1-(1-Assumptions!$D$31)^(1/12))*Assumptions!$D$40)*MAX(0,AQ13*Assumptions!$D$26-AP28)</f>
        <v>0.953064328587996</v>
      </c>
      <c r="AR28" s="37" t="n">
        <f aca="false">AQ28*(1-Assumptions!$D$41)+AR16*((1-(1-Assumptions!$D$31)^(1/12))*Assumptions!$D$40)*MAX(0,AR13*Assumptions!$D$26-AQ28)</f>
        <v>1.41711747371863</v>
      </c>
      <c r="AS28" s="37" t="n">
        <f aca="false">AR28*(1-Assumptions!$D$41)+AS16*((1-(1-Assumptions!$D$31)^(1/12))*Assumptions!$D$40)*MAX(0,AS13*Assumptions!$D$26-AR28)</f>
        <v>1.87318024148416</v>
      </c>
      <c r="AT28" s="37" t="n">
        <f aca="false">AS28*(1-Assumptions!$D$41)+AT16*((1-(1-Assumptions!$D$31)^(1/12))*Assumptions!$D$40)*MAX(0,AT13*Assumptions!$D$26-AS28)</f>
        <v>2.32124399577697</v>
      </c>
      <c r="AU28" s="37" t="n">
        <f aca="false">AT28*(1-Assumptions!$D$41)+AU16*((1-(1-Assumptions!$D$31)^(1/12))*Assumptions!$D$40)*MAX(0,AU13*Assumptions!$D$26-AT28)</f>
        <v>2.76131234333423</v>
      </c>
      <c r="AV28" s="37" t="n">
        <f aca="false">AU28*(1-Assumptions!$D$41)+AV16*((1-(1-Assumptions!$D$31)^(1/12))*Assumptions!$D$40)*MAX(0,AV13*Assumptions!$D$26-AU28)</f>
        <v>3.19372429184396</v>
      </c>
      <c r="AW28" s="37" t="n">
        <f aca="false">AV28*(1-Assumptions!$D$41)+AW16*((1-(1-Assumptions!$D$31)^(1/12))*Assumptions!$D$40)*MAX(0,AW13*Assumptions!$D$26-AV28)</f>
        <v>3.61847818647358</v>
      </c>
      <c r="AX28" s="37" t="n">
        <f aca="false">AW28*(1-Assumptions!$D$41)+AX16*((1-(1-Assumptions!$D$31)^(1/12))*Assumptions!$D$40)*MAX(0,AX13*Assumptions!$D$26-AW28)</f>
        <v>4.03558355593484</v>
      </c>
      <c r="AY28" s="37" t="n">
        <f aca="false">AX28*(1-Assumptions!$D$41)+AY16*((1-(1-Assumptions!$D$31)^(1/12))*Assumptions!$D$40)*MAX(0,AY13*Assumptions!$D$26-AX28)</f>
        <v>4.44538434813413</v>
      </c>
      <c r="AZ28" s="37" t="n">
        <f aca="false">AY28*(1-Assumptions!$D$41)+AZ16*((1-(1-Assumptions!$D$31)^(1/12))*Assumptions!$D$40)*MAX(0,AZ13*Assumptions!$D$26-AY28)</f>
        <v>4.84788293935999</v>
      </c>
      <c r="BA28" s="37" t="n">
        <f aca="false">AZ28*(1-Assumptions!$D$41)+BA16*((1-(1-Assumptions!$D$31)^(1/12))*Assumptions!$D$40)*MAX(0,BA13*Assumptions!$D$26-AZ28)</f>
        <v>5.24309204841359</v>
      </c>
      <c r="BB28" s="37" t="n">
        <f aca="false">BA28*(1-Assumptions!$D$41)+BB16*((1-(1-Assumptions!$D$31)^(1/12))*Assumptions!$D$40)*MAX(0,BB13*Assumptions!$D$26-BA28)</f>
        <v>5.6310338777293</v>
      </c>
      <c r="BC28" s="37" t="n">
        <f aca="false">BB28*(1-Assumptions!$D$41)+BC16*((1-(1-Assumptions!$D$31)^(1/12))*Assumptions!$D$40)*MAX(0,BC13*Assumptions!$D$26-BB28)</f>
        <v>6.01173931061293</v>
      </c>
      <c r="BD28" s="37" t="n">
        <f aca="false">BC28*(1-Assumptions!$D$41)+BD16*((1-(1-Assumptions!$D$31)^(1/12))*Assumptions!$D$40)*MAX(0,BD13*Assumptions!$D$26-BC28)</f>
        <v>6.38524716119498</v>
      </c>
      <c r="BE28" s="37" t="n">
        <f aca="false">BD28*(1-Assumptions!$D$41)+BE16*((1-(1-Assumptions!$D$31)^(1/12))*Assumptions!$D$40)*MAX(0,BE13*Assumptions!$D$26-BD28)</f>
        <v>6.75160347389702</v>
      </c>
      <c r="BF28" s="37" t="n">
        <f aca="false">BE28*(1-Assumptions!$D$41)+BF16*((1-(1-Assumptions!$D$31)^(1/12))*Assumptions!$D$40)*MAX(0,BF13*Assumptions!$D$26-BE28)</f>
        <v>7.11086086939817</v>
      </c>
      <c r="BG28" s="37" t="n">
        <f aca="false">BF28*(1-Assumptions!$D$41)+BG16*((1-(1-Assumptions!$D$31)^(1/12))*Assumptions!$D$40)*MAX(0,BG13*Assumptions!$D$26-BF28)</f>
        <v>7.463077934266</v>
      </c>
      <c r="BH28" s="37" t="n">
        <f aca="false">BG28*(1-Assumptions!$D$41)+BH16*((1-(1-Assumptions!$D$31)^(1/12))*Assumptions!$D$40)*MAX(0,BH13*Assumptions!$D$26-BG28)</f>
        <v>7.80831865158432</v>
      </c>
      <c r="BI28" s="37" t="n">
        <f aca="false">BH28*(1-Assumptions!$D$41)+BI16*((1-(1-Assumptions!$D$31)^(1/12))*Assumptions!$D$40)*MAX(0,BI13*Assumptions!$D$26-BH28)</f>
        <v>8.14665187006709</v>
      </c>
      <c r="BJ28" s="37" t="n">
        <f aca="false">BI28*(1-Assumptions!$D$41)+BJ16*((1-(1-Assumptions!$D$31)^(1/12))*Assumptions!$D$40)*MAX(0,BJ13*Assumptions!$D$26-BI28)</f>
        <v>8.47815080929717</v>
      </c>
      <c r="BK28" s="37" t="n">
        <f aca="false">BJ28*(1-Assumptions!$D$41)+BK16*((1-(1-Assumptions!$D$31)^(1/12))*Assumptions!$D$40)*MAX(0,BK13*Assumptions!$D$26-BJ28)</f>
        <v>8.80289259886744</v>
      </c>
    </row>
    <row r="29" customFormat="false" ht="15" hidden="false" customHeight="false" outlineLevel="0" collapsed="false">
      <c r="A29" s="28" t="s">
        <v>575</v>
      </c>
      <c r="B29" s="6" t="s">
        <v>576</v>
      </c>
      <c r="C29" s="36" t="n">
        <v>0</v>
      </c>
      <c r="D29" s="26" t="n">
        <f aca="false">C29*(1-Assumptions!$D$41)+D17*((1-(1-Assumptions!$D$32)^(1/12))*Assumptions!$D$40)*MAX(0,D13*Assumptions!$D$27-C29)</f>
        <v>0</v>
      </c>
      <c r="E29" s="26" t="n">
        <f aca="false">D29*(1-Assumptions!$D$41)+E17*((1-(1-Assumptions!$D$32)^(1/12))*Assumptions!$D$40)*MAX(0,E13*Assumptions!$D$27-D29)</f>
        <v>0</v>
      </c>
      <c r="F29" s="26" t="n">
        <f aca="false">E29*(1-Assumptions!$D$41)+F17*((1-(1-Assumptions!$D$32)^(1/12))*Assumptions!$D$40)*MAX(0,F13*Assumptions!$D$27-E29)</f>
        <v>0</v>
      </c>
      <c r="G29" s="26" t="n">
        <f aca="false">F29*(1-Assumptions!$D$41)+G17*((1-(1-Assumptions!$D$32)^(1/12))*Assumptions!$D$40)*MAX(0,G13*Assumptions!$D$27-F29)</f>
        <v>0</v>
      </c>
      <c r="H29" s="26" t="n">
        <f aca="false">G29*(1-Assumptions!$D$41)+H17*((1-(1-Assumptions!$D$32)^(1/12))*Assumptions!$D$40)*MAX(0,H13*Assumptions!$D$27-G29)</f>
        <v>0</v>
      </c>
      <c r="I29" s="26" t="n">
        <f aca="false">H29*(1-Assumptions!$D$41)+I17*((1-(1-Assumptions!$D$32)^(1/12))*Assumptions!$D$40)*MAX(0,I13*Assumptions!$D$27-H29)</f>
        <v>0</v>
      </c>
      <c r="J29" s="26" t="n">
        <f aca="false">I29*(1-Assumptions!$D$41)+J17*((1-(1-Assumptions!$D$32)^(1/12))*Assumptions!$D$40)*MAX(0,J13*Assumptions!$D$27-I29)</f>
        <v>0</v>
      </c>
      <c r="K29" s="26" t="n">
        <f aca="false">J29*(1-Assumptions!$D$41)+K17*((1-(1-Assumptions!$D$32)^(1/12))*Assumptions!$D$40)*MAX(0,K13*Assumptions!$D$27-J29)</f>
        <v>0</v>
      </c>
      <c r="L29" s="26" t="n">
        <f aca="false">K29*(1-Assumptions!$D$41)+L17*((1-(1-Assumptions!$D$32)^(1/12))*Assumptions!$D$40)*MAX(0,L13*Assumptions!$D$27-K29)</f>
        <v>0</v>
      </c>
      <c r="M29" s="26" t="n">
        <f aca="false">L29*(1-Assumptions!$D$41)+M17*((1-(1-Assumptions!$D$32)^(1/12))*Assumptions!$D$40)*MAX(0,M13*Assumptions!$D$27-L29)</f>
        <v>0</v>
      </c>
      <c r="N29" s="26" t="n">
        <f aca="false">M29*(1-Assumptions!$D$41)+N17*((1-(1-Assumptions!$D$32)^(1/12))*Assumptions!$D$40)*MAX(0,N13*Assumptions!$D$27-M29)</f>
        <v>0</v>
      </c>
      <c r="O29" s="26" t="n">
        <f aca="false">N29*(1-Assumptions!$D$41)+O17*((1-(1-Assumptions!$D$32)^(1/12))*Assumptions!$D$40)*MAX(0,O13*Assumptions!$D$27-N29)</f>
        <v>0</v>
      </c>
      <c r="P29" s="26" t="n">
        <f aca="false">O29*(1-Assumptions!$D$41)+P17*((1-(1-Assumptions!$D$32)^(1/12))*Assumptions!$D$40)*MAX(0,P13*Assumptions!$D$27-O29)</f>
        <v>0</v>
      </c>
      <c r="Q29" s="26" t="n">
        <f aca="false">P29*(1-Assumptions!$D$41)+Q17*((1-(1-Assumptions!$D$32)^(1/12))*Assumptions!$D$40)*MAX(0,Q13*Assumptions!$D$27-P29)</f>
        <v>0</v>
      </c>
      <c r="R29" s="26" t="n">
        <f aca="false">Q29*(1-Assumptions!$D$41)+R17*((1-(1-Assumptions!$D$32)^(1/12))*Assumptions!$D$40)*MAX(0,R13*Assumptions!$D$27-Q29)</f>
        <v>0</v>
      </c>
      <c r="S29" s="26" t="n">
        <f aca="false">R29*(1-Assumptions!$D$41)+S17*((1-(1-Assumptions!$D$32)^(1/12))*Assumptions!$D$40)*MAX(0,S13*Assumptions!$D$27-R29)</f>
        <v>0</v>
      </c>
      <c r="T29" s="26" t="n">
        <f aca="false">S29*(1-Assumptions!$D$41)+T17*((1-(1-Assumptions!$D$32)^(1/12))*Assumptions!$D$40)*MAX(0,T13*Assumptions!$D$27-S29)</f>
        <v>0</v>
      </c>
      <c r="U29" s="26" t="n">
        <f aca="false">T29*(1-Assumptions!$D$41)+U17*((1-(1-Assumptions!$D$32)^(1/12))*Assumptions!$D$40)*MAX(0,U13*Assumptions!$D$27-T29)</f>
        <v>0</v>
      </c>
      <c r="V29" s="26" t="n">
        <f aca="false">U29*(1-Assumptions!$D$41)+V17*((1-(1-Assumptions!$D$32)^(1/12))*Assumptions!$D$40)*MAX(0,V13*Assumptions!$D$27-U29)</f>
        <v>0</v>
      </c>
      <c r="W29" s="26" t="n">
        <f aca="false">V29*(1-Assumptions!$D$41)+W17*((1-(1-Assumptions!$D$32)^(1/12))*Assumptions!$D$40)*MAX(0,W13*Assumptions!$D$27-V29)</f>
        <v>0</v>
      </c>
      <c r="X29" s="26" t="n">
        <f aca="false">W29*(1-Assumptions!$D$41)+X17*((1-(1-Assumptions!$D$32)^(1/12))*Assumptions!$D$40)*MAX(0,X13*Assumptions!$D$27-W29)</f>
        <v>0</v>
      </c>
      <c r="Y29" s="26" t="n">
        <f aca="false">X29*(1-Assumptions!$D$41)+Y17*((1-(1-Assumptions!$D$32)^(1/12))*Assumptions!$D$40)*MAX(0,Y13*Assumptions!$D$27-X29)</f>
        <v>0</v>
      </c>
      <c r="Z29" s="26" t="n">
        <f aca="false">Y29*(1-Assumptions!$D$41)+Z17*((1-(1-Assumptions!$D$32)^(1/12))*Assumptions!$D$40)*MAX(0,Z13*Assumptions!$D$27-Y29)</f>
        <v>0</v>
      </c>
      <c r="AA29" s="26" t="n">
        <f aca="false">Z29*(1-Assumptions!$D$41)+AA17*((1-(1-Assumptions!$D$32)^(1/12))*Assumptions!$D$40)*MAX(0,AA13*Assumptions!$D$27-Z29)</f>
        <v>0</v>
      </c>
      <c r="AB29" s="26" t="n">
        <f aca="false">AA29*(1-Assumptions!$D$41)+AB17*((1-(1-Assumptions!$D$32)^(1/12))*Assumptions!$D$40)*MAX(0,AB13*Assumptions!$D$27-AA29)</f>
        <v>0</v>
      </c>
      <c r="AC29" s="26" t="n">
        <f aca="false">AB29*(1-Assumptions!$D$41)+AC17*((1-(1-Assumptions!$D$32)^(1/12))*Assumptions!$D$40)*MAX(0,AC13*Assumptions!$D$27-AB29)</f>
        <v>0</v>
      </c>
      <c r="AD29" s="26" t="n">
        <f aca="false">AC29*(1-Assumptions!$D$41)+AD17*((1-(1-Assumptions!$D$32)^(1/12))*Assumptions!$D$40)*MAX(0,AD13*Assumptions!$D$27-AC29)</f>
        <v>0</v>
      </c>
      <c r="AE29" s="26" t="n">
        <f aca="false">AD29*(1-Assumptions!$D$41)+AE17*((1-(1-Assumptions!$D$32)^(1/12))*Assumptions!$D$40)*MAX(0,AE13*Assumptions!$D$27-AD29)</f>
        <v>0</v>
      </c>
      <c r="AF29" s="26" t="n">
        <f aca="false">AE29*(1-Assumptions!$D$41)+AF17*((1-(1-Assumptions!$D$32)^(1/12))*Assumptions!$D$40)*MAX(0,AF13*Assumptions!$D$27-AE29)</f>
        <v>0</v>
      </c>
      <c r="AG29" s="26" t="n">
        <f aca="false">AF29*(1-Assumptions!$D$41)+AG17*((1-(1-Assumptions!$D$32)^(1/12))*Assumptions!$D$40)*MAX(0,AG13*Assumptions!$D$27-AF29)</f>
        <v>0</v>
      </c>
      <c r="AH29" s="26" t="n">
        <f aca="false">AG29*(1-Assumptions!$D$41)+AH17*((1-(1-Assumptions!$D$32)^(1/12))*Assumptions!$D$40)*MAX(0,AH13*Assumptions!$D$27-AG29)</f>
        <v>0</v>
      </c>
      <c r="AI29" s="26" t="n">
        <f aca="false">AH29*(1-Assumptions!$D$41)+AI17*((1-(1-Assumptions!$D$32)^(1/12))*Assumptions!$D$40)*MAX(0,AI13*Assumptions!$D$27-AH29)</f>
        <v>0</v>
      </c>
      <c r="AJ29" s="26" t="n">
        <f aca="false">AI29*(1-Assumptions!$D$41)+AJ17*((1-(1-Assumptions!$D$32)^(1/12))*Assumptions!$D$40)*MAX(0,AJ13*Assumptions!$D$27-AI29)</f>
        <v>0</v>
      </c>
      <c r="AK29" s="26" t="n">
        <f aca="false">AJ29*(1-Assumptions!$D$41)+AK17*((1-(1-Assumptions!$D$32)^(1/12))*Assumptions!$D$40)*MAX(0,AK13*Assumptions!$D$27-AJ29)</f>
        <v>0</v>
      </c>
      <c r="AL29" s="26" t="n">
        <f aca="false">AK29*(1-Assumptions!$D$41)+AL17*((1-(1-Assumptions!$D$32)^(1/12))*Assumptions!$D$40)*MAX(0,AL13*Assumptions!$D$27-AK29)</f>
        <v>0</v>
      </c>
      <c r="AM29" s="26" t="n">
        <f aca="false">AL29*(1-Assumptions!$D$41)+AM17*((1-(1-Assumptions!$D$32)^(1/12))*Assumptions!$D$40)*MAX(0,AM13*Assumptions!$D$27-AL29)</f>
        <v>0</v>
      </c>
      <c r="AN29" s="37" t="n">
        <f aca="false">AM29*(1-Assumptions!$D$41)+AN17*((1-(1-Assumptions!$D$32)^(1/12))*Assumptions!$D$40)*MAX(0,AN13*Assumptions!$D$27-AM29)</f>
        <v>0</v>
      </c>
      <c r="AO29" s="37" t="n">
        <f aca="false">AN29*(1-Assumptions!$D$41)+AO17*((1-(1-Assumptions!$D$32)^(1/12))*Assumptions!$D$40)*MAX(0,AO13*Assumptions!$D$27-AN29)</f>
        <v>0</v>
      </c>
      <c r="AP29" s="37" t="n">
        <f aca="false">AO29*(1-Assumptions!$D$41)+AP17*((1-(1-Assumptions!$D$32)^(1/12))*Assumptions!$D$40)*MAX(0,AP13*Assumptions!$D$27-AO29)</f>
        <v>0.754195035749623</v>
      </c>
      <c r="AQ29" s="37" t="n">
        <f aca="false">AP29*(1-Assumptions!$D$41)+AQ17*((1-(1-Assumptions!$D$32)^(1/12))*Assumptions!$D$40)*MAX(0,AQ13*Assumptions!$D$27-AP29)</f>
        <v>1.48612746027368</v>
      </c>
      <c r="AR29" s="37" t="n">
        <f aca="false">AQ29*(1-Assumptions!$D$41)+AR17*((1-(1-Assumptions!$D$32)^(1/12))*Assumptions!$D$40)*MAX(0,AR13*Assumptions!$D$27-AQ29)</f>
        <v>2.19659214634688</v>
      </c>
      <c r="AS29" s="37" t="n">
        <f aca="false">AR29*(1-Assumptions!$D$41)+AS17*((1-(1-Assumptions!$D$32)^(1/12))*Assumptions!$D$40)*MAX(0,AS13*Assumptions!$D$27-AR29)</f>
        <v>2.88685602907428</v>
      </c>
      <c r="AT29" s="37" t="n">
        <f aca="false">AS29*(1-Assumptions!$D$41)+AT17*((1-(1-Assumptions!$D$32)^(1/12))*Assumptions!$D$40)*MAX(0,AT13*Assumptions!$D$27-AS29)</f>
        <v>3.55759470409568</v>
      </c>
      <c r="AU29" s="37" t="n">
        <f aca="false">AT29*(1-Assumptions!$D$41)+AU17*((1-(1-Assumptions!$D$32)^(1/12))*Assumptions!$D$40)*MAX(0,AU13*Assumptions!$D$27-AT29)</f>
        <v>4.20945494858287</v>
      </c>
      <c r="AV29" s="37" t="n">
        <f aca="false">AU29*(1-Assumptions!$D$41)+AV17*((1-(1-Assumptions!$D$32)^(1/12))*Assumptions!$D$40)*MAX(0,AV13*Assumptions!$D$27-AU29)</f>
        <v>4.84356487519452</v>
      </c>
      <c r="AW29" s="37" t="n">
        <f aca="false">AV29*(1-Assumptions!$D$41)+AW17*((1-(1-Assumptions!$D$32)^(1/12))*Assumptions!$D$40)*MAX(0,AW13*Assumptions!$D$27-AV29)</f>
        <v>5.46046990888051</v>
      </c>
      <c r="AX29" s="37" t="n">
        <f aca="false">AW29*(1-Assumptions!$D$41)+AX17*((1-(1-Assumptions!$D$32)^(1/12))*Assumptions!$D$40)*MAX(0,AX13*Assumptions!$D$27-AW29)</f>
        <v>6.06069472925735</v>
      </c>
      <c r="AY29" s="37" t="n">
        <f aca="false">AX29*(1-Assumptions!$D$41)+AY17*((1-(1-Assumptions!$D$32)^(1/12))*Assumptions!$D$40)*MAX(0,AY13*Assumptions!$D$27-AX29)</f>
        <v>6.6452528857448</v>
      </c>
      <c r="AZ29" s="37" t="n">
        <f aca="false">AY29*(1-Assumptions!$D$41)+AZ17*((1-(1-Assumptions!$D$32)^(1/12))*Assumptions!$D$40)*MAX(0,AZ13*Assumptions!$D$27-AY29)</f>
        <v>7.21458227258869</v>
      </c>
      <c r="BA29" s="37" t="n">
        <f aca="false">AZ29*(1-Assumptions!$D$41)+BA17*((1-(1-Assumptions!$D$32)^(1/12))*Assumptions!$D$40)*MAX(0,BA13*Assumptions!$D$27-AZ29)</f>
        <v>7.76910660391731</v>
      </c>
      <c r="BB29" s="37" t="n">
        <f aca="false">BA29*(1-Assumptions!$D$41)+BB17*((1-(1-Assumptions!$D$32)^(1/12))*Assumptions!$D$40)*MAX(0,BB13*Assumptions!$D$27-BA29)</f>
        <v>8.30923599431574</v>
      </c>
      <c r="BC29" s="37" t="n">
        <f aca="false">BB29*(1-Assumptions!$D$41)+BC17*((1-(1-Assumptions!$D$32)^(1/12))*Assumptions!$D$40)*MAX(0,BC13*Assumptions!$D$27-BB29)</f>
        <v>8.83536750907628</v>
      </c>
      <c r="BD29" s="37" t="n">
        <f aca="false">BC29*(1-Assumptions!$D$41)+BD17*((1-(1-Assumptions!$D$32)^(1/12))*Assumptions!$D$40)*MAX(0,BD13*Assumptions!$D$27-BC29)</f>
        <v>9.34788568598868</v>
      </c>
      <c r="BE29" s="37" t="n">
        <f aca="false">BD29*(1-Assumptions!$D$41)+BE17*((1-(1-Assumptions!$D$32)^(1/12))*Assumptions!$D$40)*MAX(0,BE13*Assumptions!$D$27-BD29)</f>
        <v>9.84716303041012</v>
      </c>
      <c r="BF29" s="37" t="n">
        <f aca="false">BE29*(1-Assumptions!$D$41)+BF17*((1-(1-Assumptions!$D$32)^(1/12))*Assumptions!$D$40)*MAX(0,BF13*Assumptions!$D$27-BE29)</f>
        <v>10.333560485239</v>
      </c>
      <c r="BG29" s="37" t="n">
        <f aca="false">BF29*(1-Assumptions!$D$41)+BG17*((1-(1-Assumptions!$D$32)^(1/12))*Assumptions!$D$40)*MAX(0,BG13*Assumptions!$D$27-BF29)</f>
        <v>10.8074278773098</v>
      </c>
      <c r="BH29" s="37" t="n">
        <f aca="false">BG29*(1-Assumptions!$D$41)+BH17*((1-(1-Assumptions!$D$32)^(1/12))*Assumptions!$D$40)*MAX(0,BH13*Assumptions!$D$27-BG29)</f>
        <v>11.2691043416252</v>
      </c>
      <c r="BI29" s="37" t="n">
        <f aca="false">BH29*(1-Assumptions!$D$41)+BI17*((1-(1-Assumptions!$D$32)^(1/12))*Assumptions!$D$40)*MAX(0,BI13*Assumptions!$D$27-BH29)</f>
        <v>11.7189187247498</v>
      </c>
      <c r="BJ29" s="37" t="n">
        <f aca="false">BI29*(1-Assumptions!$D$41)+BJ17*((1-(1-Assumptions!$D$32)^(1/12))*Assumptions!$D$40)*MAX(0,BJ13*Assumptions!$D$27-BI29)</f>
        <v>12.1571899686009</v>
      </c>
      <c r="BK29" s="37" t="n">
        <f aca="false">BJ29*(1-Assumptions!$D$41)+BK17*((1-(1-Assumptions!$D$32)^(1/12))*Assumptions!$D$40)*MAX(0,BK13*Assumptions!$D$27-BJ29)</f>
        <v>12.5842274757931</v>
      </c>
    </row>
    <row r="30" customFormat="false" ht="15" hidden="false" customHeight="false" outlineLevel="0" collapsed="false">
      <c r="A30" s="28" t="s">
        <v>577</v>
      </c>
      <c r="B30" s="6" t="s">
        <v>578</v>
      </c>
      <c r="C30" s="36" t="n">
        <v>0</v>
      </c>
      <c r="D30" s="26" t="n">
        <f aca="false">C30*(1-Assumptions!$D$41)+D16*((1-(1-Assumptions!$D$33)^(1/12))*Assumptions!$D$40)*MAX(0,D13*Assumptions!$D$28-C30)</f>
        <v>0</v>
      </c>
      <c r="E30" s="26" t="n">
        <f aca="false">D30*(1-Assumptions!$D$41)+E16*((1-(1-Assumptions!$D$33)^(1/12))*Assumptions!$D$40)*MAX(0,E13*Assumptions!$D$28-D30)</f>
        <v>0</v>
      </c>
      <c r="F30" s="26" t="n">
        <f aca="false">E30*(1-Assumptions!$D$41)+F16*((1-(1-Assumptions!$D$33)^(1/12))*Assumptions!$D$40)*MAX(0,F13*Assumptions!$D$28-E30)</f>
        <v>0</v>
      </c>
      <c r="G30" s="26" t="n">
        <f aca="false">F30*(1-Assumptions!$D$41)+G16*((1-(1-Assumptions!$D$33)^(1/12))*Assumptions!$D$40)*MAX(0,G13*Assumptions!$D$28-F30)</f>
        <v>0</v>
      </c>
      <c r="H30" s="26" t="n">
        <f aca="false">G30*(1-Assumptions!$D$41)+H16*((1-(1-Assumptions!$D$33)^(1/12))*Assumptions!$D$40)*MAX(0,H13*Assumptions!$D$28-G30)</f>
        <v>0</v>
      </c>
      <c r="I30" s="26" t="n">
        <f aca="false">H30*(1-Assumptions!$D$41)+I16*((1-(1-Assumptions!$D$33)^(1/12))*Assumptions!$D$40)*MAX(0,I13*Assumptions!$D$28-H30)</f>
        <v>0</v>
      </c>
      <c r="J30" s="26" t="n">
        <f aca="false">I30*(1-Assumptions!$D$41)+J16*((1-(1-Assumptions!$D$33)^(1/12))*Assumptions!$D$40)*MAX(0,J13*Assumptions!$D$28-I30)</f>
        <v>0</v>
      </c>
      <c r="K30" s="26" t="n">
        <f aca="false">J30*(1-Assumptions!$D$41)+K16*((1-(1-Assumptions!$D$33)^(1/12))*Assumptions!$D$40)*MAX(0,K13*Assumptions!$D$28-J30)</f>
        <v>0</v>
      </c>
      <c r="L30" s="26" t="n">
        <f aca="false">K30*(1-Assumptions!$D$41)+L16*((1-(1-Assumptions!$D$33)^(1/12))*Assumptions!$D$40)*MAX(0,L13*Assumptions!$D$28-K30)</f>
        <v>0</v>
      </c>
      <c r="M30" s="26" t="n">
        <f aca="false">L30*(1-Assumptions!$D$41)+M16*((1-(1-Assumptions!$D$33)^(1/12))*Assumptions!$D$40)*MAX(0,M13*Assumptions!$D$28-L30)</f>
        <v>0</v>
      </c>
      <c r="N30" s="26" t="n">
        <f aca="false">M30*(1-Assumptions!$D$41)+N16*((1-(1-Assumptions!$D$33)^(1/12))*Assumptions!$D$40)*MAX(0,N13*Assumptions!$D$28-M30)</f>
        <v>0</v>
      </c>
      <c r="O30" s="26" t="n">
        <f aca="false">N30*(1-Assumptions!$D$41)+O16*((1-(1-Assumptions!$D$33)^(1/12))*Assumptions!$D$40)*MAX(0,O13*Assumptions!$D$28-N30)</f>
        <v>0</v>
      </c>
      <c r="P30" s="26" t="n">
        <f aca="false">O30*(1-Assumptions!$D$41)+P16*((1-(1-Assumptions!$D$33)^(1/12))*Assumptions!$D$40)*MAX(0,P13*Assumptions!$D$28-O30)</f>
        <v>0</v>
      </c>
      <c r="Q30" s="26" t="n">
        <f aca="false">P30*(1-Assumptions!$D$41)+Q16*((1-(1-Assumptions!$D$33)^(1/12))*Assumptions!$D$40)*MAX(0,Q13*Assumptions!$D$28-P30)</f>
        <v>0</v>
      </c>
      <c r="R30" s="26" t="n">
        <f aca="false">Q30*(1-Assumptions!$D$41)+R16*((1-(1-Assumptions!$D$33)^(1/12))*Assumptions!$D$40)*MAX(0,R13*Assumptions!$D$28-Q30)</f>
        <v>0</v>
      </c>
      <c r="S30" s="26" t="n">
        <f aca="false">R30*(1-Assumptions!$D$41)+S16*((1-(1-Assumptions!$D$33)^(1/12))*Assumptions!$D$40)*MAX(0,S13*Assumptions!$D$28-R30)</f>
        <v>0</v>
      </c>
      <c r="T30" s="26" t="n">
        <f aca="false">S30*(1-Assumptions!$D$41)+T16*((1-(1-Assumptions!$D$33)^(1/12))*Assumptions!$D$40)*MAX(0,T13*Assumptions!$D$28-S30)</f>
        <v>0</v>
      </c>
      <c r="U30" s="26" t="n">
        <f aca="false">T30*(1-Assumptions!$D$41)+U16*((1-(1-Assumptions!$D$33)^(1/12))*Assumptions!$D$40)*MAX(0,U13*Assumptions!$D$28-T30)</f>
        <v>0</v>
      </c>
      <c r="V30" s="26" t="n">
        <f aca="false">U30*(1-Assumptions!$D$41)+V16*((1-(1-Assumptions!$D$33)^(1/12))*Assumptions!$D$40)*MAX(0,V13*Assumptions!$D$28-U30)</f>
        <v>0</v>
      </c>
      <c r="W30" s="26" t="n">
        <f aca="false">V30*(1-Assumptions!$D$41)+W16*((1-(1-Assumptions!$D$33)^(1/12))*Assumptions!$D$40)*MAX(0,W13*Assumptions!$D$28-V30)</f>
        <v>0</v>
      </c>
      <c r="X30" s="26" t="n">
        <f aca="false">W30*(1-Assumptions!$D$41)+X16*((1-(1-Assumptions!$D$33)^(1/12))*Assumptions!$D$40)*MAX(0,X13*Assumptions!$D$28-W30)</f>
        <v>0</v>
      </c>
      <c r="Y30" s="26" t="n">
        <f aca="false">X30*(1-Assumptions!$D$41)+Y16*((1-(1-Assumptions!$D$33)^(1/12))*Assumptions!$D$40)*MAX(0,Y13*Assumptions!$D$28-X30)</f>
        <v>0</v>
      </c>
      <c r="Z30" s="26" t="n">
        <f aca="false">Y30*(1-Assumptions!$D$41)+Z16*((1-(1-Assumptions!$D$33)^(1/12))*Assumptions!$D$40)*MAX(0,Z13*Assumptions!$D$28-Y30)</f>
        <v>0</v>
      </c>
      <c r="AA30" s="26" t="n">
        <f aca="false">Z30*(1-Assumptions!$D$41)+AA16*((1-(1-Assumptions!$D$33)^(1/12))*Assumptions!$D$40)*MAX(0,AA13*Assumptions!$D$28-Z30)</f>
        <v>0</v>
      </c>
      <c r="AB30" s="26" t="n">
        <f aca="false">AA30*(1-Assumptions!$D$41)+AB16*((1-(1-Assumptions!$D$33)^(1/12))*Assumptions!$D$40)*MAX(0,AB13*Assumptions!$D$28-AA30)</f>
        <v>0</v>
      </c>
      <c r="AC30" s="26" t="n">
        <f aca="false">AB30*(1-Assumptions!$D$41)+AC16*((1-(1-Assumptions!$D$33)^(1/12))*Assumptions!$D$40)*MAX(0,AC13*Assumptions!$D$28-AB30)</f>
        <v>0</v>
      </c>
      <c r="AD30" s="26" t="n">
        <f aca="false">AC30*(1-Assumptions!$D$41)+AD16*((1-(1-Assumptions!$D$33)^(1/12))*Assumptions!$D$40)*MAX(0,AD13*Assumptions!$D$28-AC30)</f>
        <v>0</v>
      </c>
      <c r="AE30" s="26" t="n">
        <f aca="false">AD30*(1-Assumptions!$D$41)+AE16*((1-(1-Assumptions!$D$33)^(1/12))*Assumptions!$D$40)*MAX(0,AE13*Assumptions!$D$28-AD30)</f>
        <v>0</v>
      </c>
      <c r="AF30" s="26" t="n">
        <f aca="false">AE30*(1-Assumptions!$D$41)+AF16*((1-(1-Assumptions!$D$33)^(1/12))*Assumptions!$D$40)*MAX(0,AF13*Assumptions!$D$28-AE30)</f>
        <v>0</v>
      </c>
      <c r="AG30" s="26" t="n">
        <f aca="false">AF30*(1-Assumptions!$D$41)+AG16*((1-(1-Assumptions!$D$33)^(1/12))*Assumptions!$D$40)*MAX(0,AG13*Assumptions!$D$28-AF30)</f>
        <v>0</v>
      </c>
      <c r="AH30" s="26" t="n">
        <f aca="false">AG30*(1-Assumptions!$D$41)+AH16*((1-(1-Assumptions!$D$33)^(1/12))*Assumptions!$D$40)*MAX(0,AH13*Assumptions!$D$28-AG30)</f>
        <v>0</v>
      </c>
      <c r="AI30" s="26" t="n">
        <f aca="false">AH30*(1-Assumptions!$D$41)+AI16*((1-(1-Assumptions!$D$33)^(1/12))*Assumptions!$D$40)*MAX(0,AI13*Assumptions!$D$28-AH30)</f>
        <v>0</v>
      </c>
      <c r="AJ30" s="26" t="n">
        <f aca="false">AI30*(1-Assumptions!$D$41)+AJ16*((1-(1-Assumptions!$D$33)^(1/12))*Assumptions!$D$40)*MAX(0,AJ13*Assumptions!$D$28-AI30)</f>
        <v>0</v>
      </c>
      <c r="AK30" s="26" t="n">
        <f aca="false">AJ30*(1-Assumptions!$D$41)+AK16*((1-(1-Assumptions!$D$33)^(1/12))*Assumptions!$D$40)*MAX(0,AK13*Assumptions!$D$28-AJ30)</f>
        <v>0</v>
      </c>
      <c r="AL30" s="26" t="n">
        <f aca="false">AK30*(1-Assumptions!$D$41)+AL16*((1-(1-Assumptions!$D$33)^(1/12))*Assumptions!$D$40)*MAX(0,AL13*Assumptions!$D$28-AK30)</f>
        <v>0</v>
      </c>
      <c r="AM30" s="26" t="n">
        <f aca="false">AL30*(1-Assumptions!$D$41)+AM16*((1-(1-Assumptions!$D$33)^(1/12))*Assumptions!$D$40)*MAX(0,AM13*Assumptions!$D$28-AL30)</f>
        <v>0</v>
      </c>
      <c r="AN30" s="37" t="n">
        <f aca="false">AM30*(1-Assumptions!$D$41)+AN16*((1-(1-Assumptions!$D$33)^(1/12))*Assumptions!$D$40)*MAX(0,AN13*Assumptions!$D$28-AM30)</f>
        <v>0</v>
      </c>
      <c r="AO30" s="37" t="n">
        <f aca="false">AN30*(1-Assumptions!$D$41)+AO16*((1-(1-Assumptions!$D$33)^(1/12))*Assumptions!$D$40)*MAX(0,AO13*Assumptions!$D$28-AN30)</f>
        <v>0</v>
      </c>
      <c r="AP30" s="37" t="n">
        <f aca="false">AO30*(1-Assumptions!$D$41)+AP16*((1-(1-Assumptions!$D$33)^(1/12))*Assumptions!$D$40)*MAX(0,AP13*Assumptions!$D$28-AO30)</f>
        <v>0.294491472758362</v>
      </c>
      <c r="AQ30" s="37" t="n">
        <f aca="false">AP30*(1-Assumptions!$D$41)+AQ16*((1-(1-Assumptions!$D$33)^(1/12))*Assumptions!$D$40)*MAX(0,AQ13*Assumptions!$D$28-AP30)</f>
        <v>0.582853992897385</v>
      </c>
      <c r="AR30" s="37" t="n">
        <f aca="false">AQ30*(1-Assumptions!$D$41)+AR16*((1-(1-Assumptions!$D$33)^(1/12))*Assumptions!$D$40)*MAX(0,AR13*Assumptions!$D$28-AQ30)</f>
        <v>0.865165273406109</v>
      </c>
      <c r="AS30" s="37" t="n">
        <f aca="false">AR30*(1-Assumptions!$D$41)+AS16*((1-(1-Assumptions!$D$33)^(1/12))*Assumptions!$D$40)*MAX(0,AS13*Assumptions!$D$28-AR30)</f>
        <v>1.14170430100078</v>
      </c>
      <c r="AT30" s="37" t="n">
        <f aca="false">AS30*(1-Assumptions!$D$41)+AT16*((1-(1-Assumptions!$D$33)^(1/12))*Assumptions!$D$40)*MAX(0,AT13*Assumptions!$D$28-AS30)</f>
        <v>1.41253667554766</v>
      </c>
      <c r="AU30" s="37" t="n">
        <f aca="false">AT30*(1-Assumptions!$D$41)+AU16*((1-(1-Assumptions!$D$33)^(1/12))*Assumptions!$D$40)*MAX(0,AU13*Assumptions!$D$28-AT30)</f>
        <v>1.67773117571531</v>
      </c>
      <c r="AV30" s="37" t="n">
        <f aca="false">AU30*(1-Assumptions!$D$41)+AV16*((1-(1-Assumptions!$D$33)^(1/12))*Assumptions!$D$40)*MAX(0,AV13*Assumptions!$D$28-AU30)</f>
        <v>1.93755797787909</v>
      </c>
      <c r="AW30" s="37" t="n">
        <f aca="false">AV30*(1-Assumptions!$D$41)+AW16*((1-(1-Assumptions!$D$33)^(1/12))*Assumptions!$D$40)*MAX(0,AW13*Assumptions!$D$28-AV30)</f>
        <v>2.19207399852891</v>
      </c>
      <c r="AX30" s="37" t="n">
        <f aca="false">AW30*(1-Assumptions!$D$41)+AX16*((1-(1-Assumptions!$D$33)^(1/12))*Assumptions!$D$40)*MAX(0,AX13*Assumptions!$D$28-AW30)</f>
        <v>2.44133946245931</v>
      </c>
      <c r="AY30" s="37" t="n">
        <f aca="false">AX30*(1-Assumptions!$D$41)+AY16*((1-(1-Assumptions!$D$33)^(1/12))*Assumptions!$D$40)*MAX(0,AY13*Assumptions!$D$28-AX30)</f>
        <v>2.68561612379862</v>
      </c>
      <c r="AZ30" s="37" t="n">
        <f aca="false">AY30*(1-Assumptions!$D$41)+AZ16*((1-(1-Assumptions!$D$33)^(1/12))*Assumptions!$D$40)*MAX(0,AZ13*Assumptions!$D$28-AY30)</f>
        <v>2.92495261015993</v>
      </c>
      <c r="BA30" s="37" t="n">
        <f aca="false">AZ30*(1-Assumptions!$D$41)+BA16*((1-(1-Assumptions!$D$33)^(1/12))*Assumptions!$D$40)*MAX(0,BA13*Assumptions!$D$28-AZ30)</f>
        <v>3.15940099222264</v>
      </c>
      <c r="BB30" s="37" t="n">
        <f aca="false">BA30*(1-Assumptions!$D$41)+BB16*((1-(1-Assumptions!$D$33)^(1/12))*Assumptions!$D$40)*MAX(0,BB13*Assumptions!$D$28-BA30)</f>
        <v>3.38901641242368</v>
      </c>
      <c r="BC30" s="37" t="n">
        <f aca="false">BB30*(1-Assumptions!$D$41)+BC16*((1-(1-Assumptions!$D$33)^(1/12))*Assumptions!$D$40)*MAX(0,BC13*Assumptions!$D$28-BB30)</f>
        <v>3.61385674039474</v>
      </c>
      <c r="BD30" s="37" t="n">
        <f aca="false">BC30*(1-Assumptions!$D$41)+BD16*((1-(1-Assumptions!$D$33)^(1/12))*Assumptions!$D$40)*MAX(0,BD13*Assumptions!$D$28-BC30)</f>
        <v>3.83398225340771</v>
      </c>
      <c r="BE30" s="37" t="n">
        <f aca="false">BD30*(1-Assumptions!$D$41)+BE16*((1-(1-Assumptions!$D$33)^(1/12))*Assumptions!$D$40)*MAX(0,BE13*Assumptions!$D$28-BD30)</f>
        <v>4.04945534019938</v>
      </c>
      <c r="BF30" s="37" t="n">
        <f aca="false">BE30*(1-Assumptions!$D$41)+BF16*((1-(1-Assumptions!$D$33)^(1/12))*Assumptions!$D$40)*MAX(0,BF13*Assumptions!$D$28-BE30)</f>
        <v>4.26034022664867</v>
      </c>
      <c r="BG30" s="37" t="n">
        <f aca="false">BF30*(1-Assumptions!$D$41)+BG16*((1-(1-Assumptions!$D$33)^(1/12))*Assumptions!$D$40)*MAX(0,BG13*Assumptions!$D$28-BF30)</f>
        <v>4.46670272187543</v>
      </c>
      <c r="BH30" s="37" t="n">
        <f aca="false">BG30*(1-Assumptions!$D$41)+BH16*((1-(1-Assumptions!$D$33)^(1/12))*Assumptions!$D$40)*MAX(0,BH13*Assumptions!$D$28-BG30)</f>
        <v>4.66860998341993</v>
      </c>
      <c r="BI30" s="37" t="n">
        <f aca="false">BH30*(1-Assumptions!$D$41)+BI16*((1-(1-Assumptions!$D$33)^(1/12))*Assumptions!$D$40)*MAX(0,BI13*Assumptions!$D$28-BH30)</f>
        <v>4.86613030024637</v>
      </c>
      <c r="BJ30" s="37" t="n">
        <f aca="false">BI30*(1-Assumptions!$D$41)+BJ16*((1-(1-Assumptions!$D$33)^(1/12))*Assumptions!$D$40)*MAX(0,BJ13*Assumptions!$D$28-BI30)</f>
        <v>5.05933289239297</v>
      </c>
      <c r="BK30" s="37" t="n">
        <f aca="false">BJ30*(1-Assumptions!$D$41)+BK16*((1-(1-Assumptions!$D$33)^(1/12))*Assumptions!$D$40)*MAX(0,BK13*Assumptions!$D$28-BJ30)</f>
        <v>5.24828772616544</v>
      </c>
    </row>
    <row r="31" customFormat="false" ht="15" hidden="false" customHeight="false" outlineLevel="0" collapsed="false">
      <c r="A31" s="28" t="s">
        <v>579</v>
      </c>
      <c r="B31" s="6" t="s">
        <v>580</v>
      </c>
      <c r="C31" s="36" t="n">
        <v>0</v>
      </c>
      <c r="D31" s="26" t="n">
        <f aca="false">C31*(1-Assumptions!$D$41)+D16*((1-(1-Assumptions!$D$34)^(1/12))*Assumptions!$D$40)*MAX(0,D13*Assumptions!$D$29-C31)</f>
        <v>0</v>
      </c>
      <c r="E31" s="26" t="n">
        <f aca="false">D31*(1-Assumptions!$D$41)+E16*((1-(1-Assumptions!$D$34)^(1/12))*Assumptions!$D$40)*MAX(0,E13*Assumptions!$D$29-D31)</f>
        <v>0</v>
      </c>
      <c r="F31" s="26" t="n">
        <f aca="false">E31*(1-Assumptions!$D$41)+F16*((1-(1-Assumptions!$D$34)^(1/12))*Assumptions!$D$40)*MAX(0,F13*Assumptions!$D$29-E31)</f>
        <v>0</v>
      </c>
      <c r="G31" s="26" t="n">
        <f aca="false">F31*(1-Assumptions!$D$41)+G16*((1-(1-Assumptions!$D$34)^(1/12))*Assumptions!$D$40)*MAX(0,G13*Assumptions!$D$29-F31)</f>
        <v>0</v>
      </c>
      <c r="H31" s="26" t="n">
        <f aca="false">G31*(1-Assumptions!$D$41)+H16*((1-(1-Assumptions!$D$34)^(1/12))*Assumptions!$D$40)*MAX(0,H13*Assumptions!$D$29-G31)</f>
        <v>0</v>
      </c>
      <c r="I31" s="26" t="n">
        <f aca="false">H31*(1-Assumptions!$D$41)+I16*((1-(1-Assumptions!$D$34)^(1/12))*Assumptions!$D$40)*MAX(0,I13*Assumptions!$D$29-H31)</f>
        <v>0</v>
      </c>
      <c r="J31" s="26" t="n">
        <f aca="false">I31*(1-Assumptions!$D$41)+J16*((1-(1-Assumptions!$D$34)^(1/12))*Assumptions!$D$40)*MAX(0,J13*Assumptions!$D$29-I31)</f>
        <v>0</v>
      </c>
      <c r="K31" s="26" t="n">
        <f aca="false">J31*(1-Assumptions!$D$41)+K16*((1-(1-Assumptions!$D$34)^(1/12))*Assumptions!$D$40)*MAX(0,K13*Assumptions!$D$29-J31)</f>
        <v>0</v>
      </c>
      <c r="L31" s="26" t="n">
        <f aca="false">K31*(1-Assumptions!$D$41)+L16*((1-(1-Assumptions!$D$34)^(1/12))*Assumptions!$D$40)*MAX(0,L13*Assumptions!$D$29-K31)</f>
        <v>0</v>
      </c>
      <c r="M31" s="26" t="n">
        <f aca="false">L31*(1-Assumptions!$D$41)+M16*((1-(1-Assumptions!$D$34)^(1/12))*Assumptions!$D$40)*MAX(0,M13*Assumptions!$D$29-L31)</f>
        <v>0</v>
      </c>
      <c r="N31" s="26" t="n">
        <f aca="false">M31*(1-Assumptions!$D$41)+N16*((1-(1-Assumptions!$D$34)^(1/12))*Assumptions!$D$40)*MAX(0,N13*Assumptions!$D$29-M31)</f>
        <v>0</v>
      </c>
      <c r="O31" s="26" t="n">
        <f aca="false">N31*(1-Assumptions!$D$41)+O16*((1-(1-Assumptions!$D$34)^(1/12))*Assumptions!$D$40)*MAX(0,O13*Assumptions!$D$29-N31)</f>
        <v>0</v>
      </c>
      <c r="P31" s="26" t="n">
        <f aca="false">O31*(1-Assumptions!$D$41)+P16*((1-(1-Assumptions!$D$34)^(1/12))*Assumptions!$D$40)*MAX(0,P13*Assumptions!$D$29-O31)</f>
        <v>0</v>
      </c>
      <c r="Q31" s="26" t="n">
        <f aca="false">P31*(1-Assumptions!$D$41)+Q16*((1-(1-Assumptions!$D$34)^(1/12))*Assumptions!$D$40)*MAX(0,Q13*Assumptions!$D$29-P31)</f>
        <v>0</v>
      </c>
      <c r="R31" s="26" t="n">
        <f aca="false">Q31*(1-Assumptions!$D$41)+R16*((1-(1-Assumptions!$D$34)^(1/12))*Assumptions!$D$40)*MAX(0,R13*Assumptions!$D$29-Q31)</f>
        <v>0</v>
      </c>
      <c r="S31" s="26" t="n">
        <f aca="false">R31*(1-Assumptions!$D$41)+S16*((1-(1-Assumptions!$D$34)^(1/12))*Assumptions!$D$40)*MAX(0,S13*Assumptions!$D$29-R31)</f>
        <v>0</v>
      </c>
      <c r="T31" s="26" t="n">
        <f aca="false">S31*(1-Assumptions!$D$41)+T16*((1-(1-Assumptions!$D$34)^(1/12))*Assumptions!$D$40)*MAX(0,T13*Assumptions!$D$29-S31)</f>
        <v>0</v>
      </c>
      <c r="U31" s="26" t="n">
        <f aca="false">T31*(1-Assumptions!$D$41)+U16*((1-(1-Assumptions!$D$34)^(1/12))*Assumptions!$D$40)*MAX(0,U13*Assumptions!$D$29-T31)</f>
        <v>0</v>
      </c>
      <c r="V31" s="26" t="n">
        <f aca="false">U31*(1-Assumptions!$D$41)+V16*((1-(1-Assumptions!$D$34)^(1/12))*Assumptions!$D$40)*MAX(0,V13*Assumptions!$D$29-U31)</f>
        <v>0</v>
      </c>
      <c r="W31" s="26" t="n">
        <f aca="false">V31*(1-Assumptions!$D$41)+W16*((1-(1-Assumptions!$D$34)^(1/12))*Assumptions!$D$40)*MAX(0,W13*Assumptions!$D$29-V31)</f>
        <v>0</v>
      </c>
      <c r="X31" s="26" t="n">
        <f aca="false">W31*(1-Assumptions!$D$41)+X16*((1-(1-Assumptions!$D$34)^(1/12))*Assumptions!$D$40)*MAX(0,X13*Assumptions!$D$29-W31)</f>
        <v>0</v>
      </c>
      <c r="Y31" s="26" t="n">
        <f aca="false">X31*(1-Assumptions!$D$41)+Y16*((1-(1-Assumptions!$D$34)^(1/12))*Assumptions!$D$40)*MAX(0,Y13*Assumptions!$D$29-X31)</f>
        <v>0</v>
      </c>
      <c r="Z31" s="26" t="n">
        <f aca="false">Y31*(1-Assumptions!$D$41)+Z16*((1-(1-Assumptions!$D$34)^(1/12))*Assumptions!$D$40)*MAX(0,Z13*Assumptions!$D$29-Y31)</f>
        <v>0</v>
      </c>
      <c r="AA31" s="26" t="n">
        <f aca="false">Z31*(1-Assumptions!$D$41)+AA16*((1-(1-Assumptions!$D$34)^(1/12))*Assumptions!$D$40)*MAX(0,AA13*Assumptions!$D$29-Z31)</f>
        <v>0</v>
      </c>
      <c r="AB31" s="26" t="n">
        <f aca="false">AA31*(1-Assumptions!$D$41)+AB16*((1-(1-Assumptions!$D$34)^(1/12))*Assumptions!$D$40)*MAX(0,AB13*Assumptions!$D$29-AA31)</f>
        <v>0</v>
      </c>
      <c r="AC31" s="26" t="n">
        <f aca="false">AB31*(1-Assumptions!$D$41)+AC16*((1-(1-Assumptions!$D$34)^(1/12))*Assumptions!$D$40)*MAX(0,AC13*Assumptions!$D$29-AB31)</f>
        <v>0</v>
      </c>
      <c r="AD31" s="26" t="n">
        <f aca="false">AC31*(1-Assumptions!$D$41)+AD16*((1-(1-Assumptions!$D$34)^(1/12))*Assumptions!$D$40)*MAX(0,AD13*Assumptions!$D$29-AC31)</f>
        <v>0</v>
      </c>
      <c r="AE31" s="26" t="n">
        <f aca="false">AD31*(1-Assumptions!$D$41)+AE16*((1-(1-Assumptions!$D$34)^(1/12))*Assumptions!$D$40)*MAX(0,AE13*Assumptions!$D$29-AD31)</f>
        <v>0</v>
      </c>
      <c r="AF31" s="26" t="n">
        <f aca="false">AE31*(1-Assumptions!$D$41)+AF16*((1-(1-Assumptions!$D$34)^(1/12))*Assumptions!$D$40)*MAX(0,AF13*Assumptions!$D$29-AE31)</f>
        <v>0</v>
      </c>
      <c r="AG31" s="26" t="n">
        <f aca="false">AF31*(1-Assumptions!$D$41)+AG16*((1-(1-Assumptions!$D$34)^(1/12))*Assumptions!$D$40)*MAX(0,AG13*Assumptions!$D$29-AF31)</f>
        <v>0</v>
      </c>
      <c r="AH31" s="26" t="n">
        <f aca="false">AG31*(1-Assumptions!$D$41)+AH16*((1-(1-Assumptions!$D$34)^(1/12))*Assumptions!$D$40)*MAX(0,AH13*Assumptions!$D$29-AG31)</f>
        <v>0</v>
      </c>
      <c r="AI31" s="26" t="n">
        <f aca="false">AH31*(1-Assumptions!$D$41)+AI16*((1-(1-Assumptions!$D$34)^(1/12))*Assumptions!$D$40)*MAX(0,AI13*Assumptions!$D$29-AH31)</f>
        <v>0</v>
      </c>
      <c r="AJ31" s="26" t="n">
        <f aca="false">AI31*(1-Assumptions!$D$41)+AJ16*((1-(1-Assumptions!$D$34)^(1/12))*Assumptions!$D$40)*MAX(0,AJ13*Assumptions!$D$29-AI31)</f>
        <v>0</v>
      </c>
      <c r="AK31" s="26" t="n">
        <f aca="false">AJ31*(1-Assumptions!$D$41)+AK16*((1-(1-Assumptions!$D$34)^(1/12))*Assumptions!$D$40)*MAX(0,AK13*Assumptions!$D$29-AJ31)</f>
        <v>0</v>
      </c>
      <c r="AL31" s="26" t="n">
        <f aca="false">AK31*(1-Assumptions!$D$41)+AL16*((1-(1-Assumptions!$D$34)^(1/12))*Assumptions!$D$40)*MAX(0,AL13*Assumptions!$D$29-AK31)</f>
        <v>0</v>
      </c>
      <c r="AM31" s="26" t="n">
        <f aca="false">AL31*(1-Assumptions!$D$41)+AM16*((1-(1-Assumptions!$D$34)^(1/12))*Assumptions!$D$40)*MAX(0,AM13*Assumptions!$D$29-AL31)</f>
        <v>0</v>
      </c>
      <c r="AN31" s="37" t="n">
        <f aca="false">AM31*(1-Assumptions!$D$41)+AN16*((1-(1-Assumptions!$D$34)^(1/12))*Assumptions!$D$40)*MAX(0,AN13*Assumptions!$D$29-AM31)</f>
        <v>0</v>
      </c>
      <c r="AO31" s="37" t="n">
        <f aca="false">AN31*(1-Assumptions!$D$41)+AO16*((1-(1-Assumptions!$D$34)^(1/12))*Assumptions!$D$40)*MAX(0,AO13*Assumptions!$D$29-AN31)</f>
        <v>0</v>
      </c>
      <c r="AP31" s="37" t="n">
        <f aca="false">AO31*(1-Assumptions!$D$41)+AP16*((1-(1-Assumptions!$D$34)^(1/12))*Assumptions!$D$40)*MAX(0,AP13*Assumptions!$D$29-AO31)</f>
        <v>0.0542633871869334</v>
      </c>
      <c r="AQ31" s="37" t="n">
        <f aca="false">AP31*(1-Assumptions!$D$41)+AQ16*((1-(1-Assumptions!$D$34)^(1/12))*Assumptions!$D$40)*MAX(0,AQ13*Assumptions!$D$29-AP31)</f>
        <v>0.108034525048555</v>
      </c>
      <c r="AR31" s="37" t="n">
        <f aca="false">AQ31*(1-Assumptions!$D$41)+AR16*((1-(1-Assumptions!$D$34)^(1/12))*Assumptions!$D$40)*MAX(0,AR13*Assumptions!$D$29-AQ31)</f>
        <v>0.161282948661466</v>
      </c>
      <c r="AS31" s="37" t="n">
        <f aca="false">AR31*(1-Assumptions!$D$41)+AS16*((1-(1-Assumptions!$D$34)^(1/12))*Assumptions!$D$40)*MAX(0,AS13*Assumptions!$D$29-AR31)</f>
        <v>0.214017664315141</v>
      </c>
      <c r="AT31" s="37" t="n">
        <f aca="false">AS31*(1-Assumptions!$D$41)+AT16*((1-(1-Assumptions!$D$34)^(1/12))*Assumptions!$D$40)*MAX(0,AT13*Assumptions!$D$29-AS31)</f>
        <v>0.266211061043416</v>
      </c>
      <c r="AU31" s="37" t="n">
        <f aca="false">AT31*(1-Assumptions!$D$41)+AU16*((1-(1-Assumptions!$D$34)^(1/12))*Assumptions!$D$40)*MAX(0,AU13*Assumptions!$D$29-AT31)</f>
        <v>0.317838219981504</v>
      </c>
      <c r="AV31" s="37" t="n">
        <f aca="false">AU31*(1-Assumptions!$D$41)+AV16*((1-(1-Assumptions!$D$34)^(1/12))*Assumptions!$D$40)*MAX(0,AV13*Assumptions!$D$29-AU31)</f>
        <v>0.368913341086939</v>
      </c>
      <c r="AW31" s="37" t="n">
        <f aca="false">AV31*(1-Assumptions!$D$41)+AW16*((1-(1-Assumptions!$D$34)^(1/12))*Assumptions!$D$40)*MAX(0,AW13*Assumptions!$D$29-AV31)</f>
        <v>0.419413674057581</v>
      </c>
      <c r="AX31" s="37" t="n">
        <f aca="false">AW31*(1-Assumptions!$D$41)+AX16*((1-(1-Assumptions!$D$34)^(1/12))*Assumptions!$D$40)*MAX(0,AX13*Assumptions!$D$29-AW31)</f>
        <v>0.469318846067116</v>
      </c>
      <c r="AY31" s="37" t="n">
        <f aca="false">AX31*(1-Assumptions!$D$41)+AY16*((1-(1-Assumptions!$D$34)^(1/12))*Assumptions!$D$40)*MAX(0,AY13*Assumptions!$D$29-AX31)</f>
        <v>0.518647305907521</v>
      </c>
      <c r="AZ31" s="37" t="n">
        <f aca="false">AY31*(1-Assumptions!$D$41)+AZ16*((1-(1-Assumptions!$D$34)^(1/12))*Assumptions!$D$40)*MAX(0,AZ13*Assumptions!$D$29-AY31)</f>
        <v>0.567380271420197</v>
      </c>
      <c r="BA31" s="37" t="n">
        <f aca="false">AZ31*(1-Assumptions!$D$41)+BA16*((1-(1-Assumptions!$D$34)^(1/12))*Assumptions!$D$40)*MAX(0,BA13*Assumptions!$D$29-AZ31)</f>
        <v>0.615501072882295</v>
      </c>
      <c r="BB31" s="37" t="n">
        <f aca="false">BA31*(1-Assumptions!$D$41)+BB16*((1-(1-Assumptions!$D$34)^(1/12))*Assumptions!$D$40)*MAX(0,BB13*Assumptions!$D$29-BA31)</f>
        <v>0.662995018898718</v>
      </c>
      <c r="BC31" s="37" t="n">
        <f aca="false">BB31*(1-Assumptions!$D$41)+BC16*((1-(1-Assumptions!$D$34)^(1/12))*Assumptions!$D$40)*MAX(0,BC13*Assumptions!$D$29-BB31)</f>
        <v>0.709849269669784</v>
      </c>
      <c r="BD31" s="37" t="n">
        <f aca="false">BC31*(1-Assumptions!$D$41)+BD16*((1-(1-Assumptions!$D$34)^(1/12))*Assumptions!$D$40)*MAX(0,BD13*Assumptions!$D$29-BC31)</f>
        <v>0.756052717251046</v>
      </c>
      <c r="BE31" s="37" t="n">
        <f aca="false">BD31*(1-Assumptions!$D$41)+BE16*((1-(1-Assumptions!$D$34)^(1/12))*Assumptions!$D$40)*MAX(0,BE13*Assumptions!$D$29-BD31)</f>
        <v>0.80159587244128</v>
      </c>
      <c r="BF31" s="37" t="n">
        <f aca="false">BE31*(1-Assumptions!$D$41)+BF16*((1-(1-Assumptions!$D$34)^(1/12))*Assumptions!$D$40)*MAX(0,BF13*Assumptions!$D$29-BE31)</f>
        <v>0.84647075795305</v>
      </c>
      <c r="BG31" s="37" t="n">
        <f aca="false">BF31*(1-Assumptions!$D$41)+BG16*((1-(1-Assumptions!$D$34)^(1/12))*Assumptions!$D$40)*MAX(0,BG13*Assumptions!$D$29-BF31)</f>
        <v>0.890670807537848</v>
      </c>
      <c r="BH31" s="37" t="n">
        <f aca="false">BG31*(1-Assumptions!$D$41)+BH16*((1-(1-Assumptions!$D$34)^(1/12))*Assumptions!$D$40)*MAX(0,BH13*Assumptions!$D$29-BG31)</f>
        <v>0.934190770754423</v>
      </c>
      <c r="BI31" s="37" t="n">
        <f aca="false">BH31*(1-Assumptions!$D$41)+BI16*((1-(1-Assumptions!$D$34)^(1/12))*Assumptions!$D$40)*MAX(0,BI13*Assumptions!$D$29-BH31)</f>
        <v>0.977026623084797</v>
      </c>
      <c r="BJ31" s="37" t="n">
        <f aca="false">BI31*(1-Assumptions!$D$41)+BJ16*((1-(1-Assumptions!$D$34)^(1/12))*Assumptions!$D$40)*MAX(0,BJ13*Assumptions!$D$29-BI31)</f>
        <v>1.01917548111742</v>
      </c>
      <c r="BK31" s="37" t="n">
        <f aca="false">BJ31*(1-Assumptions!$D$41)+BK16*((1-(1-Assumptions!$D$34)^(1/12))*Assumptions!$D$40)*MAX(0,BK13*Assumptions!$D$29-BJ31)</f>
        <v>1.06063552253126</v>
      </c>
    </row>
    <row r="32" customFormat="false" ht="15" hidden="false" customHeight="false" outlineLevel="0" collapsed="false">
      <c r="A32" s="28" t="s">
        <v>581</v>
      </c>
      <c r="B32" s="6" t="s">
        <v>582</v>
      </c>
      <c r="C32" s="36" t="n">
        <v>0</v>
      </c>
      <c r="D32" s="26" t="n">
        <f aca="false">D27+D28+D29+D30+D31</f>
        <v>0</v>
      </c>
      <c r="E32" s="26" t="n">
        <f aca="false">E27+E28+E29+E30+E31</f>
        <v>0</v>
      </c>
      <c r="F32" s="26" t="n">
        <f aca="false">F27+F28+F29+F30+F31</f>
        <v>0</v>
      </c>
      <c r="G32" s="26" t="n">
        <f aca="false">G27+G28+G29+G30+G31</f>
        <v>0</v>
      </c>
      <c r="H32" s="26" t="n">
        <f aca="false">H27+H28+H29+H30+H31</f>
        <v>0</v>
      </c>
      <c r="I32" s="26" t="n">
        <f aca="false">I27+I28+I29+I30+I31</f>
        <v>0</v>
      </c>
      <c r="J32" s="26" t="n">
        <f aca="false">J27+J28+J29+J30+J31</f>
        <v>0</v>
      </c>
      <c r="K32" s="26" t="n">
        <f aca="false">K27+K28+K29+K30+K31</f>
        <v>0</v>
      </c>
      <c r="L32" s="26" t="n">
        <f aca="false">L27+L28+L29+L30+L31</f>
        <v>0</v>
      </c>
      <c r="M32" s="26" t="n">
        <f aca="false">M27+M28+M29+M30+M31</f>
        <v>0</v>
      </c>
      <c r="N32" s="26" t="n">
        <f aca="false">N27+N28+N29+N30+N31</f>
        <v>0</v>
      </c>
      <c r="O32" s="26" t="n">
        <f aca="false">O27+O28+O29+O30+O31</f>
        <v>0</v>
      </c>
      <c r="P32" s="26" t="n">
        <f aca="false">P27+P28+P29+P30+P31</f>
        <v>0</v>
      </c>
      <c r="Q32" s="26" t="n">
        <f aca="false">Q27+Q28+Q29+Q30+Q31</f>
        <v>0</v>
      </c>
      <c r="R32" s="26" t="n">
        <f aca="false">R27+R28+R29+R30+R31</f>
        <v>0</v>
      </c>
      <c r="S32" s="26" t="n">
        <f aca="false">S27+S28+S29+S30+S31</f>
        <v>0</v>
      </c>
      <c r="T32" s="26" t="n">
        <f aca="false">T27+T28+T29+T30+T31</f>
        <v>0</v>
      </c>
      <c r="U32" s="26" t="n">
        <f aca="false">U27+U28+U29+U30+U31</f>
        <v>0</v>
      </c>
      <c r="V32" s="26" t="n">
        <f aca="false">V27+V28+V29+V30+V31</f>
        <v>0</v>
      </c>
      <c r="W32" s="26" t="n">
        <f aca="false">W27+W28+W29+W30+W31</f>
        <v>0</v>
      </c>
      <c r="X32" s="26" t="n">
        <f aca="false">X27+X28+X29+X30+X31</f>
        <v>0</v>
      </c>
      <c r="Y32" s="26" t="n">
        <f aca="false">Y27+Y28+Y29+Y30+Y31</f>
        <v>0</v>
      </c>
      <c r="Z32" s="26" t="n">
        <f aca="false">Z27+Z28+Z29+Z30+Z31</f>
        <v>0</v>
      </c>
      <c r="AA32" s="26" t="n">
        <f aca="false">AA27+AA28+AA29+AA30+AA31</f>
        <v>0</v>
      </c>
      <c r="AB32" s="26" t="n">
        <f aca="false">AB27+AB28+AB29+AB30+AB31</f>
        <v>0</v>
      </c>
      <c r="AC32" s="26" t="n">
        <f aca="false">AC27+AC28+AC29+AC30+AC31</f>
        <v>0</v>
      </c>
      <c r="AD32" s="26" t="n">
        <f aca="false">AD27+AD28+AD29+AD30+AD31</f>
        <v>0</v>
      </c>
      <c r="AE32" s="26" t="n">
        <f aca="false">AE27+AE28+AE29+AE30+AE31</f>
        <v>0</v>
      </c>
      <c r="AF32" s="26" t="n">
        <f aca="false">AF27+AF28+AF29+AF30+AF31</f>
        <v>0</v>
      </c>
      <c r="AG32" s="26" t="n">
        <f aca="false">AG27+AG28+AG29+AG30+AG31</f>
        <v>0</v>
      </c>
      <c r="AH32" s="26" t="n">
        <f aca="false">AH27+AH28+AH29+AH30+AH31</f>
        <v>0</v>
      </c>
      <c r="AI32" s="26" t="n">
        <f aca="false">AI27+AI28+AI29+AI30+AI31</f>
        <v>0</v>
      </c>
      <c r="AJ32" s="26" t="n">
        <f aca="false">AJ27+AJ28+AJ29+AJ30+AJ31</f>
        <v>0</v>
      </c>
      <c r="AK32" s="26" t="n">
        <f aca="false">AK27+AK28+AK29+AK30+AK31</f>
        <v>0</v>
      </c>
      <c r="AL32" s="26" t="n">
        <f aca="false">AL27+AL28+AL29+AL30+AL31</f>
        <v>0</v>
      </c>
      <c r="AM32" s="26" t="n">
        <f aca="false">AM27+AM28+AM29+AM30+AM31</f>
        <v>0</v>
      </c>
      <c r="AN32" s="37" t="n">
        <f aca="false">AN27+AN28+AN29+AN30+AN31</f>
        <v>0</v>
      </c>
      <c r="AO32" s="37" t="n">
        <f aca="false">AO27+AO28+AO29+AO30+AO31</f>
        <v>0</v>
      </c>
      <c r="AP32" s="37" t="n">
        <f aca="false">AP27+AP28+AP29+AP30+AP31</f>
        <v>2.82645990318197</v>
      </c>
      <c r="AQ32" s="37" t="n">
        <f aca="false">AQ27+AQ28+AQ29+AQ30+AQ31</f>
        <v>5.58084263390085</v>
      </c>
      <c r="AR32" s="37" t="n">
        <f aca="false">AR27+AR28+AR29+AR30+AR31</f>
        <v>8.26511722544972</v>
      </c>
      <c r="AS32" s="37" t="n">
        <f aca="false">AS27+AS28+AS29+AS30+AS31</f>
        <v>10.8830940891794</v>
      </c>
      <c r="AT32" s="37" t="n">
        <f aca="false">AT27+AT28+AT29+AT30+AT31</f>
        <v>13.4364425277727</v>
      </c>
      <c r="AU32" s="37" t="n">
        <f aca="false">AU27+AU28+AU29+AU30+AU31</f>
        <v>15.9267854688035</v>
      </c>
      <c r="AV32" s="37" t="n">
        <f aca="false">AV27+AV28+AV29+AV30+AV31</f>
        <v>18.3576072146002</v>
      </c>
      <c r="AW32" s="37" t="n">
        <f aca="false">AW27+AW28+AW29+AW30+AW31</f>
        <v>20.7302696551919</v>
      </c>
      <c r="AX32" s="37" t="n">
        <f aca="false">AX27+AX28+AX29+AX30+AX31</f>
        <v>23.0461057902862</v>
      </c>
      <c r="AY32" s="37" t="n">
        <f aca="false">AY27+AY28+AY29+AY30+AY31</f>
        <v>25.3083263501429</v>
      </c>
      <c r="AZ32" s="37" t="n">
        <f aca="false">AZ27+AZ28+AZ29+AZ30+AZ31</f>
        <v>27.5180349563916</v>
      </c>
      <c r="BA32" s="37" t="n">
        <f aca="false">BA27+BA28+BA29+BA30+BA31</f>
        <v>29.6763206634139</v>
      </c>
      <c r="BB32" s="37" t="n">
        <f aca="false">BB27+BB28+BB29+BB30+BB31</f>
        <v>31.7842576123934</v>
      </c>
      <c r="BC32" s="37" t="n">
        <f aca="false">BC27+BC28+BC29+BC30+BC31</f>
        <v>33.8429047322387</v>
      </c>
      <c r="BD32" s="37" t="n">
        <f aca="false">BD27+BD28+BD29+BD30+BD31</f>
        <v>35.8533054841891</v>
      </c>
      <c r="BE32" s="37" t="n">
        <f aca="false">BE27+BE28+BE29+BE30+BE31</f>
        <v>37.8164876470948</v>
      </c>
      <c r="BF32" s="37" t="n">
        <f aca="false">BF27+BF28+BF29+BF30+BF31</f>
        <v>39.7334631405407</v>
      </c>
      <c r="BG32" s="37" t="n">
        <f aca="false">BG27+BG28+BG29+BG30+BG31</f>
        <v>41.6052278831419</v>
      </c>
      <c r="BH32" s="37" t="n">
        <f aca="false">BH27+BH28+BH29+BH30+BH31</f>
        <v>43.4327616835004</v>
      </c>
      <c r="BI32" s="37" t="n">
        <f aca="false">BI27+BI28+BI29+BI30+BI31</f>
        <v>45.2170281614559</v>
      </c>
      <c r="BJ32" s="37" t="n">
        <f aca="false">BJ27+BJ28+BJ29+BJ30+BJ31</f>
        <v>46.9589746974049</v>
      </c>
      <c r="BK32" s="37" t="n">
        <f aca="false">BK27+BK28+BK29+BK30+BK31</f>
        <v>48.6595324075939</v>
      </c>
    </row>
    <row r="33" customFormat="false" ht="15" hidden="false" customHeight="false" outlineLevel="0" collapsed="false">
      <c r="A33" s="28" t="s">
        <v>583</v>
      </c>
      <c r="B33" s="6" t="s">
        <v>584</v>
      </c>
      <c r="C33" s="42"/>
      <c r="D33" s="26" t="n">
        <f aca="false">D27*(1-Assumptions!$D$35)+D28*(1-Assumptions!$D$36)+D29*(1-Assumptions!$D$37)+D30*(1-Assumptions!$D$38)+D31*(1-Assumptions!$D$39)</f>
        <v>0</v>
      </c>
      <c r="E33" s="26" t="n">
        <f aca="false">E27*(1-Assumptions!$D$35)+E28*(1-Assumptions!$D$36)+E29*(1-Assumptions!$D$37)+E30*(1-Assumptions!$D$38)+E31*(1-Assumptions!$D$39)</f>
        <v>0</v>
      </c>
      <c r="F33" s="26" t="n">
        <f aca="false">F27*(1-Assumptions!$D$35)+F28*(1-Assumptions!$D$36)+F29*(1-Assumptions!$D$37)+F30*(1-Assumptions!$D$38)+F31*(1-Assumptions!$D$39)</f>
        <v>0</v>
      </c>
      <c r="G33" s="26" t="n">
        <f aca="false">G27*(1-Assumptions!$D$35)+G28*(1-Assumptions!$D$36)+G29*(1-Assumptions!$D$37)+G30*(1-Assumptions!$D$38)+G31*(1-Assumptions!$D$39)</f>
        <v>0</v>
      </c>
      <c r="H33" s="26" t="n">
        <f aca="false">H27*(1-Assumptions!$D$35)+H28*(1-Assumptions!$D$36)+H29*(1-Assumptions!$D$37)+H30*(1-Assumptions!$D$38)+H31*(1-Assumptions!$D$39)</f>
        <v>0</v>
      </c>
      <c r="I33" s="26" t="n">
        <f aca="false">I27*(1-Assumptions!$D$35)+I28*(1-Assumptions!$D$36)+I29*(1-Assumptions!$D$37)+I30*(1-Assumptions!$D$38)+I31*(1-Assumptions!$D$39)</f>
        <v>0</v>
      </c>
      <c r="J33" s="26" t="n">
        <f aca="false">J27*(1-Assumptions!$D$35)+J28*(1-Assumptions!$D$36)+J29*(1-Assumptions!$D$37)+J30*(1-Assumptions!$D$38)+J31*(1-Assumptions!$D$39)</f>
        <v>0</v>
      </c>
      <c r="K33" s="26" t="n">
        <f aca="false">K27*(1-Assumptions!$D$35)+K28*(1-Assumptions!$D$36)+K29*(1-Assumptions!$D$37)+K30*(1-Assumptions!$D$38)+K31*(1-Assumptions!$D$39)</f>
        <v>0</v>
      </c>
      <c r="L33" s="26" t="n">
        <f aca="false">L27*(1-Assumptions!$D$35)+L28*(1-Assumptions!$D$36)+L29*(1-Assumptions!$D$37)+L30*(1-Assumptions!$D$38)+L31*(1-Assumptions!$D$39)</f>
        <v>0</v>
      </c>
      <c r="M33" s="26" t="n">
        <f aca="false">M27*(1-Assumptions!$D$35)+M28*(1-Assumptions!$D$36)+M29*(1-Assumptions!$D$37)+M30*(1-Assumptions!$D$38)+M31*(1-Assumptions!$D$39)</f>
        <v>0</v>
      </c>
      <c r="N33" s="26" t="n">
        <f aca="false">N27*(1-Assumptions!$D$35)+N28*(1-Assumptions!$D$36)+N29*(1-Assumptions!$D$37)+N30*(1-Assumptions!$D$38)+N31*(1-Assumptions!$D$39)</f>
        <v>0</v>
      </c>
      <c r="O33" s="26" t="n">
        <f aca="false">O27*(1-Assumptions!$D$35)+O28*(1-Assumptions!$D$36)+O29*(1-Assumptions!$D$37)+O30*(1-Assumptions!$D$38)+O31*(1-Assumptions!$D$39)</f>
        <v>0</v>
      </c>
      <c r="P33" s="26" t="n">
        <f aca="false">P27*(1-Assumptions!$D$35)+P28*(1-Assumptions!$D$36)+P29*(1-Assumptions!$D$37)+P30*(1-Assumptions!$D$38)+P31*(1-Assumptions!$D$39)</f>
        <v>0</v>
      </c>
      <c r="Q33" s="26" t="n">
        <f aca="false">Q27*(1-Assumptions!$D$35)+Q28*(1-Assumptions!$D$36)+Q29*(1-Assumptions!$D$37)+Q30*(1-Assumptions!$D$38)+Q31*(1-Assumptions!$D$39)</f>
        <v>0</v>
      </c>
      <c r="R33" s="26" t="n">
        <f aca="false">R27*(1-Assumptions!$D$35)+R28*(1-Assumptions!$D$36)+R29*(1-Assumptions!$D$37)+R30*(1-Assumptions!$D$38)+R31*(1-Assumptions!$D$39)</f>
        <v>0</v>
      </c>
      <c r="S33" s="26" t="n">
        <f aca="false">S27*(1-Assumptions!$D$35)+S28*(1-Assumptions!$D$36)+S29*(1-Assumptions!$D$37)+S30*(1-Assumptions!$D$38)+S31*(1-Assumptions!$D$39)</f>
        <v>0</v>
      </c>
      <c r="T33" s="26" t="n">
        <f aca="false">T27*(1-Assumptions!$D$35)+T28*(1-Assumptions!$D$36)+T29*(1-Assumptions!$D$37)+T30*(1-Assumptions!$D$38)+T31*(1-Assumptions!$D$39)</f>
        <v>0</v>
      </c>
      <c r="U33" s="26" t="n">
        <f aca="false">U27*(1-Assumptions!$D$35)+U28*(1-Assumptions!$D$36)+U29*(1-Assumptions!$D$37)+U30*(1-Assumptions!$D$38)+U31*(1-Assumptions!$D$39)</f>
        <v>0</v>
      </c>
      <c r="V33" s="26" t="n">
        <f aca="false">V27*(1-Assumptions!$D$35)+V28*(1-Assumptions!$D$36)+V29*(1-Assumptions!$D$37)+V30*(1-Assumptions!$D$38)+V31*(1-Assumptions!$D$39)</f>
        <v>0</v>
      </c>
      <c r="W33" s="26" t="n">
        <f aca="false">W27*(1-Assumptions!$D$35)+W28*(1-Assumptions!$D$36)+W29*(1-Assumptions!$D$37)+W30*(1-Assumptions!$D$38)+W31*(1-Assumptions!$D$39)</f>
        <v>0</v>
      </c>
      <c r="X33" s="26" t="n">
        <f aca="false">X27*(1-Assumptions!$D$35)+X28*(1-Assumptions!$D$36)+X29*(1-Assumptions!$D$37)+X30*(1-Assumptions!$D$38)+X31*(1-Assumptions!$D$39)</f>
        <v>0</v>
      </c>
      <c r="Y33" s="26" t="n">
        <f aca="false">Y27*(1-Assumptions!$D$35)+Y28*(1-Assumptions!$D$36)+Y29*(1-Assumptions!$D$37)+Y30*(1-Assumptions!$D$38)+Y31*(1-Assumptions!$D$39)</f>
        <v>0</v>
      </c>
      <c r="Z33" s="26" t="n">
        <f aca="false">Z27*(1-Assumptions!$D$35)+Z28*(1-Assumptions!$D$36)+Z29*(1-Assumptions!$D$37)+Z30*(1-Assumptions!$D$38)+Z31*(1-Assumptions!$D$39)</f>
        <v>0</v>
      </c>
      <c r="AA33" s="26" t="n">
        <f aca="false">AA27*(1-Assumptions!$D$35)+AA28*(1-Assumptions!$D$36)+AA29*(1-Assumptions!$D$37)+AA30*(1-Assumptions!$D$38)+AA31*(1-Assumptions!$D$39)</f>
        <v>0</v>
      </c>
      <c r="AB33" s="26" t="n">
        <f aca="false">AB27*(1-Assumptions!$D$35)+AB28*(1-Assumptions!$D$36)+AB29*(1-Assumptions!$D$37)+AB30*(1-Assumptions!$D$38)+AB31*(1-Assumptions!$D$39)</f>
        <v>0</v>
      </c>
      <c r="AC33" s="26" t="n">
        <f aca="false">AC27*(1-Assumptions!$D$35)+AC28*(1-Assumptions!$D$36)+AC29*(1-Assumptions!$D$37)+AC30*(1-Assumptions!$D$38)+AC31*(1-Assumptions!$D$39)</f>
        <v>0</v>
      </c>
      <c r="AD33" s="26" t="n">
        <f aca="false">AD27*(1-Assumptions!$D$35)+AD28*(1-Assumptions!$D$36)+AD29*(1-Assumptions!$D$37)+AD30*(1-Assumptions!$D$38)+AD31*(1-Assumptions!$D$39)</f>
        <v>0</v>
      </c>
      <c r="AE33" s="26" t="n">
        <f aca="false">AE27*(1-Assumptions!$D$35)+AE28*(1-Assumptions!$D$36)+AE29*(1-Assumptions!$D$37)+AE30*(1-Assumptions!$D$38)+AE31*(1-Assumptions!$D$39)</f>
        <v>0</v>
      </c>
      <c r="AF33" s="26" t="n">
        <f aca="false">AF27*(1-Assumptions!$D$35)+AF28*(1-Assumptions!$D$36)+AF29*(1-Assumptions!$D$37)+AF30*(1-Assumptions!$D$38)+AF31*(1-Assumptions!$D$39)</f>
        <v>0</v>
      </c>
      <c r="AG33" s="26" t="n">
        <f aca="false">AG27*(1-Assumptions!$D$35)+AG28*(1-Assumptions!$D$36)+AG29*(1-Assumptions!$D$37)+AG30*(1-Assumptions!$D$38)+AG31*(1-Assumptions!$D$39)</f>
        <v>0</v>
      </c>
      <c r="AH33" s="26" t="n">
        <f aca="false">AH27*(1-Assumptions!$D$35)+AH28*(1-Assumptions!$D$36)+AH29*(1-Assumptions!$D$37)+AH30*(1-Assumptions!$D$38)+AH31*(1-Assumptions!$D$39)</f>
        <v>0</v>
      </c>
      <c r="AI33" s="26" t="n">
        <f aca="false">AI27*(1-Assumptions!$D$35)+AI28*(1-Assumptions!$D$36)+AI29*(1-Assumptions!$D$37)+AI30*(1-Assumptions!$D$38)+AI31*(1-Assumptions!$D$39)</f>
        <v>0</v>
      </c>
      <c r="AJ33" s="26" t="n">
        <f aca="false">AJ27*(1-Assumptions!$D$35)+AJ28*(1-Assumptions!$D$36)+AJ29*(1-Assumptions!$D$37)+AJ30*(1-Assumptions!$D$38)+AJ31*(1-Assumptions!$D$39)</f>
        <v>0</v>
      </c>
      <c r="AK33" s="26" t="n">
        <f aca="false">AK27*(1-Assumptions!$D$35)+AK28*(1-Assumptions!$D$36)+AK29*(1-Assumptions!$D$37)+AK30*(1-Assumptions!$D$38)+AK31*(1-Assumptions!$D$39)</f>
        <v>0</v>
      </c>
      <c r="AL33" s="26" t="n">
        <f aca="false">AL27*(1-Assumptions!$D$35)+AL28*(1-Assumptions!$D$36)+AL29*(1-Assumptions!$D$37)+AL30*(1-Assumptions!$D$38)+AL31*(1-Assumptions!$D$39)</f>
        <v>0</v>
      </c>
      <c r="AM33" s="26" t="n">
        <f aca="false">AM27*(1-Assumptions!$D$35)+AM28*(1-Assumptions!$D$36)+AM29*(1-Assumptions!$D$37)+AM30*(1-Assumptions!$D$38)+AM31*(1-Assumptions!$D$39)</f>
        <v>0</v>
      </c>
      <c r="AN33" s="37" t="n">
        <f aca="false">AN27*(1-Assumptions!$D$35)+AN28*(1-Assumptions!$D$36)+AN29*(1-Assumptions!$D$37)+AN30*(1-Assumptions!$D$38)+AN31*(1-Assumptions!$D$39)</f>
        <v>0</v>
      </c>
      <c r="AO33" s="37" t="n">
        <f aca="false">AO27*(1-Assumptions!$D$35)+AO28*(1-Assumptions!$D$36)+AO29*(1-Assumptions!$D$37)+AO30*(1-Assumptions!$D$38)+AO31*(1-Assumptions!$D$39)</f>
        <v>0</v>
      </c>
      <c r="AP33" s="37" t="n">
        <f aca="false">AP27*(1-Assumptions!$D$35)+AP28*(1-Assumptions!$D$36)+AP29*(1-Assumptions!$D$37)+AP30*(1-Assumptions!$D$38)+AP31*(1-Assumptions!$D$39)</f>
        <v>2.01087118059293</v>
      </c>
      <c r="AQ33" s="37" t="n">
        <f aca="false">AQ27*(1-Assumptions!$D$35)+AQ28*(1-Assumptions!$D$36)+AQ29*(1-Assumptions!$D$37)+AQ30*(1-Assumptions!$D$38)+AQ31*(1-Assumptions!$D$39)</f>
        <v>3.97258676201494</v>
      </c>
      <c r="AR33" s="37" t="n">
        <f aca="false">AR27*(1-Assumptions!$D$35)+AR28*(1-Assumptions!$D$36)+AR29*(1-Assumptions!$D$37)+AR30*(1-Assumptions!$D$38)+AR31*(1-Assumptions!$D$39)</f>
        <v>5.88636047618128</v>
      </c>
      <c r="AS33" s="37" t="n">
        <f aca="false">AS27*(1-Assumptions!$D$35)+AS28*(1-Assumptions!$D$36)+AS29*(1-Assumptions!$D$37)+AS30*(1-Assumptions!$D$38)+AS31*(1-Assumptions!$D$39)</f>
        <v>7.75472936942655</v>
      </c>
      <c r="AT33" s="37" t="n">
        <f aca="false">AT27*(1-Assumptions!$D$35)+AT28*(1-Assumptions!$D$36)+AT29*(1-Assumptions!$D$37)+AT30*(1-Assumptions!$D$38)+AT31*(1-Assumptions!$D$39)</f>
        <v>9.57872102227282</v>
      </c>
      <c r="AU33" s="37" t="n">
        <f aca="false">AU27*(1-Assumptions!$D$35)+AU28*(1-Assumptions!$D$36)+AU29*(1-Assumptions!$D$37)+AU30*(1-Assumptions!$D$38)+AU31*(1-Assumptions!$D$39)</f>
        <v>11.3593413535672</v>
      </c>
      <c r="AV33" s="37" t="n">
        <f aca="false">AV27*(1-Assumptions!$D$35)+AV28*(1-Assumptions!$D$36)+AV29*(1-Assumptions!$D$37)+AV30*(1-Assumptions!$D$38)+AV31*(1-Assumptions!$D$39)</f>
        <v>13.0989311262991</v>
      </c>
      <c r="AW33" s="37" t="n">
        <f aca="false">AW27*(1-Assumptions!$D$35)+AW28*(1-Assumptions!$D$36)+AW29*(1-Assumptions!$D$37)+AW30*(1-Assumptions!$D$38)+AW31*(1-Assumptions!$D$39)</f>
        <v>14.7983324293986</v>
      </c>
      <c r="AX33" s="37" t="n">
        <f aca="false">AX27*(1-Assumptions!$D$35)+AX28*(1-Assumptions!$D$36)+AX29*(1-Assumptions!$D$37)+AX30*(1-Assumptions!$D$38)+AX31*(1-Assumptions!$D$39)</f>
        <v>16.4583757940545</v>
      </c>
      <c r="AY33" s="37" t="n">
        <f aca="false">AY27*(1-Assumptions!$D$35)+AY28*(1-Assumptions!$D$36)+AY29*(1-Assumptions!$D$37)+AY30*(1-Assumptions!$D$38)+AY31*(1-Assumptions!$D$39)</f>
        <v>18.0812360583856</v>
      </c>
      <c r="AZ33" s="37" t="n">
        <f aca="false">AZ27*(1-Assumptions!$D$35)+AZ28*(1-Assumptions!$D$36)+AZ29*(1-Assumptions!$D$37)+AZ30*(1-Assumptions!$D$38)+AZ31*(1-Assumptions!$D$39)</f>
        <v>19.6675982515321</v>
      </c>
      <c r="BA33" s="37" t="n">
        <f aca="false">BA27*(1-Assumptions!$D$35)+BA28*(1-Assumptions!$D$36)+BA29*(1-Assumptions!$D$37)+BA30*(1-Assumptions!$D$38)+BA31*(1-Assumptions!$D$39)</f>
        <v>21.2181441526978</v>
      </c>
      <c r="BB33" s="37" t="n">
        <f aca="false">BB27*(1-Assumptions!$D$35)+BB28*(1-Assumptions!$D$36)+BB29*(1-Assumptions!$D$37)+BB30*(1-Assumptions!$D$38)+BB31*(1-Assumptions!$D$39)</f>
        <v>22.7335515841602</v>
      </c>
      <c r="BC33" s="37" t="n">
        <f aca="false">BC27*(1-Assumptions!$D$35)+BC28*(1-Assumptions!$D$36)+BC29*(1-Assumptions!$D$37)+BC30*(1-Assumptions!$D$38)+BC31*(1-Assumptions!$D$39)</f>
        <v>24.2144937667506</v>
      </c>
      <c r="BD33" s="37" t="n">
        <f aca="false">BD27*(1-Assumptions!$D$35)+BD28*(1-Assumptions!$D$36)+BD29*(1-Assumptions!$D$37)+BD30*(1-Assumptions!$D$38)+BD31*(1-Assumptions!$D$39)</f>
        <v>25.6616387336993</v>
      </c>
      <c r="BE33" s="37" t="n">
        <f aca="false">BE27*(1-Assumptions!$D$35)+BE28*(1-Assumptions!$D$36)+BE29*(1-Assumptions!$D$37)+BE30*(1-Assumptions!$D$38)+BE31*(1-Assumptions!$D$39)</f>
        <v>27.0756487989842</v>
      </c>
      <c r="BF33" s="37" t="n">
        <f aca="false">BF27*(1-Assumptions!$D$35)+BF28*(1-Assumptions!$D$36)+BF29*(1-Assumptions!$D$37)+BF30*(1-Assumptions!$D$38)+BF31*(1-Assumptions!$D$39)</f>
        <v>28.4571800765579</v>
      </c>
      <c r="BG33" s="37" t="n">
        <f aca="false">BG27*(1-Assumptions!$D$35)+BG28*(1-Assumptions!$D$36)+BG29*(1-Assumptions!$D$37)+BG30*(1-Assumptions!$D$38)+BG31*(1-Assumptions!$D$39)</f>
        <v>29.806882047045</v>
      </c>
      <c r="BH33" s="37" t="n">
        <f aca="false">BH27*(1-Assumptions!$D$35)+BH28*(1-Assumptions!$D$36)+BH29*(1-Assumptions!$D$37)+BH30*(1-Assumptions!$D$38)+BH31*(1-Assumptions!$D$39)</f>
        <v>31.1253971687079</v>
      </c>
      <c r="BI33" s="37" t="n">
        <f aca="false">BI27*(1-Assumptions!$D$35)+BI28*(1-Assumptions!$D$36)+BI29*(1-Assumptions!$D$37)+BI30*(1-Assumptions!$D$38)+BI31*(1-Assumptions!$D$39)</f>
        <v>32.4133605296759</v>
      </c>
      <c r="BJ33" s="37" t="n">
        <f aca="false">BJ27*(1-Assumptions!$D$35)+BJ28*(1-Assumptions!$D$36)+BJ29*(1-Assumptions!$D$37)+BJ30*(1-Assumptions!$D$38)+BJ31*(1-Assumptions!$D$39)</f>
        <v>33.6713995386116</v>
      </c>
      <c r="BK33" s="37" t="n">
        <f aca="false">BK27*(1-Assumptions!$D$35)+BK28*(1-Assumptions!$D$36)+BK29*(1-Assumptions!$D$37)+BK30*(1-Assumptions!$D$38)+BK31*(1-Assumptions!$D$39)</f>
        <v>34.900133651165</v>
      </c>
    </row>
    <row r="34" customFormat="false" ht="15" hidden="false" customHeight="false" outlineLevel="0" collapsed="false">
      <c r="A34" s="28" t="s">
        <v>585</v>
      </c>
      <c r="B34" s="6" t="s">
        <v>586</v>
      </c>
      <c r="C34" s="42"/>
      <c r="D34" s="26" t="n">
        <f aca="false">D27*Assumptions!$D$35+D28*Assumptions!$D$36+D29*Assumptions!$D$37+D30*Assumptions!$D$38+D31*Assumptions!$D$39</f>
        <v>0</v>
      </c>
      <c r="E34" s="26" t="n">
        <f aca="false">E27*Assumptions!$D$35+E28*Assumptions!$D$36+E29*Assumptions!$D$37+E30*Assumptions!$D$38+E31*Assumptions!$D$39</f>
        <v>0</v>
      </c>
      <c r="F34" s="26" t="n">
        <f aca="false">F27*Assumptions!$D$35+F28*Assumptions!$D$36+F29*Assumptions!$D$37+F30*Assumptions!$D$38+F31*Assumptions!$D$39</f>
        <v>0</v>
      </c>
      <c r="G34" s="26" t="n">
        <f aca="false">G27*Assumptions!$D$35+G28*Assumptions!$D$36+G29*Assumptions!$D$37+G30*Assumptions!$D$38+G31*Assumptions!$D$39</f>
        <v>0</v>
      </c>
      <c r="H34" s="26" t="n">
        <f aca="false">H27*Assumptions!$D$35+H28*Assumptions!$D$36+H29*Assumptions!$D$37+H30*Assumptions!$D$38+H31*Assumptions!$D$39</f>
        <v>0</v>
      </c>
      <c r="I34" s="26" t="n">
        <f aca="false">I27*Assumptions!$D$35+I28*Assumptions!$D$36+I29*Assumptions!$D$37+I30*Assumptions!$D$38+I31*Assumptions!$D$39</f>
        <v>0</v>
      </c>
      <c r="J34" s="26" t="n">
        <f aca="false">J27*Assumptions!$D$35+J28*Assumptions!$D$36+J29*Assumptions!$D$37+J30*Assumptions!$D$38+J31*Assumptions!$D$39</f>
        <v>0</v>
      </c>
      <c r="K34" s="26" t="n">
        <f aca="false">K27*Assumptions!$D$35+K28*Assumptions!$D$36+K29*Assumptions!$D$37+K30*Assumptions!$D$38+K31*Assumptions!$D$39</f>
        <v>0</v>
      </c>
      <c r="L34" s="26" t="n">
        <f aca="false">L27*Assumptions!$D$35+L28*Assumptions!$D$36+L29*Assumptions!$D$37+L30*Assumptions!$D$38+L31*Assumptions!$D$39</f>
        <v>0</v>
      </c>
      <c r="M34" s="26" t="n">
        <f aca="false">M27*Assumptions!$D$35+M28*Assumptions!$D$36+M29*Assumptions!$D$37+M30*Assumptions!$D$38+M31*Assumptions!$D$39</f>
        <v>0</v>
      </c>
      <c r="N34" s="26" t="n">
        <f aca="false">N27*Assumptions!$D$35+N28*Assumptions!$D$36+N29*Assumptions!$D$37+N30*Assumptions!$D$38+N31*Assumptions!$D$39</f>
        <v>0</v>
      </c>
      <c r="O34" s="26" t="n">
        <f aca="false">O27*Assumptions!$D$35+O28*Assumptions!$D$36+O29*Assumptions!$D$37+O30*Assumptions!$D$38+O31*Assumptions!$D$39</f>
        <v>0</v>
      </c>
      <c r="P34" s="26" t="n">
        <f aca="false">P27*Assumptions!$D$35+P28*Assumptions!$D$36+P29*Assumptions!$D$37+P30*Assumptions!$D$38+P31*Assumptions!$D$39</f>
        <v>0</v>
      </c>
      <c r="Q34" s="26" t="n">
        <f aca="false">Q27*Assumptions!$D$35+Q28*Assumptions!$D$36+Q29*Assumptions!$D$37+Q30*Assumptions!$D$38+Q31*Assumptions!$D$39</f>
        <v>0</v>
      </c>
      <c r="R34" s="26" t="n">
        <f aca="false">R27*Assumptions!$D$35+R28*Assumptions!$D$36+R29*Assumptions!$D$37+R30*Assumptions!$D$38+R31*Assumptions!$D$39</f>
        <v>0</v>
      </c>
      <c r="S34" s="26" t="n">
        <f aca="false">S27*Assumptions!$D$35+S28*Assumptions!$D$36+S29*Assumptions!$D$37+S30*Assumptions!$D$38+S31*Assumptions!$D$39</f>
        <v>0</v>
      </c>
      <c r="T34" s="26" t="n">
        <f aca="false">T27*Assumptions!$D$35+T28*Assumptions!$D$36+T29*Assumptions!$D$37+T30*Assumptions!$D$38+T31*Assumptions!$D$39</f>
        <v>0</v>
      </c>
      <c r="U34" s="26" t="n">
        <f aca="false">U27*Assumptions!$D$35+U28*Assumptions!$D$36+U29*Assumptions!$D$37+U30*Assumptions!$D$38+U31*Assumptions!$D$39</f>
        <v>0</v>
      </c>
      <c r="V34" s="26" t="n">
        <f aca="false">V27*Assumptions!$D$35+V28*Assumptions!$D$36+V29*Assumptions!$D$37+V30*Assumptions!$D$38+V31*Assumptions!$D$39</f>
        <v>0</v>
      </c>
      <c r="W34" s="26" t="n">
        <f aca="false">W27*Assumptions!$D$35+W28*Assumptions!$D$36+W29*Assumptions!$D$37+W30*Assumptions!$D$38+W31*Assumptions!$D$39</f>
        <v>0</v>
      </c>
      <c r="X34" s="26" t="n">
        <f aca="false">X27*Assumptions!$D$35+X28*Assumptions!$D$36+X29*Assumptions!$D$37+X30*Assumptions!$D$38+X31*Assumptions!$D$39</f>
        <v>0</v>
      </c>
      <c r="Y34" s="26" t="n">
        <f aca="false">Y27*Assumptions!$D$35+Y28*Assumptions!$D$36+Y29*Assumptions!$D$37+Y30*Assumptions!$D$38+Y31*Assumptions!$D$39</f>
        <v>0</v>
      </c>
      <c r="Z34" s="26" t="n">
        <f aca="false">Z27*Assumptions!$D$35+Z28*Assumptions!$D$36+Z29*Assumptions!$D$37+Z30*Assumptions!$D$38+Z31*Assumptions!$D$39</f>
        <v>0</v>
      </c>
      <c r="AA34" s="26" t="n">
        <f aca="false">AA27*Assumptions!$D$35+AA28*Assumptions!$D$36+AA29*Assumptions!$D$37+AA30*Assumptions!$D$38+AA31*Assumptions!$D$39</f>
        <v>0</v>
      </c>
      <c r="AB34" s="26" t="n">
        <f aca="false">AB27*Assumptions!$D$35+AB28*Assumptions!$D$36+AB29*Assumptions!$D$37+AB30*Assumptions!$D$38+AB31*Assumptions!$D$39</f>
        <v>0</v>
      </c>
      <c r="AC34" s="26" t="n">
        <f aca="false">AC27*Assumptions!$D$35+AC28*Assumptions!$D$36+AC29*Assumptions!$D$37+AC30*Assumptions!$D$38+AC31*Assumptions!$D$39</f>
        <v>0</v>
      </c>
      <c r="AD34" s="26" t="n">
        <f aca="false">AD27*Assumptions!$D$35+AD28*Assumptions!$D$36+AD29*Assumptions!$D$37+AD30*Assumptions!$D$38+AD31*Assumptions!$D$39</f>
        <v>0</v>
      </c>
      <c r="AE34" s="26" t="n">
        <f aca="false">AE27*Assumptions!$D$35+AE28*Assumptions!$D$36+AE29*Assumptions!$D$37+AE30*Assumptions!$D$38+AE31*Assumptions!$D$39</f>
        <v>0</v>
      </c>
      <c r="AF34" s="26" t="n">
        <f aca="false">AF27*Assumptions!$D$35+AF28*Assumptions!$D$36+AF29*Assumptions!$D$37+AF30*Assumptions!$D$38+AF31*Assumptions!$D$39</f>
        <v>0</v>
      </c>
      <c r="AG34" s="26" t="n">
        <f aca="false">AG27*Assumptions!$D$35+AG28*Assumptions!$D$36+AG29*Assumptions!$D$37+AG30*Assumptions!$D$38+AG31*Assumptions!$D$39</f>
        <v>0</v>
      </c>
      <c r="AH34" s="26" t="n">
        <f aca="false">AH27*Assumptions!$D$35+AH28*Assumptions!$D$36+AH29*Assumptions!$D$37+AH30*Assumptions!$D$38+AH31*Assumptions!$D$39</f>
        <v>0</v>
      </c>
      <c r="AI34" s="26" t="n">
        <f aca="false">AI27*Assumptions!$D$35+AI28*Assumptions!$D$36+AI29*Assumptions!$D$37+AI30*Assumptions!$D$38+AI31*Assumptions!$D$39</f>
        <v>0</v>
      </c>
      <c r="AJ34" s="26" t="n">
        <f aca="false">AJ27*Assumptions!$D$35+AJ28*Assumptions!$D$36+AJ29*Assumptions!$D$37+AJ30*Assumptions!$D$38+AJ31*Assumptions!$D$39</f>
        <v>0</v>
      </c>
      <c r="AK34" s="26" t="n">
        <f aca="false">AK27*Assumptions!$D$35+AK28*Assumptions!$D$36+AK29*Assumptions!$D$37+AK30*Assumptions!$D$38+AK31*Assumptions!$D$39</f>
        <v>0</v>
      </c>
      <c r="AL34" s="26" t="n">
        <f aca="false">AL27*Assumptions!$D$35+AL28*Assumptions!$D$36+AL29*Assumptions!$D$37+AL30*Assumptions!$D$38+AL31*Assumptions!$D$39</f>
        <v>0</v>
      </c>
      <c r="AM34" s="26" t="n">
        <f aca="false">AM27*Assumptions!$D$35+AM28*Assumptions!$D$36+AM29*Assumptions!$D$37+AM30*Assumptions!$D$38+AM31*Assumptions!$D$39</f>
        <v>0</v>
      </c>
      <c r="AN34" s="37" t="n">
        <f aca="false">AN27*Assumptions!$D$35+AN28*Assumptions!$D$36+AN29*Assumptions!$D$37+AN30*Assumptions!$D$38+AN31*Assumptions!$D$39</f>
        <v>0</v>
      </c>
      <c r="AO34" s="37" t="n">
        <f aca="false">AO27*Assumptions!$D$35+AO28*Assumptions!$D$36+AO29*Assumptions!$D$37+AO30*Assumptions!$D$38+AO31*Assumptions!$D$39</f>
        <v>0</v>
      </c>
      <c r="AP34" s="37" t="n">
        <f aca="false">AP27*Assumptions!$D$35+AP28*Assumptions!$D$36+AP29*Assumptions!$D$37+AP30*Assumptions!$D$38+AP31*Assumptions!$D$39</f>
        <v>0.815588722589041</v>
      </c>
      <c r="AQ34" s="37" t="n">
        <f aca="false">AQ27*Assumptions!$D$35+AQ28*Assumptions!$D$36+AQ29*Assumptions!$D$37+AQ30*Assumptions!$D$38+AQ31*Assumptions!$D$39</f>
        <v>1.6082558718859</v>
      </c>
      <c r="AR34" s="37" t="n">
        <f aca="false">AR27*Assumptions!$D$35+AR28*Assumptions!$D$36+AR29*Assumptions!$D$37+AR30*Assumptions!$D$38+AR31*Assumptions!$D$39</f>
        <v>2.37875674926845</v>
      </c>
      <c r="AS34" s="37" t="n">
        <f aca="false">AS27*Assumptions!$D$35+AS28*Assumptions!$D$36+AS29*Assumptions!$D$37+AS30*Assumptions!$D$38+AS31*Assumptions!$D$39</f>
        <v>3.12836471975283</v>
      </c>
      <c r="AT34" s="37" t="n">
        <f aca="false">AT27*Assumptions!$D$35+AT28*Assumptions!$D$36+AT29*Assumptions!$D$37+AT30*Assumptions!$D$38+AT31*Assumptions!$D$39</f>
        <v>3.85772150549992</v>
      </c>
      <c r="AU34" s="37" t="n">
        <f aca="false">AU27*Assumptions!$D$35+AU28*Assumptions!$D$36+AU29*Assumptions!$D$37+AU30*Assumptions!$D$38+AU31*Assumptions!$D$39</f>
        <v>4.56744411523622</v>
      </c>
      <c r="AV34" s="37" t="n">
        <f aca="false">AV27*Assumptions!$D$35+AV28*Assumptions!$D$36+AV29*Assumptions!$D$37+AV30*Assumptions!$D$38+AV31*Assumptions!$D$39</f>
        <v>5.25867608830105</v>
      </c>
      <c r="AW34" s="37" t="n">
        <f aca="false">AW27*Assumptions!$D$35+AW28*Assumptions!$D$36+AW29*Assumptions!$D$37+AW30*Assumptions!$D$38+AW31*Assumptions!$D$39</f>
        <v>5.93193722579335</v>
      </c>
      <c r="AX34" s="37" t="n">
        <f aca="false">AX27*Assumptions!$D$35+AX28*Assumptions!$D$36+AX29*Assumptions!$D$37+AX30*Assumptions!$D$38+AX31*Assumptions!$D$39</f>
        <v>6.58772999623166</v>
      </c>
      <c r="AY34" s="37" t="n">
        <f aca="false">AY27*Assumptions!$D$35+AY28*Assumptions!$D$36+AY29*Assumptions!$D$37+AY30*Assumptions!$D$38+AY31*Assumptions!$D$39</f>
        <v>7.22709029175726</v>
      </c>
      <c r="AZ34" s="37" t="n">
        <f aca="false">AZ27*Assumptions!$D$35+AZ28*Assumptions!$D$36+AZ29*Assumptions!$D$37+AZ30*Assumptions!$D$38+AZ31*Assumptions!$D$39</f>
        <v>7.8504367048595</v>
      </c>
      <c r="BA34" s="37" t="n">
        <f aca="false">BA27*Assumptions!$D$35+BA28*Assumptions!$D$36+BA29*Assumptions!$D$37+BA30*Assumptions!$D$38+BA31*Assumptions!$D$39</f>
        <v>8.45817651071609</v>
      </c>
      <c r="BB34" s="37" t="n">
        <f aca="false">BB27*Assumptions!$D$35+BB28*Assumptions!$D$36+BB29*Assumptions!$D$37+BB30*Assumptions!$D$38+BB31*Assumptions!$D$39</f>
        <v>9.05070602823325</v>
      </c>
      <c r="BC34" s="37" t="n">
        <f aca="false">BC27*Assumptions!$D$35+BC28*Assumptions!$D$36+BC29*Assumptions!$D$37+BC30*Assumptions!$D$38+BC31*Assumptions!$D$39</f>
        <v>9.62841096548815</v>
      </c>
      <c r="BD34" s="37" t="n">
        <f aca="false">BD27*Assumptions!$D$35+BD28*Assumptions!$D$36+BD29*Assumptions!$D$37+BD30*Assumptions!$D$38+BD31*Assumptions!$D$39</f>
        <v>10.1916667504898</v>
      </c>
      <c r="BE34" s="37" t="n">
        <f aca="false">BE27*Assumptions!$D$35+BE28*Assumptions!$D$36+BE29*Assumptions!$D$37+BE30*Assumptions!$D$38+BE31*Assumptions!$D$39</f>
        <v>10.7408388481106</v>
      </c>
      <c r="BF34" s="37" t="n">
        <f aca="false">BF27*Assumptions!$D$35+BF28*Assumptions!$D$36+BF29*Assumptions!$D$37+BF30*Assumptions!$D$38+BF31*Assumptions!$D$39</f>
        <v>11.2762830639828</v>
      </c>
      <c r="BG34" s="37" t="n">
        <f aca="false">BG27*Assumptions!$D$35+BG28*Assumptions!$D$36+BG29*Assumptions!$D$37+BG30*Assumptions!$D$38+BG31*Assumptions!$D$39</f>
        <v>11.7983458360969</v>
      </c>
      <c r="BH34" s="37" t="n">
        <f aca="false">BH27*Assumptions!$D$35+BH28*Assumptions!$D$36+BH29*Assumptions!$D$37+BH30*Assumptions!$D$38+BH31*Assumptions!$D$39</f>
        <v>12.3073645147925</v>
      </c>
      <c r="BI34" s="37" t="n">
        <f aca="false">BI27*Assumptions!$D$35+BI28*Assumptions!$D$36+BI29*Assumptions!$D$37+BI30*Assumptions!$D$38+BI31*Assumptions!$D$39</f>
        <v>12.80366763178</v>
      </c>
      <c r="BJ34" s="37" t="n">
        <f aca="false">BJ27*Assumptions!$D$35+BJ28*Assumptions!$D$36+BJ29*Assumptions!$D$37+BJ30*Assumptions!$D$38+BJ31*Assumptions!$D$39</f>
        <v>13.2875751587933</v>
      </c>
      <c r="BK34" s="37" t="n">
        <f aca="false">BK27*Assumptions!$D$35+BK28*Assumptions!$D$36+BK29*Assumptions!$D$37+BK30*Assumptions!$D$38+BK31*Assumptions!$D$39</f>
        <v>13.7593987564289</v>
      </c>
    </row>
    <row r="35" customFormat="false" ht="15" hidden="false" customHeight="false" outlineLevel="0" collapsed="false">
      <c r="A35" s="28" t="s">
        <v>587</v>
      </c>
      <c r="B35" s="6" t="s">
        <v>588</v>
      </c>
      <c r="C35" s="42"/>
      <c r="D35" s="26" t="n">
        <f aca="false">MAX(0,D32-C32*(1-Assumptions!$D$41))</f>
        <v>0</v>
      </c>
      <c r="E35" s="26" t="n">
        <f aca="false">MAX(0,E32-D32*(1-Assumptions!$D$41))</f>
        <v>0</v>
      </c>
      <c r="F35" s="26" t="n">
        <f aca="false">MAX(0,F32-E32*(1-Assumptions!$D$41))</f>
        <v>0</v>
      </c>
      <c r="G35" s="26" t="n">
        <f aca="false">MAX(0,G32-F32*(1-Assumptions!$D$41))</f>
        <v>0</v>
      </c>
      <c r="H35" s="26" t="n">
        <f aca="false">MAX(0,H32-G32*(1-Assumptions!$D$41))</f>
        <v>0</v>
      </c>
      <c r="I35" s="26" t="n">
        <f aca="false">MAX(0,I32-H32*(1-Assumptions!$D$41))</f>
        <v>0</v>
      </c>
      <c r="J35" s="26" t="n">
        <f aca="false">MAX(0,J32-I32*(1-Assumptions!$D$41))</f>
        <v>0</v>
      </c>
      <c r="K35" s="26" t="n">
        <f aca="false">MAX(0,K32-J32*(1-Assumptions!$D$41))</f>
        <v>0</v>
      </c>
      <c r="L35" s="26" t="n">
        <f aca="false">MAX(0,L32-K32*(1-Assumptions!$D$41))</f>
        <v>0</v>
      </c>
      <c r="M35" s="26" t="n">
        <f aca="false">MAX(0,M32-L32*(1-Assumptions!$D$41))</f>
        <v>0</v>
      </c>
      <c r="N35" s="26" t="n">
        <f aca="false">MAX(0,N32-M32*(1-Assumptions!$D$41))</f>
        <v>0</v>
      </c>
      <c r="O35" s="26" t="n">
        <f aca="false">MAX(0,O32-N32*(1-Assumptions!$D$41))</f>
        <v>0</v>
      </c>
      <c r="P35" s="26" t="n">
        <f aca="false">MAX(0,P32-O32*(1-Assumptions!$D$41))</f>
        <v>0</v>
      </c>
      <c r="Q35" s="26" t="n">
        <f aca="false">MAX(0,Q32-P32*(1-Assumptions!$D$41))</f>
        <v>0</v>
      </c>
      <c r="R35" s="26" t="n">
        <f aca="false">MAX(0,R32-Q32*(1-Assumptions!$D$41))</f>
        <v>0</v>
      </c>
      <c r="S35" s="26" t="n">
        <f aca="false">MAX(0,S32-R32*(1-Assumptions!$D$41))</f>
        <v>0</v>
      </c>
      <c r="T35" s="26" t="n">
        <f aca="false">MAX(0,T32-S32*(1-Assumptions!$D$41))</f>
        <v>0</v>
      </c>
      <c r="U35" s="26" t="n">
        <f aca="false">MAX(0,U32-T32*(1-Assumptions!$D$41))</f>
        <v>0</v>
      </c>
      <c r="V35" s="26" t="n">
        <f aca="false">MAX(0,V32-U32*(1-Assumptions!$D$41))</f>
        <v>0</v>
      </c>
      <c r="W35" s="26" t="n">
        <f aca="false">MAX(0,W32-V32*(1-Assumptions!$D$41))</f>
        <v>0</v>
      </c>
      <c r="X35" s="26" t="n">
        <f aca="false">MAX(0,X32-W32*(1-Assumptions!$D$41))</f>
        <v>0</v>
      </c>
      <c r="Y35" s="26" t="n">
        <f aca="false">MAX(0,Y32-X32*(1-Assumptions!$D$41))</f>
        <v>0</v>
      </c>
      <c r="Z35" s="26" t="n">
        <f aca="false">MAX(0,Z32-Y32*(1-Assumptions!$D$41))</f>
        <v>0</v>
      </c>
      <c r="AA35" s="26" t="n">
        <f aca="false">MAX(0,AA32-Z32*(1-Assumptions!$D$41))</f>
        <v>0</v>
      </c>
      <c r="AB35" s="26" t="n">
        <f aca="false">MAX(0,AB32-AA32*(1-Assumptions!$D$41))</f>
        <v>0</v>
      </c>
      <c r="AC35" s="26" t="n">
        <f aca="false">MAX(0,AC32-AB32*(1-Assumptions!$D$41))</f>
        <v>0</v>
      </c>
      <c r="AD35" s="26" t="n">
        <f aca="false">MAX(0,AD32-AC32*(1-Assumptions!$D$41))</f>
        <v>0</v>
      </c>
      <c r="AE35" s="26" t="n">
        <f aca="false">MAX(0,AE32-AD32*(1-Assumptions!$D$41))</f>
        <v>0</v>
      </c>
      <c r="AF35" s="26" t="n">
        <f aca="false">MAX(0,AF32-AE32*(1-Assumptions!$D$41))</f>
        <v>0</v>
      </c>
      <c r="AG35" s="26" t="n">
        <f aca="false">MAX(0,AG32-AF32*(1-Assumptions!$D$41))</f>
        <v>0</v>
      </c>
      <c r="AH35" s="26" t="n">
        <f aca="false">MAX(0,AH32-AG32*(1-Assumptions!$D$41))</f>
        <v>0</v>
      </c>
      <c r="AI35" s="26" t="n">
        <f aca="false">MAX(0,AI32-AH32*(1-Assumptions!$D$41))</f>
        <v>0</v>
      </c>
      <c r="AJ35" s="26" t="n">
        <f aca="false">MAX(0,AJ32-AI32*(1-Assumptions!$D$41))</f>
        <v>0</v>
      </c>
      <c r="AK35" s="26" t="n">
        <f aca="false">MAX(0,AK32-AJ32*(1-Assumptions!$D$41))</f>
        <v>0</v>
      </c>
      <c r="AL35" s="26" t="n">
        <f aca="false">MAX(0,AL32-AK32*(1-Assumptions!$D$41))</f>
        <v>0</v>
      </c>
      <c r="AM35" s="26" t="n">
        <f aca="false">MAX(0,AM32-AL32*(1-Assumptions!$D$41))</f>
        <v>0</v>
      </c>
      <c r="AN35" s="37" t="n">
        <f aca="false">MAX(0,AN32-AM32*(1-Assumptions!$D$41))</f>
        <v>0</v>
      </c>
      <c r="AO35" s="37" t="n">
        <f aca="false">MAX(0,AO32-AN32*(1-Assumptions!$D$41))</f>
        <v>0</v>
      </c>
      <c r="AP35" s="37" t="n">
        <f aca="false">MAX(0,AP32-AO32*(1-Assumptions!$D$41))</f>
        <v>2.82645990318197</v>
      </c>
      <c r="AQ35" s="37" t="n">
        <f aca="false">MAX(0,AQ32-AP32*(1-Assumptions!$D$41))</f>
        <v>2.88157342636206</v>
      </c>
      <c r="AR35" s="37" t="n">
        <f aca="false">MAX(0,AR32-AQ32*(1-Assumptions!$D$41))</f>
        <v>2.93541251007441</v>
      </c>
      <c r="AS35" s="37" t="n">
        <f aca="false">MAX(0,AS32-AR32*(1-Assumptions!$D$41))</f>
        <v>2.9899071388749</v>
      </c>
      <c r="AT35" s="37" t="n">
        <f aca="false">MAX(0,AT32-AS32*(1-Assumptions!$D$41))</f>
        <v>3.04308767260643</v>
      </c>
      <c r="AU35" s="37" t="n">
        <f aca="false">MAX(0,AU32-AT32*(1-Assumptions!$D$41))</f>
        <v>3.09498285478048</v>
      </c>
      <c r="AV35" s="37" t="n">
        <f aca="false">MAX(0,AV32-AU32*(1-Assumptions!$D$41))</f>
        <v>3.14752709189286</v>
      </c>
      <c r="AW35" s="37" t="n">
        <f aca="false">MAX(0,AW32-AV32*(1-Assumptions!$D$41))</f>
        <v>3.19875476524878</v>
      </c>
      <c r="AX35" s="37" t="n">
        <f aca="false">MAX(0,AX32-AW32*(1-Assumptions!$D$41))</f>
        <v>3.24869826957789</v>
      </c>
      <c r="AY35" s="37" t="n">
        <f aca="false">MAX(0,AY32-AX32*(1-Assumptions!$D$41))</f>
        <v>3.29929532041956</v>
      </c>
      <c r="AZ35" s="37" t="n">
        <f aca="false">MAX(0,AZ32-AY32*(1-Assumptions!$D$41))</f>
        <v>3.34858329200518</v>
      </c>
      <c r="BA35" s="37" t="n">
        <f aca="false">MAX(0,BA32-AZ32*(1-Assumptions!$D$41))</f>
        <v>3.39659728005994</v>
      </c>
      <c r="BB35" s="37" t="n">
        <f aca="false">MAX(0,BB32-BA32*(1-Assumptions!$D$41))</f>
        <v>3.44337137883311</v>
      </c>
      <c r="BC35" s="37" t="n">
        <f aca="false">MAX(0,BC32-BB32*(1-Assumptions!$D$41))</f>
        <v>3.48893871240304</v>
      </c>
      <c r="BD35" s="37" t="n">
        <f aca="false">MAX(0,BD32-BC32*(1-Assumptions!$D$41))</f>
        <v>3.53333146490107</v>
      </c>
      <c r="BE35" s="37" t="n">
        <f aca="false">MAX(0,BE32-BD32*(1-Assumptions!$D$41))</f>
        <v>3.57658090969427</v>
      </c>
      <c r="BF35" s="37" t="n">
        <f aca="false">MAX(0,BF32-BE32*(1-Assumptions!$D$41))</f>
        <v>3.61871743756514</v>
      </c>
      <c r="BG35" s="37" t="n">
        <f aca="false">MAX(0,BG32-BF32*(1-Assumptions!$D$41))</f>
        <v>3.65977058392551</v>
      </c>
      <c r="BH35" s="37" t="n">
        <f aca="false">MAX(0,BH32-BG32*(1-Assumptions!$D$41))</f>
        <v>3.69976905509989</v>
      </c>
      <c r="BI35" s="37" t="n">
        <f aca="false">MAX(0,BI32-BH32*(1-Assumptions!$D$41))</f>
        <v>3.73874075371305</v>
      </c>
      <c r="BJ35" s="37" t="n">
        <f aca="false">MAX(0,BJ32-BI32*(1-Assumptions!$D$41))</f>
        <v>3.77671280321455</v>
      </c>
      <c r="BK35" s="37" t="n">
        <f aca="false">MAX(0,BK32-BJ32*(1-Assumptions!$D$41))</f>
        <v>3.81371157157225</v>
      </c>
    </row>
    <row r="36" customFormat="false" ht="15" hidden="false" customHeight="false" outlineLevel="0" collapsed="false">
      <c r="B36" s="5" t="s">
        <v>589</v>
      </c>
    </row>
    <row r="37" customFormat="false" ht="15" hidden="false" customHeight="false" outlineLevel="0" collapsed="false">
      <c r="A37" s="28" t="s">
        <v>590</v>
      </c>
      <c r="B37" s="6" t="s">
        <v>591</v>
      </c>
      <c r="C37" s="43"/>
      <c r="D37" s="17" t="n">
        <f aca="false">D33*Assumptions!$D$42</f>
        <v>0</v>
      </c>
      <c r="E37" s="17" t="n">
        <f aca="false">E33*Assumptions!$D$42</f>
        <v>0</v>
      </c>
      <c r="F37" s="17" t="n">
        <f aca="false">F33*Assumptions!$D$42</f>
        <v>0</v>
      </c>
      <c r="G37" s="17" t="n">
        <f aca="false">G33*Assumptions!$D$42</f>
        <v>0</v>
      </c>
      <c r="H37" s="17" t="n">
        <f aca="false">H33*Assumptions!$D$42</f>
        <v>0</v>
      </c>
      <c r="I37" s="17" t="n">
        <f aca="false">I33*Assumptions!$D$42</f>
        <v>0</v>
      </c>
      <c r="J37" s="17" t="n">
        <f aca="false">J33*Assumptions!$D$42</f>
        <v>0</v>
      </c>
      <c r="K37" s="17" t="n">
        <f aca="false">K33*Assumptions!$D$42</f>
        <v>0</v>
      </c>
      <c r="L37" s="17" t="n">
        <f aca="false">L33*Assumptions!$D$42</f>
        <v>0</v>
      </c>
      <c r="M37" s="17" t="n">
        <f aca="false">M33*Assumptions!$D$42</f>
        <v>0</v>
      </c>
      <c r="N37" s="17" t="n">
        <f aca="false">N33*Assumptions!$D$42</f>
        <v>0</v>
      </c>
      <c r="O37" s="17" t="n">
        <f aca="false">O33*Assumptions!$D$42</f>
        <v>0</v>
      </c>
      <c r="P37" s="17" t="n">
        <f aca="false">P33*Assumptions!$D$42</f>
        <v>0</v>
      </c>
      <c r="Q37" s="17" t="n">
        <f aca="false">Q33*Assumptions!$D$42</f>
        <v>0</v>
      </c>
      <c r="R37" s="17" t="n">
        <f aca="false">R33*Assumptions!$D$42</f>
        <v>0</v>
      </c>
      <c r="S37" s="17" t="n">
        <f aca="false">S33*Assumptions!$D$42</f>
        <v>0</v>
      </c>
      <c r="T37" s="17" t="n">
        <f aca="false">T33*Assumptions!$D$42</f>
        <v>0</v>
      </c>
      <c r="U37" s="17" t="n">
        <f aca="false">U33*Assumptions!$D$42</f>
        <v>0</v>
      </c>
      <c r="V37" s="17" t="n">
        <f aca="false">V33*Assumptions!$D$42</f>
        <v>0</v>
      </c>
      <c r="W37" s="17" t="n">
        <f aca="false">W33*Assumptions!$D$42</f>
        <v>0</v>
      </c>
      <c r="X37" s="17" t="n">
        <f aca="false">X33*Assumptions!$D$42</f>
        <v>0</v>
      </c>
      <c r="Y37" s="17" t="n">
        <f aca="false">Y33*Assumptions!$D$42</f>
        <v>0</v>
      </c>
      <c r="Z37" s="17" t="n">
        <f aca="false">Z33*Assumptions!$D$42</f>
        <v>0</v>
      </c>
      <c r="AA37" s="17" t="n">
        <f aca="false">AA33*Assumptions!$D$42</f>
        <v>0</v>
      </c>
      <c r="AB37" s="17" t="n">
        <f aca="false">AB33*Assumptions!$D$42</f>
        <v>0</v>
      </c>
      <c r="AC37" s="17" t="n">
        <f aca="false">AC33*Assumptions!$D$42</f>
        <v>0</v>
      </c>
      <c r="AD37" s="17" t="n">
        <f aca="false">AD33*Assumptions!$D$42</f>
        <v>0</v>
      </c>
      <c r="AE37" s="17" t="n">
        <f aca="false">AE33*Assumptions!$D$42</f>
        <v>0</v>
      </c>
      <c r="AF37" s="17" t="n">
        <f aca="false">AF33*Assumptions!$D$42</f>
        <v>0</v>
      </c>
      <c r="AG37" s="17" t="n">
        <f aca="false">AG33*Assumptions!$D$42</f>
        <v>0</v>
      </c>
      <c r="AH37" s="17" t="n">
        <f aca="false">AH33*Assumptions!$D$42</f>
        <v>0</v>
      </c>
      <c r="AI37" s="17" t="n">
        <f aca="false">AI33*Assumptions!$D$42</f>
        <v>0</v>
      </c>
      <c r="AJ37" s="17" t="n">
        <f aca="false">AJ33*Assumptions!$D$42</f>
        <v>0</v>
      </c>
      <c r="AK37" s="17" t="n">
        <f aca="false">AK33*Assumptions!$D$42</f>
        <v>0</v>
      </c>
      <c r="AL37" s="17" t="n">
        <f aca="false">AL33*Assumptions!$D$42</f>
        <v>0</v>
      </c>
      <c r="AM37" s="17" t="n">
        <f aca="false">AM33*Assumptions!$D$42</f>
        <v>0</v>
      </c>
      <c r="AN37" s="44" t="n">
        <f aca="false">AN33*Assumptions!$D$42</f>
        <v>0</v>
      </c>
      <c r="AO37" s="44" t="n">
        <f aca="false">AO33*Assumptions!$D$42</f>
        <v>0</v>
      </c>
      <c r="AP37" s="44" t="n">
        <f aca="false">AP33*Assumptions!$D$42</f>
        <v>78.4239760431243</v>
      </c>
      <c r="AQ37" s="44" t="n">
        <f aca="false">AQ33*Assumptions!$D$42</f>
        <v>154.930883718583</v>
      </c>
      <c r="AR37" s="44" t="n">
        <f aca="false">AR33*Assumptions!$D$42</f>
        <v>229.56805857107</v>
      </c>
      <c r="AS37" s="44" t="n">
        <f aca="false">AS33*Assumptions!$D$42</f>
        <v>302.434445407635</v>
      </c>
      <c r="AT37" s="44" t="n">
        <f aca="false">AT33*Assumptions!$D$42</f>
        <v>373.57011986864</v>
      </c>
      <c r="AU37" s="44" t="n">
        <f aca="false">AU33*Assumptions!$D$42</f>
        <v>443.014312789122</v>
      </c>
      <c r="AV37" s="44" t="n">
        <f aca="false">AV33*Assumptions!$D$42</f>
        <v>510.858313925665</v>
      </c>
      <c r="AW37" s="44" t="n">
        <f aca="false">AW33*Assumptions!$D$42</f>
        <v>577.134964746544</v>
      </c>
      <c r="AX37" s="44" t="n">
        <f aca="false">AX33*Assumptions!$D$42</f>
        <v>641.876655968126</v>
      </c>
      <c r="AY37" s="44" t="n">
        <f aca="false">AY33*Assumptions!$D$42</f>
        <v>705.168206277038</v>
      </c>
      <c r="AZ37" s="44" t="n">
        <f aca="false">AZ33*Assumptions!$D$42</f>
        <v>767.036331809752</v>
      </c>
      <c r="BA37" s="44" t="n">
        <f aca="false">BA33*Assumptions!$D$42</f>
        <v>827.507621955215</v>
      </c>
      <c r="BB37" s="44" t="n">
        <f aca="false">BB33*Assumptions!$D$42</f>
        <v>886.608511782246</v>
      </c>
      <c r="BC37" s="44" t="n">
        <f aca="false">BC33*Assumptions!$D$42</f>
        <v>944.365256903272</v>
      </c>
      <c r="BD37" s="44" t="n">
        <f aca="false">BD33*Assumptions!$D$42</f>
        <v>1000.80391061427</v>
      </c>
      <c r="BE37" s="44" t="n">
        <f aca="false">BE33*Assumptions!$D$42</f>
        <v>1055.95030316038</v>
      </c>
      <c r="BF37" s="44" t="n">
        <f aca="false">BF33*Assumptions!$D$42</f>
        <v>1109.83002298576</v>
      </c>
      <c r="BG37" s="44" t="n">
        <f aca="false">BG33*Assumptions!$D$42</f>
        <v>1162.46839983475</v>
      </c>
      <c r="BH37" s="44" t="n">
        <f aca="false">BH33*Assumptions!$D$42</f>
        <v>1213.89048957961</v>
      </c>
      <c r="BI37" s="44" t="n">
        <f aca="false">BI33*Assumptions!$D$42</f>
        <v>1264.12106065736</v>
      </c>
      <c r="BJ37" s="44" t="n">
        <f aca="false">BJ33*Assumptions!$D$42</f>
        <v>1313.18458200585</v>
      </c>
      <c r="BK37" s="44" t="n">
        <f aca="false">BK33*Assumptions!$D$42</f>
        <v>1361.10521239543</v>
      </c>
    </row>
    <row r="38" customFormat="false" ht="15" hidden="false" customHeight="false" outlineLevel="0" collapsed="false">
      <c r="A38" s="28" t="s">
        <v>592</v>
      </c>
      <c r="B38" s="6" t="s">
        <v>593</v>
      </c>
      <c r="C38" s="43"/>
      <c r="D38" s="17" t="n">
        <f aca="false">D34*Assumptions!$D$43</f>
        <v>0</v>
      </c>
      <c r="E38" s="17" t="n">
        <f aca="false">E34*Assumptions!$D$43</f>
        <v>0</v>
      </c>
      <c r="F38" s="17" t="n">
        <f aca="false">F34*Assumptions!$D$43</f>
        <v>0</v>
      </c>
      <c r="G38" s="17" t="n">
        <f aca="false">G34*Assumptions!$D$43</f>
        <v>0</v>
      </c>
      <c r="H38" s="17" t="n">
        <f aca="false">H34*Assumptions!$D$43</f>
        <v>0</v>
      </c>
      <c r="I38" s="17" t="n">
        <f aca="false">I34*Assumptions!$D$43</f>
        <v>0</v>
      </c>
      <c r="J38" s="17" t="n">
        <f aca="false">J34*Assumptions!$D$43</f>
        <v>0</v>
      </c>
      <c r="K38" s="17" t="n">
        <f aca="false">K34*Assumptions!$D$43</f>
        <v>0</v>
      </c>
      <c r="L38" s="17" t="n">
        <f aca="false">L34*Assumptions!$D$43</f>
        <v>0</v>
      </c>
      <c r="M38" s="17" t="n">
        <f aca="false">M34*Assumptions!$D$43</f>
        <v>0</v>
      </c>
      <c r="N38" s="17" t="n">
        <f aca="false">N34*Assumptions!$D$43</f>
        <v>0</v>
      </c>
      <c r="O38" s="17" t="n">
        <f aca="false">O34*Assumptions!$D$43</f>
        <v>0</v>
      </c>
      <c r="P38" s="17" t="n">
        <f aca="false">P34*Assumptions!$D$43</f>
        <v>0</v>
      </c>
      <c r="Q38" s="17" t="n">
        <f aca="false">Q34*Assumptions!$D$43</f>
        <v>0</v>
      </c>
      <c r="R38" s="17" t="n">
        <f aca="false">R34*Assumptions!$D$43</f>
        <v>0</v>
      </c>
      <c r="S38" s="17" t="n">
        <f aca="false">S34*Assumptions!$D$43</f>
        <v>0</v>
      </c>
      <c r="T38" s="17" t="n">
        <f aca="false">T34*Assumptions!$D$43</f>
        <v>0</v>
      </c>
      <c r="U38" s="17" t="n">
        <f aca="false">U34*Assumptions!$D$43</f>
        <v>0</v>
      </c>
      <c r="V38" s="17" t="n">
        <f aca="false">V34*Assumptions!$D$43</f>
        <v>0</v>
      </c>
      <c r="W38" s="17" t="n">
        <f aca="false">W34*Assumptions!$D$43</f>
        <v>0</v>
      </c>
      <c r="X38" s="17" t="n">
        <f aca="false">X34*Assumptions!$D$43</f>
        <v>0</v>
      </c>
      <c r="Y38" s="17" t="n">
        <f aca="false">Y34*Assumptions!$D$43</f>
        <v>0</v>
      </c>
      <c r="Z38" s="17" t="n">
        <f aca="false">Z34*Assumptions!$D$43</f>
        <v>0</v>
      </c>
      <c r="AA38" s="17" t="n">
        <f aca="false">AA34*Assumptions!$D$43</f>
        <v>0</v>
      </c>
      <c r="AB38" s="17" t="n">
        <f aca="false">AB34*Assumptions!$D$43</f>
        <v>0</v>
      </c>
      <c r="AC38" s="17" t="n">
        <f aca="false">AC34*Assumptions!$D$43</f>
        <v>0</v>
      </c>
      <c r="AD38" s="17" t="n">
        <f aca="false">AD34*Assumptions!$D$43</f>
        <v>0</v>
      </c>
      <c r="AE38" s="17" t="n">
        <f aca="false">AE34*Assumptions!$D$43</f>
        <v>0</v>
      </c>
      <c r="AF38" s="17" t="n">
        <f aca="false">AF34*Assumptions!$D$43</f>
        <v>0</v>
      </c>
      <c r="AG38" s="17" t="n">
        <f aca="false">AG34*Assumptions!$D$43</f>
        <v>0</v>
      </c>
      <c r="AH38" s="17" t="n">
        <f aca="false">AH34*Assumptions!$D$43</f>
        <v>0</v>
      </c>
      <c r="AI38" s="17" t="n">
        <f aca="false">AI34*Assumptions!$D$43</f>
        <v>0</v>
      </c>
      <c r="AJ38" s="17" t="n">
        <f aca="false">AJ34*Assumptions!$D$43</f>
        <v>0</v>
      </c>
      <c r="AK38" s="17" t="n">
        <f aca="false">AK34*Assumptions!$D$43</f>
        <v>0</v>
      </c>
      <c r="AL38" s="17" t="n">
        <f aca="false">AL34*Assumptions!$D$43</f>
        <v>0</v>
      </c>
      <c r="AM38" s="17" t="n">
        <f aca="false">AM34*Assumptions!$D$43</f>
        <v>0</v>
      </c>
      <c r="AN38" s="44" t="n">
        <f aca="false">AN34*Assumptions!$D$43</f>
        <v>0</v>
      </c>
      <c r="AO38" s="44" t="n">
        <f aca="false">AO34*Assumptions!$D$43</f>
        <v>0</v>
      </c>
      <c r="AP38" s="44" t="n">
        <f aca="false">AP34*Assumptions!$D$43</f>
        <v>64.4315090845342</v>
      </c>
      <c r="AQ38" s="44" t="n">
        <f aca="false">AQ34*Assumptions!$D$43</f>
        <v>127.052213878986</v>
      </c>
      <c r="AR38" s="44" t="n">
        <f aca="false">AR34*Assumptions!$D$43</f>
        <v>187.921783192207</v>
      </c>
      <c r="AS38" s="44" t="n">
        <f aca="false">AS34*Assumptions!$D$43</f>
        <v>247.140812860474</v>
      </c>
      <c r="AT38" s="44" t="n">
        <f aca="false">AT34*Assumptions!$D$43</f>
        <v>304.759998934494</v>
      </c>
      <c r="AU38" s="44" t="n">
        <f aca="false">AU34*Assumptions!$D$43</f>
        <v>360.828085103661</v>
      </c>
      <c r="AV38" s="44" t="n">
        <f aca="false">AV34*Assumptions!$D$43</f>
        <v>415.435410975783</v>
      </c>
      <c r="AW38" s="44" t="n">
        <f aca="false">AW34*Assumptions!$D$43</f>
        <v>468.623040837675</v>
      </c>
      <c r="AX38" s="44" t="n">
        <f aca="false">AX34*Assumptions!$D$43</f>
        <v>520.430669702301</v>
      </c>
      <c r="AY38" s="44" t="n">
        <f aca="false">AY34*Assumptions!$D$43</f>
        <v>570.940133048824</v>
      </c>
      <c r="AZ38" s="44" t="n">
        <f aca="false">AZ34*Assumptions!$D$43</f>
        <v>620.184499683901</v>
      </c>
      <c r="BA38" s="44" t="n">
        <f aca="false">BA34*Assumptions!$D$43</f>
        <v>668.195944346571</v>
      </c>
      <c r="BB38" s="44" t="n">
        <f aca="false">BB34*Assumptions!$D$43</f>
        <v>715.005776230427</v>
      </c>
      <c r="BC38" s="44" t="n">
        <f aca="false">BC34*Assumptions!$D$43</f>
        <v>760.644466273564</v>
      </c>
      <c r="BD38" s="44" t="n">
        <f aca="false">BD34*Assumptions!$D$43</f>
        <v>805.141673288692</v>
      </c>
      <c r="BE38" s="44" t="n">
        <f aca="false">BE34*Assumptions!$D$43</f>
        <v>848.526269000739</v>
      </c>
      <c r="BF38" s="44" t="n">
        <f aca="false">BF34*Assumptions!$D$43</f>
        <v>890.826362054638</v>
      </c>
      <c r="BG38" s="44" t="n">
        <f aca="false">BG34*Assumptions!$D$43</f>
        <v>932.069321051655</v>
      </c>
      <c r="BH38" s="44" t="n">
        <f aca="false">BH34*Assumptions!$D$43</f>
        <v>972.281796668605</v>
      </c>
      <c r="BI38" s="44" t="n">
        <f aca="false">BI34*Assumptions!$D$43</f>
        <v>1011.48974291062</v>
      </c>
      <c r="BJ38" s="44" t="n">
        <f aca="false">BJ34*Assumptions!$D$43</f>
        <v>1049.71843754467</v>
      </c>
      <c r="BK38" s="44" t="n">
        <f aca="false">BK34*Assumptions!$D$43</f>
        <v>1086.99250175789</v>
      </c>
    </row>
    <row r="39" customFormat="false" ht="15" hidden="false" customHeight="false" outlineLevel="0" collapsed="false">
      <c r="A39" s="28" t="s">
        <v>594</v>
      </c>
      <c r="B39" s="6" t="s">
        <v>595</v>
      </c>
      <c r="C39" s="43"/>
      <c r="D39" s="17" t="n">
        <f aca="false">(D33*Assumptions!$D$46+D34*Assumptions!$D$47)*Assumptions!$D$45</f>
        <v>0</v>
      </c>
      <c r="E39" s="17" t="n">
        <f aca="false">(E33*Assumptions!$D$46+E34*Assumptions!$D$47)*Assumptions!$D$45</f>
        <v>0</v>
      </c>
      <c r="F39" s="17" t="n">
        <f aca="false">(F33*Assumptions!$D$46+F34*Assumptions!$D$47)*Assumptions!$D$45</f>
        <v>0</v>
      </c>
      <c r="G39" s="17" t="n">
        <f aca="false">(G33*Assumptions!$D$46+G34*Assumptions!$D$47)*Assumptions!$D$45</f>
        <v>0</v>
      </c>
      <c r="H39" s="17" t="n">
        <f aca="false">(H33*Assumptions!$D$46+H34*Assumptions!$D$47)*Assumptions!$D$45</f>
        <v>0</v>
      </c>
      <c r="I39" s="17" t="n">
        <f aca="false">(I33*Assumptions!$D$46+I34*Assumptions!$D$47)*Assumptions!$D$45</f>
        <v>0</v>
      </c>
      <c r="J39" s="17" t="n">
        <f aca="false">(J33*Assumptions!$D$46+J34*Assumptions!$D$47)*Assumptions!$D$45</f>
        <v>0</v>
      </c>
      <c r="K39" s="17" t="n">
        <f aca="false">(K33*Assumptions!$D$46+K34*Assumptions!$D$47)*Assumptions!$D$45</f>
        <v>0</v>
      </c>
      <c r="L39" s="17" t="n">
        <f aca="false">(L33*Assumptions!$D$46+L34*Assumptions!$D$47)*Assumptions!$D$45</f>
        <v>0</v>
      </c>
      <c r="M39" s="17" t="n">
        <f aca="false">(M33*Assumptions!$D$46+M34*Assumptions!$D$47)*Assumptions!$D$45</f>
        <v>0</v>
      </c>
      <c r="N39" s="17" t="n">
        <f aca="false">(N33*Assumptions!$D$46+N34*Assumptions!$D$47)*Assumptions!$D$45</f>
        <v>0</v>
      </c>
      <c r="O39" s="17" t="n">
        <f aca="false">(O33*Assumptions!$D$46+O34*Assumptions!$D$47)*Assumptions!$D$45</f>
        <v>0</v>
      </c>
      <c r="P39" s="17" t="n">
        <f aca="false">(P33*Assumptions!$D$46+P34*Assumptions!$D$47)*Assumptions!$D$45</f>
        <v>0</v>
      </c>
      <c r="Q39" s="17" t="n">
        <f aca="false">(Q33*Assumptions!$D$46+Q34*Assumptions!$D$47)*Assumptions!$D$45</f>
        <v>0</v>
      </c>
      <c r="R39" s="17" t="n">
        <f aca="false">(R33*Assumptions!$D$46+R34*Assumptions!$D$47)*Assumptions!$D$45</f>
        <v>0</v>
      </c>
      <c r="S39" s="17" t="n">
        <f aca="false">(S33*Assumptions!$D$46+S34*Assumptions!$D$47)*Assumptions!$D$45</f>
        <v>0</v>
      </c>
      <c r="T39" s="17" t="n">
        <f aca="false">(T33*Assumptions!$D$46+T34*Assumptions!$D$47)*Assumptions!$D$45</f>
        <v>0</v>
      </c>
      <c r="U39" s="17" t="n">
        <f aca="false">(U33*Assumptions!$D$46+U34*Assumptions!$D$47)*Assumptions!$D$45</f>
        <v>0</v>
      </c>
      <c r="V39" s="17" t="n">
        <f aca="false">(V33*Assumptions!$D$46+V34*Assumptions!$D$47)*Assumptions!$D$45</f>
        <v>0</v>
      </c>
      <c r="W39" s="17" t="n">
        <f aca="false">(W33*Assumptions!$D$46+W34*Assumptions!$D$47)*Assumptions!$D$45</f>
        <v>0</v>
      </c>
      <c r="X39" s="17" t="n">
        <f aca="false">(X33*Assumptions!$D$46+X34*Assumptions!$D$47)*Assumptions!$D$45</f>
        <v>0</v>
      </c>
      <c r="Y39" s="17" t="n">
        <f aca="false">(Y33*Assumptions!$D$46+Y34*Assumptions!$D$47)*Assumptions!$D$45</f>
        <v>0</v>
      </c>
      <c r="Z39" s="17" t="n">
        <f aca="false">(Z33*Assumptions!$D$46+Z34*Assumptions!$D$47)*Assumptions!$D$45</f>
        <v>0</v>
      </c>
      <c r="AA39" s="17" t="n">
        <f aca="false">(AA33*Assumptions!$D$46+AA34*Assumptions!$D$47)*Assumptions!$D$45</f>
        <v>0</v>
      </c>
      <c r="AB39" s="17" t="n">
        <f aca="false">(AB33*Assumptions!$D$46+AB34*Assumptions!$D$47)*Assumptions!$D$45</f>
        <v>0</v>
      </c>
      <c r="AC39" s="17" t="n">
        <f aca="false">(AC33*Assumptions!$D$46+AC34*Assumptions!$D$47)*Assumptions!$D$45</f>
        <v>0</v>
      </c>
      <c r="AD39" s="17" t="n">
        <f aca="false">(AD33*Assumptions!$D$46+AD34*Assumptions!$D$47)*Assumptions!$D$45</f>
        <v>0</v>
      </c>
      <c r="AE39" s="17" t="n">
        <f aca="false">(AE33*Assumptions!$D$46+AE34*Assumptions!$D$47)*Assumptions!$D$45</f>
        <v>0</v>
      </c>
      <c r="AF39" s="17" t="n">
        <f aca="false">(AF33*Assumptions!$D$46+AF34*Assumptions!$D$47)*Assumptions!$D$45</f>
        <v>0</v>
      </c>
      <c r="AG39" s="17" t="n">
        <f aca="false">(AG33*Assumptions!$D$46+AG34*Assumptions!$D$47)*Assumptions!$D$45</f>
        <v>0</v>
      </c>
      <c r="AH39" s="17" t="n">
        <f aca="false">(AH33*Assumptions!$D$46+AH34*Assumptions!$D$47)*Assumptions!$D$45</f>
        <v>0</v>
      </c>
      <c r="AI39" s="17" t="n">
        <f aca="false">(AI33*Assumptions!$D$46+AI34*Assumptions!$D$47)*Assumptions!$D$45</f>
        <v>0</v>
      </c>
      <c r="AJ39" s="17" t="n">
        <f aca="false">(AJ33*Assumptions!$D$46+AJ34*Assumptions!$D$47)*Assumptions!$D$45</f>
        <v>0</v>
      </c>
      <c r="AK39" s="17" t="n">
        <f aca="false">(AK33*Assumptions!$D$46+AK34*Assumptions!$D$47)*Assumptions!$D$45</f>
        <v>0</v>
      </c>
      <c r="AL39" s="17" t="n">
        <f aca="false">(AL33*Assumptions!$D$46+AL34*Assumptions!$D$47)*Assumptions!$D$45</f>
        <v>0</v>
      </c>
      <c r="AM39" s="17" t="n">
        <f aca="false">(AM33*Assumptions!$D$46+AM34*Assumptions!$D$47)*Assumptions!$D$45</f>
        <v>0</v>
      </c>
      <c r="AN39" s="44" t="n">
        <f aca="false">(AN33*Assumptions!$D$46+AN34*Assumptions!$D$47)*Assumptions!$D$45</f>
        <v>0</v>
      </c>
      <c r="AO39" s="44" t="n">
        <f aca="false">(AO33*Assumptions!$D$46+AO34*Assumptions!$D$47)*Assumptions!$D$45</f>
        <v>0</v>
      </c>
      <c r="AP39" s="44" t="n">
        <f aca="false">(AP33*Assumptions!$D$46+AP34*Assumptions!$D$47)*Assumptions!$D$45</f>
        <v>3968.28411480663</v>
      </c>
      <c r="AQ39" s="44" t="n">
        <f aca="false">(AQ33*Assumptions!$D$46+AQ34*Assumptions!$D$47)*Assumptions!$D$45</f>
        <v>7832.40085454111</v>
      </c>
      <c r="AR39" s="44" t="n">
        <f aca="false">(AR33*Assumptions!$D$46+AR34*Assumptions!$D$47)*Assumptions!$D$45</f>
        <v>11595.3766744255</v>
      </c>
      <c r="AS39" s="44" t="n">
        <f aca="false">(AS33*Assumptions!$D$46+AS34*Assumptions!$D$47)*Assumptions!$D$45</f>
        <v>15262.8046968333</v>
      </c>
      <c r="AT39" s="44" t="n">
        <f aca="false">(AT33*Assumptions!$D$46+AT34*Assumptions!$D$47)*Assumptions!$D$45</f>
        <v>18837.2526354726</v>
      </c>
      <c r="AU39" s="44" t="n">
        <f aca="false">(AU33*Assumptions!$D$46+AU34*Assumptions!$D$47)*Assumptions!$D$45</f>
        <v>22321.2072301342</v>
      </c>
      <c r="AV39" s="44" t="n">
        <f aca="false">(AV33*Assumptions!$D$46+AV34*Assumptions!$D$47)*Assumptions!$D$45</f>
        <v>25719.7537382216</v>
      </c>
      <c r="AW39" s="44" t="n">
        <f aca="false">(AW33*Assumptions!$D$46+AW34*Assumptions!$D$47)*Assumptions!$D$45</f>
        <v>29034.9817713026</v>
      </c>
      <c r="AX39" s="44" t="n">
        <f aca="false">(AX33*Assumptions!$D$46+AX34*Assumptions!$D$47)*Assumptions!$D$45</f>
        <v>32268.9277850105</v>
      </c>
      <c r="AY39" s="44" t="n">
        <f aca="false">(AY33*Assumptions!$D$46+AY34*Assumptions!$D$47)*Assumptions!$D$45</f>
        <v>35426.252758603</v>
      </c>
      <c r="AZ39" s="44" t="n">
        <f aca="false">(AZ33*Assumptions!$D$46+AZ34*Assumptions!$D$47)*Assumptions!$D$45</f>
        <v>38508.6463431949</v>
      </c>
      <c r="BA39" s="44" t="n">
        <f aca="false">(BA33*Assumptions!$D$46+BA34*Assumptions!$D$47)*Assumptions!$D$45</f>
        <v>41517.7677784164</v>
      </c>
      <c r="BB39" s="44" t="n">
        <f aca="false">(BB33*Assumptions!$D$46+BB34*Assumptions!$D$47)*Assumptions!$D$45</f>
        <v>44455.24605192</v>
      </c>
      <c r="BC39" s="44" t="n">
        <f aca="false">(BC33*Assumptions!$D$46+BC34*Assumptions!$D$47)*Assumptions!$D$45</f>
        <v>47322.6800839222</v>
      </c>
      <c r="BD39" s="44" t="n">
        <f aca="false">(BD33*Assumptions!$D$46+BD34*Assumptions!$D$47)*Assumptions!$D$45</f>
        <v>50121.6389348747</v>
      </c>
      <c r="BE39" s="44" t="n">
        <f aca="false">(BE33*Assumptions!$D$46+BE34*Assumptions!$D$47)*Assumptions!$D$45</f>
        <v>52853.6620344497</v>
      </c>
      <c r="BF39" s="44" t="n">
        <f aca="false">(BF33*Assumptions!$D$46+BF34*Assumptions!$D$47)*Assumptions!$D$45</f>
        <v>55520.2594301166</v>
      </c>
      <c r="BG39" s="44" t="n">
        <f aca="false">(BG33*Assumptions!$D$46+BG34*Assumptions!$D$47)*Assumptions!$D$45</f>
        <v>58122.9120536775</v>
      </c>
      <c r="BH39" s="44" t="n">
        <f aca="false">(BH33*Assumptions!$D$46+BH34*Assumptions!$D$47)*Assumptions!$D$45</f>
        <v>60663.0720042098</v>
      </c>
      <c r="BI39" s="44" t="n">
        <f aca="false">(BI33*Assumptions!$D$46+BI34*Assumptions!$D$47)*Assumptions!$D$45</f>
        <v>63142.1628459479</v>
      </c>
      <c r="BJ39" s="44" t="n">
        <f aca="false">(BJ33*Assumptions!$D$46+BJ34*Assumptions!$D$47)*Assumptions!$D$45</f>
        <v>65561.5799197156</v>
      </c>
      <c r="BK39" s="44" t="n">
        <f aca="false">(BK33*Assumptions!$D$46+BK34*Assumptions!$D$47)*Assumptions!$D$45</f>
        <v>67922.6906665945</v>
      </c>
    </row>
    <row r="40" customFormat="false" ht="15" hidden="false" customHeight="false" outlineLevel="0" collapsed="false">
      <c r="A40" s="28" t="s">
        <v>596</v>
      </c>
      <c r="B40" s="6" t="s">
        <v>597</v>
      </c>
      <c r="C40" s="43"/>
      <c r="D40" s="17" t="n">
        <f aca="false">D39*Assumptions!$D$44</f>
        <v>0</v>
      </c>
      <c r="E40" s="17" t="n">
        <f aca="false">E39*Assumptions!$D$44</f>
        <v>0</v>
      </c>
      <c r="F40" s="17" t="n">
        <f aca="false">F39*Assumptions!$D$44</f>
        <v>0</v>
      </c>
      <c r="G40" s="17" t="n">
        <f aca="false">G39*Assumptions!$D$44</f>
        <v>0</v>
      </c>
      <c r="H40" s="17" t="n">
        <f aca="false">H39*Assumptions!$D$44</f>
        <v>0</v>
      </c>
      <c r="I40" s="17" t="n">
        <f aca="false">I39*Assumptions!$D$44</f>
        <v>0</v>
      </c>
      <c r="J40" s="17" t="n">
        <f aca="false">J39*Assumptions!$D$44</f>
        <v>0</v>
      </c>
      <c r="K40" s="17" t="n">
        <f aca="false">K39*Assumptions!$D$44</f>
        <v>0</v>
      </c>
      <c r="L40" s="17" t="n">
        <f aca="false">L39*Assumptions!$D$44</f>
        <v>0</v>
      </c>
      <c r="M40" s="17" t="n">
        <f aca="false">M39*Assumptions!$D$44</f>
        <v>0</v>
      </c>
      <c r="N40" s="17" t="n">
        <f aca="false">N39*Assumptions!$D$44</f>
        <v>0</v>
      </c>
      <c r="O40" s="17" t="n">
        <f aca="false">O39*Assumptions!$D$44</f>
        <v>0</v>
      </c>
      <c r="P40" s="17" t="n">
        <f aca="false">P39*Assumptions!$D$44</f>
        <v>0</v>
      </c>
      <c r="Q40" s="17" t="n">
        <f aca="false">Q39*Assumptions!$D$44</f>
        <v>0</v>
      </c>
      <c r="R40" s="17" t="n">
        <f aca="false">R39*Assumptions!$D$44</f>
        <v>0</v>
      </c>
      <c r="S40" s="17" t="n">
        <f aca="false">S39*Assumptions!$D$44</f>
        <v>0</v>
      </c>
      <c r="T40" s="17" t="n">
        <f aca="false">T39*Assumptions!$D$44</f>
        <v>0</v>
      </c>
      <c r="U40" s="17" t="n">
        <f aca="false">U39*Assumptions!$D$44</f>
        <v>0</v>
      </c>
      <c r="V40" s="17" t="n">
        <f aca="false">V39*Assumptions!$D$44</f>
        <v>0</v>
      </c>
      <c r="W40" s="17" t="n">
        <f aca="false">W39*Assumptions!$D$44</f>
        <v>0</v>
      </c>
      <c r="X40" s="17" t="n">
        <f aca="false">X39*Assumptions!$D$44</f>
        <v>0</v>
      </c>
      <c r="Y40" s="17" t="n">
        <f aca="false">Y39*Assumptions!$D$44</f>
        <v>0</v>
      </c>
      <c r="Z40" s="17" t="n">
        <f aca="false">Z39*Assumptions!$D$44</f>
        <v>0</v>
      </c>
      <c r="AA40" s="17" t="n">
        <f aca="false">AA39*Assumptions!$D$44</f>
        <v>0</v>
      </c>
      <c r="AB40" s="17" t="n">
        <f aca="false">AB39*Assumptions!$D$44</f>
        <v>0</v>
      </c>
      <c r="AC40" s="17" t="n">
        <f aca="false">AC39*Assumptions!$D$44</f>
        <v>0</v>
      </c>
      <c r="AD40" s="17" t="n">
        <f aca="false">AD39*Assumptions!$D$44</f>
        <v>0</v>
      </c>
      <c r="AE40" s="17" t="n">
        <f aca="false">AE39*Assumptions!$D$44</f>
        <v>0</v>
      </c>
      <c r="AF40" s="17" t="n">
        <f aca="false">AF39*Assumptions!$D$44</f>
        <v>0</v>
      </c>
      <c r="AG40" s="17" t="n">
        <f aca="false">AG39*Assumptions!$D$44</f>
        <v>0</v>
      </c>
      <c r="AH40" s="17" t="n">
        <f aca="false">AH39*Assumptions!$D$44</f>
        <v>0</v>
      </c>
      <c r="AI40" s="17" t="n">
        <f aca="false">AI39*Assumptions!$D$44</f>
        <v>0</v>
      </c>
      <c r="AJ40" s="17" t="n">
        <f aca="false">AJ39*Assumptions!$D$44</f>
        <v>0</v>
      </c>
      <c r="AK40" s="17" t="n">
        <f aca="false">AK39*Assumptions!$D$44</f>
        <v>0</v>
      </c>
      <c r="AL40" s="17" t="n">
        <f aca="false">AL39*Assumptions!$D$44</f>
        <v>0</v>
      </c>
      <c r="AM40" s="17" t="n">
        <f aca="false">AM39*Assumptions!$D$44</f>
        <v>0</v>
      </c>
      <c r="AN40" s="44" t="n">
        <f aca="false">AN39*Assumptions!$D$44</f>
        <v>0</v>
      </c>
      <c r="AO40" s="44" t="n">
        <f aca="false">AO39*Assumptions!$D$44</f>
        <v>0</v>
      </c>
      <c r="AP40" s="44" t="n">
        <f aca="false">AP39*Assumptions!$D$44</f>
        <v>29.7621308610497</v>
      </c>
      <c r="AQ40" s="44" t="n">
        <f aca="false">AQ39*Assumptions!$D$44</f>
        <v>58.7430064090583</v>
      </c>
      <c r="AR40" s="44" t="n">
        <f aca="false">AR39*Assumptions!$D$44</f>
        <v>86.9653250581916</v>
      </c>
      <c r="AS40" s="44" t="n">
        <f aca="false">AS39*Assumptions!$D$44</f>
        <v>114.47103522625</v>
      </c>
      <c r="AT40" s="44" t="n">
        <f aca="false">AT39*Assumptions!$D$44</f>
        <v>141.279394766045</v>
      </c>
      <c r="AU40" s="44" t="n">
        <f aca="false">AU39*Assumptions!$D$44</f>
        <v>167.409054226006</v>
      </c>
      <c r="AV40" s="44" t="n">
        <f aca="false">AV39*Assumptions!$D$44</f>
        <v>192.898153036662</v>
      </c>
      <c r="AW40" s="44" t="n">
        <f aca="false">AW39*Assumptions!$D$44</f>
        <v>217.76236328477</v>
      </c>
      <c r="AX40" s="44" t="n">
        <f aca="false">AX39*Assumptions!$D$44</f>
        <v>242.016958387579</v>
      </c>
      <c r="AY40" s="44" t="n">
        <f aca="false">AY39*Assumptions!$D$44</f>
        <v>265.696895689523</v>
      </c>
      <c r="AZ40" s="44" t="n">
        <f aca="false">AZ39*Assumptions!$D$44</f>
        <v>288.814847573962</v>
      </c>
      <c r="BA40" s="44" t="n">
        <f aca="false">BA39*Assumptions!$D$44</f>
        <v>311.383258338123</v>
      </c>
      <c r="BB40" s="44" t="n">
        <f aca="false">BB39*Assumptions!$D$44</f>
        <v>333.4143453894</v>
      </c>
      <c r="BC40" s="44" t="n">
        <f aca="false">BC39*Assumptions!$D$44</f>
        <v>354.920100629416</v>
      </c>
      <c r="BD40" s="44" t="n">
        <f aca="false">BD39*Assumptions!$D$44</f>
        <v>375.91229201156</v>
      </c>
      <c r="BE40" s="44" t="n">
        <f aca="false">BE39*Assumptions!$D$44</f>
        <v>396.402465258373</v>
      </c>
      <c r="BF40" s="44" t="n">
        <f aca="false">BF39*Assumptions!$D$44</f>
        <v>416.401945725874</v>
      </c>
      <c r="BG40" s="44" t="n">
        <f aca="false">BG39*Assumptions!$D$44</f>
        <v>435.921840402581</v>
      </c>
      <c r="BH40" s="44" t="n">
        <f aca="false">BH39*Assumptions!$D$44</f>
        <v>454.973040031574</v>
      </c>
      <c r="BI40" s="44" t="n">
        <f aca="false">BI39*Assumptions!$D$44</f>
        <v>473.566221344609</v>
      </c>
      <c r="BJ40" s="44" t="n">
        <f aca="false">BJ39*Assumptions!$D$44</f>
        <v>491.711849397867</v>
      </c>
      <c r="BK40" s="44" t="n">
        <f aca="false">BK39*Assumptions!$D$44</f>
        <v>509.420179999459</v>
      </c>
    </row>
    <row r="41" customFormat="false" ht="15" hidden="false" customHeight="false" outlineLevel="0" collapsed="false">
      <c r="A41" s="28" t="s">
        <v>598</v>
      </c>
      <c r="B41" s="6" t="s">
        <v>599</v>
      </c>
      <c r="C41" s="43"/>
      <c r="D41" s="17" t="n">
        <f aca="false">D24*Assumptions!$D$17*Assumptions!$D$68*Assumptions!$D$69*Assumptions!$D$70*Assumptions!$D$71/1000*D21</f>
        <v>0</v>
      </c>
      <c r="E41" s="17" t="n">
        <f aca="false">E24*Assumptions!$D$17*Assumptions!$D$68*Assumptions!$D$69*Assumptions!$D$70*Assumptions!$D$71/1000*E21</f>
        <v>0</v>
      </c>
      <c r="F41" s="17" t="n">
        <f aca="false">F24*Assumptions!$D$17*Assumptions!$D$68*Assumptions!$D$69*Assumptions!$D$70*Assumptions!$D$71/1000*F21</f>
        <v>0</v>
      </c>
      <c r="G41" s="17" t="n">
        <f aca="false">G24*Assumptions!$D$17*Assumptions!$D$68*Assumptions!$D$69*Assumptions!$D$70*Assumptions!$D$71/1000*G21</f>
        <v>0</v>
      </c>
      <c r="H41" s="17" t="n">
        <f aca="false">H24*Assumptions!$D$17*Assumptions!$D$68*Assumptions!$D$69*Assumptions!$D$70*Assumptions!$D$71/1000*H21</f>
        <v>0</v>
      </c>
      <c r="I41" s="17" t="n">
        <f aca="false">I24*Assumptions!$D$17*Assumptions!$D$68*Assumptions!$D$69*Assumptions!$D$70*Assumptions!$D$71/1000*I21</f>
        <v>0</v>
      </c>
      <c r="J41" s="17" t="n">
        <f aca="false">J24*Assumptions!$D$17*Assumptions!$D$68*Assumptions!$D$69*Assumptions!$D$70*Assumptions!$D$71/1000*J21</f>
        <v>0</v>
      </c>
      <c r="K41" s="17" t="n">
        <f aca="false">K24*Assumptions!$D$17*Assumptions!$D$68*Assumptions!$D$69*Assumptions!$D$70*Assumptions!$D$71/1000*K21</f>
        <v>0</v>
      </c>
      <c r="L41" s="17" t="n">
        <f aca="false">L24*Assumptions!$D$17*Assumptions!$D$68*Assumptions!$D$69*Assumptions!$D$70*Assumptions!$D$71/1000*L21</f>
        <v>0</v>
      </c>
      <c r="M41" s="17" t="n">
        <f aca="false">M24*Assumptions!$D$17*Assumptions!$D$68*Assumptions!$D$69*Assumptions!$D$70*Assumptions!$D$71/1000*M21</f>
        <v>0</v>
      </c>
      <c r="N41" s="17" t="n">
        <f aca="false">N24*Assumptions!$D$17*Assumptions!$D$68*Assumptions!$D$69*Assumptions!$D$70*Assumptions!$D$71/1000*N21</f>
        <v>0</v>
      </c>
      <c r="O41" s="17" t="n">
        <f aca="false">O24*Assumptions!$D$17*Assumptions!$D$68*Assumptions!$D$69*Assumptions!$D$70*Assumptions!$D$71/1000*O21</f>
        <v>0</v>
      </c>
      <c r="P41" s="17" t="n">
        <f aca="false">P24*Assumptions!$D$17*Assumptions!$D$68*Assumptions!$D$69*Assumptions!$D$70*Assumptions!$D$71/1000*P21</f>
        <v>0</v>
      </c>
      <c r="Q41" s="17" t="n">
        <f aca="false">Q24*Assumptions!$D$17*Assumptions!$D$68*Assumptions!$D$69*Assumptions!$D$70*Assumptions!$D$71/1000*Q21</f>
        <v>0</v>
      </c>
      <c r="R41" s="17" t="n">
        <f aca="false">R24*Assumptions!$D$17*Assumptions!$D$68*Assumptions!$D$69*Assumptions!$D$70*Assumptions!$D$71/1000*R21</f>
        <v>0</v>
      </c>
      <c r="S41" s="17" t="n">
        <f aca="false">S24*Assumptions!$D$17*Assumptions!$D$68*Assumptions!$D$69*Assumptions!$D$70*Assumptions!$D$71/1000*S21</f>
        <v>0</v>
      </c>
      <c r="T41" s="17" t="n">
        <f aca="false">T24*Assumptions!$D$17*Assumptions!$D$68*Assumptions!$D$69*Assumptions!$D$70*Assumptions!$D$71/1000*T21</f>
        <v>0</v>
      </c>
      <c r="U41" s="17" t="n">
        <f aca="false">U24*Assumptions!$D$17*Assumptions!$D$68*Assumptions!$D$69*Assumptions!$D$70*Assumptions!$D$71/1000*U21</f>
        <v>0</v>
      </c>
      <c r="V41" s="17" t="n">
        <f aca="false">V24*Assumptions!$D$17*Assumptions!$D$68*Assumptions!$D$69*Assumptions!$D$70*Assumptions!$D$71/1000*V21</f>
        <v>0</v>
      </c>
      <c r="W41" s="17" t="n">
        <f aca="false">W24*Assumptions!$D$17*Assumptions!$D$68*Assumptions!$D$69*Assumptions!$D$70*Assumptions!$D$71/1000*W21</f>
        <v>0</v>
      </c>
      <c r="X41" s="17" t="n">
        <f aca="false">X24*Assumptions!$D$17*Assumptions!$D$68*Assumptions!$D$69*Assumptions!$D$70*Assumptions!$D$71/1000*X21</f>
        <v>0</v>
      </c>
      <c r="Y41" s="17" t="n">
        <f aca="false">Y24*Assumptions!$D$17*Assumptions!$D$68*Assumptions!$D$69*Assumptions!$D$70*Assumptions!$D$71/1000*Y21</f>
        <v>0</v>
      </c>
      <c r="Z41" s="17" t="n">
        <f aca="false">Z24*Assumptions!$D$17*Assumptions!$D$68*Assumptions!$D$69*Assumptions!$D$70*Assumptions!$D$71/1000*Z21</f>
        <v>0</v>
      </c>
      <c r="AA41" s="17" t="n">
        <f aca="false">AA24*Assumptions!$D$17*Assumptions!$D$68*Assumptions!$D$69*Assumptions!$D$70*Assumptions!$D$71/1000*AA21</f>
        <v>0</v>
      </c>
      <c r="AB41" s="17" t="n">
        <f aca="false">AB24*Assumptions!$D$17*Assumptions!$D$68*Assumptions!$D$69*Assumptions!$D$70*Assumptions!$D$71/1000*AB21</f>
        <v>0</v>
      </c>
      <c r="AC41" s="17" t="n">
        <f aca="false">AC24*Assumptions!$D$17*Assumptions!$D$68*Assumptions!$D$69*Assumptions!$D$70*Assumptions!$D$71/1000*AC21</f>
        <v>0</v>
      </c>
      <c r="AD41" s="17" t="n">
        <f aca="false">AD24*Assumptions!$D$17*Assumptions!$D$68*Assumptions!$D$69*Assumptions!$D$70*Assumptions!$D$71/1000*AD21</f>
        <v>0</v>
      </c>
      <c r="AE41" s="17" t="n">
        <f aca="false">AE24*Assumptions!$D$17*Assumptions!$D$68*Assumptions!$D$69*Assumptions!$D$70*Assumptions!$D$71/1000*AE21</f>
        <v>0</v>
      </c>
      <c r="AF41" s="17" t="n">
        <f aca="false">AF24*Assumptions!$D$17*Assumptions!$D$68*Assumptions!$D$69*Assumptions!$D$70*Assumptions!$D$71/1000*AF21</f>
        <v>0</v>
      </c>
      <c r="AG41" s="17" t="n">
        <f aca="false">AG24*Assumptions!$D$17*Assumptions!$D$68*Assumptions!$D$69*Assumptions!$D$70*Assumptions!$D$71/1000*AG21</f>
        <v>0</v>
      </c>
      <c r="AH41" s="17" t="n">
        <f aca="false">AH24*Assumptions!$D$17*Assumptions!$D$68*Assumptions!$D$69*Assumptions!$D$70*Assumptions!$D$71/1000*AH21</f>
        <v>0</v>
      </c>
      <c r="AI41" s="17" t="n">
        <f aca="false">AI24*Assumptions!$D$17*Assumptions!$D$68*Assumptions!$D$69*Assumptions!$D$70*Assumptions!$D$71/1000*AI21</f>
        <v>0</v>
      </c>
      <c r="AJ41" s="17" t="n">
        <f aca="false">AJ24*Assumptions!$D$17*Assumptions!$D$68*Assumptions!$D$69*Assumptions!$D$70*Assumptions!$D$71/1000*AJ21</f>
        <v>0</v>
      </c>
      <c r="AK41" s="17" t="n">
        <f aca="false">AK24*Assumptions!$D$17*Assumptions!$D$68*Assumptions!$D$69*Assumptions!$D$70*Assumptions!$D$71/1000*AK21</f>
        <v>0</v>
      </c>
      <c r="AL41" s="17" t="n">
        <f aca="false">AL24*Assumptions!$D$17*Assumptions!$D$68*Assumptions!$D$69*Assumptions!$D$70*Assumptions!$D$71/1000*AL21</f>
        <v>0</v>
      </c>
      <c r="AM41" s="17" t="n">
        <f aca="false">AM24*Assumptions!$D$17*Assumptions!$D$68*Assumptions!$D$69*Assumptions!$D$70*Assumptions!$D$71/1000*AM21</f>
        <v>0</v>
      </c>
      <c r="AN41" s="44" t="n">
        <f aca="false">AN24*Assumptions!$D$17*Assumptions!$D$68*Assumptions!$D$69*Assumptions!$D$70*Assumptions!$D$71/1000*AN21</f>
        <v>0</v>
      </c>
      <c r="AO41" s="44" t="n">
        <f aca="false">AO24*Assumptions!$D$17*Assumptions!$D$68*Assumptions!$D$69*Assumptions!$D$70*Assumptions!$D$71/1000*AO21</f>
        <v>0</v>
      </c>
      <c r="AP41" s="44" t="n">
        <f aca="false">AP24*Assumptions!$D$17*Assumptions!$D$68*Assumptions!$D$69*Assumptions!$D$70*Assumptions!$D$71/1000*AP21</f>
        <v>0</v>
      </c>
      <c r="AQ41" s="44" t="n">
        <f aca="false">AQ24*Assumptions!$D$17*Assumptions!$D$68*Assumptions!$D$69*Assumptions!$D$70*Assumptions!$D$71/1000*AQ21</f>
        <v>0</v>
      </c>
      <c r="AR41" s="44" t="n">
        <f aca="false">AR24*Assumptions!$D$17*Assumptions!$D$68*Assumptions!$D$69*Assumptions!$D$70*Assumptions!$D$71/1000*AR21</f>
        <v>0</v>
      </c>
      <c r="AS41" s="44" t="n">
        <f aca="false">AS24*Assumptions!$D$17*Assumptions!$D$68*Assumptions!$D$69*Assumptions!$D$70*Assumptions!$D$71/1000*AS21</f>
        <v>0</v>
      </c>
      <c r="AT41" s="44" t="n">
        <f aca="false">AT24*Assumptions!$D$17*Assumptions!$D$68*Assumptions!$D$69*Assumptions!$D$70*Assumptions!$D$71/1000*AT21</f>
        <v>0</v>
      </c>
      <c r="AU41" s="44" t="n">
        <f aca="false">AU24*Assumptions!$D$17*Assumptions!$D$68*Assumptions!$D$69*Assumptions!$D$70*Assumptions!$D$71/1000*AU21</f>
        <v>0</v>
      </c>
      <c r="AV41" s="44" t="n">
        <f aca="false">AV24*Assumptions!$D$17*Assumptions!$D$68*Assumptions!$D$69*Assumptions!$D$70*Assumptions!$D$71/1000*AV21</f>
        <v>0</v>
      </c>
      <c r="AW41" s="44" t="n">
        <f aca="false">AW24*Assumptions!$D$17*Assumptions!$D$68*Assumptions!$D$69*Assumptions!$D$70*Assumptions!$D$71/1000*AW21</f>
        <v>0</v>
      </c>
      <c r="AX41" s="44" t="n">
        <f aca="false">AX24*Assumptions!$D$17*Assumptions!$D$68*Assumptions!$D$69*Assumptions!$D$70*Assumptions!$D$71/1000*AX21</f>
        <v>0</v>
      </c>
      <c r="AY41" s="44" t="n">
        <f aca="false">AY24*Assumptions!$D$17*Assumptions!$D$68*Assumptions!$D$69*Assumptions!$D$70*Assumptions!$D$71/1000*AY21</f>
        <v>0</v>
      </c>
      <c r="AZ41" s="44" t="n">
        <f aca="false">AZ24*Assumptions!$D$17*Assumptions!$D$68*Assumptions!$D$69*Assumptions!$D$70*Assumptions!$D$71/1000*AZ21</f>
        <v>0</v>
      </c>
      <c r="BA41" s="44" t="n">
        <f aca="false">BA24*Assumptions!$D$17*Assumptions!$D$68*Assumptions!$D$69*Assumptions!$D$70*Assumptions!$D$71/1000*BA21</f>
        <v>0</v>
      </c>
      <c r="BB41" s="44" t="n">
        <f aca="false">BB24*Assumptions!$D$17*Assumptions!$D$68*Assumptions!$D$69*Assumptions!$D$70*Assumptions!$D$71/1000*BB21</f>
        <v>0</v>
      </c>
      <c r="BC41" s="44" t="n">
        <f aca="false">BC24*Assumptions!$D$17*Assumptions!$D$68*Assumptions!$D$69*Assumptions!$D$70*Assumptions!$D$71/1000*BC21</f>
        <v>0</v>
      </c>
      <c r="BD41" s="44" t="n">
        <f aca="false">BD24*Assumptions!$D$17*Assumptions!$D$68*Assumptions!$D$69*Assumptions!$D$70*Assumptions!$D$71/1000*BD21</f>
        <v>0</v>
      </c>
      <c r="BE41" s="44" t="n">
        <f aca="false">BE24*Assumptions!$D$17*Assumptions!$D$68*Assumptions!$D$69*Assumptions!$D$70*Assumptions!$D$71/1000*BE21</f>
        <v>0</v>
      </c>
      <c r="BF41" s="44" t="n">
        <f aca="false">BF24*Assumptions!$D$17*Assumptions!$D$68*Assumptions!$D$69*Assumptions!$D$70*Assumptions!$D$71/1000*BF21</f>
        <v>0</v>
      </c>
      <c r="BG41" s="44" t="n">
        <f aca="false">BG24*Assumptions!$D$17*Assumptions!$D$68*Assumptions!$D$69*Assumptions!$D$70*Assumptions!$D$71/1000*BG21</f>
        <v>0</v>
      </c>
      <c r="BH41" s="44" t="n">
        <f aca="false">BH24*Assumptions!$D$17*Assumptions!$D$68*Assumptions!$D$69*Assumptions!$D$70*Assumptions!$D$71/1000*BH21</f>
        <v>0</v>
      </c>
      <c r="BI41" s="44" t="n">
        <f aca="false">BI24*Assumptions!$D$17*Assumptions!$D$68*Assumptions!$D$69*Assumptions!$D$70*Assumptions!$D$71/1000*BI21</f>
        <v>0</v>
      </c>
      <c r="BJ41" s="44" t="n">
        <f aca="false">BJ24*Assumptions!$D$17*Assumptions!$D$68*Assumptions!$D$69*Assumptions!$D$70*Assumptions!$D$71/1000*BJ21</f>
        <v>0</v>
      </c>
      <c r="BK41" s="44" t="n">
        <f aca="false">BK24*Assumptions!$D$17*Assumptions!$D$68*Assumptions!$D$69*Assumptions!$D$70*Assumptions!$D$71/1000*BK21</f>
        <v>0</v>
      </c>
    </row>
    <row r="42" customFormat="false" ht="15" hidden="false" customHeight="false" outlineLevel="0" collapsed="false">
      <c r="A42" s="28" t="s">
        <v>600</v>
      </c>
      <c r="B42" s="6" t="s">
        <v>601</v>
      </c>
      <c r="C42" s="43"/>
      <c r="D42" s="17" t="n">
        <f aca="false">D13*Assumptions!$D$72*Assumptions!$D$73*D21</f>
        <v>0</v>
      </c>
      <c r="E42" s="17" t="n">
        <f aca="false">E13*Assumptions!$D$72*Assumptions!$D$73*E21</f>
        <v>0</v>
      </c>
      <c r="F42" s="17" t="n">
        <f aca="false">F13*Assumptions!$D$72*Assumptions!$D$73*F21</f>
        <v>0</v>
      </c>
      <c r="G42" s="17" t="n">
        <f aca="false">G13*Assumptions!$D$72*Assumptions!$D$73*G21</f>
        <v>0</v>
      </c>
      <c r="H42" s="17" t="n">
        <f aca="false">H13*Assumptions!$D$72*Assumptions!$D$73*H21</f>
        <v>0</v>
      </c>
      <c r="I42" s="17" t="n">
        <f aca="false">I13*Assumptions!$D$72*Assumptions!$D$73*I21</f>
        <v>0</v>
      </c>
      <c r="J42" s="17" t="n">
        <f aca="false">J13*Assumptions!$D$72*Assumptions!$D$73*J21</f>
        <v>0</v>
      </c>
      <c r="K42" s="17" t="n">
        <f aca="false">K13*Assumptions!$D$72*Assumptions!$D$73*K21</f>
        <v>0</v>
      </c>
      <c r="L42" s="17" t="n">
        <f aca="false">L13*Assumptions!$D$72*Assumptions!$D$73*L21</f>
        <v>0</v>
      </c>
      <c r="M42" s="17" t="n">
        <f aca="false">M13*Assumptions!$D$72*Assumptions!$D$73*M21</f>
        <v>0</v>
      </c>
      <c r="N42" s="17" t="n">
        <f aca="false">N13*Assumptions!$D$72*Assumptions!$D$73*N21</f>
        <v>0</v>
      </c>
      <c r="O42" s="17" t="n">
        <f aca="false">O13*Assumptions!$D$72*Assumptions!$D$73*O21</f>
        <v>0</v>
      </c>
      <c r="P42" s="17" t="n">
        <f aca="false">P13*Assumptions!$D$72*Assumptions!$D$73*P21</f>
        <v>0</v>
      </c>
      <c r="Q42" s="17" t="n">
        <f aca="false">Q13*Assumptions!$D$72*Assumptions!$D$73*Q21</f>
        <v>0</v>
      </c>
      <c r="R42" s="17" t="n">
        <f aca="false">R13*Assumptions!$D$72*Assumptions!$D$73*R21</f>
        <v>0</v>
      </c>
      <c r="S42" s="17" t="n">
        <f aca="false">S13*Assumptions!$D$72*Assumptions!$D$73*S21</f>
        <v>0</v>
      </c>
      <c r="T42" s="17" t="n">
        <f aca="false">T13*Assumptions!$D$72*Assumptions!$D$73*T21</f>
        <v>0</v>
      </c>
      <c r="U42" s="17" t="n">
        <f aca="false">U13*Assumptions!$D$72*Assumptions!$D$73*U21</f>
        <v>0</v>
      </c>
      <c r="V42" s="17" t="n">
        <f aca="false">V13*Assumptions!$D$72*Assumptions!$D$73*V21</f>
        <v>0</v>
      </c>
      <c r="W42" s="17" t="n">
        <f aca="false">W13*Assumptions!$D$72*Assumptions!$D$73*W21</f>
        <v>0</v>
      </c>
      <c r="X42" s="17" t="n">
        <f aca="false">X13*Assumptions!$D$72*Assumptions!$D$73*X21</f>
        <v>0</v>
      </c>
      <c r="Y42" s="17" t="n">
        <f aca="false">Y13*Assumptions!$D$72*Assumptions!$D$73*Y21</f>
        <v>0</v>
      </c>
      <c r="Z42" s="17" t="n">
        <f aca="false">Z13*Assumptions!$D$72*Assumptions!$D$73*Z21</f>
        <v>0</v>
      </c>
      <c r="AA42" s="17" t="n">
        <f aca="false">AA13*Assumptions!$D$72*Assumptions!$D$73*AA21</f>
        <v>0</v>
      </c>
      <c r="AB42" s="17" t="n">
        <f aca="false">AB13*Assumptions!$D$72*Assumptions!$D$73*AB21</f>
        <v>0</v>
      </c>
      <c r="AC42" s="17" t="n">
        <f aca="false">AC13*Assumptions!$D$72*Assumptions!$D$73*AC21</f>
        <v>0</v>
      </c>
      <c r="AD42" s="17" t="n">
        <f aca="false">AD13*Assumptions!$D$72*Assumptions!$D$73*AD21</f>
        <v>0</v>
      </c>
      <c r="AE42" s="17" t="n">
        <f aca="false">AE13*Assumptions!$D$72*Assumptions!$D$73*AE21</f>
        <v>0</v>
      </c>
      <c r="AF42" s="17" t="n">
        <f aca="false">AF13*Assumptions!$D$72*Assumptions!$D$73*AF21</f>
        <v>0</v>
      </c>
      <c r="AG42" s="17" t="n">
        <f aca="false">AG13*Assumptions!$D$72*Assumptions!$D$73*AG21</f>
        <v>0</v>
      </c>
      <c r="AH42" s="17" t="n">
        <f aca="false">AH13*Assumptions!$D$72*Assumptions!$D$73*AH21</f>
        <v>0</v>
      </c>
      <c r="AI42" s="17" t="n">
        <f aca="false">AI13*Assumptions!$D$72*Assumptions!$D$73*AI21</f>
        <v>0</v>
      </c>
      <c r="AJ42" s="17" t="n">
        <f aca="false">AJ13*Assumptions!$D$72*Assumptions!$D$73*AJ21</f>
        <v>0</v>
      </c>
      <c r="AK42" s="17" t="n">
        <f aca="false">AK13*Assumptions!$D$72*Assumptions!$D$73*AK21</f>
        <v>0</v>
      </c>
      <c r="AL42" s="17" t="n">
        <f aca="false">AL13*Assumptions!$D$72*Assumptions!$D$73*AL21</f>
        <v>0</v>
      </c>
      <c r="AM42" s="17" t="n">
        <f aca="false">AM13*Assumptions!$D$72*Assumptions!$D$73*AM21</f>
        <v>0</v>
      </c>
      <c r="AN42" s="44" t="n">
        <f aca="false">AN13*Assumptions!$D$72*Assumptions!$D$73*AN21</f>
        <v>0</v>
      </c>
      <c r="AO42" s="44" t="n">
        <f aca="false">AO13*Assumptions!$D$72*Assumptions!$D$73*AO21</f>
        <v>0</v>
      </c>
      <c r="AP42" s="44" t="n">
        <f aca="false">AP13*Assumptions!$D$72*Assumptions!$D$73*AP21</f>
        <v>0</v>
      </c>
      <c r="AQ42" s="44" t="n">
        <f aca="false">AQ13*Assumptions!$D$72*Assumptions!$D$73*AQ21</f>
        <v>0</v>
      </c>
      <c r="AR42" s="44" t="n">
        <f aca="false">AR13*Assumptions!$D$72*Assumptions!$D$73*AR21</f>
        <v>0</v>
      </c>
      <c r="AS42" s="44" t="n">
        <f aca="false">AS13*Assumptions!$D$72*Assumptions!$D$73*AS21</f>
        <v>0</v>
      </c>
      <c r="AT42" s="44" t="n">
        <f aca="false">AT13*Assumptions!$D$72*Assumptions!$D$73*AT21</f>
        <v>0</v>
      </c>
      <c r="AU42" s="44" t="n">
        <f aca="false">AU13*Assumptions!$D$72*Assumptions!$D$73*AU21</f>
        <v>0</v>
      </c>
      <c r="AV42" s="44" t="n">
        <f aca="false">AV13*Assumptions!$D$72*Assumptions!$D$73*AV21</f>
        <v>0</v>
      </c>
      <c r="AW42" s="44" t="n">
        <f aca="false">AW13*Assumptions!$D$72*Assumptions!$D$73*AW21</f>
        <v>0</v>
      </c>
      <c r="AX42" s="44" t="n">
        <f aca="false">AX13*Assumptions!$D$72*Assumptions!$D$73*AX21</f>
        <v>0</v>
      </c>
      <c r="AY42" s="44" t="n">
        <f aca="false">AY13*Assumptions!$D$72*Assumptions!$D$73*AY21</f>
        <v>0</v>
      </c>
      <c r="AZ42" s="44" t="n">
        <f aca="false">AZ13*Assumptions!$D$72*Assumptions!$D$73*AZ21</f>
        <v>0</v>
      </c>
      <c r="BA42" s="44" t="n">
        <f aca="false">BA13*Assumptions!$D$72*Assumptions!$D$73*BA21</f>
        <v>0</v>
      </c>
      <c r="BB42" s="44" t="n">
        <f aca="false">BB13*Assumptions!$D$72*Assumptions!$D$73*BB21</f>
        <v>0</v>
      </c>
      <c r="BC42" s="44" t="n">
        <f aca="false">BC13*Assumptions!$D$72*Assumptions!$D$73*BC21</f>
        <v>0</v>
      </c>
      <c r="BD42" s="44" t="n">
        <f aca="false">BD13*Assumptions!$D$72*Assumptions!$D$73*BD21</f>
        <v>0</v>
      </c>
      <c r="BE42" s="44" t="n">
        <f aca="false">BE13*Assumptions!$D$72*Assumptions!$D$73*BE21</f>
        <v>0</v>
      </c>
      <c r="BF42" s="44" t="n">
        <f aca="false">BF13*Assumptions!$D$72*Assumptions!$D$73*BF21</f>
        <v>0</v>
      </c>
      <c r="BG42" s="44" t="n">
        <f aca="false">BG13*Assumptions!$D$72*Assumptions!$D$73*BG21</f>
        <v>0</v>
      </c>
      <c r="BH42" s="44" t="n">
        <f aca="false">BH13*Assumptions!$D$72*Assumptions!$D$73*BH21</f>
        <v>0</v>
      </c>
      <c r="BI42" s="44" t="n">
        <f aca="false">BI13*Assumptions!$D$72*Assumptions!$D$73*BI21</f>
        <v>0</v>
      </c>
      <c r="BJ42" s="44" t="n">
        <f aca="false">BJ13*Assumptions!$D$72*Assumptions!$D$73*BJ21</f>
        <v>0</v>
      </c>
      <c r="BK42" s="44" t="n">
        <f aca="false">BK13*Assumptions!$D$72*Assumptions!$D$73*BK21</f>
        <v>0</v>
      </c>
    </row>
    <row r="43" customFormat="false" ht="15" hidden="false" customHeight="false" outlineLevel="0" collapsed="false">
      <c r="A43" s="28" t="s">
        <v>602</v>
      </c>
      <c r="B43" s="6" t="s">
        <v>603</v>
      </c>
      <c r="C43" s="43"/>
      <c r="D43" s="17" t="n">
        <f aca="false">D13*Assumptions!$D$74*Assumptions!$D$75*Assumptions!$D$76*D21</f>
        <v>0</v>
      </c>
      <c r="E43" s="17" t="n">
        <f aca="false">E13*Assumptions!$D$74*Assumptions!$D$75*Assumptions!$D$76*E21</f>
        <v>0</v>
      </c>
      <c r="F43" s="17" t="n">
        <f aca="false">F13*Assumptions!$D$74*Assumptions!$D$75*Assumptions!$D$76*F21</f>
        <v>0</v>
      </c>
      <c r="G43" s="17" t="n">
        <f aca="false">G13*Assumptions!$D$74*Assumptions!$D$75*Assumptions!$D$76*G21</f>
        <v>0</v>
      </c>
      <c r="H43" s="17" t="n">
        <f aca="false">H13*Assumptions!$D$74*Assumptions!$D$75*Assumptions!$D$76*H21</f>
        <v>0</v>
      </c>
      <c r="I43" s="17" t="n">
        <f aca="false">I13*Assumptions!$D$74*Assumptions!$D$75*Assumptions!$D$76*I21</f>
        <v>0</v>
      </c>
      <c r="J43" s="17" t="n">
        <f aca="false">J13*Assumptions!$D$74*Assumptions!$D$75*Assumptions!$D$76*J21</f>
        <v>0</v>
      </c>
      <c r="K43" s="17" t="n">
        <f aca="false">K13*Assumptions!$D$74*Assumptions!$D$75*Assumptions!$D$76*K21</f>
        <v>0</v>
      </c>
      <c r="L43" s="17" t="n">
        <f aca="false">L13*Assumptions!$D$74*Assumptions!$D$75*Assumptions!$D$76*L21</f>
        <v>0</v>
      </c>
      <c r="M43" s="17" t="n">
        <f aca="false">M13*Assumptions!$D$74*Assumptions!$D$75*Assumptions!$D$76*M21</f>
        <v>0</v>
      </c>
      <c r="N43" s="17" t="n">
        <f aca="false">N13*Assumptions!$D$74*Assumptions!$D$75*Assumptions!$D$76*N21</f>
        <v>0</v>
      </c>
      <c r="O43" s="17" t="n">
        <f aca="false">O13*Assumptions!$D$74*Assumptions!$D$75*Assumptions!$D$76*O21</f>
        <v>0</v>
      </c>
      <c r="P43" s="17" t="n">
        <f aca="false">P13*Assumptions!$D$74*Assumptions!$D$75*Assumptions!$D$76*P21</f>
        <v>0</v>
      </c>
      <c r="Q43" s="17" t="n">
        <f aca="false">Q13*Assumptions!$D$74*Assumptions!$D$75*Assumptions!$D$76*Q21</f>
        <v>0</v>
      </c>
      <c r="R43" s="17" t="n">
        <f aca="false">R13*Assumptions!$D$74*Assumptions!$D$75*Assumptions!$D$76*R21</f>
        <v>0</v>
      </c>
      <c r="S43" s="17" t="n">
        <f aca="false">S13*Assumptions!$D$74*Assumptions!$D$75*Assumptions!$D$76*S21</f>
        <v>0</v>
      </c>
      <c r="T43" s="17" t="n">
        <f aca="false">T13*Assumptions!$D$74*Assumptions!$D$75*Assumptions!$D$76*T21</f>
        <v>0</v>
      </c>
      <c r="U43" s="17" t="n">
        <f aca="false">U13*Assumptions!$D$74*Assumptions!$D$75*Assumptions!$D$76*U21</f>
        <v>0</v>
      </c>
      <c r="V43" s="17" t="n">
        <f aca="false">V13*Assumptions!$D$74*Assumptions!$D$75*Assumptions!$D$76*V21</f>
        <v>0</v>
      </c>
      <c r="W43" s="17" t="n">
        <f aca="false">W13*Assumptions!$D$74*Assumptions!$D$75*Assumptions!$D$76*W21</f>
        <v>0</v>
      </c>
      <c r="X43" s="17" t="n">
        <f aca="false">X13*Assumptions!$D$74*Assumptions!$D$75*Assumptions!$D$76*X21</f>
        <v>0</v>
      </c>
      <c r="Y43" s="17" t="n">
        <f aca="false">Y13*Assumptions!$D$74*Assumptions!$D$75*Assumptions!$D$76*Y21</f>
        <v>0</v>
      </c>
      <c r="Z43" s="17" t="n">
        <f aca="false">Z13*Assumptions!$D$74*Assumptions!$D$75*Assumptions!$D$76*Z21</f>
        <v>0</v>
      </c>
      <c r="AA43" s="17" t="n">
        <f aca="false">AA13*Assumptions!$D$74*Assumptions!$D$75*Assumptions!$D$76*AA21</f>
        <v>0</v>
      </c>
      <c r="AB43" s="17" t="n">
        <f aca="false">AB13*Assumptions!$D$74*Assumptions!$D$75*Assumptions!$D$76*AB21</f>
        <v>0</v>
      </c>
      <c r="AC43" s="17" t="n">
        <f aca="false">AC13*Assumptions!$D$74*Assumptions!$D$75*Assumptions!$D$76*AC21</f>
        <v>0</v>
      </c>
      <c r="AD43" s="17" t="n">
        <f aca="false">AD13*Assumptions!$D$74*Assumptions!$D$75*Assumptions!$D$76*AD21</f>
        <v>0</v>
      </c>
      <c r="AE43" s="17" t="n">
        <f aca="false">AE13*Assumptions!$D$74*Assumptions!$D$75*Assumptions!$D$76*AE21</f>
        <v>0</v>
      </c>
      <c r="AF43" s="17" t="n">
        <f aca="false">AF13*Assumptions!$D$74*Assumptions!$D$75*Assumptions!$D$76*AF21</f>
        <v>0</v>
      </c>
      <c r="AG43" s="17" t="n">
        <f aca="false">AG13*Assumptions!$D$74*Assumptions!$D$75*Assumptions!$D$76*AG21</f>
        <v>0</v>
      </c>
      <c r="AH43" s="17" t="n">
        <f aca="false">AH13*Assumptions!$D$74*Assumptions!$D$75*Assumptions!$D$76*AH21</f>
        <v>0</v>
      </c>
      <c r="AI43" s="17" t="n">
        <f aca="false">AI13*Assumptions!$D$74*Assumptions!$D$75*Assumptions!$D$76*AI21</f>
        <v>0</v>
      </c>
      <c r="AJ43" s="17" t="n">
        <f aca="false">AJ13*Assumptions!$D$74*Assumptions!$D$75*Assumptions!$D$76*AJ21</f>
        <v>0</v>
      </c>
      <c r="AK43" s="17" t="n">
        <f aca="false">AK13*Assumptions!$D$74*Assumptions!$D$75*Assumptions!$D$76*AK21</f>
        <v>0</v>
      </c>
      <c r="AL43" s="17" t="n">
        <f aca="false">AL13*Assumptions!$D$74*Assumptions!$D$75*Assumptions!$D$76*AL21</f>
        <v>0</v>
      </c>
      <c r="AM43" s="17" t="n">
        <f aca="false">AM13*Assumptions!$D$74*Assumptions!$D$75*Assumptions!$D$76*AM21</f>
        <v>0</v>
      </c>
      <c r="AN43" s="44" t="n">
        <f aca="false">AN13*Assumptions!$D$74*Assumptions!$D$75*Assumptions!$D$76*AN21</f>
        <v>0</v>
      </c>
      <c r="AO43" s="44" t="n">
        <f aca="false">AO13*Assumptions!$D$74*Assumptions!$D$75*Assumptions!$D$76*AO21</f>
        <v>0</v>
      </c>
      <c r="AP43" s="44" t="n">
        <f aca="false">AP13*Assumptions!$D$74*Assumptions!$D$75*Assumptions!$D$76*AP21</f>
        <v>0</v>
      </c>
      <c r="AQ43" s="44" t="n">
        <f aca="false">AQ13*Assumptions!$D$74*Assumptions!$D$75*Assumptions!$D$76*AQ21</f>
        <v>0</v>
      </c>
      <c r="AR43" s="44" t="n">
        <f aca="false">AR13*Assumptions!$D$74*Assumptions!$D$75*Assumptions!$D$76*AR21</f>
        <v>0</v>
      </c>
      <c r="AS43" s="44" t="n">
        <f aca="false">AS13*Assumptions!$D$74*Assumptions!$D$75*Assumptions!$D$76*AS21</f>
        <v>0</v>
      </c>
      <c r="AT43" s="44" t="n">
        <f aca="false">AT13*Assumptions!$D$74*Assumptions!$D$75*Assumptions!$D$76*AT21</f>
        <v>0</v>
      </c>
      <c r="AU43" s="44" t="n">
        <f aca="false">AU13*Assumptions!$D$74*Assumptions!$D$75*Assumptions!$D$76*AU21</f>
        <v>0</v>
      </c>
      <c r="AV43" s="44" t="n">
        <f aca="false">AV13*Assumptions!$D$74*Assumptions!$D$75*Assumptions!$D$76*AV21</f>
        <v>0</v>
      </c>
      <c r="AW43" s="44" t="n">
        <f aca="false">AW13*Assumptions!$D$74*Assumptions!$D$75*Assumptions!$D$76*AW21</f>
        <v>0</v>
      </c>
      <c r="AX43" s="44" t="n">
        <f aca="false">AX13*Assumptions!$D$74*Assumptions!$D$75*Assumptions!$D$76*AX21</f>
        <v>0</v>
      </c>
      <c r="AY43" s="44" t="n">
        <f aca="false">AY13*Assumptions!$D$74*Assumptions!$D$75*Assumptions!$D$76*AY21</f>
        <v>0</v>
      </c>
      <c r="AZ43" s="44" t="n">
        <f aca="false">AZ13*Assumptions!$D$74*Assumptions!$D$75*Assumptions!$D$76*AZ21</f>
        <v>0</v>
      </c>
      <c r="BA43" s="44" t="n">
        <f aca="false">BA13*Assumptions!$D$74*Assumptions!$D$75*Assumptions!$D$76*BA21</f>
        <v>0</v>
      </c>
      <c r="BB43" s="44" t="n">
        <f aca="false">BB13*Assumptions!$D$74*Assumptions!$D$75*Assumptions!$D$76*BB21</f>
        <v>0</v>
      </c>
      <c r="BC43" s="44" t="n">
        <f aca="false">BC13*Assumptions!$D$74*Assumptions!$D$75*Assumptions!$D$76*BC21</f>
        <v>0</v>
      </c>
      <c r="BD43" s="44" t="n">
        <f aca="false">BD13*Assumptions!$D$74*Assumptions!$D$75*Assumptions!$D$76*BD21</f>
        <v>0</v>
      </c>
      <c r="BE43" s="44" t="n">
        <f aca="false">BE13*Assumptions!$D$74*Assumptions!$D$75*Assumptions!$D$76*BE21</f>
        <v>0</v>
      </c>
      <c r="BF43" s="44" t="n">
        <f aca="false">BF13*Assumptions!$D$74*Assumptions!$D$75*Assumptions!$D$76*BF21</f>
        <v>0</v>
      </c>
      <c r="BG43" s="44" t="n">
        <f aca="false">BG13*Assumptions!$D$74*Assumptions!$D$75*Assumptions!$D$76*BG21</f>
        <v>0</v>
      </c>
      <c r="BH43" s="44" t="n">
        <f aca="false">BH13*Assumptions!$D$74*Assumptions!$D$75*Assumptions!$D$76*BH21</f>
        <v>0</v>
      </c>
      <c r="BI43" s="44" t="n">
        <f aca="false">BI13*Assumptions!$D$74*Assumptions!$D$75*Assumptions!$D$76*BI21</f>
        <v>0</v>
      </c>
      <c r="BJ43" s="44" t="n">
        <f aca="false">BJ13*Assumptions!$D$74*Assumptions!$D$75*Assumptions!$D$76*BJ21</f>
        <v>0</v>
      </c>
      <c r="BK43" s="44" t="n">
        <f aca="false">BK13*Assumptions!$D$74*Assumptions!$D$75*Assumptions!$D$76*BK21</f>
        <v>0</v>
      </c>
    </row>
    <row r="44" customFormat="false" ht="15" hidden="false" customHeight="false" outlineLevel="0" collapsed="false">
      <c r="A44" s="28" t="s">
        <v>604</v>
      </c>
      <c r="B44" s="6" t="s">
        <v>605</v>
      </c>
      <c r="C44" s="42"/>
      <c r="D44" s="26" t="n">
        <f aca="false">D10*Assumptions!$D$80/12*D18</f>
        <v>0</v>
      </c>
      <c r="E44" s="26" t="n">
        <f aca="false">E10*Assumptions!$D$80/12*E18</f>
        <v>0</v>
      </c>
      <c r="F44" s="26" t="n">
        <f aca="false">F10*Assumptions!$D$80/12*F18</f>
        <v>0</v>
      </c>
      <c r="G44" s="26" t="n">
        <f aca="false">G10*Assumptions!$D$80/12*G18</f>
        <v>0</v>
      </c>
      <c r="H44" s="26" t="n">
        <f aca="false">H10*Assumptions!$D$80/12*H18</f>
        <v>0</v>
      </c>
      <c r="I44" s="26" t="n">
        <f aca="false">I10*Assumptions!$D$80/12*I18</f>
        <v>0</v>
      </c>
      <c r="J44" s="26" t="n">
        <f aca="false">J10*Assumptions!$D$80/12*J18</f>
        <v>0</v>
      </c>
      <c r="K44" s="26" t="n">
        <f aca="false">K10*Assumptions!$D$80/12*K18</f>
        <v>0</v>
      </c>
      <c r="L44" s="26" t="n">
        <f aca="false">L10*Assumptions!$D$80/12*L18</f>
        <v>0</v>
      </c>
      <c r="M44" s="26" t="n">
        <f aca="false">M10*Assumptions!$D$80/12*M18</f>
        <v>0</v>
      </c>
      <c r="N44" s="26" t="n">
        <f aca="false">N10*Assumptions!$D$80/12*N18</f>
        <v>0</v>
      </c>
      <c r="O44" s="26" t="n">
        <f aca="false">O10*Assumptions!$D$80/12*O18</f>
        <v>0</v>
      </c>
      <c r="P44" s="26" t="n">
        <f aca="false">P10*Assumptions!$D$80/12*P18</f>
        <v>0</v>
      </c>
      <c r="Q44" s="26" t="n">
        <f aca="false">Q10*Assumptions!$D$80/12*Q18</f>
        <v>0</v>
      </c>
      <c r="R44" s="26" t="n">
        <f aca="false">R10*Assumptions!$D$80/12*R18</f>
        <v>0</v>
      </c>
      <c r="S44" s="26" t="n">
        <f aca="false">S10*Assumptions!$D$80/12*S18</f>
        <v>0</v>
      </c>
      <c r="T44" s="26" t="n">
        <f aca="false">T10*Assumptions!$D$80/12*T18</f>
        <v>0</v>
      </c>
      <c r="U44" s="26" t="n">
        <f aca="false">U10*Assumptions!$D$80/12*U18</f>
        <v>0</v>
      </c>
      <c r="V44" s="26" t="n">
        <f aca="false">V10*Assumptions!$D$80/12*V18</f>
        <v>0</v>
      </c>
      <c r="W44" s="26" t="n">
        <f aca="false">W10*Assumptions!$D$80/12*W18</f>
        <v>0</v>
      </c>
      <c r="X44" s="26" t="n">
        <f aca="false">X10*Assumptions!$D$80/12*X18</f>
        <v>0</v>
      </c>
      <c r="Y44" s="26" t="n">
        <f aca="false">Y10*Assumptions!$D$80/12*Y18</f>
        <v>0</v>
      </c>
      <c r="Z44" s="26" t="n">
        <f aca="false">Z10*Assumptions!$D$80/12*Z18</f>
        <v>0</v>
      </c>
      <c r="AA44" s="26" t="n">
        <f aca="false">AA10*Assumptions!$D$80/12*AA18</f>
        <v>0</v>
      </c>
      <c r="AB44" s="26" t="n">
        <f aca="false">AB10*Assumptions!$D$80/12*AB18</f>
        <v>0</v>
      </c>
      <c r="AC44" s="26" t="n">
        <f aca="false">AC10*Assumptions!$D$80/12*AC18</f>
        <v>0</v>
      </c>
      <c r="AD44" s="26" t="n">
        <f aca="false">AD10*Assumptions!$D$80/12*AD18</f>
        <v>0</v>
      </c>
      <c r="AE44" s="26" t="n">
        <f aca="false">AE10*Assumptions!$D$80/12*AE18</f>
        <v>0</v>
      </c>
      <c r="AF44" s="26" t="n">
        <f aca="false">AF10*Assumptions!$D$80/12*AF18</f>
        <v>0</v>
      </c>
      <c r="AG44" s="26" t="n">
        <f aca="false">AG10*Assumptions!$D$80/12*AG18</f>
        <v>0</v>
      </c>
      <c r="AH44" s="26" t="n">
        <f aca="false">AH10*Assumptions!$D$80/12*AH18</f>
        <v>0</v>
      </c>
      <c r="AI44" s="26" t="n">
        <f aca="false">AI10*Assumptions!$D$80/12*AI18</f>
        <v>0.416666666666667</v>
      </c>
      <c r="AJ44" s="26" t="n">
        <f aca="false">AJ10*Assumptions!$D$80/12*AJ18</f>
        <v>0.458333333333333</v>
      </c>
      <c r="AK44" s="26" t="n">
        <f aca="false">AK10*Assumptions!$D$80/12*AK18</f>
        <v>0.5</v>
      </c>
      <c r="AL44" s="26" t="n">
        <f aca="false">AL10*Assumptions!$D$80/12*AL18</f>
        <v>0.541666666666667</v>
      </c>
      <c r="AM44" s="26" t="n">
        <f aca="false">AM10*Assumptions!$D$80/12*AM18</f>
        <v>0.583333333333333</v>
      </c>
      <c r="AN44" s="37" t="n">
        <f aca="false">AN10*Assumptions!$D$80/12*AN18</f>
        <v>0.625</v>
      </c>
      <c r="AO44" s="37" t="n">
        <f aca="false">AO10*Assumptions!$D$80/12*AO18</f>
        <v>0.666666666666667</v>
      </c>
      <c r="AP44" s="37" t="n">
        <f aca="false">AP10*Assumptions!$D$80/12*AP18</f>
        <v>0.708333333333333</v>
      </c>
      <c r="AQ44" s="37" t="n">
        <f aca="false">AQ10*Assumptions!$D$80/12*AQ18</f>
        <v>0.75</v>
      </c>
      <c r="AR44" s="37" t="n">
        <f aca="false">AR10*Assumptions!$D$80/12*AR18</f>
        <v>0.791666666666667</v>
      </c>
      <c r="AS44" s="37" t="n">
        <f aca="false">AS10*Assumptions!$D$80/12*AS18</f>
        <v>0.833333333333333</v>
      </c>
      <c r="AT44" s="37" t="n">
        <f aca="false">AT10*Assumptions!$D$80/12*AT18</f>
        <v>0.875</v>
      </c>
      <c r="AU44" s="37" t="n">
        <f aca="false">AU10*Assumptions!$D$80/12*AU18</f>
        <v>0.916666666666667</v>
      </c>
      <c r="AV44" s="37" t="n">
        <f aca="false">AV10*Assumptions!$D$80/12*AV18</f>
        <v>0.958333333333333</v>
      </c>
      <c r="AW44" s="37" t="n">
        <f aca="false">AW10*Assumptions!$D$80/12*AW18</f>
        <v>1</v>
      </c>
      <c r="AX44" s="37" t="n">
        <f aca="false">AX10*Assumptions!$D$80/12*AX18</f>
        <v>1.04166666666667</v>
      </c>
      <c r="AY44" s="37" t="n">
        <f aca="false">AY10*Assumptions!$D$80/12*AY18</f>
        <v>1.08333333333333</v>
      </c>
      <c r="AZ44" s="37" t="n">
        <f aca="false">AZ10*Assumptions!$D$80/12*AZ18</f>
        <v>1.125</v>
      </c>
      <c r="BA44" s="37" t="n">
        <f aca="false">BA10*Assumptions!$D$80/12*BA18</f>
        <v>1.16666666666667</v>
      </c>
      <c r="BB44" s="37" t="n">
        <f aca="false">BB10*Assumptions!$D$80/12*BB18</f>
        <v>1.20833333333333</v>
      </c>
      <c r="BC44" s="37" t="n">
        <f aca="false">BC10*Assumptions!$D$80/12*BC18</f>
        <v>1.25</v>
      </c>
      <c r="BD44" s="37" t="n">
        <f aca="false">BD10*Assumptions!$D$80/12*BD18</f>
        <v>1.29166666666667</v>
      </c>
      <c r="BE44" s="37" t="n">
        <f aca="false">BE10*Assumptions!$D$80/12*BE18</f>
        <v>1.33333333333333</v>
      </c>
      <c r="BF44" s="37" t="n">
        <f aca="false">BF10*Assumptions!$D$80/12*BF18</f>
        <v>1.375</v>
      </c>
      <c r="BG44" s="37" t="n">
        <f aca="false">BG10*Assumptions!$D$80/12*BG18</f>
        <v>1.41666666666667</v>
      </c>
      <c r="BH44" s="37" t="n">
        <f aca="false">BH10*Assumptions!$D$80/12*BH18</f>
        <v>1.45833333333333</v>
      </c>
      <c r="BI44" s="37" t="n">
        <f aca="false">BI10*Assumptions!$D$80/12*BI18</f>
        <v>1.5</v>
      </c>
      <c r="BJ44" s="37" t="n">
        <f aca="false">BJ10*Assumptions!$D$80/12*BJ18</f>
        <v>1.54166666666667</v>
      </c>
      <c r="BK44" s="37" t="n">
        <f aca="false">BK10*Assumptions!$D$80/12*BK18</f>
        <v>1.58333333333333</v>
      </c>
    </row>
    <row r="45" customFormat="false" ht="15" hidden="false" customHeight="false" outlineLevel="0" collapsed="false">
      <c r="A45" s="28" t="s">
        <v>606</v>
      </c>
      <c r="B45" s="6" t="s">
        <v>607</v>
      </c>
      <c r="C45" s="43"/>
      <c r="D45" s="17" t="n">
        <f aca="false">D44*Assumptions!$D$81</f>
        <v>0</v>
      </c>
      <c r="E45" s="17" t="n">
        <f aca="false">E44*Assumptions!$D$81</f>
        <v>0</v>
      </c>
      <c r="F45" s="17" t="n">
        <f aca="false">F44*Assumptions!$D$81</f>
        <v>0</v>
      </c>
      <c r="G45" s="17" t="n">
        <f aca="false">G44*Assumptions!$D$81</f>
        <v>0</v>
      </c>
      <c r="H45" s="17" t="n">
        <f aca="false">H44*Assumptions!$D$81</f>
        <v>0</v>
      </c>
      <c r="I45" s="17" t="n">
        <f aca="false">I44*Assumptions!$D$81</f>
        <v>0</v>
      </c>
      <c r="J45" s="17" t="n">
        <f aca="false">J44*Assumptions!$D$81</f>
        <v>0</v>
      </c>
      <c r="K45" s="17" t="n">
        <f aca="false">K44*Assumptions!$D$81</f>
        <v>0</v>
      </c>
      <c r="L45" s="17" t="n">
        <f aca="false">L44*Assumptions!$D$81</f>
        <v>0</v>
      </c>
      <c r="M45" s="17" t="n">
        <f aca="false">M44*Assumptions!$D$81</f>
        <v>0</v>
      </c>
      <c r="N45" s="17" t="n">
        <f aca="false">N44*Assumptions!$D$81</f>
        <v>0</v>
      </c>
      <c r="O45" s="17" t="n">
        <f aca="false">O44*Assumptions!$D$81</f>
        <v>0</v>
      </c>
      <c r="P45" s="17" t="n">
        <f aca="false">P44*Assumptions!$D$81</f>
        <v>0</v>
      </c>
      <c r="Q45" s="17" t="n">
        <f aca="false">Q44*Assumptions!$D$81</f>
        <v>0</v>
      </c>
      <c r="R45" s="17" t="n">
        <f aca="false">R44*Assumptions!$D$81</f>
        <v>0</v>
      </c>
      <c r="S45" s="17" t="n">
        <f aca="false">S44*Assumptions!$D$81</f>
        <v>0</v>
      </c>
      <c r="T45" s="17" t="n">
        <f aca="false">T44*Assumptions!$D$81</f>
        <v>0</v>
      </c>
      <c r="U45" s="17" t="n">
        <f aca="false">U44*Assumptions!$D$81</f>
        <v>0</v>
      </c>
      <c r="V45" s="17" t="n">
        <f aca="false">V44*Assumptions!$D$81</f>
        <v>0</v>
      </c>
      <c r="W45" s="17" t="n">
        <f aca="false">W44*Assumptions!$D$81</f>
        <v>0</v>
      </c>
      <c r="X45" s="17" t="n">
        <f aca="false">X44*Assumptions!$D$81</f>
        <v>0</v>
      </c>
      <c r="Y45" s="17" t="n">
        <f aca="false">Y44*Assumptions!$D$81</f>
        <v>0</v>
      </c>
      <c r="Z45" s="17" t="n">
        <f aca="false">Z44*Assumptions!$D$81</f>
        <v>0</v>
      </c>
      <c r="AA45" s="17" t="n">
        <f aca="false">AA44*Assumptions!$D$81</f>
        <v>0</v>
      </c>
      <c r="AB45" s="17" t="n">
        <f aca="false">AB44*Assumptions!$D$81</f>
        <v>0</v>
      </c>
      <c r="AC45" s="17" t="n">
        <f aca="false">AC44*Assumptions!$D$81</f>
        <v>0</v>
      </c>
      <c r="AD45" s="17" t="n">
        <f aca="false">AD44*Assumptions!$D$81</f>
        <v>0</v>
      </c>
      <c r="AE45" s="17" t="n">
        <f aca="false">AE44*Assumptions!$D$81</f>
        <v>0</v>
      </c>
      <c r="AF45" s="17" t="n">
        <f aca="false">AF44*Assumptions!$D$81</f>
        <v>0</v>
      </c>
      <c r="AG45" s="17" t="n">
        <f aca="false">AG44*Assumptions!$D$81</f>
        <v>0</v>
      </c>
      <c r="AH45" s="17" t="n">
        <f aca="false">AH44*Assumptions!$D$81</f>
        <v>0</v>
      </c>
      <c r="AI45" s="17" t="n">
        <f aca="false">AI44*Assumptions!$D$81</f>
        <v>937.5</v>
      </c>
      <c r="AJ45" s="17" t="n">
        <f aca="false">AJ44*Assumptions!$D$81</f>
        <v>1031.25</v>
      </c>
      <c r="AK45" s="17" t="n">
        <f aca="false">AK44*Assumptions!$D$81</f>
        <v>1125</v>
      </c>
      <c r="AL45" s="17" t="n">
        <f aca="false">AL44*Assumptions!$D$81</f>
        <v>1218.75</v>
      </c>
      <c r="AM45" s="17" t="n">
        <f aca="false">AM44*Assumptions!$D$81</f>
        <v>1312.5</v>
      </c>
      <c r="AN45" s="44" t="n">
        <f aca="false">AN44*Assumptions!$D$81</f>
        <v>1406.25</v>
      </c>
      <c r="AO45" s="44" t="n">
        <f aca="false">AO44*Assumptions!$D$81</f>
        <v>1500</v>
      </c>
      <c r="AP45" s="44" t="n">
        <f aca="false">AP44*Assumptions!$D$81</f>
        <v>1593.75</v>
      </c>
      <c r="AQ45" s="44" t="n">
        <f aca="false">AQ44*Assumptions!$D$81</f>
        <v>1687.5</v>
      </c>
      <c r="AR45" s="44" t="n">
        <f aca="false">AR44*Assumptions!$D$81</f>
        <v>1781.25</v>
      </c>
      <c r="AS45" s="44" t="n">
        <f aca="false">AS44*Assumptions!$D$81</f>
        <v>1875</v>
      </c>
      <c r="AT45" s="44" t="n">
        <f aca="false">AT44*Assumptions!$D$81</f>
        <v>1968.75</v>
      </c>
      <c r="AU45" s="44" t="n">
        <f aca="false">AU44*Assumptions!$D$81</f>
        <v>2062.5</v>
      </c>
      <c r="AV45" s="44" t="n">
        <f aca="false">AV44*Assumptions!$D$81</f>
        <v>2156.25</v>
      </c>
      <c r="AW45" s="44" t="n">
        <f aca="false">AW44*Assumptions!$D$81</f>
        <v>2250</v>
      </c>
      <c r="AX45" s="44" t="n">
        <f aca="false">AX44*Assumptions!$D$81</f>
        <v>2343.75</v>
      </c>
      <c r="AY45" s="44" t="n">
        <f aca="false">AY44*Assumptions!$D$81</f>
        <v>2437.5</v>
      </c>
      <c r="AZ45" s="44" t="n">
        <f aca="false">AZ44*Assumptions!$D$81</f>
        <v>2531.25</v>
      </c>
      <c r="BA45" s="44" t="n">
        <f aca="false">BA44*Assumptions!$D$81</f>
        <v>2625</v>
      </c>
      <c r="BB45" s="44" t="n">
        <f aca="false">BB44*Assumptions!$D$81</f>
        <v>2718.75</v>
      </c>
      <c r="BC45" s="44" t="n">
        <f aca="false">BC44*Assumptions!$D$81</f>
        <v>2812.5</v>
      </c>
      <c r="BD45" s="44" t="n">
        <f aca="false">BD44*Assumptions!$D$81</f>
        <v>2906.25</v>
      </c>
      <c r="BE45" s="44" t="n">
        <f aca="false">BE44*Assumptions!$D$81</f>
        <v>3000</v>
      </c>
      <c r="BF45" s="44" t="n">
        <f aca="false">BF44*Assumptions!$D$81</f>
        <v>3093.75</v>
      </c>
      <c r="BG45" s="44" t="n">
        <f aca="false">BG44*Assumptions!$D$81</f>
        <v>3187.5</v>
      </c>
      <c r="BH45" s="44" t="n">
        <f aca="false">BH44*Assumptions!$D$81</f>
        <v>3281.25</v>
      </c>
      <c r="BI45" s="44" t="n">
        <f aca="false">BI44*Assumptions!$D$81</f>
        <v>3375</v>
      </c>
      <c r="BJ45" s="44" t="n">
        <f aca="false">BJ44*Assumptions!$D$81</f>
        <v>3468.75</v>
      </c>
      <c r="BK45" s="44" t="n">
        <f aca="false">BK44*Assumptions!$D$81</f>
        <v>3562.5</v>
      </c>
    </row>
    <row r="46" customFormat="false" ht="15" hidden="false" customHeight="false" outlineLevel="0" collapsed="false">
      <c r="A46" s="28" t="s">
        <v>608</v>
      </c>
      <c r="B46" s="5" t="s">
        <v>609</v>
      </c>
      <c r="C46" s="43"/>
      <c r="D46" s="45" t="n">
        <f aca="false">D37+D38+D40+D41+D42+D43+D45</f>
        <v>0</v>
      </c>
      <c r="E46" s="45" t="n">
        <f aca="false">E37+E38+E40+E41+E42+E43+E45</f>
        <v>0</v>
      </c>
      <c r="F46" s="45" t="n">
        <f aca="false">F37+F38+F40+F41+F42+F43+F45</f>
        <v>0</v>
      </c>
      <c r="G46" s="45" t="n">
        <f aca="false">G37+G38+G40+G41+G42+G43+G45</f>
        <v>0</v>
      </c>
      <c r="H46" s="45" t="n">
        <f aca="false">H37+H38+H40+H41+H42+H43+H45</f>
        <v>0</v>
      </c>
      <c r="I46" s="45" t="n">
        <f aca="false">I37+I38+I40+I41+I42+I43+I45</f>
        <v>0</v>
      </c>
      <c r="J46" s="45" t="n">
        <f aca="false">J37+J38+J40+J41+J42+J43+J45</f>
        <v>0</v>
      </c>
      <c r="K46" s="45" t="n">
        <f aca="false">K37+K38+K40+K41+K42+K43+K45</f>
        <v>0</v>
      </c>
      <c r="L46" s="45" t="n">
        <f aca="false">L37+L38+L40+L41+L42+L43+L45</f>
        <v>0</v>
      </c>
      <c r="M46" s="45" t="n">
        <f aca="false">M37+M38+M40+M41+M42+M43+M45</f>
        <v>0</v>
      </c>
      <c r="N46" s="45" t="n">
        <f aca="false">N37+N38+N40+N41+N42+N43+N45</f>
        <v>0</v>
      </c>
      <c r="O46" s="45" t="n">
        <f aca="false">O37+O38+O40+O41+O42+O43+O45</f>
        <v>0</v>
      </c>
      <c r="P46" s="45" t="n">
        <f aca="false">P37+P38+P40+P41+P42+P43+P45</f>
        <v>0</v>
      </c>
      <c r="Q46" s="45" t="n">
        <f aca="false">Q37+Q38+Q40+Q41+Q42+Q43+Q45</f>
        <v>0</v>
      </c>
      <c r="R46" s="45" t="n">
        <f aca="false">R37+R38+R40+R41+R42+R43+R45</f>
        <v>0</v>
      </c>
      <c r="S46" s="45" t="n">
        <f aca="false">S37+S38+S40+S41+S42+S43+S45</f>
        <v>0</v>
      </c>
      <c r="T46" s="45" t="n">
        <f aca="false">T37+T38+T40+T41+T42+T43+T45</f>
        <v>0</v>
      </c>
      <c r="U46" s="45" t="n">
        <f aca="false">U37+U38+U40+U41+U42+U43+U45</f>
        <v>0</v>
      </c>
      <c r="V46" s="45" t="n">
        <f aca="false">V37+V38+V40+V41+V42+V43+V45</f>
        <v>0</v>
      </c>
      <c r="W46" s="45" t="n">
        <f aca="false">W37+W38+W40+W41+W42+W43+W45</f>
        <v>0</v>
      </c>
      <c r="X46" s="45" t="n">
        <f aca="false">X37+X38+X40+X41+X42+X43+X45</f>
        <v>0</v>
      </c>
      <c r="Y46" s="45" t="n">
        <f aca="false">Y37+Y38+Y40+Y41+Y42+Y43+Y45</f>
        <v>0</v>
      </c>
      <c r="Z46" s="45" t="n">
        <f aca="false">Z37+Z38+Z40+Z41+Z42+Z43+Z45</f>
        <v>0</v>
      </c>
      <c r="AA46" s="45" t="n">
        <f aca="false">AA37+AA38+AA40+AA41+AA42+AA43+AA45</f>
        <v>0</v>
      </c>
      <c r="AB46" s="45" t="n">
        <f aca="false">AB37+AB38+AB40+AB41+AB42+AB43+AB45</f>
        <v>0</v>
      </c>
      <c r="AC46" s="45" t="n">
        <f aca="false">AC37+AC38+AC40+AC41+AC42+AC43+AC45</f>
        <v>0</v>
      </c>
      <c r="AD46" s="45" t="n">
        <f aca="false">AD37+AD38+AD40+AD41+AD42+AD43+AD45</f>
        <v>0</v>
      </c>
      <c r="AE46" s="45" t="n">
        <f aca="false">AE37+AE38+AE40+AE41+AE42+AE43+AE45</f>
        <v>0</v>
      </c>
      <c r="AF46" s="45" t="n">
        <f aca="false">AF37+AF38+AF40+AF41+AF42+AF43+AF45</f>
        <v>0</v>
      </c>
      <c r="AG46" s="45" t="n">
        <f aca="false">AG37+AG38+AG40+AG41+AG42+AG43+AG45</f>
        <v>0</v>
      </c>
      <c r="AH46" s="45" t="n">
        <f aca="false">AH37+AH38+AH40+AH41+AH42+AH43+AH45</f>
        <v>0</v>
      </c>
      <c r="AI46" s="45" t="n">
        <f aca="false">AI37+AI38+AI40+AI41+AI42+AI43+AI45</f>
        <v>937.5</v>
      </c>
      <c r="AJ46" s="45" t="n">
        <f aca="false">AJ37+AJ38+AJ40+AJ41+AJ42+AJ43+AJ45</f>
        <v>1031.25</v>
      </c>
      <c r="AK46" s="45" t="n">
        <f aca="false">AK37+AK38+AK40+AK41+AK42+AK43+AK45</f>
        <v>1125</v>
      </c>
      <c r="AL46" s="45" t="n">
        <f aca="false">AL37+AL38+AL40+AL41+AL42+AL43+AL45</f>
        <v>1218.75</v>
      </c>
      <c r="AM46" s="45" t="n">
        <f aca="false">AM37+AM38+AM40+AM41+AM42+AM43+AM45</f>
        <v>1312.5</v>
      </c>
      <c r="AN46" s="46" t="n">
        <f aca="false">AN37+AN38+AN40+AN41+AN42+AN43+AN45</f>
        <v>1406.25</v>
      </c>
      <c r="AO46" s="46" t="n">
        <f aca="false">AO37+AO38+AO40+AO41+AO42+AO43+AO45</f>
        <v>1500</v>
      </c>
      <c r="AP46" s="46" t="n">
        <f aca="false">AP37+AP38+AP40+AP41+AP42+AP43+AP45</f>
        <v>1766.36761598871</v>
      </c>
      <c r="AQ46" s="46" t="n">
        <f aca="false">AQ37+AQ38+AQ40+AQ41+AQ42+AQ43+AQ45</f>
        <v>2028.22610400663</v>
      </c>
      <c r="AR46" s="46" t="n">
        <f aca="false">AR37+AR38+AR40+AR41+AR42+AR43+AR45</f>
        <v>2285.70516682147</v>
      </c>
      <c r="AS46" s="46" t="n">
        <f aca="false">AS37+AS38+AS40+AS41+AS42+AS43+AS45</f>
        <v>2539.04629349436</v>
      </c>
      <c r="AT46" s="46" t="n">
        <f aca="false">AT37+AT38+AT40+AT41+AT42+AT43+AT45</f>
        <v>2788.35951356918</v>
      </c>
      <c r="AU46" s="46" t="n">
        <f aca="false">AU37+AU38+AU40+AU41+AU42+AU43+AU45</f>
        <v>3033.75145211879</v>
      </c>
      <c r="AV46" s="46" t="n">
        <f aca="false">AV37+AV38+AV40+AV41+AV42+AV43+AV45</f>
        <v>3275.44187793811</v>
      </c>
      <c r="AW46" s="46" t="n">
        <f aca="false">AW37+AW38+AW40+AW41+AW42+AW43+AW45</f>
        <v>3513.52036886899</v>
      </c>
      <c r="AX46" s="46" t="n">
        <f aca="false">AX37+AX38+AX40+AX41+AX42+AX43+AX45</f>
        <v>3748.07428405801</v>
      </c>
      <c r="AY46" s="46" t="n">
        <f aca="false">AY37+AY38+AY40+AY41+AY42+AY43+AY45</f>
        <v>3979.30523501538</v>
      </c>
      <c r="AZ46" s="46" t="n">
        <f aca="false">AZ37+AZ38+AZ40+AZ41+AZ42+AZ43+AZ45</f>
        <v>4207.28567906761</v>
      </c>
      <c r="BA46" s="46" t="n">
        <f aca="false">BA37+BA38+BA40+BA41+BA42+BA43+BA45</f>
        <v>4432.08682463991</v>
      </c>
      <c r="BB46" s="46" t="n">
        <f aca="false">BB37+BB38+BB40+BB41+BB42+BB43+BB45</f>
        <v>4653.77863340207</v>
      </c>
      <c r="BC46" s="46" t="n">
        <f aca="false">BC37+BC38+BC40+BC41+BC42+BC43+BC45</f>
        <v>4872.42982380625</v>
      </c>
      <c r="BD46" s="46" t="n">
        <f aca="false">BD37+BD38+BD40+BD41+BD42+BD43+BD45</f>
        <v>5088.10787591452</v>
      </c>
      <c r="BE46" s="46" t="n">
        <f aca="false">BE37+BE38+BE40+BE41+BE42+BE43+BE45</f>
        <v>5300.87903741949</v>
      </c>
      <c r="BF46" s="46" t="n">
        <f aca="false">BF37+BF38+BF40+BF41+BF42+BF43+BF45</f>
        <v>5510.80833076627</v>
      </c>
      <c r="BG46" s="46" t="n">
        <f aca="false">BG37+BG38+BG40+BG41+BG42+BG43+BG45</f>
        <v>5717.95956128899</v>
      </c>
      <c r="BH46" s="46" t="n">
        <f aca="false">BH37+BH38+BH40+BH41+BH42+BH43+BH45</f>
        <v>5922.39532627979</v>
      </c>
      <c r="BI46" s="46" t="n">
        <f aca="false">BI37+BI38+BI40+BI41+BI42+BI43+BI45</f>
        <v>6124.17702491259</v>
      </c>
      <c r="BJ46" s="46" t="n">
        <f aca="false">BJ37+BJ38+BJ40+BJ41+BJ42+BJ43+BJ45</f>
        <v>6323.36486894839</v>
      </c>
      <c r="BK46" s="46" t="n">
        <f aca="false">BK37+BK38+BK40+BK41+BK42+BK43+BK45</f>
        <v>6520.01789415278</v>
      </c>
    </row>
    <row r="47" customFormat="false" ht="15" hidden="false" customHeight="false" outlineLevel="0" collapsed="false">
      <c r="A47" s="28" t="s">
        <v>610</v>
      </c>
      <c r="B47" s="6" t="s">
        <v>611</v>
      </c>
      <c r="C47" s="43"/>
      <c r="D47" s="17" t="n">
        <f aca="false">D37+D38</f>
        <v>0</v>
      </c>
      <c r="E47" s="17" t="n">
        <f aca="false">E37+E38</f>
        <v>0</v>
      </c>
      <c r="F47" s="17" t="n">
        <f aca="false">F37+F38</f>
        <v>0</v>
      </c>
      <c r="G47" s="17" t="n">
        <f aca="false">G37+G38</f>
        <v>0</v>
      </c>
      <c r="H47" s="17" t="n">
        <f aca="false">H37+H38</f>
        <v>0</v>
      </c>
      <c r="I47" s="17" t="n">
        <f aca="false">I37+I38</f>
        <v>0</v>
      </c>
      <c r="J47" s="17" t="n">
        <f aca="false">J37+J38</f>
        <v>0</v>
      </c>
      <c r="K47" s="17" t="n">
        <f aca="false">K37+K38</f>
        <v>0</v>
      </c>
      <c r="L47" s="17" t="n">
        <f aca="false">L37+L38</f>
        <v>0</v>
      </c>
      <c r="M47" s="17" t="n">
        <f aca="false">M37+M38</f>
        <v>0</v>
      </c>
      <c r="N47" s="17" t="n">
        <f aca="false">N37+N38</f>
        <v>0</v>
      </c>
      <c r="O47" s="17" t="n">
        <f aca="false">O37+O38</f>
        <v>0</v>
      </c>
      <c r="P47" s="17" t="n">
        <f aca="false">P37+P38</f>
        <v>0</v>
      </c>
      <c r="Q47" s="17" t="n">
        <f aca="false">Q37+Q38</f>
        <v>0</v>
      </c>
      <c r="R47" s="17" t="n">
        <f aca="false">R37+R38</f>
        <v>0</v>
      </c>
      <c r="S47" s="17" t="n">
        <f aca="false">S37+S38</f>
        <v>0</v>
      </c>
      <c r="T47" s="17" t="n">
        <f aca="false">T37+T38</f>
        <v>0</v>
      </c>
      <c r="U47" s="17" t="n">
        <f aca="false">U37+U38</f>
        <v>0</v>
      </c>
      <c r="V47" s="17" t="n">
        <f aca="false">V37+V38</f>
        <v>0</v>
      </c>
      <c r="W47" s="17" t="n">
        <f aca="false">W37+W38</f>
        <v>0</v>
      </c>
      <c r="X47" s="17" t="n">
        <f aca="false">X37+X38</f>
        <v>0</v>
      </c>
      <c r="Y47" s="17" t="n">
        <f aca="false">Y37+Y38</f>
        <v>0</v>
      </c>
      <c r="Z47" s="17" t="n">
        <f aca="false">Z37+Z38</f>
        <v>0</v>
      </c>
      <c r="AA47" s="17" t="n">
        <f aca="false">AA37+AA38</f>
        <v>0</v>
      </c>
      <c r="AB47" s="17" t="n">
        <f aca="false">AB37+AB38</f>
        <v>0</v>
      </c>
      <c r="AC47" s="17" t="n">
        <f aca="false">AC37+AC38</f>
        <v>0</v>
      </c>
      <c r="AD47" s="17" t="n">
        <f aca="false">AD37+AD38</f>
        <v>0</v>
      </c>
      <c r="AE47" s="17" t="n">
        <f aca="false">AE37+AE38</f>
        <v>0</v>
      </c>
      <c r="AF47" s="17" t="n">
        <f aca="false">AF37+AF38</f>
        <v>0</v>
      </c>
      <c r="AG47" s="17" t="n">
        <f aca="false">AG37+AG38</f>
        <v>0</v>
      </c>
      <c r="AH47" s="17" t="n">
        <f aca="false">AH37+AH38</f>
        <v>0</v>
      </c>
      <c r="AI47" s="17" t="n">
        <f aca="false">AI37+AI38</f>
        <v>0</v>
      </c>
      <c r="AJ47" s="17" t="n">
        <f aca="false">AJ37+AJ38</f>
        <v>0</v>
      </c>
      <c r="AK47" s="17" t="n">
        <f aca="false">AK37+AK38</f>
        <v>0</v>
      </c>
      <c r="AL47" s="17" t="n">
        <f aca="false">AL37+AL38</f>
        <v>0</v>
      </c>
      <c r="AM47" s="17" t="n">
        <f aca="false">AM37+AM38</f>
        <v>0</v>
      </c>
      <c r="AN47" s="44" t="n">
        <f aca="false">AN37+AN38</f>
        <v>0</v>
      </c>
      <c r="AO47" s="44" t="n">
        <f aca="false">AO37+AO38</f>
        <v>0</v>
      </c>
      <c r="AP47" s="44" t="n">
        <f aca="false">AP37+AP38</f>
        <v>142.855485127659</v>
      </c>
      <c r="AQ47" s="44" t="n">
        <f aca="false">AQ37+AQ38</f>
        <v>281.983097597569</v>
      </c>
      <c r="AR47" s="44" t="n">
        <f aca="false">AR37+AR38</f>
        <v>417.489841763277</v>
      </c>
      <c r="AS47" s="44" t="n">
        <f aca="false">AS37+AS38</f>
        <v>549.575258268109</v>
      </c>
      <c r="AT47" s="44" t="n">
        <f aca="false">AT37+AT38</f>
        <v>678.330118803134</v>
      </c>
      <c r="AU47" s="44" t="n">
        <f aca="false">AU37+AU38</f>
        <v>803.842397892784</v>
      </c>
      <c r="AV47" s="44" t="n">
        <f aca="false">AV37+AV38</f>
        <v>926.293724901448</v>
      </c>
      <c r="AW47" s="44" t="n">
        <f aca="false">AW37+AW38</f>
        <v>1045.75800558422</v>
      </c>
      <c r="AX47" s="44" t="n">
        <f aca="false">AX37+AX38</f>
        <v>1162.30732567043</v>
      </c>
      <c r="AY47" s="44" t="n">
        <f aca="false">AY37+AY38</f>
        <v>1276.10833932586</v>
      </c>
      <c r="AZ47" s="44" t="n">
        <f aca="false">AZ37+AZ38</f>
        <v>1387.22083149365</v>
      </c>
      <c r="BA47" s="44" t="n">
        <f aca="false">BA37+BA38</f>
        <v>1495.70356630179</v>
      </c>
      <c r="BB47" s="44" t="n">
        <f aca="false">BB37+BB38</f>
        <v>1601.61428801267</v>
      </c>
      <c r="BC47" s="44" t="n">
        <f aca="false">BC37+BC38</f>
        <v>1705.00972317684</v>
      </c>
      <c r="BD47" s="44" t="n">
        <f aca="false">BD37+BD38</f>
        <v>1805.94558390296</v>
      </c>
      <c r="BE47" s="44" t="n">
        <f aca="false">BE37+BE38</f>
        <v>1904.47657216112</v>
      </c>
      <c r="BF47" s="44" t="n">
        <f aca="false">BF37+BF38</f>
        <v>2000.6563850404</v>
      </c>
      <c r="BG47" s="44" t="n">
        <f aca="false">BG37+BG38</f>
        <v>2094.53772088641</v>
      </c>
      <c r="BH47" s="44" t="n">
        <f aca="false">BH37+BH38</f>
        <v>2186.17228624821</v>
      </c>
      <c r="BI47" s="44" t="n">
        <f aca="false">BI37+BI38</f>
        <v>2275.61080356798</v>
      </c>
      <c r="BJ47" s="44" t="n">
        <f aca="false">BJ37+BJ38</f>
        <v>2362.90301955052</v>
      </c>
      <c r="BK47" s="44" t="n">
        <f aca="false">BK37+BK38</f>
        <v>2448.09771415332</v>
      </c>
    </row>
    <row r="48" customFormat="false" ht="15" hidden="false" customHeight="false" outlineLevel="0" collapsed="false">
      <c r="B48" s="5" t="s">
        <v>612</v>
      </c>
    </row>
    <row r="49" customFormat="false" ht="15" hidden="false" customHeight="false" outlineLevel="0" collapsed="false">
      <c r="A49" s="28" t="s">
        <v>613</v>
      </c>
      <c r="B49" s="6" t="s">
        <v>614</v>
      </c>
      <c r="C49" s="43"/>
      <c r="D49" s="17" t="n">
        <f aca="false">D12*(Assumptions!$D$60+Assumptions!$D$63/60*Assumptions!$D$62)</f>
        <v>0</v>
      </c>
      <c r="E49" s="17" t="n">
        <f aca="false">E12*(Assumptions!$D$60+Assumptions!$D$63/60*Assumptions!$D$62)</f>
        <v>0</v>
      </c>
      <c r="F49" s="17" t="n">
        <f aca="false">F12*(Assumptions!$D$60+Assumptions!$D$63/60*Assumptions!$D$62)</f>
        <v>0</v>
      </c>
      <c r="G49" s="17" t="n">
        <f aca="false">G12*(Assumptions!$D$60+Assumptions!$D$63/60*Assumptions!$D$62)</f>
        <v>0</v>
      </c>
      <c r="H49" s="17" t="n">
        <f aca="false">H12*(Assumptions!$D$60+Assumptions!$D$63/60*Assumptions!$D$62)</f>
        <v>13.685</v>
      </c>
      <c r="I49" s="17" t="n">
        <f aca="false">I12*(Assumptions!$D$60+Assumptions!$D$63/60*Assumptions!$D$62)</f>
        <v>25.385675</v>
      </c>
      <c r="J49" s="17" t="n">
        <f aca="false">J12*(Assumptions!$D$60+Assumptions!$D$63/60*Assumptions!$D$62)</f>
        <v>32.962033125</v>
      </c>
      <c r="K49" s="17" t="n">
        <f aca="false">K12*(Assumptions!$D$60+Assumptions!$D$63/60*Assumptions!$D$62)</f>
        <v>37.611982296875</v>
      </c>
      <c r="L49" s="17" t="n">
        <f aca="false">L12*(Assumptions!$D$60+Assumptions!$D$63/60*Assumptions!$D$62)</f>
        <v>39.9560827394531</v>
      </c>
      <c r="M49" s="17" t="n">
        <f aca="false">M12*(Assumptions!$D$60+Assumptions!$D$63/60*Assumptions!$D$62)</f>
        <v>41.6941806709668</v>
      </c>
      <c r="N49" s="17" t="n">
        <f aca="false">N12*(Assumptions!$D$60+Assumptions!$D$63/60*Assumptions!$D$62)</f>
        <v>54.8842261541926</v>
      </c>
      <c r="O49" s="17" t="n">
        <f aca="false">O12*(Assumptions!$D$60+Assumptions!$D$63/60*Assumptions!$D$62)</f>
        <v>66.1023205003378</v>
      </c>
      <c r="P49" s="17" t="n">
        <f aca="false">P12*(Assumptions!$D$60+Assumptions!$D$63/60*Assumptions!$D$62)</f>
        <v>73.2081624878294</v>
      </c>
      <c r="Q49" s="17" t="n">
        <f aca="false">Q12*(Assumptions!$D$60+Assumptions!$D$63/60*Assumptions!$D$62)</f>
        <v>91.0843584256336</v>
      </c>
      <c r="R49" s="17" t="n">
        <f aca="false">R12*(Assumptions!$D$60+Assumptions!$D$63/60*Assumptions!$D$62)</f>
        <v>104.681849464993</v>
      </c>
      <c r="S49" s="17" t="n">
        <f aca="false">S12*(Assumptions!$D$60+Assumptions!$D$63/60*Assumptions!$D$62)</f>
        <v>113.560203228368</v>
      </c>
      <c r="T49" s="17" t="n">
        <f aca="false">T12*(Assumptions!$D$60+Assumptions!$D$63/60*Assumptions!$D$62)</f>
        <v>130.974998147659</v>
      </c>
      <c r="U49" s="17" t="n">
        <f aca="false">U12*(Assumptions!$D$60+Assumptions!$D$63/60*Assumptions!$D$62)</f>
        <v>157.807623193967</v>
      </c>
      <c r="V49" s="17" t="n">
        <f aca="false">V12*(Assumptions!$D$60+Assumptions!$D$63/60*Assumptions!$D$62)</f>
        <v>177.948032614118</v>
      </c>
      <c r="W49" s="17" t="n">
        <f aca="false">W12*(Assumptions!$D$60+Assumptions!$D$63/60*Assumptions!$D$62)</f>
        <v>202.511531798765</v>
      </c>
      <c r="X49" s="17" t="n">
        <f aca="false">X12*(Assumptions!$D$60+Assumptions!$D$63/60*Assumptions!$D$62)</f>
        <v>233.577143503796</v>
      </c>
      <c r="Y49" s="17" t="n">
        <f aca="false">Y12*(Assumptions!$D$60+Assumptions!$D$63/60*Assumptions!$D$62)</f>
        <v>255.655114916201</v>
      </c>
      <c r="Z49" s="17" t="n">
        <f aca="false">Z12*(Assumptions!$D$60+Assumptions!$D$63/60*Assumptions!$D$62)</f>
        <v>281.560337043296</v>
      </c>
      <c r="AA49" s="17" t="n">
        <f aca="false">AA12*(Assumptions!$D$60+Assumptions!$D$63/60*Assumptions!$D$62)</f>
        <v>311.744528617214</v>
      </c>
      <c r="AB49" s="17" t="n">
        <f aca="false">AB12*(Assumptions!$D$60+Assumptions!$D$63/60*Assumptions!$D$62)</f>
        <v>332.963115401783</v>
      </c>
      <c r="AC49" s="17" t="n">
        <f aca="false">AC12*(Assumptions!$D$60+Assumptions!$D$63/60*Assumptions!$D$62)</f>
        <v>358.030437516739</v>
      </c>
      <c r="AD49" s="17" t="n">
        <f aca="false">AD12*(Assumptions!$D$60+Assumptions!$D$63/60*Assumptions!$D$62)</f>
        <v>387.39767657882</v>
      </c>
      <c r="AE49" s="17" t="n">
        <f aca="false">AE12*(Assumptions!$D$60+Assumptions!$D$63/60*Assumptions!$D$62)</f>
        <v>420.95733466435</v>
      </c>
      <c r="AF49" s="17" t="n">
        <f aca="false">AF12*(Assumptions!$D$60+Assumptions!$D$63/60*Assumptions!$D$62)</f>
        <v>456.415001297741</v>
      </c>
      <c r="AG49" s="17" t="n">
        <f aca="false">AG12*(Assumptions!$D$60+Assumptions!$D$63/60*Assumptions!$D$62)</f>
        <v>492.081026265297</v>
      </c>
      <c r="AH49" s="17" t="n">
        <f aca="false">AH12*(Assumptions!$D$60+Assumptions!$D$63/60*Assumptions!$D$62)</f>
        <v>529.592400608665</v>
      </c>
      <c r="AI49" s="17" t="n">
        <f aca="false">AI12*(Assumptions!$D$60+Assumptions!$D$63/60*Assumptions!$D$62)</f>
        <v>566.713390593448</v>
      </c>
      <c r="AJ49" s="17" t="n">
        <f aca="false">AJ12*(Assumptions!$D$60+Assumptions!$D$63/60*Assumptions!$D$62)</f>
        <v>603.453755828612</v>
      </c>
      <c r="AK49" s="17" t="n">
        <f aca="false">AK12*(Assumptions!$D$60+Assumptions!$D$63/60*Assumptions!$D$62)</f>
        <v>639.275611932897</v>
      </c>
      <c r="AL49" s="17" t="n">
        <f aca="false">AL12*(Assumptions!$D$60+Assumptions!$D$63/60*Assumptions!$D$62)</f>
        <v>674.749321634575</v>
      </c>
      <c r="AM49" s="17" t="n">
        <f aca="false">AM12*(Assumptions!$D$60+Assumptions!$D$63/60*Assumptions!$D$62)</f>
        <v>709.88358859371</v>
      </c>
      <c r="AN49" s="44" t="n">
        <f aca="false">AN12*(Assumptions!$D$60+Assumptions!$D$63/60*Assumptions!$D$62)</f>
        <v>744.139498878867</v>
      </c>
      <c r="AO49" s="44" t="n">
        <f aca="false">AO12*(Assumptions!$D$60+Assumptions!$D$63/60*Assumptions!$D$62)</f>
        <v>778.086411406896</v>
      </c>
      <c r="AP49" s="44" t="n">
        <f aca="false">AP12*(Assumptions!$D$60+Assumptions!$D$63/60*Assumptions!$D$62)</f>
        <v>811.732051121723</v>
      </c>
      <c r="AQ49" s="44" t="n">
        <f aca="false">AQ12*(Assumptions!$D$60+Assumptions!$D$63/60*Assumptions!$D$62)</f>
        <v>844.53654984368</v>
      </c>
      <c r="AR49" s="44" t="n">
        <f aca="false">AR12*(Assumptions!$D$60+Assumptions!$D$63/60*Assumptions!$D$62)</f>
        <v>876.520936097588</v>
      </c>
      <c r="AS49" s="44" t="n">
        <f aca="false">AS12*(Assumptions!$D$60+Assumptions!$D$63/60*Assumptions!$D$62)</f>
        <v>908.253112695148</v>
      </c>
      <c r="AT49" s="44" t="n">
        <f aca="false">AT12*(Assumptions!$D$60+Assumptions!$D$63/60*Assumptions!$D$62)</f>
        <v>939.19198487777</v>
      </c>
      <c r="AU49" s="44" t="n">
        <f aca="false">AU12*(Assumptions!$D$60+Assumptions!$D$63/60*Assumptions!$D$62)</f>
        <v>969.357385255825</v>
      </c>
      <c r="AV49" s="44" t="n">
        <f aca="false">AV12*(Assumptions!$D$60+Assumptions!$D$63/60*Assumptions!$D$62)</f>
        <v>999.31605062443</v>
      </c>
      <c r="AW49" s="44" t="n">
        <f aca="false">AW12*(Assumptions!$D$60+Assumptions!$D$63/60*Assumptions!$D$62)</f>
        <v>1028.52574935882</v>
      </c>
      <c r="AX49" s="44" t="n">
        <f aca="false">AX12*(Assumptions!$D$60+Assumptions!$D$63/60*Assumptions!$D$62)</f>
        <v>1057.00520562485</v>
      </c>
      <c r="AY49" s="44" t="n">
        <f aca="false">AY12*(Assumptions!$D$60+Assumptions!$D$63/60*Assumptions!$D$62)</f>
        <v>1085.32007548423</v>
      </c>
      <c r="AZ49" s="44" t="n">
        <f aca="false">AZ12*(Assumptions!$D$60+Assumptions!$D$63/60*Assumptions!$D$62)</f>
        <v>1112.92707359712</v>
      </c>
      <c r="BA49" s="44" t="n">
        <f aca="false">BA12*(Assumptions!$D$60+Assumptions!$D$63/60*Assumptions!$D$62)</f>
        <v>1139.84389675719</v>
      </c>
      <c r="BB49" s="44" t="n">
        <f aca="false">BB12*(Assumptions!$D$60+Assumptions!$D$63/60*Assumptions!$D$62)</f>
        <v>1166.08779933826</v>
      </c>
      <c r="BC49" s="44" t="n">
        <f aca="false">BC12*(Assumptions!$D$60+Assumptions!$D$63/60*Assumptions!$D$62)</f>
        <v>1191.67560435481</v>
      </c>
      <c r="BD49" s="44" t="n">
        <f aca="false">BD12*(Assumptions!$D$60+Assumptions!$D$63/60*Assumptions!$D$62)</f>
        <v>1216.62371424594</v>
      </c>
      <c r="BE49" s="44" t="n">
        <f aca="false">BE12*(Assumptions!$D$60+Assumptions!$D$63/60*Assumptions!$D$62)</f>
        <v>1240.94812138979</v>
      </c>
      <c r="BF49" s="44" t="n">
        <f aca="false">BF12*(Assumptions!$D$60+Assumptions!$D$63/60*Assumptions!$D$62)</f>
        <v>1264.66441835504</v>
      </c>
      <c r="BG49" s="44" t="n">
        <f aca="false">BG12*(Assumptions!$D$60+Assumptions!$D$63/60*Assumptions!$D$62)</f>
        <v>1287.78780789617</v>
      </c>
      <c r="BH49" s="44" t="n">
        <f aca="false">BH12*(Assumptions!$D$60+Assumptions!$D$63/60*Assumptions!$D$62)</f>
        <v>1310.33311269876</v>
      </c>
      <c r="BI49" s="44" t="n">
        <f aca="false">BI12*(Assumptions!$D$60+Assumptions!$D$63/60*Assumptions!$D$62)</f>
        <v>1332.31478488129</v>
      </c>
      <c r="BJ49" s="44" t="n">
        <f aca="false">BJ12*(Assumptions!$D$60+Assumptions!$D$63/60*Assumptions!$D$62)</f>
        <v>1353.74691525926</v>
      </c>
      <c r="BK49" s="44" t="n">
        <f aca="false">BK12*(Assumptions!$D$60+Assumptions!$D$63/60*Assumptions!$D$62)</f>
        <v>1374.64324237778</v>
      </c>
    </row>
    <row r="50" customFormat="false" ht="15" hidden="false" customHeight="false" outlineLevel="0" collapsed="false">
      <c r="A50" s="28" t="s">
        <v>615</v>
      </c>
      <c r="B50" s="6" t="s">
        <v>616</v>
      </c>
      <c r="C50" s="43"/>
      <c r="D50" s="17" t="n">
        <f aca="false">D32*Assumptions!$D$64/60*Assumptions!$D$62</f>
        <v>0</v>
      </c>
      <c r="E50" s="17" t="n">
        <f aca="false">E32*Assumptions!$D$64/60*Assumptions!$D$62</f>
        <v>0</v>
      </c>
      <c r="F50" s="17" t="n">
        <f aca="false">F32*Assumptions!$D$64/60*Assumptions!$D$62</f>
        <v>0</v>
      </c>
      <c r="G50" s="17" t="n">
        <f aca="false">G32*Assumptions!$D$64/60*Assumptions!$D$62</f>
        <v>0</v>
      </c>
      <c r="H50" s="17" t="n">
        <f aca="false">H32*Assumptions!$D$64/60*Assumptions!$D$62</f>
        <v>0</v>
      </c>
      <c r="I50" s="17" t="n">
        <f aca="false">I32*Assumptions!$D$64/60*Assumptions!$D$62</f>
        <v>0</v>
      </c>
      <c r="J50" s="17" t="n">
        <f aca="false">J32*Assumptions!$D$64/60*Assumptions!$D$62</f>
        <v>0</v>
      </c>
      <c r="K50" s="17" t="n">
        <f aca="false">K32*Assumptions!$D$64/60*Assumptions!$D$62</f>
        <v>0</v>
      </c>
      <c r="L50" s="17" t="n">
        <f aca="false">L32*Assumptions!$D$64/60*Assumptions!$D$62</f>
        <v>0</v>
      </c>
      <c r="M50" s="17" t="n">
        <f aca="false">M32*Assumptions!$D$64/60*Assumptions!$D$62</f>
        <v>0</v>
      </c>
      <c r="N50" s="17" t="n">
        <f aca="false">N32*Assumptions!$D$64/60*Assumptions!$D$62</f>
        <v>0</v>
      </c>
      <c r="O50" s="17" t="n">
        <f aca="false">O32*Assumptions!$D$64/60*Assumptions!$D$62</f>
        <v>0</v>
      </c>
      <c r="P50" s="17" t="n">
        <f aca="false">P32*Assumptions!$D$64/60*Assumptions!$D$62</f>
        <v>0</v>
      </c>
      <c r="Q50" s="17" t="n">
        <f aca="false">Q32*Assumptions!$D$64/60*Assumptions!$D$62</f>
        <v>0</v>
      </c>
      <c r="R50" s="17" t="n">
        <f aca="false">R32*Assumptions!$D$64/60*Assumptions!$D$62</f>
        <v>0</v>
      </c>
      <c r="S50" s="17" t="n">
        <f aca="false">S32*Assumptions!$D$64/60*Assumptions!$D$62</f>
        <v>0</v>
      </c>
      <c r="T50" s="17" t="n">
        <f aca="false">T32*Assumptions!$D$64/60*Assumptions!$D$62</f>
        <v>0</v>
      </c>
      <c r="U50" s="17" t="n">
        <f aca="false">U32*Assumptions!$D$64/60*Assumptions!$D$62</f>
        <v>0</v>
      </c>
      <c r="V50" s="17" t="n">
        <f aca="false">V32*Assumptions!$D$64/60*Assumptions!$D$62</f>
        <v>0</v>
      </c>
      <c r="W50" s="17" t="n">
        <f aca="false">W32*Assumptions!$D$64/60*Assumptions!$D$62</f>
        <v>0</v>
      </c>
      <c r="X50" s="17" t="n">
        <f aca="false">X32*Assumptions!$D$64/60*Assumptions!$D$62</f>
        <v>0</v>
      </c>
      <c r="Y50" s="17" t="n">
        <f aca="false">Y32*Assumptions!$D$64/60*Assumptions!$D$62</f>
        <v>0</v>
      </c>
      <c r="Z50" s="17" t="n">
        <f aca="false">Z32*Assumptions!$D$64/60*Assumptions!$D$62</f>
        <v>0</v>
      </c>
      <c r="AA50" s="17" t="n">
        <f aca="false">AA32*Assumptions!$D$64/60*Assumptions!$D$62</f>
        <v>0</v>
      </c>
      <c r="AB50" s="17" t="n">
        <f aca="false">AB32*Assumptions!$D$64/60*Assumptions!$D$62</f>
        <v>0</v>
      </c>
      <c r="AC50" s="17" t="n">
        <f aca="false">AC32*Assumptions!$D$64/60*Assumptions!$D$62</f>
        <v>0</v>
      </c>
      <c r="AD50" s="17" t="n">
        <f aca="false">AD32*Assumptions!$D$64/60*Assumptions!$D$62</f>
        <v>0</v>
      </c>
      <c r="AE50" s="17" t="n">
        <f aca="false">AE32*Assumptions!$D$64/60*Assumptions!$D$62</f>
        <v>0</v>
      </c>
      <c r="AF50" s="17" t="n">
        <f aca="false">AF32*Assumptions!$D$64/60*Assumptions!$D$62</f>
        <v>0</v>
      </c>
      <c r="AG50" s="17" t="n">
        <f aca="false">AG32*Assumptions!$D$64/60*Assumptions!$D$62</f>
        <v>0</v>
      </c>
      <c r="AH50" s="17" t="n">
        <f aca="false">AH32*Assumptions!$D$64/60*Assumptions!$D$62</f>
        <v>0</v>
      </c>
      <c r="AI50" s="17" t="n">
        <f aca="false">AI32*Assumptions!$D$64/60*Assumptions!$D$62</f>
        <v>0</v>
      </c>
      <c r="AJ50" s="17" t="n">
        <f aca="false">AJ32*Assumptions!$D$64/60*Assumptions!$D$62</f>
        <v>0</v>
      </c>
      <c r="AK50" s="17" t="n">
        <f aca="false">AK32*Assumptions!$D$64/60*Assumptions!$D$62</f>
        <v>0</v>
      </c>
      <c r="AL50" s="17" t="n">
        <f aca="false">AL32*Assumptions!$D$64/60*Assumptions!$D$62</f>
        <v>0</v>
      </c>
      <c r="AM50" s="17" t="n">
        <f aca="false">AM32*Assumptions!$D$64/60*Assumptions!$D$62</f>
        <v>0</v>
      </c>
      <c r="AN50" s="44" t="n">
        <f aca="false">AN32*Assumptions!$D$64/60*Assumptions!$D$62</f>
        <v>0</v>
      </c>
      <c r="AO50" s="44" t="n">
        <f aca="false">AO32*Assumptions!$D$64/60*Assumptions!$D$62</f>
        <v>0</v>
      </c>
      <c r="AP50" s="44" t="n">
        <f aca="false">AP32*Assumptions!$D$64/60*Assumptions!$D$62</f>
        <v>17.6653743948873</v>
      </c>
      <c r="AQ50" s="44" t="n">
        <f aca="false">AQ32*Assumptions!$D$64/60*Assumptions!$D$62</f>
        <v>34.8802664618803</v>
      </c>
      <c r="AR50" s="44" t="n">
        <f aca="false">AR32*Assumptions!$D$64/60*Assumptions!$D$62</f>
        <v>51.6569826590608</v>
      </c>
      <c r="AS50" s="44" t="n">
        <f aca="false">AS32*Assumptions!$D$64/60*Assumptions!$D$62</f>
        <v>68.0193380573711</v>
      </c>
      <c r="AT50" s="44" t="n">
        <f aca="false">AT32*Assumptions!$D$64/60*Assumptions!$D$62</f>
        <v>83.9777657985797</v>
      </c>
      <c r="AU50" s="44" t="n">
        <f aca="false">AU32*Assumptions!$D$64/60*Assumptions!$D$62</f>
        <v>99.5424091800216</v>
      </c>
      <c r="AV50" s="44" t="n">
        <f aca="false">AV32*Assumptions!$D$64/60*Assumptions!$D$62</f>
        <v>114.735045091251</v>
      </c>
      <c r="AW50" s="44" t="n">
        <f aca="false">AW32*Assumptions!$D$64/60*Assumptions!$D$62</f>
        <v>129.56418534495</v>
      </c>
      <c r="AX50" s="44" t="n">
        <f aca="false">AX32*Assumptions!$D$64/60*Assumptions!$D$62</f>
        <v>144.038161189289</v>
      </c>
      <c r="AY50" s="44" t="n">
        <f aca="false">AY32*Assumptions!$D$64/60*Assumptions!$D$62</f>
        <v>158.177039688393</v>
      </c>
      <c r="AZ50" s="44" t="n">
        <f aca="false">AZ32*Assumptions!$D$64/60*Assumptions!$D$62</f>
        <v>171.987718477448</v>
      </c>
      <c r="BA50" s="44" t="n">
        <f aca="false">BA32*Assumptions!$D$64/60*Assumptions!$D$62</f>
        <v>185.477004146337</v>
      </c>
      <c r="BB50" s="44" t="n">
        <f aca="false">BB32*Assumptions!$D$64/60*Assumptions!$D$62</f>
        <v>198.651610077459</v>
      </c>
      <c r="BC50" s="44" t="n">
        <f aca="false">BC32*Assumptions!$D$64/60*Assumptions!$D$62</f>
        <v>211.518154576492</v>
      </c>
      <c r="BD50" s="44" t="n">
        <f aca="false">BD32*Assumptions!$D$64/60*Assumptions!$D$62</f>
        <v>224.083159276182</v>
      </c>
      <c r="BE50" s="44" t="n">
        <f aca="false">BE32*Assumptions!$D$64/60*Assumptions!$D$62</f>
        <v>236.353047794343</v>
      </c>
      <c r="BF50" s="44" t="n">
        <f aca="false">BF32*Assumptions!$D$64/60*Assumptions!$D$62</f>
        <v>248.334144628379</v>
      </c>
      <c r="BG50" s="44" t="n">
        <f aca="false">BG32*Assumptions!$D$64/60*Assumptions!$D$62</f>
        <v>260.032674269637</v>
      </c>
      <c r="BH50" s="44" t="n">
        <f aca="false">BH32*Assumptions!$D$64/60*Assumptions!$D$62</f>
        <v>271.454760521877</v>
      </c>
      <c r="BI50" s="44" t="n">
        <f aca="false">BI32*Assumptions!$D$64/60*Assumptions!$D$62</f>
        <v>282.606426009099</v>
      </c>
      <c r="BJ50" s="44" t="n">
        <f aca="false">BJ32*Assumptions!$D$64/60*Assumptions!$D$62</f>
        <v>293.493591858781</v>
      </c>
      <c r="BK50" s="44" t="n">
        <f aca="false">BK32*Assumptions!$D$64/60*Assumptions!$D$62</f>
        <v>304.122077547462</v>
      </c>
    </row>
    <row r="51" customFormat="false" ht="15" hidden="false" customHeight="false" outlineLevel="0" collapsed="false">
      <c r="A51" s="28" t="s">
        <v>617</v>
      </c>
      <c r="B51" s="6" t="s">
        <v>618</v>
      </c>
      <c r="C51" s="43"/>
      <c r="D51" s="17" t="n">
        <f aca="false">D24*Assumptions!$D$61</f>
        <v>0</v>
      </c>
      <c r="E51" s="17" t="n">
        <f aca="false">E24*Assumptions!$D$61</f>
        <v>0</v>
      </c>
      <c r="F51" s="17" t="n">
        <f aca="false">F24*Assumptions!$D$61</f>
        <v>0</v>
      </c>
      <c r="G51" s="17" t="n">
        <f aca="false">G24*Assumptions!$D$61</f>
        <v>0</v>
      </c>
      <c r="H51" s="17" t="n">
        <f aca="false">H24*Assumptions!$D$61</f>
        <v>0.31875</v>
      </c>
      <c r="I51" s="17" t="n">
        <f aca="false">I24*Assumptions!$D$61</f>
        <v>0.79846875</v>
      </c>
      <c r="J51" s="17" t="n">
        <f aca="false">J24*Assumptions!$D$61</f>
        <v>1.28675390625</v>
      </c>
      <c r="K51" s="17" t="n">
        <f aca="false">K24*Assumptions!$D$61</f>
        <v>1.71244552734375</v>
      </c>
      <c r="L51" s="17" t="n">
        <f aca="false">L24*Assumptions!$D$61</f>
        <v>2.04374369384766</v>
      </c>
      <c r="M51" s="17" t="n">
        <f aca="false">M24*Assumptions!$D$61</f>
        <v>2.29957114954834</v>
      </c>
      <c r="N51" s="17" t="n">
        <f aca="false">N24*Assumptions!$D$61</f>
        <v>2.7730805520401</v>
      </c>
      <c r="O51" s="17" t="n">
        <f aca="false">O24*Assumptions!$D$61</f>
        <v>3.3421526810389</v>
      </c>
      <c r="P51" s="17" t="n">
        <f aca="false">P24*Assumptions!$D$61</f>
        <v>3.8775583068328</v>
      </c>
      <c r="Q51" s="17" t="n">
        <f aca="false">Q24*Assumptions!$D$61</f>
        <v>4.6419429869949</v>
      </c>
      <c r="R51" s="17" t="n">
        <f aca="false">R24*Assumptions!$D$61</f>
        <v>5.45550477691142</v>
      </c>
      <c r="S51" s="17" t="n">
        <f aca="false">S24*Assumptions!$D$61</f>
        <v>6.19111389447305</v>
      </c>
      <c r="T51" s="17" t="n">
        <f aca="false">T24*Assumptions!$D$61</f>
        <v>7.07488392615108</v>
      </c>
      <c r="U51" s="17" t="n">
        <f aca="false">U24*Assumptions!$D$61</f>
        <v>8.27431794937322</v>
      </c>
      <c r="V51" s="17" t="n">
        <f aca="false">V24*Assumptions!$D$61</f>
        <v>9.52305897953323</v>
      </c>
      <c r="W51" s="17" t="n">
        <f aca="false">W24*Assumptions!$D$61</f>
        <v>10.9068718413262</v>
      </c>
      <c r="X51" s="17" t="n">
        <f aca="false">X24*Assumptions!$D$61</f>
        <v>12.5299281138759</v>
      </c>
      <c r="Y51" s="17" t="n">
        <f aca="false">Y24*Assumptions!$D$61</f>
        <v>14.0991531556079</v>
      </c>
      <c r="Z51" s="17" t="n">
        <f aca="false">Z24*Assumptions!$D$61</f>
        <v>15.7225319356939</v>
      </c>
      <c r="AA51" s="17" t="n">
        <f aca="false">AA24*Assumptions!$D$61</f>
        <v>17.4807760831362</v>
      </c>
      <c r="AB51" s="17" t="n">
        <f aca="false">AB24*Assumptions!$D$61</f>
        <v>19.1178565208502</v>
      </c>
      <c r="AC51" s="17" t="n">
        <f aca="false">AC24*Assumptions!$D$61</f>
        <v>20.7658250036941</v>
      </c>
      <c r="AD51" s="17" t="n">
        <f aca="false">AD24*Assumptions!$D$61</f>
        <v>22.521024060914</v>
      </c>
      <c r="AE51" s="17" t="n">
        <f aca="false">AE24*Assumptions!$D$61</f>
        <v>24.4435725028942</v>
      </c>
      <c r="AF51" s="17" t="n">
        <f aca="false">AF24*Assumptions!$D$61</f>
        <v>26.5191063185988</v>
      </c>
      <c r="AG51" s="17" t="n">
        <f aca="false">AG24*Assumptions!$D$61</f>
        <v>28.6989336940139</v>
      </c>
      <c r="AH51" s="17" t="n">
        <f aca="false">AH24*Assumptions!$D$61</f>
        <v>30.9895336233605</v>
      </c>
      <c r="AI51" s="17" t="n">
        <f aca="false">AI24*Assumptions!$D$61</f>
        <v>33.3430429093796</v>
      </c>
      <c r="AJ51" s="17" t="n">
        <f aca="false">AJ24*Assumptions!$D$61</f>
        <v>35.7285777939371</v>
      </c>
      <c r="AK51" s="17" t="n">
        <f aca="false">AK24*Assumptions!$D$61</f>
        <v>38.1135354713284</v>
      </c>
      <c r="AL51" s="17" t="n">
        <f aca="false">AL24*Assumptions!$D$61</f>
        <v>40.4900089640011</v>
      </c>
      <c r="AM51" s="17" t="n">
        <f aca="false">AM24*Assumptions!$D$61</f>
        <v>42.8530614615474</v>
      </c>
      <c r="AN51" s="44" t="n">
        <f aca="false">AN24*Assumptions!$D$61</f>
        <v>45.1869316940788</v>
      </c>
      <c r="AO51" s="44" t="n">
        <f aca="false">AO24*Assumptions!$D$61</f>
        <v>47.4946363016224</v>
      </c>
      <c r="AP51" s="44" t="n">
        <f aca="false">AP24*Assumptions!$D$61</f>
        <v>49.7783160290139</v>
      </c>
      <c r="AQ51" s="44" t="n">
        <f aca="false">AQ24*Assumptions!$D$61</f>
        <v>52.0267877909945</v>
      </c>
      <c r="AR51" s="44" t="n">
        <f aca="false">AR24*Assumptions!$D$61</f>
        <v>54.2332723769784</v>
      </c>
      <c r="AS51" s="44" t="n">
        <f aca="false">AS24*Assumptions!$D$61</f>
        <v>56.4065908500472</v>
      </c>
      <c r="AT51" s="44" t="n">
        <f aca="false">AT24*Assumptions!$D$61</f>
        <v>58.5398737624166</v>
      </c>
      <c r="AU51" s="44" t="n">
        <f aca="false">AU24*Assumptions!$D$61</f>
        <v>60.6291179127096</v>
      </c>
      <c r="AV51" s="44" t="n">
        <f aca="false">AV24*Assumptions!$D$61</f>
        <v>62.6849216112216</v>
      </c>
      <c r="AW51" s="44" t="n">
        <f aca="false">AW24*Assumptions!$D$61</f>
        <v>64.7015441410553</v>
      </c>
      <c r="AX51" s="44" t="n">
        <f aca="false">AX24*Assumptions!$D$61</f>
        <v>66.6756901581033</v>
      </c>
      <c r="AY51" s="44" t="n">
        <f aca="false">AY24*Assumptions!$D$61</f>
        <v>68.618392907524</v>
      </c>
      <c r="AZ51" s="44" t="n">
        <f aca="false">AZ24*Assumptions!$D$61</f>
        <v>70.5241698370285</v>
      </c>
      <c r="BA51" s="44" t="n">
        <f aca="false">BA24*Assumptions!$D$61</f>
        <v>72.389869480028</v>
      </c>
      <c r="BB51" s="44" t="n">
        <f aca="false">BB24*Assumptions!$D$61</f>
        <v>74.2138452708287</v>
      </c>
      <c r="BC51" s="44" t="n">
        <f aca="false">BC24*Assumptions!$D$61</f>
        <v>75.9954187821289</v>
      </c>
      <c r="BD51" s="44" t="n">
        <f aca="false">BD24*Assumptions!$D$61</f>
        <v>77.7345310805717</v>
      </c>
      <c r="BE51" s="44" t="n">
        <f aca="false">BE24*Assumptions!$D$61</f>
        <v>79.4315163527549</v>
      </c>
      <c r="BF51" s="44" t="n">
        <f aca="false">BF24*Assumptions!$D$61</f>
        <v>81.0869550009144</v>
      </c>
      <c r="BG51" s="44" t="n">
        <f aca="false">BG24*Assumptions!$D$61</f>
        <v>82.7015783879274</v>
      </c>
      <c r="BH51" s="44" t="n">
        <f aca="false">BH24*Assumptions!$D$61</f>
        <v>84.2762071485526</v>
      </c>
      <c r="BI51" s="44" t="n">
        <f aca="false">BI24*Assumptions!$D$61</f>
        <v>85.8117113130489</v>
      </c>
      <c r="BJ51" s="44" t="n">
        <f aca="false">BJ24*Assumptions!$D$61</f>
        <v>87.3089846033093</v>
      </c>
      <c r="BK51" s="44" t="n">
        <f aca="false">BK24*Assumptions!$D$61</f>
        <v>88.7689279357329</v>
      </c>
    </row>
    <row r="52" customFormat="false" ht="15" hidden="false" customHeight="false" outlineLevel="0" collapsed="false">
      <c r="A52" s="28" t="s">
        <v>619</v>
      </c>
      <c r="B52" s="6" t="s">
        <v>620</v>
      </c>
      <c r="C52" s="43"/>
      <c r="D52" s="17" t="n">
        <f aca="false">(D33*Assumptions!$D$56+D34*Assumptions!$D$57+D25*Assumptions!$D$58+D24*Assumptions!$D$59)*Assumptions!$D$55</f>
        <v>0</v>
      </c>
      <c r="E52" s="17" t="n">
        <f aca="false">(E33*Assumptions!$D$56+E34*Assumptions!$D$57+E25*Assumptions!$D$58+E24*Assumptions!$D$59)*Assumptions!$D$55</f>
        <v>0</v>
      </c>
      <c r="F52" s="17" t="n">
        <f aca="false">(F33*Assumptions!$D$56+F34*Assumptions!$D$57+F25*Assumptions!$D$58+F24*Assumptions!$D$59)*Assumptions!$D$55</f>
        <v>0</v>
      </c>
      <c r="G52" s="17" t="n">
        <f aca="false">(G33*Assumptions!$D$56+G34*Assumptions!$D$57+G25*Assumptions!$D$58+G24*Assumptions!$D$59)*Assumptions!$D$55</f>
        <v>0</v>
      </c>
      <c r="H52" s="17" t="n">
        <f aca="false">(H33*Assumptions!$D$56+H34*Assumptions!$D$57+H25*Assumptions!$D$58+H24*Assumptions!$D$59)*Assumptions!$D$55</f>
        <v>1.051875</v>
      </c>
      <c r="I52" s="17" t="n">
        <f aca="false">(I33*Assumptions!$D$56+I34*Assumptions!$D$57+I25*Assumptions!$D$58+I24*Assumptions!$D$59)*Assumptions!$D$55</f>
        <v>1.625146875</v>
      </c>
      <c r="J52" s="17" t="n">
        <f aca="false">(J33*Assumptions!$D$56+J34*Assumptions!$D$57+J25*Assumptions!$D$58+J24*Assumptions!$D$59)*Assumptions!$D$55</f>
        <v>1.716738890625</v>
      </c>
      <c r="K52" s="17" t="n">
        <f aca="false">(K33*Assumptions!$D$56+K34*Assumptions!$D$57+K25*Assumptions!$D$58+K24*Assumptions!$D$59)*Assumptions!$D$55</f>
        <v>1.57463386523437</v>
      </c>
      <c r="L52" s="17" t="n">
        <f aca="false">(L33*Assumptions!$D$56+L34*Assumptions!$D$57+L25*Assumptions!$D$58+L24*Assumptions!$D$59)*Assumptions!$D$55</f>
        <v>1.31932675907227</v>
      </c>
      <c r="M52" s="17" t="n">
        <f aca="false">(M33*Assumptions!$D$56+M34*Assumptions!$D$57+M25*Assumptions!$D$58+M24*Assumptions!$D$59)*Assumptions!$D$55</f>
        <v>1.11400477140015</v>
      </c>
      <c r="N52" s="17" t="n">
        <f aca="false">(N33*Assumptions!$D$56+N34*Assumptions!$D$57+N25*Assumptions!$D$58+N24*Assumptions!$D$59)*Assumptions!$D$55</f>
        <v>1.86612441996319</v>
      </c>
      <c r="O52" s="17" t="n">
        <f aca="false">(O33*Assumptions!$D$56+O34*Assumptions!$D$57+O25*Assumptions!$D$58+O24*Assumptions!$D$59)*Assumptions!$D$55</f>
        <v>2.24398465856534</v>
      </c>
      <c r="P52" s="17" t="n">
        <f aca="false">(P33*Assumptions!$D$56+P34*Assumptions!$D$57+P25*Assumptions!$D$58+P24*Assumptions!$D$59)*Assumptions!$D$55</f>
        <v>2.20800271901701</v>
      </c>
      <c r="Q52" s="17" t="n">
        <f aca="false">(Q33*Assumptions!$D$56+Q34*Assumptions!$D$57+Q25*Assumptions!$D$58+Q24*Assumptions!$D$59)*Assumptions!$D$55</f>
        <v>3.03430714103685</v>
      </c>
      <c r="R52" s="17" t="n">
        <f aca="false">(R33*Assumptions!$D$56+R34*Assumptions!$D$57+R25*Assumptions!$D$58+R24*Assumptions!$D$59)*Assumptions!$D$55</f>
        <v>3.29749038100786</v>
      </c>
      <c r="S52" s="17" t="n">
        <f aca="false">(S33*Assumptions!$D$56+S34*Assumptions!$D$57+S25*Assumptions!$D$58+S24*Assumptions!$D$59)*Assumptions!$D$55</f>
        <v>3.14763671850566</v>
      </c>
      <c r="T52" s="17" t="n">
        <f aca="false">(T33*Assumptions!$D$56+T34*Assumptions!$D$57+T25*Assumptions!$D$58+T24*Assumptions!$D$59)*Assumptions!$D$55</f>
        <v>3.73366813860797</v>
      </c>
      <c r="U52" s="17" t="n">
        <f aca="false">(U33*Assumptions!$D$56+U34*Assumptions!$D$57+U25*Assumptions!$D$58+U24*Assumptions!$D$59)*Assumptions!$D$55</f>
        <v>4.89201695488499</v>
      </c>
      <c r="V52" s="17" t="n">
        <f aca="false">(V33*Assumptions!$D$56+V34*Assumptions!$D$57+V25*Assumptions!$D$58+V24*Assumptions!$D$59)*Assumptions!$D$55</f>
        <v>5.2130553688453</v>
      </c>
      <c r="W52" s="17" t="n">
        <f aca="false">(W33*Assumptions!$D$56+W34*Assumptions!$D$57+W25*Assumptions!$D$58+W24*Assumptions!$D$59)*Assumptions!$D$55</f>
        <v>5.82362622921526</v>
      </c>
      <c r="X52" s="17" t="n">
        <f aca="false">(X33*Assumptions!$D$56+X34*Assumptions!$D$57+X25*Assumptions!$D$58+X24*Assumptions!$D$59)*Assumptions!$D$55</f>
        <v>6.79579278246909</v>
      </c>
      <c r="Y52" s="17" t="n">
        <f aca="false">(Y33*Assumptions!$D$56+Y34*Assumptions!$D$57+Y25*Assumptions!$D$58+Y24*Assumptions!$D$59)*Assumptions!$D$55</f>
        <v>6.83239314874709</v>
      </c>
      <c r="Z52" s="17" t="n">
        <f aca="false">(Z33*Assumptions!$D$56+Z34*Assumptions!$D$57+Z25*Assumptions!$D$58+Z24*Assumptions!$D$59)*Assumptions!$D$55</f>
        <v>7.21823819082424</v>
      </c>
      <c r="AA52" s="17" t="n">
        <f aca="false">(AA33*Assumptions!$D$56+AA34*Assumptions!$D$57+AA25*Assumptions!$D$58+AA24*Assumptions!$D$59)*Assumptions!$D$55</f>
        <v>7.87757990207093</v>
      </c>
      <c r="AB52" s="17" t="n">
        <f aca="false">(AB33*Assumptions!$D$56+AB34*Assumptions!$D$57+AB25*Assumptions!$D$58+AB24*Assumptions!$D$59)*Assumptions!$D$55</f>
        <v>7.70982788743038</v>
      </c>
      <c r="AC52" s="17" t="n">
        <f aca="false">(AC33*Assumptions!$D$56+AC34*Assumptions!$D$57+AC25*Assumptions!$D$58+AC24*Assumptions!$D$59)*Assumptions!$D$55</f>
        <v>7.96185305413693</v>
      </c>
      <c r="AD52" s="17" t="n">
        <f aca="false">(AD33*Assumptions!$D$56+AD34*Assumptions!$D$57+AD25*Assumptions!$D$58+AD24*Assumptions!$D$59)*Assumptions!$D$55</f>
        <v>8.53324578931351</v>
      </c>
      <c r="AE52" s="17" t="n">
        <f aca="false">(AE33*Assumptions!$D$56+AE34*Assumptions!$D$57+AE25*Assumptions!$D$58+AE24*Assumptions!$D$59)*Assumptions!$D$55</f>
        <v>9.31718503457517</v>
      </c>
      <c r="AF52" s="17" t="n">
        <f aca="false">(AF33*Assumptions!$D$56+AF34*Assumptions!$D$57+AF25*Assumptions!$D$58+AF24*Assumptions!$D$59)*Assumptions!$D$55</f>
        <v>10.0758131622072</v>
      </c>
      <c r="AG52" s="17" t="n">
        <f aca="false">(AG33*Assumptions!$D$56+AG34*Assumptions!$D$57+AG25*Assumptions!$D$58+AG24*Assumptions!$D$59)*Assumptions!$D$55</f>
        <v>10.6939523729247</v>
      </c>
      <c r="AH52" s="17" t="n">
        <f aca="false">(AH33*Assumptions!$D$56+AH34*Assumptions!$D$57+AH25*Assumptions!$D$58+AH24*Assumptions!$D$59)*Assumptions!$D$55</f>
        <v>11.3472390144538</v>
      </c>
      <c r="AI52" s="17" t="n">
        <f aca="false">(AI33*Assumptions!$D$56+AI34*Assumptions!$D$57+AI25*Assumptions!$D$58+AI24*Assumptions!$D$59)*Assumptions!$D$55</f>
        <v>11.8571990821464</v>
      </c>
      <c r="AJ52" s="17" t="n">
        <f aca="false">(AJ33*Assumptions!$D$56+AJ34*Assumptions!$D$57+AJ25*Assumptions!$D$58+AJ24*Assumptions!$D$59)*Assumptions!$D$55</f>
        <v>12.2735467830779</v>
      </c>
      <c r="AK52" s="17" t="n">
        <f aca="false">(AK33*Assumptions!$D$56+AK34*Assumptions!$D$57+AK25*Assumptions!$D$58+AK24*Assumptions!$D$59)*Assumptions!$D$55</f>
        <v>12.5865326041912</v>
      </c>
      <c r="AL52" s="17" t="n">
        <f aca="false">(AL33*Assumptions!$D$56+AL34*Assumptions!$D$57+AL25*Assumptions!$D$58+AL24*Assumptions!$D$59)*Assumptions!$D$55</f>
        <v>12.8733492080351</v>
      </c>
      <c r="AM52" s="17" t="n">
        <f aca="false">(AM33*Assumptions!$D$56+AM34*Assumptions!$D$57+AM25*Assumptions!$D$58+AM24*Assumptions!$D$59)*Assumptions!$D$55</f>
        <v>13.1427544251509</v>
      </c>
      <c r="AN52" s="44" t="n">
        <f aca="false">(AN33*Assumptions!$D$56+AN34*Assumptions!$D$57+AN25*Assumptions!$D$58+AN24*Assumptions!$D$59)*Assumptions!$D$55</f>
        <v>13.3583758802779</v>
      </c>
      <c r="AO52" s="44" t="n">
        <f aca="false">(AO33*Assumptions!$D$56+AO34*Assumptions!$D$57+AO25*Assumptions!$D$58+AO24*Assumptions!$D$59)*Assumptions!$D$55</f>
        <v>13.5801001885123</v>
      </c>
      <c r="AP52" s="44" t="n">
        <f aca="false">(AP33*Assumptions!$D$56+AP34*Assumptions!$D$57+AP25*Assumptions!$D$58+AP24*Assumptions!$D$59)*Assumptions!$D$55</f>
        <v>43.2258415913826</v>
      </c>
      <c r="AQ52" s="44" t="n">
        <f aca="false">(AQ33*Assumptions!$D$56+AQ34*Assumptions!$D$57+AQ25*Assumptions!$D$58+AQ24*Assumptions!$D$59)*Assumptions!$D$55</f>
        <v>72.0532334230051</v>
      </c>
      <c r="AR52" s="44" t="n">
        <f aca="false">(AR33*Assumptions!$D$56+AR34*Assumptions!$D$57+AR25*Assumptions!$D$58+AR24*Assumptions!$D$59)*Assumptions!$D$55</f>
        <v>100.09829790047</v>
      </c>
      <c r="AS52" s="44" t="n">
        <f aca="false">(AS33*Assumptions!$D$56+AS34*Assumptions!$D$57+AS25*Assumptions!$D$58+AS24*Assumptions!$D$59)*Assumptions!$D$55</f>
        <v>127.453578204209</v>
      </c>
      <c r="AT52" s="44" t="n">
        <f aca="false">(AT33*Assumptions!$D$56+AT34*Assumptions!$D$57+AT25*Assumptions!$D$58+AT24*Assumptions!$D$59)*Assumptions!$D$55</f>
        <v>154.087948158924</v>
      </c>
      <c r="AU52" s="44" t="n">
        <f aca="false">(AU33*Assumptions!$D$56+AU34*Assumptions!$D$57+AU25*Assumptions!$D$58+AU24*Assumptions!$D$59)*Assumptions!$D$55</f>
        <v>180.028815447827</v>
      </c>
      <c r="AV52" s="44" t="n">
        <f aca="false">(AV33*Assumptions!$D$56+AV34*Assumptions!$D$57+AV25*Assumptions!$D$58+AV24*Assumptions!$D$59)*Assumptions!$D$55</f>
        <v>205.361927751502</v>
      </c>
      <c r="AW52" s="44" t="n">
        <f aca="false">(AW33*Assumptions!$D$56+AW34*Assumptions!$D$57+AW25*Assumptions!$D$58+AW24*Assumptions!$D$59)*Assumptions!$D$55</f>
        <v>230.050615105872</v>
      </c>
      <c r="AX52" s="44" t="n">
        <f aca="false">(AX33*Assumptions!$D$56+AX34*Assumptions!$D$57+AX25*Assumptions!$D$58+AX24*Assumptions!$D$59)*Assumptions!$D$55</f>
        <v>254.117619849024</v>
      </c>
      <c r="AY52" s="44" t="n">
        <f aca="false">(AY33*Assumptions!$D$56+AY34*Assumptions!$D$57+AY25*Assumptions!$D$58+AY24*Assumptions!$D$59)*Assumptions!$D$55</f>
        <v>277.644655936097</v>
      </c>
      <c r="AZ52" s="44" t="n">
        <f aca="false">(AZ33*Assumptions!$D$56+AZ34*Assumptions!$D$57+AZ25*Assumptions!$D$58+AZ24*Assumptions!$D$59)*Assumptions!$D$55</f>
        <v>300.591486947488</v>
      </c>
      <c r="BA52" s="44" t="n">
        <f aca="false">(BA33*Assumptions!$D$56+BA34*Assumptions!$D$57+BA25*Assumptions!$D$58+BA24*Assumptions!$D$59)*Assumptions!$D$55</f>
        <v>322.97764556037</v>
      </c>
      <c r="BB52" s="44" t="n">
        <f aca="false">(BB33*Assumptions!$D$56+BB34*Assumptions!$D$57+BB25*Assumptions!$D$58+BB24*Assumptions!$D$59)*Assumptions!$D$55</f>
        <v>344.820002695481</v>
      </c>
      <c r="BC52" s="44" t="n">
        <f aca="false">(BC33*Assumptions!$D$56+BC34*Assumptions!$D$57+BC25*Assumptions!$D$58+BC24*Assumptions!$D$59)*Assumptions!$D$55</f>
        <v>366.133616140259</v>
      </c>
      <c r="BD52" s="44" t="n">
        <f aca="false">(BD33*Assumptions!$D$56+BD34*Assumptions!$D$57+BD25*Assumptions!$D$58+BD24*Assumptions!$D$59)*Assumptions!$D$55</f>
        <v>386.932283166215</v>
      </c>
      <c r="BE52" s="44" t="n">
        <f aca="false">(BE33*Assumptions!$D$56+BE34*Assumptions!$D$57+BE25*Assumptions!$D$58+BE24*Assumptions!$D$59)*Assumptions!$D$55</f>
        <v>407.228900766726</v>
      </c>
      <c r="BF52" s="44" t="n">
        <f aca="false">(BF33*Assumptions!$D$56+BF34*Assumptions!$D$57+BF25*Assumptions!$D$58+BF24*Assumptions!$D$59)*Assumptions!$D$55</f>
        <v>427.035700869631</v>
      </c>
      <c r="BG52" s="44" t="n">
        <f aca="false">(BG33*Assumptions!$D$56+BG34*Assumptions!$D$57+BG25*Assumptions!$D$58+BG24*Assumptions!$D$59)*Assumptions!$D$55</f>
        <v>446.364404302479</v>
      </c>
      <c r="BH52" s="44" t="n">
        <f aca="false">(BH33*Assumptions!$D$56+BH34*Assumptions!$D$57+BH25*Assumptions!$D$58+BH24*Assumptions!$D$59)*Assumptions!$D$55</f>
        <v>465.226321963632</v>
      </c>
      <c r="BI52" s="44" t="n">
        <f aca="false">(BI33*Assumptions!$D$56+BI34*Assumptions!$D$57+BI25*Assumptions!$D$58+BI24*Assumptions!$D$59)*Assumptions!$D$55</f>
        <v>483.632421691552</v>
      </c>
      <c r="BJ52" s="44" t="n">
        <f aca="false">(BJ33*Assumptions!$D$56+BJ34*Assumptions!$D$57+BJ25*Assumptions!$D$58+BJ24*Assumptions!$D$59)*Assumptions!$D$55</f>
        <v>501.593372850126</v>
      </c>
      <c r="BK52" s="44" t="n">
        <f aca="false">(BK33*Assumptions!$D$56+BK34*Assumptions!$D$57+BK25*Assumptions!$D$58+BK24*Assumptions!$D$59)*Assumptions!$D$55</f>
        <v>519.119576439617</v>
      </c>
    </row>
    <row r="53" customFormat="false" ht="15" hidden="false" customHeight="false" outlineLevel="0" collapsed="false">
      <c r="A53" s="28" t="s">
        <v>621</v>
      </c>
      <c r="B53" s="6" t="s">
        <v>622</v>
      </c>
      <c r="C53" s="43"/>
      <c r="D53" s="17" t="n">
        <f aca="false">D39*Assumptions!$D$51+D32*Assumptions!$D$45*Assumptions!$D$52</f>
        <v>0</v>
      </c>
      <c r="E53" s="17" t="n">
        <f aca="false">E39*Assumptions!$D$51+E32*Assumptions!$D$45*Assumptions!$D$52</f>
        <v>0</v>
      </c>
      <c r="F53" s="17" t="n">
        <f aca="false">F39*Assumptions!$D$51+F32*Assumptions!$D$45*Assumptions!$D$52</f>
        <v>0</v>
      </c>
      <c r="G53" s="17" t="n">
        <f aca="false">G39*Assumptions!$D$51+G32*Assumptions!$D$45*Assumptions!$D$52</f>
        <v>0</v>
      </c>
      <c r="H53" s="17" t="n">
        <f aca="false">H39*Assumptions!$D$51+H32*Assumptions!$D$45*Assumptions!$D$52</f>
        <v>0</v>
      </c>
      <c r="I53" s="17" t="n">
        <f aca="false">I39*Assumptions!$D$51+I32*Assumptions!$D$45*Assumptions!$D$52</f>
        <v>0</v>
      </c>
      <c r="J53" s="17" t="n">
        <f aca="false">J39*Assumptions!$D$51+J32*Assumptions!$D$45*Assumptions!$D$52</f>
        <v>0</v>
      </c>
      <c r="K53" s="17" t="n">
        <f aca="false">K39*Assumptions!$D$51+K32*Assumptions!$D$45*Assumptions!$D$52</f>
        <v>0</v>
      </c>
      <c r="L53" s="17" t="n">
        <f aca="false">L39*Assumptions!$D$51+L32*Assumptions!$D$45*Assumptions!$D$52</f>
        <v>0</v>
      </c>
      <c r="M53" s="17" t="n">
        <f aca="false">M39*Assumptions!$D$51+M32*Assumptions!$D$45*Assumptions!$D$52</f>
        <v>0</v>
      </c>
      <c r="N53" s="17" t="n">
        <f aca="false">N39*Assumptions!$D$51+N32*Assumptions!$D$45*Assumptions!$D$52</f>
        <v>0</v>
      </c>
      <c r="O53" s="17" t="n">
        <f aca="false">O39*Assumptions!$D$51+O32*Assumptions!$D$45*Assumptions!$D$52</f>
        <v>0</v>
      </c>
      <c r="P53" s="17" t="n">
        <f aca="false">P39*Assumptions!$D$51+P32*Assumptions!$D$45*Assumptions!$D$52</f>
        <v>0</v>
      </c>
      <c r="Q53" s="17" t="n">
        <f aca="false">Q39*Assumptions!$D$51+Q32*Assumptions!$D$45*Assumptions!$D$52</f>
        <v>0</v>
      </c>
      <c r="R53" s="17" t="n">
        <f aca="false">R39*Assumptions!$D$51+R32*Assumptions!$D$45*Assumptions!$D$52</f>
        <v>0</v>
      </c>
      <c r="S53" s="17" t="n">
        <f aca="false">S39*Assumptions!$D$51+S32*Assumptions!$D$45*Assumptions!$D$52</f>
        <v>0</v>
      </c>
      <c r="T53" s="17" t="n">
        <f aca="false">T39*Assumptions!$D$51+T32*Assumptions!$D$45*Assumptions!$D$52</f>
        <v>0</v>
      </c>
      <c r="U53" s="17" t="n">
        <f aca="false">U39*Assumptions!$D$51+U32*Assumptions!$D$45*Assumptions!$D$52</f>
        <v>0</v>
      </c>
      <c r="V53" s="17" t="n">
        <f aca="false">V39*Assumptions!$D$51+V32*Assumptions!$D$45*Assumptions!$D$52</f>
        <v>0</v>
      </c>
      <c r="W53" s="17" t="n">
        <f aca="false">W39*Assumptions!$D$51+W32*Assumptions!$D$45*Assumptions!$D$52</f>
        <v>0</v>
      </c>
      <c r="X53" s="17" t="n">
        <f aca="false">X39*Assumptions!$D$51+X32*Assumptions!$D$45*Assumptions!$D$52</f>
        <v>0</v>
      </c>
      <c r="Y53" s="17" t="n">
        <f aca="false">Y39*Assumptions!$D$51+Y32*Assumptions!$D$45*Assumptions!$D$52</f>
        <v>0</v>
      </c>
      <c r="Z53" s="17" t="n">
        <f aca="false">Z39*Assumptions!$D$51+Z32*Assumptions!$D$45*Assumptions!$D$52</f>
        <v>0</v>
      </c>
      <c r="AA53" s="17" t="n">
        <f aca="false">AA39*Assumptions!$D$51+AA32*Assumptions!$D$45*Assumptions!$D$52</f>
        <v>0</v>
      </c>
      <c r="AB53" s="17" t="n">
        <f aca="false">AB39*Assumptions!$D$51+AB32*Assumptions!$D$45*Assumptions!$D$52</f>
        <v>0</v>
      </c>
      <c r="AC53" s="17" t="n">
        <f aca="false">AC39*Assumptions!$D$51+AC32*Assumptions!$D$45*Assumptions!$D$52</f>
        <v>0</v>
      </c>
      <c r="AD53" s="17" t="n">
        <f aca="false">AD39*Assumptions!$D$51+AD32*Assumptions!$D$45*Assumptions!$D$52</f>
        <v>0</v>
      </c>
      <c r="AE53" s="17" t="n">
        <f aca="false">AE39*Assumptions!$D$51+AE32*Assumptions!$D$45*Assumptions!$D$52</f>
        <v>0</v>
      </c>
      <c r="AF53" s="17" t="n">
        <f aca="false">AF39*Assumptions!$D$51+AF32*Assumptions!$D$45*Assumptions!$D$52</f>
        <v>0</v>
      </c>
      <c r="AG53" s="17" t="n">
        <f aca="false">AG39*Assumptions!$D$51+AG32*Assumptions!$D$45*Assumptions!$D$52</f>
        <v>0</v>
      </c>
      <c r="AH53" s="17" t="n">
        <f aca="false">AH39*Assumptions!$D$51+AH32*Assumptions!$D$45*Assumptions!$D$52</f>
        <v>0</v>
      </c>
      <c r="AI53" s="17" t="n">
        <f aca="false">AI39*Assumptions!$D$51+AI32*Assumptions!$D$45*Assumptions!$D$52</f>
        <v>0</v>
      </c>
      <c r="AJ53" s="17" t="n">
        <f aca="false">AJ39*Assumptions!$D$51+AJ32*Assumptions!$D$45*Assumptions!$D$52</f>
        <v>0</v>
      </c>
      <c r="AK53" s="17" t="n">
        <f aca="false">AK39*Assumptions!$D$51+AK32*Assumptions!$D$45*Assumptions!$D$52</f>
        <v>0</v>
      </c>
      <c r="AL53" s="17" t="n">
        <f aca="false">AL39*Assumptions!$D$51+AL32*Assumptions!$D$45*Assumptions!$D$52</f>
        <v>0</v>
      </c>
      <c r="AM53" s="17" t="n">
        <f aca="false">AM39*Assumptions!$D$51+AM32*Assumptions!$D$45*Assumptions!$D$52</f>
        <v>0</v>
      </c>
      <c r="AN53" s="44" t="n">
        <f aca="false">AN39*Assumptions!$D$51+AN32*Assumptions!$D$45*Assumptions!$D$52</f>
        <v>0</v>
      </c>
      <c r="AO53" s="44" t="n">
        <f aca="false">AO39*Assumptions!$D$51+AO32*Assumptions!$D$45*Assumptions!$D$52</f>
        <v>0</v>
      </c>
      <c r="AP53" s="44" t="n">
        <f aca="false">AP39*Assumptions!$D$51+AP32*Assumptions!$D$45*Assumptions!$D$52</f>
        <v>12.1818782095622</v>
      </c>
      <c r="AQ53" s="44" t="n">
        <f aca="false">AQ39*Assumptions!$D$51+AQ32*Assumptions!$D$45*Assumptions!$D$52</f>
        <v>24.0456762434735</v>
      </c>
      <c r="AR53" s="44" t="n">
        <f aca="false">AR39*Assumptions!$D$51+AR32*Assumptions!$D$45*Assumptions!$D$52</f>
        <v>35.6005354664237</v>
      </c>
      <c r="AS53" s="44" t="n">
        <f aca="false">AS39*Assumptions!$D$51+AS32*Assumptions!$D$45*Assumptions!$D$52</f>
        <v>46.8634870134269</v>
      </c>
      <c r="AT53" s="44" t="n">
        <f aca="false">AT39*Assumptions!$D$51+AT32*Assumptions!$D$45*Assumptions!$D$52</f>
        <v>57.8422856108998</v>
      </c>
      <c r="AU53" s="44" t="n">
        <f aca="false">AU39*Assumptions!$D$51+AU32*Assumptions!$D$45*Assumptions!$D$52</f>
        <v>68.5444464503782</v>
      </c>
      <c r="AV53" s="44" t="n">
        <f aca="false">AV39*Assumptions!$D$51+AV32*Assumptions!$D$45*Assumptions!$D$52</f>
        <v>78.9854701172342</v>
      </c>
      <c r="AW53" s="44" t="n">
        <f aca="false">AW39*Assumptions!$D$51+AW32*Assumptions!$D$45*Assumptions!$D$52</f>
        <v>89.1716701524101</v>
      </c>
      <c r="AX53" s="44" t="n">
        <f aca="false">AX39*Assumptions!$D$51+AX32*Assumptions!$D$45*Assumptions!$D$52</f>
        <v>99.1092040947552</v>
      </c>
      <c r="AY53" s="44" t="n">
        <f aca="false">AY39*Assumptions!$D$51+AY32*Assumptions!$D$45*Assumptions!$D$52</f>
        <v>108.812292976622</v>
      </c>
      <c r="AZ53" s="44" t="n">
        <f aca="false">AZ39*Assumptions!$D$51+AZ32*Assumptions!$D$45*Assumptions!$D$52</f>
        <v>118.286043823101</v>
      </c>
      <c r="BA53" s="44" t="n">
        <f aca="false">BA39*Assumptions!$D$51+BA32*Assumptions!$D$45*Assumptions!$D$52</f>
        <v>127.535475976772</v>
      </c>
      <c r="BB53" s="44" t="n">
        <f aca="false">BB39*Assumptions!$D$51+BB32*Assumptions!$D$45*Assumptions!$D$52</f>
        <v>136.565521219715</v>
      </c>
      <c r="BC53" s="44" t="n">
        <f aca="false">BC39*Assumptions!$D$51+BC32*Assumptions!$D$45*Assumptions!$D$52</f>
        <v>145.381023995596</v>
      </c>
      <c r="BD53" s="44" t="n">
        <f aca="false">BD39*Assumptions!$D$51+BD32*Assumptions!$D$45*Assumptions!$D$52</f>
        <v>153.986741724538</v>
      </c>
      <c r="BE53" s="44" t="n">
        <f aca="false">BE39*Assumptions!$D$51+BE32*Assumptions!$D$45*Assumptions!$D$52</f>
        <v>162.3873452038</v>
      </c>
      <c r="BF53" s="44" t="n">
        <f aca="false">BF39*Assumptions!$D$51+BF32*Assumptions!$D$45*Assumptions!$D$52</f>
        <v>170.587419087724</v>
      </c>
      <c r="BG53" s="44" t="n">
        <f aca="false">BG39*Assumptions!$D$51+BG32*Assumptions!$D$45*Assumptions!$D$52</f>
        <v>178.591462440707</v>
      </c>
      <c r="BH53" s="44" t="n">
        <f aca="false">BH39*Assumptions!$D$51+BH32*Assumptions!$D$45*Assumptions!$D$52</f>
        <v>186.403889357325</v>
      </c>
      <c r="BI53" s="44" t="n">
        <f aca="false">BI39*Assumptions!$D$51+BI32*Assumptions!$D$45*Assumptions!$D$52</f>
        <v>194.029029644034</v>
      </c>
      <c r="BJ53" s="44" t="n">
        <f aca="false">BJ39*Assumptions!$D$51+BJ32*Assumptions!$D$45*Assumptions!$D$52</f>
        <v>201.471129557213</v>
      </c>
      <c r="BK53" s="44" t="n">
        <f aca="false">BK39*Assumptions!$D$51+BK32*Assumptions!$D$45*Assumptions!$D$52</f>
        <v>208.734352592561</v>
      </c>
    </row>
    <row r="54" customFormat="false" ht="15" hidden="false" customHeight="false" outlineLevel="0" collapsed="false">
      <c r="A54" s="28" t="s">
        <v>623</v>
      </c>
      <c r="B54" s="6" t="s">
        <v>517</v>
      </c>
      <c r="C54" s="43"/>
      <c r="D54" s="17" t="n">
        <f aca="false">(D37+D38)*Assumptions!$D$53+D32*Assumptions!$D$54</f>
        <v>0</v>
      </c>
      <c r="E54" s="17" t="n">
        <f aca="false">(E37+E38)*Assumptions!$D$53+E32*Assumptions!$D$54</f>
        <v>0</v>
      </c>
      <c r="F54" s="17" t="n">
        <f aca="false">(F37+F38)*Assumptions!$D$53+F32*Assumptions!$D$54</f>
        <v>0</v>
      </c>
      <c r="G54" s="17" t="n">
        <f aca="false">(G37+G38)*Assumptions!$D$53+G32*Assumptions!$D$54</f>
        <v>0</v>
      </c>
      <c r="H54" s="17" t="n">
        <f aca="false">(H37+H38)*Assumptions!$D$53+H32*Assumptions!$D$54</f>
        <v>0</v>
      </c>
      <c r="I54" s="17" t="n">
        <f aca="false">(I37+I38)*Assumptions!$D$53+I32*Assumptions!$D$54</f>
        <v>0</v>
      </c>
      <c r="J54" s="17" t="n">
        <f aca="false">(J37+J38)*Assumptions!$D$53+J32*Assumptions!$D$54</f>
        <v>0</v>
      </c>
      <c r="K54" s="17" t="n">
        <f aca="false">(K37+K38)*Assumptions!$D$53+K32*Assumptions!$D$54</f>
        <v>0</v>
      </c>
      <c r="L54" s="17" t="n">
        <f aca="false">(L37+L38)*Assumptions!$D$53+L32*Assumptions!$D$54</f>
        <v>0</v>
      </c>
      <c r="M54" s="17" t="n">
        <f aca="false">(M37+M38)*Assumptions!$D$53+M32*Assumptions!$D$54</f>
        <v>0</v>
      </c>
      <c r="N54" s="17" t="n">
        <f aca="false">(N37+N38)*Assumptions!$D$53+N32*Assumptions!$D$54</f>
        <v>0</v>
      </c>
      <c r="O54" s="17" t="n">
        <f aca="false">(O37+O38)*Assumptions!$D$53+O32*Assumptions!$D$54</f>
        <v>0</v>
      </c>
      <c r="P54" s="17" t="n">
        <f aca="false">(P37+P38)*Assumptions!$D$53+P32*Assumptions!$D$54</f>
        <v>0</v>
      </c>
      <c r="Q54" s="17" t="n">
        <f aca="false">(Q37+Q38)*Assumptions!$D$53+Q32*Assumptions!$D$54</f>
        <v>0</v>
      </c>
      <c r="R54" s="17" t="n">
        <f aca="false">(R37+R38)*Assumptions!$D$53+R32*Assumptions!$D$54</f>
        <v>0</v>
      </c>
      <c r="S54" s="17" t="n">
        <f aca="false">(S37+S38)*Assumptions!$D$53+S32*Assumptions!$D$54</f>
        <v>0</v>
      </c>
      <c r="T54" s="17" t="n">
        <f aca="false">(T37+T38)*Assumptions!$D$53+T32*Assumptions!$D$54</f>
        <v>0</v>
      </c>
      <c r="U54" s="17" t="n">
        <f aca="false">(U37+U38)*Assumptions!$D$53+U32*Assumptions!$D$54</f>
        <v>0</v>
      </c>
      <c r="V54" s="17" t="n">
        <f aca="false">(V37+V38)*Assumptions!$D$53+V32*Assumptions!$D$54</f>
        <v>0</v>
      </c>
      <c r="W54" s="17" t="n">
        <f aca="false">(W37+W38)*Assumptions!$D$53+W32*Assumptions!$D$54</f>
        <v>0</v>
      </c>
      <c r="X54" s="17" t="n">
        <f aca="false">(X37+X38)*Assumptions!$D$53+X32*Assumptions!$D$54</f>
        <v>0</v>
      </c>
      <c r="Y54" s="17" t="n">
        <f aca="false">(Y37+Y38)*Assumptions!$D$53+Y32*Assumptions!$D$54</f>
        <v>0</v>
      </c>
      <c r="Z54" s="17" t="n">
        <f aca="false">(Z37+Z38)*Assumptions!$D$53+Z32*Assumptions!$D$54</f>
        <v>0</v>
      </c>
      <c r="AA54" s="17" t="n">
        <f aca="false">(AA37+AA38)*Assumptions!$D$53+AA32*Assumptions!$D$54</f>
        <v>0</v>
      </c>
      <c r="AB54" s="17" t="n">
        <f aca="false">(AB37+AB38)*Assumptions!$D$53+AB32*Assumptions!$D$54</f>
        <v>0</v>
      </c>
      <c r="AC54" s="17" t="n">
        <f aca="false">(AC37+AC38)*Assumptions!$D$53+AC32*Assumptions!$D$54</f>
        <v>0</v>
      </c>
      <c r="AD54" s="17" t="n">
        <f aca="false">(AD37+AD38)*Assumptions!$D$53+AD32*Assumptions!$D$54</f>
        <v>0</v>
      </c>
      <c r="AE54" s="17" t="n">
        <f aca="false">(AE37+AE38)*Assumptions!$D$53+AE32*Assumptions!$D$54</f>
        <v>0</v>
      </c>
      <c r="AF54" s="17" t="n">
        <f aca="false">(AF37+AF38)*Assumptions!$D$53+AF32*Assumptions!$D$54</f>
        <v>0</v>
      </c>
      <c r="AG54" s="17" t="n">
        <f aca="false">(AG37+AG38)*Assumptions!$D$53+AG32*Assumptions!$D$54</f>
        <v>0</v>
      </c>
      <c r="AH54" s="17" t="n">
        <f aca="false">(AH37+AH38)*Assumptions!$D$53+AH32*Assumptions!$D$54</f>
        <v>0</v>
      </c>
      <c r="AI54" s="17" t="n">
        <f aca="false">(AI37+AI38)*Assumptions!$D$53+AI32*Assumptions!$D$54</f>
        <v>0</v>
      </c>
      <c r="AJ54" s="17" t="n">
        <f aca="false">(AJ37+AJ38)*Assumptions!$D$53+AJ32*Assumptions!$D$54</f>
        <v>0</v>
      </c>
      <c r="AK54" s="17" t="n">
        <f aca="false">(AK37+AK38)*Assumptions!$D$53+AK32*Assumptions!$D$54</f>
        <v>0</v>
      </c>
      <c r="AL54" s="17" t="n">
        <f aca="false">(AL37+AL38)*Assumptions!$D$53+AL32*Assumptions!$D$54</f>
        <v>0</v>
      </c>
      <c r="AM54" s="17" t="n">
        <f aca="false">(AM37+AM38)*Assumptions!$D$53+AM32*Assumptions!$D$54</f>
        <v>0</v>
      </c>
      <c r="AN54" s="44" t="n">
        <f aca="false">(AN37+AN38)*Assumptions!$D$53+AN32*Assumptions!$D$54</f>
        <v>0</v>
      </c>
      <c r="AO54" s="44" t="n">
        <f aca="false">(AO37+AO38)*Assumptions!$D$53+AO32*Assumptions!$D$54</f>
        <v>0</v>
      </c>
      <c r="AP54" s="44" t="n">
        <f aca="false">(AP37+AP38)*Assumptions!$D$53+AP32*Assumptions!$D$54</f>
        <v>5.70502446529498</v>
      </c>
      <c r="AQ54" s="44" t="n">
        <f aca="false">(AQ37+AQ38)*Assumptions!$D$53+AQ32*Assumptions!$D$54</f>
        <v>11.2616781084876</v>
      </c>
      <c r="AR54" s="44" t="n">
        <f aca="false">(AR37+AR38)*Assumptions!$D$53+AR32*Assumptions!$D$54</f>
        <v>16.6741897875863</v>
      </c>
      <c r="AS54" s="44" t="n">
        <f aca="false">(AS37+AS38)*Assumptions!$D$53+AS32*Assumptions!$D$54</f>
        <v>21.9504870078695</v>
      </c>
      <c r="AT54" s="44" t="n">
        <f aca="false">(AT37+AT38)*Assumptions!$D$53+AT32*Assumptions!$D$54</f>
        <v>27.0941567976384</v>
      </c>
      <c r="AU54" s="44" t="n">
        <f aca="false">(AU37+AU38)*Assumptions!$D$53+AU32*Assumptions!$D$54</f>
        <v>32.1086771689957</v>
      </c>
      <c r="AV54" s="44" t="n">
        <f aca="false">(AV37+AV38)*Assumptions!$D$53+AV32*Assumptions!$D$54</f>
        <v>37.0012688110293</v>
      </c>
      <c r="AW54" s="44" t="n">
        <f aca="false">(AW37+AW38)*Assumptions!$D$53+AW32*Assumptions!$D$54</f>
        <v>41.774853086421</v>
      </c>
      <c r="AX54" s="44" t="n">
        <f aca="false">(AX37+AX38)*Assumptions!$D$53+AX32*Assumptions!$D$54</f>
        <v>46.4322808098804</v>
      </c>
      <c r="AY54" s="44" t="n">
        <f aca="false">(AY37+AY38)*Assumptions!$D$53+AY32*Assumptions!$D$54</f>
        <v>50.9801814421222</v>
      </c>
      <c r="AZ54" s="44" t="n">
        <f aca="false">(AZ37+AZ38)*Assumptions!$D$53+AZ32*Assumptions!$D$54</f>
        <v>55.4209187577017</v>
      </c>
      <c r="BA54" s="44" t="n">
        <f aca="false">(BA37+BA38)*Assumptions!$D$53+BA32*Assumptions!$D$54</f>
        <v>59.7568174532849</v>
      </c>
      <c r="BB54" s="44" t="n">
        <f aca="false">(BB37+BB38)*Assumptions!$D$53+BB32*Assumptions!$D$54</f>
        <v>63.9901630761489</v>
      </c>
      <c r="BC54" s="44" t="n">
        <f aca="false">(BC37+BC38)*Assumptions!$D$53+BC32*Assumptions!$D$54</f>
        <v>68.1232020076841</v>
      </c>
      <c r="BD54" s="44" t="n">
        <f aca="false">(BD37+BD38)*Assumptions!$D$53+BD32*Assumptions!$D$54</f>
        <v>72.1581414979575</v>
      </c>
      <c r="BE54" s="44" t="n">
        <f aca="false">(BE37+BE38)*Assumptions!$D$53+BE32*Assumptions!$D$54</f>
        <v>76.0971497476066</v>
      </c>
      <c r="BF54" s="44" t="n">
        <f aca="false">(BF37+BF38)*Assumptions!$D$53+BF32*Assumptions!$D$54</f>
        <v>79.9423560335357</v>
      </c>
      <c r="BG54" s="44" t="n">
        <f aca="false">(BG37+BG38)*Assumptions!$D$53+BG32*Assumptions!$D$54</f>
        <v>83.6958508750805</v>
      </c>
      <c r="BH54" s="44" t="n">
        <f aca="false">(BH37+BH38)*Assumptions!$D$53+BH32*Assumptions!$D$54</f>
        <v>87.3596862374893</v>
      </c>
      <c r="BI54" s="44" t="n">
        <f aca="false">(BI37+BI38)*Assumptions!$D$53+BI32*Assumptions!$D$54</f>
        <v>90.9358757697481</v>
      </c>
      <c r="BJ54" s="44" t="n">
        <f aca="false">(BJ37+BJ38)*Assumptions!$D$53+BJ32*Assumptions!$D$54</f>
        <v>94.4263950739393</v>
      </c>
      <c r="BK54" s="44" t="n">
        <f aca="false">(BK37+BK38)*Assumptions!$D$53+BK32*Assumptions!$D$54</f>
        <v>97.8331820034911</v>
      </c>
    </row>
    <row r="55" customFormat="false" ht="15" hidden="false" customHeight="false" outlineLevel="0" collapsed="false">
      <c r="A55" s="28" t="s">
        <v>624</v>
      </c>
      <c r="B55" s="6" t="s">
        <v>625</v>
      </c>
      <c r="C55" s="43"/>
      <c r="D55" s="17" t="n">
        <f aca="false">D25*Assumptions!$D$65*Assumptions!$D$66*Assumptions!$D$67</f>
        <v>0</v>
      </c>
      <c r="E55" s="17" t="n">
        <f aca="false">E25*Assumptions!$D$65*Assumptions!$D$66*Assumptions!$D$67</f>
        <v>0</v>
      </c>
      <c r="F55" s="17" t="n">
        <f aca="false">F25*Assumptions!$D$65*Assumptions!$D$66*Assumptions!$D$67</f>
        <v>0</v>
      </c>
      <c r="G55" s="17" t="n">
        <f aca="false">G25*Assumptions!$D$65*Assumptions!$D$66*Assumptions!$D$67</f>
        <v>0</v>
      </c>
      <c r="H55" s="17" t="n">
        <f aca="false">H25*Assumptions!$D$65*Assumptions!$D$66*Assumptions!$D$67</f>
        <v>8.60625</v>
      </c>
      <c r="I55" s="17" t="n">
        <f aca="false">I25*Assumptions!$D$65*Assumptions!$D$66*Assumptions!$D$67</f>
        <v>13.29665625</v>
      </c>
      <c r="J55" s="17" t="n">
        <f aca="false">J25*Assumptions!$D$65*Assumptions!$D$66*Assumptions!$D$67</f>
        <v>14.04604546875</v>
      </c>
      <c r="K55" s="17" t="n">
        <f aca="false">K25*Assumptions!$D$65*Assumptions!$D$66*Assumptions!$D$67</f>
        <v>12.8833679882812</v>
      </c>
      <c r="L55" s="17" t="n">
        <f aca="false">L25*Assumptions!$D$65*Assumptions!$D$66*Assumptions!$D$67</f>
        <v>10.7944916651367</v>
      </c>
      <c r="M55" s="17" t="n">
        <f aca="false">M25*Assumptions!$D$65*Assumptions!$D$66*Assumptions!$D$67</f>
        <v>9.11458449327392</v>
      </c>
      <c r="N55" s="17" t="n">
        <f aca="false">N25*Assumptions!$D$65*Assumptions!$D$66*Assumptions!$D$67</f>
        <v>15.2682907087897</v>
      </c>
      <c r="O55" s="17" t="n">
        <f aca="false">O25*Assumptions!$D$65*Assumptions!$D$66*Assumptions!$D$67</f>
        <v>18.359874479171</v>
      </c>
      <c r="P55" s="17" t="n">
        <f aca="false">P25*Assumptions!$D$65*Assumptions!$D$66*Assumptions!$D$67</f>
        <v>18.0654767919573</v>
      </c>
      <c r="Q55" s="17" t="n">
        <f aca="false">Q25*Assumptions!$D$65*Assumptions!$D$66*Assumptions!$D$67</f>
        <v>24.826149335756</v>
      </c>
      <c r="R55" s="17" t="n">
        <f aca="false">R25*Assumptions!$D$65*Assumptions!$D$66*Assumptions!$D$67</f>
        <v>26.9794667537006</v>
      </c>
      <c r="S55" s="17" t="n">
        <f aca="false">S25*Assumptions!$D$65*Assumptions!$D$66*Assumptions!$D$67</f>
        <v>25.7533913332281</v>
      </c>
      <c r="T55" s="17" t="n">
        <f aca="false">T25*Assumptions!$D$65*Assumptions!$D$66*Assumptions!$D$67</f>
        <v>30.5481938613379</v>
      </c>
      <c r="U55" s="17" t="n">
        <f aca="false">U25*Assumptions!$D$65*Assumptions!$D$66*Assumptions!$D$67</f>
        <v>40.0255932672408</v>
      </c>
      <c r="V55" s="17" t="n">
        <f aca="false">V25*Assumptions!$D$65*Assumptions!$D$66*Assumptions!$D$67</f>
        <v>42.6522711996434</v>
      </c>
      <c r="W55" s="17" t="n">
        <f aca="false">W25*Assumptions!$D$65*Assumptions!$D$66*Assumptions!$D$67</f>
        <v>47.6478509663066</v>
      </c>
      <c r="X55" s="17" t="n">
        <f aca="false">X25*Assumptions!$D$65*Assumptions!$D$66*Assumptions!$D$67</f>
        <v>55.6019409474744</v>
      </c>
      <c r="Y55" s="17" t="n">
        <f aca="false">Y25*Assumptions!$D$65*Assumptions!$D$66*Assumptions!$D$67</f>
        <v>55.9013984897489</v>
      </c>
      <c r="Z55" s="17" t="n">
        <f aca="false">Z25*Assumptions!$D$65*Assumptions!$D$66*Assumptions!$D$67</f>
        <v>59.0583124703802</v>
      </c>
      <c r="AA55" s="17" t="n">
        <f aca="false">AA25*Assumptions!$D$65*Assumptions!$D$66*Assumptions!$D$67</f>
        <v>64.4529264714895</v>
      </c>
      <c r="AB55" s="17" t="n">
        <f aca="false">AB25*Assumptions!$D$65*Assumptions!$D$66*Assumptions!$D$67</f>
        <v>63.0804099880667</v>
      </c>
      <c r="AC55" s="17" t="n">
        <f aca="false">AC25*Assumptions!$D$65*Assumptions!$D$66*Assumptions!$D$67</f>
        <v>65.1424340793022</v>
      </c>
      <c r="AD55" s="17" t="n">
        <f aca="false">AD25*Assumptions!$D$65*Assumptions!$D$66*Assumptions!$D$67</f>
        <v>69.8174655489287</v>
      </c>
      <c r="AE55" s="17" t="n">
        <f aca="false">AE25*Assumptions!$D$65*Assumptions!$D$66*Assumptions!$D$67</f>
        <v>76.2315139192514</v>
      </c>
      <c r="AF55" s="17" t="n">
        <f aca="false">AF25*Assumptions!$D$65*Assumptions!$D$66*Assumptions!$D$67</f>
        <v>82.4384713271499</v>
      </c>
      <c r="AG55" s="17" t="n">
        <f aca="false">AG25*Assumptions!$D$65*Assumptions!$D$66*Assumptions!$D$67</f>
        <v>87.4959739602931</v>
      </c>
      <c r="AH55" s="17" t="n">
        <f aca="false">AH25*Assumptions!$D$65*Assumptions!$D$66*Assumptions!$D$67</f>
        <v>92.841046481895</v>
      </c>
      <c r="AI55" s="17" t="n">
        <f aca="false">AI25*Assumptions!$D$65*Assumptions!$D$66*Assumptions!$D$67</f>
        <v>97.0134470357437</v>
      </c>
      <c r="AJ55" s="17" t="n">
        <f aca="false">AJ25*Assumptions!$D$65*Assumptions!$D$66*Assumptions!$D$67</f>
        <v>100.419928225182</v>
      </c>
      <c r="AK55" s="17" t="n">
        <f aca="false">AK25*Assumptions!$D$65*Assumptions!$D$66*Assumptions!$D$67</f>
        <v>102.980721307019</v>
      </c>
      <c r="AL55" s="17" t="n">
        <f aca="false">AL25*Assumptions!$D$65*Assumptions!$D$66*Assumptions!$D$67</f>
        <v>105.327402611196</v>
      </c>
      <c r="AM55" s="17" t="n">
        <f aca="false">AM25*Assumptions!$D$65*Assumptions!$D$66*Assumptions!$D$67</f>
        <v>107.531627114871</v>
      </c>
      <c r="AN55" s="44" t="n">
        <f aca="false">AN25*Assumptions!$D$65*Assumptions!$D$66*Assumptions!$D$67</f>
        <v>109.295802656819</v>
      </c>
      <c r="AO55" s="44" t="n">
        <f aca="false">AO25*Assumptions!$D$65*Assumptions!$D$66*Assumptions!$D$67</f>
        <v>111.109910633282</v>
      </c>
      <c r="AP55" s="44" t="n">
        <f aca="false">AP25*Assumptions!$D$65*Assumptions!$D$66*Assumptions!$D$67</f>
        <v>112.953559845324</v>
      </c>
      <c r="AQ55" s="44" t="n">
        <f aca="false">AQ25*Assumptions!$D$65*Assumptions!$D$66*Assumptions!$D$67</f>
        <v>114.469318884809</v>
      </c>
      <c r="AR55" s="44" t="n">
        <f aca="false">AR25*Assumptions!$D$65*Assumptions!$D$66*Assumptions!$D$67</f>
        <v>115.764014635841</v>
      </c>
      <c r="AS55" s="44" t="n">
        <f aca="false">AS25*Assumptions!$D$65*Assumptions!$D$66*Assumptions!$D$67</f>
        <v>117.251532939994</v>
      </c>
      <c r="AT55" s="44" t="n">
        <f aca="false">AT25*Assumptions!$D$65*Assumptions!$D$66*Assumptions!$D$67</f>
        <v>118.517756752025</v>
      </c>
      <c r="AU55" s="44" t="n">
        <f aca="false">AU25*Assumptions!$D$65*Assumptions!$D$66*Assumptions!$D$67</f>
        <v>119.63265572132</v>
      </c>
      <c r="AV55" s="44" t="n">
        <f aca="false">AV25*Assumptions!$D$65*Assumptions!$D$66*Assumptions!$D$67</f>
        <v>120.98614720555</v>
      </c>
      <c r="AW55" s="44" t="n">
        <f aca="false">AW25*Assumptions!$D$65*Assumptions!$D$66*Assumptions!$D$67</f>
        <v>122.148523645631</v>
      </c>
      <c r="AX55" s="44" t="n">
        <f aca="false">AX25*Assumptions!$D$65*Assumptions!$D$66*Assumptions!$D$67</f>
        <v>123.179610132634</v>
      </c>
      <c r="AY55" s="44" t="n">
        <f aca="false">AY25*Assumptions!$D$65*Assumptions!$D$66*Assumptions!$D$67</f>
        <v>124.462719605111</v>
      </c>
      <c r="AZ55" s="44" t="n">
        <f aca="false">AZ25*Assumptions!$D$65*Assumptions!$D$66*Assumptions!$D$67</f>
        <v>125.563841436749</v>
      </c>
      <c r="BA55" s="44" t="n">
        <f aca="false">BA25*Assumptions!$D$65*Assumptions!$D$66*Assumptions!$D$67</f>
        <v>126.539993784977</v>
      </c>
      <c r="BB55" s="44" t="n">
        <f aca="false">BB25*Assumptions!$D$65*Assumptions!$D$66*Assumptions!$D$67</f>
        <v>127.428405390049</v>
      </c>
      <c r="BC55" s="44" t="n">
        <f aca="false">BC25*Assumptions!$D$65*Assumptions!$D$66*Assumptions!$D$67</f>
        <v>128.2534376976</v>
      </c>
      <c r="BD55" s="44" t="n">
        <f aca="false">BD25*Assumptions!$D$65*Assumptions!$D$66*Assumptions!$D$67</f>
        <v>129.031084342656</v>
      </c>
      <c r="BE55" s="44" t="n">
        <f aca="false">BE25*Assumptions!$D$65*Assumptions!$D$66*Assumptions!$D$67</f>
        <v>129.771895915963</v>
      </c>
      <c r="BF55" s="44" t="n">
        <f aca="false">BF25*Assumptions!$D$65*Assumptions!$D$66*Assumptions!$D$67</f>
        <v>130.482881161281</v>
      </c>
      <c r="BG55" s="44" t="n">
        <f aca="false">BG25*Assumptions!$D$65*Assumptions!$D$66*Assumptions!$D$67</f>
        <v>131.16874285034</v>
      </c>
      <c r="BH55" s="44" t="n">
        <f aca="false">BH25*Assumptions!$D$65*Assumptions!$D$66*Assumptions!$D$67</f>
        <v>131.832681195841</v>
      </c>
      <c r="BI55" s="44" t="n">
        <f aca="false">BI25*Assumptions!$D$65*Assumptions!$D$66*Assumptions!$D$67</f>
        <v>132.476916161839</v>
      </c>
      <c r="BJ55" s="44" t="n">
        <f aca="false">BJ25*Assumptions!$D$65*Assumptions!$D$66*Assumptions!$D$67</f>
        <v>133.103027055123</v>
      </c>
      <c r="BK55" s="44" t="n">
        <f aca="false">BK25*Assumptions!$D$65*Assumptions!$D$66*Assumptions!$D$67</f>
        <v>133.712173347011</v>
      </c>
    </row>
    <row r="56" customFormat="false" ht="15" hidden="false" customHeight="false" outlineLevel="0" collapsed="false">
      <c r="A56" s="28" t="s">
        <v>626</v>
      </c>
      <c r="B56" s="6" t="s">
        <v>627</v>
      </c>
      <c r="C56" s="43"/>
      <c r="D56" s="17" t="n">
        <f aca="false">(D41+D42+D43)*Assumptions!$D$78</f>
        <v>0</v>
      </c>
      <c r="E56" s="17" t="n">
        <f aca="false">(E41+E42+E43)*Assumptions!$D$78</f>
        <v>0</v>
      </c>
      <c r="F56" s="17" t="n">
        <f aca="false">(F41+F42+F43)*Assumptions!$D$78</f>
        <v>0</v>
      </c>
      <c r="G56" s="17" t="n">
        <f aca="false">(G41+G42+G43)*Assumptions!$D$78</f>
        <v>0</v>
      </c>
      <c r="H56" s="17" t="n">
        <f aca="false">(H41+H42+H43)*Assumptions!$D$78</f>
        <v>0</v>
      </c>
      <c r="I56" s="17" t="n">
        <f aca="false">(I41+I42+I43)*Assumptions!$D$78</f>
        <v>0</v>
      </c>
      <c r="J56" s="17" t="n">
        <f aca="false">(J41+J42+J43)*Assumptions!$D$78</f>
        <v>0</v>
      </c>
      <c r="K56" s="17" t="n">
        <f aca="false">(K41+K42+K43)*Assumptions!$D$78</f>
        <v>0</v>
      </c>
      <c r="L56" s="17" t="n">
        <f aca="false">(L41+L42+L43)*Assumptions!$D$78</f>
        <v>0</v>
      </c>
      <c r="M56" s="17" t="n">
        <f aca="false">(M41+M42+M43)*Assumptions!$D$78</f>
        <v>0</v>
      </c>
      <c r="N56" s="17" t="n">
        <f aca="false">(N41+N42+N43)*Assumptions!$D$78</f>
        <v>0</v>
      </c>
      <c r="O56" s="17" t="n">
        <f aca="false">(O41+O42+O43)*Assumptions!$D$78</f>
        <v>0</v>
      </c>
      <c r="P56" s="17" t="n">
        <f aca="false">(P41+P42+P43)*Assumptions!$D$78</f>
        <v>0</v>
      </c>
      <c r="Q56" s="17" t="n">
        <f aca="false">(Q41+Q42+Q43)*Assumptions!$D$78</f>
        <v>0</v>
      </c>
      <c r="R56" s="17" t="n">
        <f aca="false">(R41+R42+R43)*Assumptions!$D$78</f>
        <v>0</v>
      </c>
      <c r="S56" s="17" t="n">
        <f aca="false">(S41+S42+S43)*Assumptions!$D$78</f>
        <v>0</v>
      </c>
      <c r="T56" s="17" t="n">
        <f aca="false">(T41+T42+T43)*Assumptions!$D$78</f>
        <v>0</v>
      </c>
      <c r="U56" s="17" t="n">
        <f aca="false">(U41+U42+U43)*Assumptions!$D$78</f>
        <v>0</v>
      </c>
      <c r="V56" s="17" t="n">
        <f aca="false">(V41+V42+V43)*Assumptions!$D$78</f>
        <v>0</v>
      </c>
      <c r="W56" s="17" t="n">
        <f aca="false">(W41+W42+W43)*Assumptions!$D$78</f>
        <v>0</v>
      </c>
      <c r="X56" s="17" t="n">
        <f aca="false">(X41+X42+X43)*Assumptions!$D$78</f>
        <v>0</v>
      </c>
      <c r="Y56" s="17" t="n">
        <f aca="false">(Y41+Y42+Y43)*Assumptions!$D$78</f>
        <v>0</v>
      </c>
      <c r="Z56" s="17" t="n">
        <f aca="false">(Z41+Z42+Z43)*Assumptions!$D$78</f>
        <v>0</v>
      </c>
      <c r="AA56" s="17" t="n">
        <f aca="false">(AA41+AA42+AA43)*Assumptions!$D$78</f>
        <v>0</v>
      </c>
      <c r="AB56" s="17" t="n">
        <f aca="false">(AB41+AB42+AB43)*Assumptions!$D$78</f>
        <v>0</v>
      </c>
      <c r="AC56" s="17" t="n">
        <f aca="false">(AC41+AC42+AC43)*Assumptions!$D$78</f>
        <v>0</v>
      </c>
      <c r="AD56" s="17" t="n">
        <f aca="false">(AD41+AD42+AD43)*Assumptions!$D$78</f>
        <v>0</v>
      </c>
      <c r="AE56" s="17" t="n">
        <f aca="false">(AE41+AE42+AE43)*Assumptions!$D$78</f>
        <v>0</v>
      </c>
      <c r="AF56" s="17" t="n">
        <f aca="false">(AF41+AF42+AF43)*Assumptions!$D$78</f>
        <v>0</v>
      </c>
      <c r="AG56" s="17" t="n">
        <f aca="false">(AG41+AG42+AG43)*Assumptions!$D$78</f>
        <v>0</v>
      </c>
      <c r="AH56" s="17" t="n">
        <f aca="false">(AH41+AH42+AH43)*Assumptions!$D$78</f>
        <v>0</v>
      </c>
      <c r="AI56" s="17" t="n">
        <f aca="false">(AI41+AI42+AI43)*Assumptions!$D$78</f>
        <v>0</v>
      </c>
      <c r="AJ56" s="17" t="n">
        <f aca="false">(AJ41+AJ42+AJ43)*Assumptions!$D$78</f>
        <v>0</v>
      </c>
      <c r="AK56" s="17" t="n">
        <f aca="false">(AK41+AK42+AK43)*Assumptions!$D$78</f>
        <v>0</v>
      </c>
      <c r="AL56" s="17" t="n">
        <f aca="false">(AL41+AL42+AL43)*Assumptions!$D$78</f>
        <v>0</v>
      </c>
      <c r="AM56" s="17" t="n">
        <f aca="false">(AM41+AM42+AM43)*Assumptions!$D$78</f>
        <v>0</v>
      </c>
      <c r="AN56" s="44" t="n">
        <f aca="false">(AN41+AN42+AN43)*Assumptions!$D$78</f>
        <v>0</v>
      </c>
      <c r="AO56" s="44" t="n">
        <f aca="false">(AO41+AO42+AO43)*Assumptions!$D$78</f>
        <v>0</v>
      </c>
      <c r="AP56" s="44" t="n">
        <f aca="false">(AP41+AP42+AP43)*Assumptions!$D$78</f>
        <v>0</v>
      </c>
      <c r="AQ56" s="44" t="n">
        <f aca="false">(AQ41+AQ42+AQ43)*Assumptions!$D$78</f>
        <v>0</v>
      </c>
      <c r="AR56" s="44" t="n">
        <f aca="false">(AR41+AR42+AR43)*Assumptions!$D$78</f>
        <v>0</v>
      </c>
      <c r="AS56" s="44" t="n">
        <f aca="false">(AS41+AS42+AS43)*Assumptions!$D$78</f>
        <v>0</v>
      </c>
      <c r="AT56" s="44" t="n">
        <f aca="false">(AT41+AT42+AT43)*Assumptions!$D$78</f>
        <v>0</v>
      </c>
      <c r="AU56" s="44" t="n">
        <f aca="false">(AU41+AU42+AU43)*Assumptions!$D$78</f>
        <v>0</v>
      </c>
      <c r="AV56" s="44" t="n">
        <f aca="false">(AV41+AV42+AV43)*Assumptions!$D$78</f>
        <v>0</v>
      </c>
      <c r="AW56" s="44" t="n">
        <f aca="false">(AW41+AW42+AW43)*Assumptions!$D$78</f>
        <v>0</v>
      </c>
      <c r="AX56" s="44" t="n">
        <f aca="false">(AX41+AX42+AX43)*Assumptions!$D$78</f>
        <v>0</v>
      </c>
      <c r="AY56" s="44" t="n">
        <f aca="false">(AY41+AY42+AY43)*Assumptions!$D$78</f>
        <v>0</v>
      </c>
      <c r="AZ56" s="44" t="n">
        <f aca="false">(AZ41+AZ42+AZ43)*Assumptions!$D$78</f>
        <v>0</v>
      </c>
      <c r="BA56" s="44" t="n">
        <f aca="false">(BA41+BA42+BA43)*Assumptions!$D$78</f>
        <v>0</v>
      </c>
      <c r="BB56" s="44" t="n">
        <f aca="false">(BB41+BB42+BB43)*Assumptions!$D$78</f>
        <v>0</v>
      </c>
      <c r="BC56" s="44" t="n">
        <f aca="false">(BC41+BC42+BC43)*Assumptions!$D$78</f>
        <v>0</v>
      </c>
      <c r="BD56" s="44" t="n">
        <f aca="false">(BD41+BD42+BD43)*Assumptions!$D$78</f>
        <v>0</v>
      </c>
      <c r="BE56" s="44" t="n">
        <f aca="false">(BE41+BE42+BE43)*Assumptions!$D$78</f>
        <v>0</v>
      </c>
      <c r="BF56" s="44" t="n">
        <f aca="false">(BF41+BF42+BF43)*Assumptions!$D$78</f>
        <v>0</v>
      </c>
      <c r="BG56" s="44" t="n">
        <f aca="false">(BG41+BG42+BG43)*Assumptions!$D$78</f>
        <v>0</v>
      </c>
      <c r="BH56" s="44" t="n">
        <f aca="false">(BH41+BH42+BH43)*Assumptions!$D$78</f>
        <v>0</v>
      </c>
      <c r="BI56" s="44" t="n">
        <f aca="false">(BI41+BI42+BI43)*Assumptions!$D$78</f>
        <v>0</v>
      </c>
      <c r="BJ56" s="44" t="n">
        <f aca="false">(BJ41+BJ42+BJ43)*Assumptions!$D$78</f>
        <v>0</v>
      </c>
      <c r="BK56" s="44" t="n">
        <f aca="false">(BK41+BK42+BK43)*Assumptions!$D$78</f>
        <v>0</v>
      </c>
    </row>
    <row r="57" customFormat="false" ht="15" hidden="false" customHeight="false" outlineLevel="0" collapsed="false">
      <c r="A57" s="28" t="s">
        <v>628</v>
      </c>
      <c r="B57" s="6" t="s">
        <v>629</v>
      </c>
      <c r="C57" s="43"/>
      <c r="D57" s="17" t="n">
        <f aca="false">D45*Assumptions!$D$82</f>
        <v>0</v>
      </c>
      <c r="E57" s="17" t="n">
        <f aca="false">E45*Assumptions!$D$82</f>
        <v>0</v>
      </c>
      <c r="F57" s="17" t="n">
        <f aca="false">F45*Assumptions!$D$82</f>
        <v>0</v>
      </c>
      <c r="G57" s="17" t="n">
        <f aca="false">G45*Assumptions!$D$82</f>
        <v>0</v>
      </c>
      <c r="H57" s="17" t="n">
        <f aca="false">H45*Assumptions!$D$82</f>
        <v>0</v>
      </c>
      <c r="I57" s="17" t="n">
        <f aca="false">I45*Assumptions!$D$82</f>
        <v>0</v>
      </c>
      <c r="J57" s="17" t="n">
        <f aca="false">J45*Assumptions!$D$82</f>
        <v>0</v>
      </c>
      <c r="K57" s="17" t="n">
        <f aca="false">K45*Assumptions!$D$82</f>
        <v>0</v>
      </c>
      <c r="L57" s="17" t="n">
        <f aca="false">L45*Assumptions!$D$82</f>
        <v>0</v>
      </c>
      <c r="M57" s="17" t="n">
        <f aca="false">M45*Assumptions!$D$82</f>
        <v>0</v>
      </c>
      <c r="N57" s="17" t="n">
        <f aca="false">N45*Assumptions!$D$82</f>
        <v>0</v>
      </c>
      <c r="O57" s="17" t="n">
        <f aca="false">O45*Assumptions!$D$82</f>
        <v>0</v>
      </c>
      <c r="P57" s="17" t="n">
        <f aca="false">P45*Assumptions!$D$82</f>
        <v>0</v>
      </c>
      <c r="Q57" s="17" t="n">
        <f aca="false">Q45*Assumptions!$D$82</f>
        <v>0</v>
      </c>
      <c r="R57" s="17" t="n">
        <f aca="false">R45*Assumptions!$D$82</f>
        <v>0</v>
      </c>
      <c r="S57" s="17" t="n">
        <f aca="false">S45*Assumptions!$D$82</f>
        <v>0</v>
      </c>
      <c r="T57" s="17" t="n">
        <f aca="false">T45*Assumptions!$D$82</f>
        <v>0</v>
      </c>
      <c r="U57" s="17" t="n">
        <f aca="false">U45*Assumptions!$D$82</f>
        <v>0</v>
      </c>
      <c r="V57" s="17" t="n">
        <f aca="false">V45*Assumptions!$D$82</f>
        <v>0</v>
      </c>
      <c r="W57" s="17" t="n">
        <f aca="false">W45*Assumptions!$D$82</f>
        <v>0</v>
      </c>
      <c r="X57" s="17" t="n">
        <f aca="false">X45*Assumptions!$D$82</f>
        <v>0</v>
      </c>
      <c r="Y57" s="17" t="n">
        <f aca="false">Y45*Assumptions!$D$82</f>
        <v>0</v>
      </c>
      <c r="Z57" s="17" t="n">
        <f aca="false">Z45*Assumptions!$D$82</f>
        <v>0</v>
      </c>
      <c r="AA57" s="17" t="n">
        <f aca="false">AA45*Assumptions!$D$82</f>
        <v>0</v>
      </c>
      <c r="AB57" s="17" t="n">
        <f aca="false">AB45*Assumptions!$D$82</f>
        <v>0</v>
      </c>
      <c r="AC57" s="17" t="n">
        <f aca="false">AC45*Assumptions!$D$82</f>
        <v>0</v>
      </c>
      <c r="AD57" s="17" t="n">
        <f aca="false">AD45*Assumptions!$D$82</f>
        <v>0</v>
      </c>
      <c r="AE57" s="17" t="n">
        <f aca="false">AE45*Assumptions!$D$82</f>
        <v>0</v>
      </c>
      <c r="AF57" s="17" t="n">
        <f aca="false">AF45*Assumptions!$D$82</f>
        <v>0</v>
      </c>
      <c r="AG57" s="17" t="n">
        <f aca="false">AG45*Assumptions!$D$82</f>
        <v>0</v>
      </c>
      <c r="AH57" s="17" t="n">
        <f aca="false">AH45*Assumptions!$D$82</f>
        <v>0</v>
      </c>
      <c r="AI57" s="17" t="n">
        <f aca="false">AI45*Assumptions!$D$82</f>
        <v>281.25</v>
      </c>
      <c r="AJ57" s="17" t="n">
        <f aca="false">AJ45*Assumptions!$D$82</f>
        <v>309.375</v>
      </c>
      <c r="AK57" s="17" t="n">
        <f aca="false">AK45*Assumptions!$D$82</f>
        <v>337.5</v>
      </c>
      <c r="AL57" s="17" t="n">
        <f aca="false">AL45*Assumptions!$D$82</f>
        <v>365.625</v>
      </c>
      <c r="AM57" s="17" t="n">
        <f aca="false">AM45*Assumptions!$D$82</f>
        <v>393.75</v>
      </c>
      <c r="AN57" s="44" t="n">
        <f aca="false">AN45*Assumptions!$D$82</f>
        <v>421.875</v>
      </c>
      <c r="AO57" s="44" t="n">
        <f aca="false">AO45*Assumptions!$D$82</f>
        <v>450</v>
      </c>
      <c r="AP57" s="44" t="n">
        <f aca="false">AP45*Assumptions!$D$82</f>
        <v>478.125</v>
      </c>
      <c r="AQ57" s="44" t="n">
        <f aca="false">AQ45*Assumptions!$D$82</f>
        <v>506.25</v>
      </c>
      <c r="AR57" s="44" t="n">
        <f aca="false">AR45*Assumptions!$D$82</f>
        <v>534.375</v>
      </c>
      <c r="AS57" s="44" t="n">
        <f aca="false">AS45*Assumptions!$D$82</f>
        <v>562.5</v>
      </c>
      <c r="AT57" s="44" t="n">
        <f aca="false">AT45*Assumptions!$D$82</f>
        <v>590.625</v>
      </c>
      <c r="AU57" s="44" t="n">
        <f aca="false">AU45*Assumptions!$D$82</f>
        <v>618.75</v>
      </c>
      <c r="AV57" s="44" t="n">
        <f aca="false">AV45*Assumptions!$D$82</f>
        <v>646.875</v>
      </c>
      <c r="AW57" s="44" t="n">
        <f aca="false">AW45*Assumptions!$D$82</f>
        <v>675</v>
      </c>
      <c r="AX57" s="44" t="n">
        <f aca="false">AX45*Assumptions!$D$82</f>
        <v>703.125</v>
      </c>
      <c r="AY57" s="44" t="n">
        <f aca="false">AY45*Assumptions!$D$82</f>
        <v>731.25</v>
      </c>
      <c r="AZ57" s="44" t="n">
        <f aca="false">AZ45*Assumptions!$D$82</f>
        <v>759.375</v>
      </c>
      <c r="BA57" s="44" t="n">
        <f aca="false">BA45*Assumptions!$D$82</f>
        <v>787.5</v>
      </c>
      <c r="BB57" s="44" t="n">
        <f aca="false">BB45*Assumptions!$D$82</f>
        <v>815.625</v>
      </c>
      <c r="BC57" s="44" t="n">
        <f aca="false">BC45*Assumptions!$D$82</f>
        <v>843.75</v>
      </c>
      <c r="BD57" s="44" t="n">
        <f aca="false">BD45*Assumptions!$D$82</f>
        <v>871.875</v>
      </c>
      <c r="BE57" s="44" t="n">
        <f aca="false">BE45*Assumptions!$D$82</f>
        <v>900</v>
      </c>
      <c r="BF57" s="44" t="n">
        <f aca="false">BF45*Assumptions!$D$82</f>
        <v>928.125</v>
      </c>
      <c r="BG57" s="44" t="n">
        <f aca="false">BG45*Assumptions!$D$82</f>
        <v>956.25</v>
      </c>
      <c r="BH57" s="44" t="n">
        <f aca="false">BH45*Assumptions!$D$82</f>
        <v>984.375</v>
      </c>
      <c r="BI57" s="44" t="n">
        <f aca="false">BI45*Assumptions!$D$82</f>
        <v>1012.5</v>
      </c>
      <c r="BJ57" s="44" t="n">
        <f aca="false">BJ45*Assumptions!$D$82</f>
        <v>1040.625</v>
      </c>
      <c r="BK57" s="44" t="n">
        <f aca="false">BK45*Assumptions!$D$82</f>
        <v>1068.75</v>
      </c>
    </row>
    <row r="58" customFormat="false" ht="15" hidden="false" customHeight="false" outlineLevel="0" collapsed="false">
      <c r="A58" s="28" t="s">
        <v>630</v>
      </c>
      <c r="B58" s="5" t="s">
        <v>631</v>
      </c>
      <c r="C58" s="43"/>
      <c r="D58" s="45" t="n">
        <f aca="false">D49+D50+D51+D52+D53+D54+D55+D56+D57</f>
        <v>0</v>
      </c>
      <c r="E58" s="45" t="n">
        <f aca="false">E49+E50+E51+E52+E53+E54+E55+E56+E57</f>
        <v>0</v>
      </c>
      <c r="F58" s="45" t="n">
        <f aca="false">F49+F50+F51+F52+F53+F54+F55+F56+F57</f>
        <v>0</v>
      </c>
      <c r="G58" s="45" t="n">
        <f aca="false">G49+G50+G51+G52+G53+G54+G55+G56+G57</f>
        <v>0</v>
      </c>
      <c r="H58" s="45" t="n">
        <f aca="false">H49+H50+H51+H52+H53+H54+H55+H56+H57</f>
        <v>23.661875</v>
      </c>
      <c r="I58" s="45" t="n">
        <f aca="false">I49+I50+I51+I52+I53+I54+I55+I56+I57</f>
        <v>41.105946875</v>
      </c>
      <c r="J58" s="45" t="n">
        <f aca="false">J49+J50+J51+J52+J53+J54+J55+J56+J57</f>
        <v>50.011571390625</v>
      </c>
      <c r="K58" s="45" t="n">
        <f aca="false">K49+K50+K51+K52+K53+K54+K55+K56+K57</f>
        <v>53.7824296777344</v>
      </c>
      <c r="L58" s="45" t="n">
        <f aca="false">L49+L50+L51+L52+L53+L54+L55+L56+L57</f>
        <v>54.1136448575098</v>
      </c>
      <c r="M58" s="45" t="n">
        <f aca="false">M49+M50+M51+M52+M53+M54+M55+M56+M57</f>
        <v>54.2223410851892</v>
      </c>
      <c r="N58" s="45" t="n">
        <f aca="false">N49+N50+N51+N52+N53+N54+N55+N56+N57</f>
        <v>74.7917218349856</v>
      </c>
      <c r="O58" s="45" t="n">
        <f aca="false">O49+O50+O51+O52+O53+O54+O55+O56+O57</f>
        <v>90.048332319113</v>
      </c>
      <c r="P58" s="45" t="n">
        <f aca="false">P49+P50+P51+P52+P53+P54+P55+P56+P57</f>
        <v>97.3592003056365</v>
      </c>
      <c r="Q58" s="45" t="n">
        <f aca="false">Q49+Q50+Q51+Q52+Q53+Q54+Q55+Q56+Q57</f>
        <v>123.586757889421</v>
      </c>
      <c r="R58" s="45" t="n">
        <f aca="false">R49+R50+R51+R52+R53+R54+R55+R56+R57</f>
        <v>140.414311376613</v>
      </c>
      <c r="S58" s="45" t="n">
        <f aca="false">S49+S50+S51+S52+S53+S54+S55+S56+S57</f>
        <v>148.652345174575</v>
      </c>
      <c r="T58" s="45" t="n">
        <f aca="false">T49+T50+T51+T52+T53+T54+T55+T56+T57</f>
        <v>172.331744073756</v>
      </c>
      <c r="U58" s="45" t="n">
        <f aca="false">U49+U50+U51+U52+U53+U54+U55+U56+U57</f>
        <v>210.999551365466</v>
      </c>
      <c r="V58" s="45" t="n">
        <f aca="false">V49+V50+V51+V52+V53+V54+V55+V56+V57</f>
        <v>235.33641816214</v>
      </c>
      <c r="W58" s="45" t="n">
        <f aca="false">W49+W50+W51+W52+W53+W54+W55+W56+W57</f>
        <v>266.889880835613</v>
      </c>
      <c r="X58" s="45" t="n">
        <f aca="false">X49+X50+X51+X52+X53+X54+X55+X56+X57</f>
        <v>308.504805347615</v>
      </c>
      <c r="Y58" s="45" t="n">
        <f aca="false">Y49+Y50+Y51+Y52+Y53+Y54+Y55+Y56+Y57</f>
        <v>332.488059710305</v>
      </c>
      <c r="Z58" s="45" t="n">
        <f aca="false">Z49+Z50+Z51+Z52+Z53+Z54+Z55+Z56+Z57</f>
        <v>363.559419640194</v>
      </c>
      <c r="AA58" s="45" t="n">
        <f aca="false">AA49+AA50+AA51+AA52+AA53+AA54+AA55+AA56+AA57</f>
        <v>401.55581107391</v>
      </c>
      <c r="AB58" s="45" t="n">
        <f aca="false">AB49+AB50+AB51+AB52+AB53+AB54+AB55+AB56+AB57</f>
        <v>422.871209798131</v>
      </c>
      <c r="AC58" s="45" t="n">
        <f aca="false">AC49+AC50+AC51+AC52+AC53+AC54+AC55+AC56+AC57</f>
        <v>451.900549653872</v>
      </c>
      <c r="AD58" s="45" t="n">
        <f aca="false">AD49+AD50+AD51+AD52+AD53+AD54+AD55+AD56+AD57</f>
        <v>488.269411977976</v>
      </c>
      <c r="AE58" s="45" t="n">
        <f aca="false">AE49+AE50+AE51+AE52+AE53+AE54+AE55+AE56+AE57</f>
        <v>530.949606121071</v>
      </c>
      <c r="AF58" s="45" t="n">
        <f aca="false">AF49+AF50+AF51+AF52+AF53+AF54+AF55+AF56+AF57</f>
        <v>575.448392105697</v>
      </c>
      <c r="AG58" s="45" t="n">
        <f aca="false">AG49+AG50+AG51+AG52+AG53+AG54+AG55+AG56+AG57</f>
        <v>618.969886292529</v>
      </c>
      <c r="AH58" s="45" t="n">
        <f aca="false">AH49+AH50+AH51+AH52+AH53+AH54+AH55+AH56+AH57</f>
        <v>664.770219728374</v>
      </c>
      <c r="AI58" s="45" t="n">
        <f aca="false">AI49+AI50+AI51+AI52+AI53+AI54+AI55+AI56+AI57</f>
        <v>990.177079620718</v>
      </c>
      <c r="AJ58" s="45" t="n">
        <f aca="false">AJ49+AJ50+AJ51+AJ52+AJ53+AJ54+AJ55+AJ56+AJ57</f>
        <v>1061.25080863081</v>
      </c>
      <c r="AK58" s="45" t="n">
        <f aca="false">AK49+AK50+AK51+AK52+AK53+AK54+AK55+AK56+AK57</f>
        <v>1130.45640131544</v>
      </c>
      <c r="AL58" s="45" t="n">
        <f aca="false">AL49+AL50+AL51+AL52+AL53+AL54+AL55+AL56+AL57</f>
        <v>1199.06508241781</v>
      </c>
      <c r="AM58" s="45" t="n">
        <f aca="false">AM49+AM50+AM51+AM52+AM53+AM54+AM55+AM56+AM57</f>
        <v>1267.16103159528</v>
      </c>
      <c r="AN58" s="46" t="n">
        <f aca="false">AN49+AN50+AN51+AN52+AN53+AN54+AN55+AN56+AN57</f>
        <v>1333.85560911004</v>
      </c>
      <c r="AO58" s="46" t="n">
        <f aca="false">AO49+AO50+AO51+AO52+AO53+AO54+AO55+AO56+AO57</f>
        <v>1400.27105853031</v>
      </c>
      <c r="AP58" s="46" t="n">
        <f aca="false">AP49+AP50+AP51+AP52+AP53+AP54+AP55+AP56+AP57</f>
        <v>1531.36704565719</v>
      </c>
      <c r="AQ58" s="46" t="n">
        <f aca="false">AQ49+AQ50+AQ51+AQ52+AQ53+AQ54+AQ55+AQ56+AQ57</f>
        <v>1659.52351075633</v>
      </c>
      <c r="AR58" s="46" t="n">
        <f aca="false">AR49+AR50+AR51+AR52+AR53+AR54+AR55+AR56+AR57</f>
        <v>1784.92322892395</v>
      </c>
      <c r="AS58" s="46" t="n">
        <f aca="false">AS49+AS50+AS51+AS52+AS53+AS54+AS55+AS56+AS57</f>
        <v>1908.69812676807</v>
      </c>
      <c r="AT58" s="46" t="n">
        <f aca="false">AT49+AT50+AT51+AT52+AT53+AT54+AT55+AT56+AT57</f>
        <v>2029.87677175825</v>
      </c>
      <c r="AU58" s="46" t="n">
        <f aca="false">AU49+AU50+AU51+AU52+AU53+AU54+AU55+AU56+AU57</f>
        <v>2148.59350713708</v>
      </c>
      <c r="AV58" s="46" t="n">
        <f aca="false">AV49+AV50+AV51+AV52+AV53+AV54+AV55+AV56+AV57</f>
        <v>2265.94583121222</v>
      </c>
      <c r="AW58" s="46" t="n">
        <f aca="false">AW49+AW50+AW51+AW52+AW53+AW54+AW55+AW56+AW57</f>
        <v>2380.93714083516</v>
      </c>
      <c r="AX58" s="46" t="n">
        <f aca="false">AX49+AX50+AX51+AX52+AX53+AX54+AX55+AX56+AX57</f>
        <v>2493.68277185853</v>
      </c>
      <c r="AY58" s="46" t="n">
        <f aca="false">AY49+AY50+AY51+AY52+AY53+AY54+AY55+AY56+AY57</f>
        <v>2605.2653580401</v>
      </c>
      <c r="AZ58" s="46" t="n">
        <f aca="false">AZ49+AZ50+AZ51+AZ52+AZ53+AZ54+AZ55+AZ56+AZ57</f>
        <v>2714.67625287664</v>
      </c>
      <c r="BA58" s="46" t="n">
        <f aca="false">BA49+BA50+BA51+BA52+BA53+BA54+BA55+BA56+BA57</f>
        <v>2822.02070315896</v>
      </c>
      <c r="BB58" s="46" t="n">
        <f aca="false">BB49+BB50+BB51+BB52+BB53+BB54+BB55+BB56+BB57</f>
        <v>2927.38234706794</v>
      </c>
      <c r="BC58" s="46" t="n">
        <f aca="false">BC49+BC50+BC51+BC52+BC53+BC54+BC55+BC56+BC57</f>
        <v>3030.83045755457</v>
      </c>
      <c r="BD58" s="46" t="n">
        <f aca="false">BD49+BD50+BD51+BD52+BD53+BD54+BD55+BD56+BD57</f>
        <v>3132.42465533406</v>
      </c>
      <c r="BE58" s="46" t="n">
        <f aca="false">BE49+BE50+BE51+BE52+BE53+BE54+BE55+BE56+BE57</f>
        <v>3232.21797717098</v>
      </c>
      <c r="BF58" s="46" t="n">
        <f aca="false">BF49+BF50+BF51+BF52+BF53+BF54+BF55+BF56+BF57</f>
        <v>3330.25887513651</v>
      </c>
      <c r="BG58" s="46" t="n">
        <f aca="false">BG49+BG50+BG51+BG52+BG53+BG54+BG55+BG56+BG57</f>
        <v>3426.59252102234</v>
      </c>
      <c r="BH58" s="46" t="n">
        <f aca="false">BH49+BH50+BH51+BH52+BH53+BH54+BH55+BH56+BH57</f>
        <v>3521.26165912348</v>
      </c>
      <c r="BI58" s="46" t="n">
        <f aca="false">BI49+BI50+BI51+BI52+BI53+BI54+BI55+BI56+BI57</f>
        <v>3614.30716547061</v>
      </c>
      <c r="BJ58" s="46" t="n">
        <f aca="false">BJ49+BJ50+BJ51+BJ52+BJ53+BJ54+BJ55+BJ56+BJ57</f>
        <v>3705.76841625775</v>
      </c>
      <c r="BK58" s="46" t="n">
        <f aca="false">BK49+BK50+BK51+BK52+BK53+BK54+BK55+BK56+BK57</f>
        <v>3795.68353224365</v>
      </c>
    </row>
    <row r="59" customFormat="false" ht="15" hidden="false" customHeight="false" outlineLevel="0" collapsed="false">
      <c r="A59" s="28" t="s">
        <v>632</v>
      </c>
      <c r="B59" s="5" t="s">
        <v>633</v>
      </c>
      <c r="C59" s="43"/>
      <c r="D59" s="45" t="n">
        <f aca="false">D46-D58</f>
        <v>0</v>
      </c>
      <c r="E59" s="45" t="n">
        <f aca="false">E46-E58</f>
        <v>0</v>
      </c>
      <c r="F59" s="45" t="n">
        <f aca="false">F46-F58</f>
        <v>0</v>
      </c>
      <c r="G59" s="45" t="n">
        <f aca="false">G46-G58</f>
        <v>0</v>
      </c>
      <c r="H59" s="45" t="n">
        <f aca="false">H46-H58</f>
        <v>-23.661875</v>
      </c>
      <c r="I59" s="45" t="n">
        <f aca="false">I46-I58</f>
        <v>-41.105946875</v>
      </c>
      <c r="J59" s="45" t="n">
        <f aca="false">J46-J58</f>
        <v>-50.011571390625</v>
      </c>
      <c r="K59" s="45" t="n">
        <f aca="false">K46-K58</f>
        <v>-53.7824296777344</v>
      </c>
      <c r="L59" s="45" t="n">
        <f aca="false">L46-L58</f>
        <v>-54.1136448575098</v>
      </c>
      <c r="M59" s="45" t="n">
        <f aca="false">M46-M58</f>
        <v>-54.2223410851892</v>
      </c>
      <c r="N59" s="45" t="n">
        <f aca="false">N46-N58</f>
        <v>-74.7917218349856</v>
      </c>
      <c r="O59" s="45" t="n">
        <f aca="false">O46-O58</f>
        <v>-90.048332319113</v>
      </c>
      <c r="P59" s="45" t="n">
        <f aca="false">P46-P58</f>
        <v>-97.3592003056365</v>
      </c>
      <c r="Q59" s="45" t="n">
        <f aca="false">Q46-Q58</f>
        <v>-123.586757889421</v>
      </c>
      <c r="R59" s="45" t="n">
        <f aca="false">R46-R58</f>
        <v>-140.414311376613</v>
      </c>
      <c r="S59" s="45" t="n">
        <f aca="false">S46-S58</f>
        <v>-148.652345174575</v>
      </c>
      <c r="T59" s="45" t="n">
        <f aca="false">T46-T58</f>
        <v>-172.331744073756</v>
      </c>
      <c r="U59" s="45" t="n">
        <f aca="false">U46-U58</f>
        <v>-210.999551365466</v>
      </c>
      <c r="V59" s="45" t="n">
        <f aca="false">V46-V58</f>
        <v>-235.33641816214</v>
      </c>
      <c r="W59" s="45" t="n">
        <f aca="false">W46-W58</f>
        <v>-266.889880835613</v>
      </c>
      <c r="X59" s="45" t="n">
        <f aca="false">X46-X58</f>
        <v>-308.504805347615</v>
      </c>
      <c r="Y59" s="45" t="n">
        <f aca="false">Y46-Y58</f>
        <v>-332.488059710305</v>
      </c>
      <c r="Z59" s="45" t="n">
        <f aca="false">Z46-Z58</f>
        <v>-363.559419640194</v>
      </c>
      <c r="AA59" s="45" t="n">
        <f aca="false">AA46-AA58</f>
        <v>-401.55581107391</v>
      </c>
      <c r="AB59" s="45" t="n">
        <f aca="false">AB46-AB58</f>
        <v>-422.871209798131</v>
      </c>
      <c r="AC59" s="45" t="n">
        <f aca="false">AC46-AC58</f>
        <v>-451.900549653872</v>
      </c>
      <c r="AD59" s="45" t="n">
        <f aca="false">AD46-AD58</f>
        <v>-488.269411977976</v>
      </c>
      <c r="AE59" s="45" t="n">
        <f aca="false">AE46-AE58</f>
        <v>-530.949606121071</v>
      </c>
      <c r="AF59" s="45" t="n">
        <f aca="false">AF46-AF58</f>
        <v>-575.448392105697</v>
      </c>
      <c r="AG59" s="45" t="n">
        <f aca="false">AG46-AG58</f>
        <v>-618.969886292529</v>
      </c>
      <c r="AH59" s="45" t="n">
        <f aca="false">AH46-AH58</f>
        <v>-664.770219728374</v>
      </c>
      <c r="AI59" s="45" t="n">
        <f aca="false">AI46-AI58</f>
        <v>-52.677079620718</v>
      </c>
      <c r="AJ59" s="45" t="n">
        <f aca="false">AJ46-AJ58</f>
        <v>-30.0008086308098</v>
      </c>
      <c r="AK59" s="45" t="n">
        <f aca="false">AK46-AK58</f>
        <v>-5.45640131543541</v>
      </c>
      <c r="AL59" s="45" t="n">
        <f aca="false">AL46-AL58</f>
        <v>19.6849175821928</v>
      </c>
      <c r="AM59" s="45" t="n">
        <f aca="false">AM46-AM58</f>
        <v>45.3389684047206</v>
      </c>
      <c r="AN59" s="46" t="n">
        <f aca="false">AN46-AN58</f>
        <v>72.3943908899564</v>
      </c>
      <c r="AO59" s="46" t="n">
        <f aca="false">AO46-AO58</f>
        <v>99.7289414696877</v>
      </c>
      <c r="AP59" s="46" t="n">
        <f aca="false">AP46-AP58</f>
        <v>235.00057033152</v>
      </c>
      <c r="AQ59" s="46" t="n">
        <f aca="false">AQ46-AQ58</f>
        <v>368.702593250297</v>
      </c>
      <c r="AR59" s="46" t="n">
        <f aca="false">AR46-AR58</f>
        <v>500.78193789752</v>
      </c>
      <c r="AS59" s="46" t="n">
        <f aca="false">AS46-AS58</f>
        <v>630.348166726293</v>
      </c>
      <c r="AT59" s="46" t="n">
        <f aca="false">AT46-AT58</f>
        <v>758.482741810925</v>
      </c>
      <c r="AU59" s="46" t="n">
        <f aca="false">AU46-AU58</f>
        <v>885.157944981712</v>
      </c>
      <c r="AV59" s="46" t="n">
        <f aca="false">AV46-AV58</f>
        <v>1009.49604672589</v>
      </c>
      <c r="AW59" s="46" t="n">
        <f aca="false">AW46-AW58</f>
        <v>1132.58322803383</v>
      </c>
      <c r="AX59" s="46" t="n">
        <f aca="false">AX46-AX58</f>
        <v>1254.39151219947</v>
      </c>
      <c r="AY59" s="46" t="n">
        <f aca="false">AY46-AY58</f>
        <v>1374.03987697529</v>
      </c>
      <c r="AZ59" s="46" t="n">
        <f aca="false">AZ46-AZ58</f>
        <v>1492.60942619098</v>
      </c>
      <c r="BA59" s="46" t="n">
        <f aca="false">BA46-BA58</f>
        <v>1610.06612148095</v>
      </c>
      <c r="BB59" s="46" t="n">
        <f aca="false">BB46-BB58</f>
        <v>1726.39628633413</v>
      </c>
      <c r="BC59" s="46" t="n">
        <f aca="false">BC46-BC58</f>
        <v>1841.59936625169</v>
      </c>
      <c r="BD59" s="46" t="n">
        <f aca="false">BD46-BD58</f>
        <v>1955.68322058047</v>
      </c>
      <c r="BE59" s="46" t="n">
        <f aca="false">BE46-BE58</f>
        <v>2068.66106024851</v>
      </c>
      <c r="BF59" s="46" t="n">
        <f aca="false">BF46-BF58</f>
        <v>2180.54945562976</v>
      </c>
      <c r="BG59" s="46" t="n">
        <f aca="false">BG46-BG58</f>
        <v>2291.36704026665</v>
      </c>
      <c r="BH59" s="46" t="n">
        <f aca="false">BH46-BH58</f>
        <v>2401.13366715631</v>
      </c>
      <c r="BI59" s="46" t="n">
        <f aca="false">BI46-BI58</f>
        <v>2509.86985944197</v>
      </c>
      <c r="BJ59" s="46" t="n">
        <f aca="false">BJ46-BJ58</f>
        <v>2617.59645269064</v>
      </c>
      <c r="BK59" s="46" t="n">
        <f aca="false">BK46-BK58</f>
        <v>2724.33436190913</v>
      </c>
    </row>
    <row r="60" customFormat="false" ht="15" hidden="false" customHeight="false" outlineLevel="0" collapsed="false">
      <c r="B60" s="5" t="s">
        <v>634</v>
      </c>
    </row>
    <row r="61" customFormat="false" ht="15" hidden="false" customHeight="false" outlineLevel="0" collapsed="false">
      <c r="A61" s="28" t="s">
        <v>268</v>
      </c>
      <c r="B61" s="6" t="s">
        <v>635</v>
      </c>
      <c r="C61" s="47"/>
      <c r="D61" s="9" t="n">
        <f aca="false">Assumptions!$D$83*(1+Assumptions!$D$84)^INT(D7/12)</f>
        <v>17.95</v>
      </c>
      <c r="E61" s="9" t="n">
        <f aca="false">Assumptions!$D$83*(1+Assumptions!$D$84)^INT(E7/12)</f>
        <v>17.95</v>
      </c>
      <c r="F61" s="9" t="n">
        <f aca="false">Assumptions!$D$83*(1+Assumptions!$D$84)^INT(F7/12)</f>
        <v>17.95</v>
      </c>
      <c r="G61" s="9" t="n">
        <f aca="false">Assumptions!$D$83*(1+Assumptions!$D$84)^INT(G7/12)</f>
        <v>17.95</v>
      </c>
      <c r="H61" s="9" t="n">
        <f aca="false">Assumptions!$D$83*(1+Assumptions!$D$84)^INT(H7/12)</f>
        <v>17.95</v>
      </c>
      <c r="I61" s="9" t="n">
        <f aca="false">Assumptions!$D$83*(1+Assumptions!$D$84)^INT(I7/12)</f>
        <v>17.95</v>
      </c>
      <c r="J61" s="9" t="n">
        <f aca="false">Assumptions!$D$83*(1+Assumptions!$D$84)^INT(J7/12)</f>
        <v>17.95</v>
      </c>
      <c r="K61" s="9" t="n">
        <f aca="false">Assumptions!$D$83*(1+Assumptions!$D$84)^INT(K7/12)</f>
        <v>17.95</v>
      </c>
      <c r="L61" s="9" t="n">
        <f aca="false">Assumptions!$D$83*(1+Assumptions!$D$84)^INT(L7/12)</f>
        <v>17.95</v>
      </c>
      <c r="M61" s="9" t="n">
        <f aca="false">Assumptions!$D$83*(1+Assumptions!$D$84)^INT(M7/12)</f>
        <v>17.95</v>
      </c>
      <c r="N61" s="9" t="n">
        <f aca="false">Assumptions!$D$83*(1+Assumptions!$D$84)^INT(N7/12)</f>
        <v>17.95</v>
      </c>
      <c r="O61" s="9" t="n">
        <f aca="false">Assumptions!$D$83*(1+Assumptions!$D$84)^INT(O7/12)</f>
        <v>18.39875</v>
      </c>
      <c r="P61" s="9" t="n">
        <f aca="false">Assumptions!$D$83*(1+Assumptions!$D$84)^INT(P7/12)</f>
        <v>18.39875</v>
      </c>
      <c r="Q61" s="9" t="n">
        <f aca="false">Assumptions!$D$83*(1+Assumptions!$D$84)^INT(Q7/12)</f>
        <v>18.39875</v>
      </c>
      <c r="R61" s="9" t="n">
        <f aca="false">Assumptions!$D$83*(1+Assumptions!$D$84)^INT(R7/12)</f>
        <v>18.39875</v>
      </c>
      <c r="S61" s="9" t="n">
        <f aca="false">Assumptions!$D$83*(1+Assumptions!$D$84)^INT(S7/12)</f>
        <v>18.39875</v>
      </c>
      <c r="T61" s="9" t="n">
        <f aca="false">Assumptions!$D$83*(1+Assumptions!$D$84)^INT(T7/12)</f>
        <v>18.39875</v>
      </c>
      <c r="U61" s="9" t="n">
        <f aca="false">Assumptions!$D$83*(1+Assumptions!$D$84)^INT(U7/12)</f>
        <v>18.39875</v>
      </c>
      <c r="V61" s="9" t="n">
        <f aca="false">Assumptions!$D$83*(1+Assumptions!$D$84)^INT(V7/12)</f>
        <v>18.39875</v>
      </c>
      <c r="W61" s="9" t="n">
        <f aca="false">Assumptions!$D$83*(1+Assumptions!$D$84)^INT(W7/12)</f>
        <v>18.39875</v>
      </c>
      <c r="X61" s="9" t="n">
        <f aca="false">Assumptions!$D$83*(1+Assumptions!$D$84)^INT(X7/12)</f>
        <v>18.39875</v>
      </c>
      <c r="Y61" s="9" t="n">
        <f aca="false">Assumptions!$D$83*(1+Assumptions!$D$84)^INT(Y7/12)</f>
        <v>18.39875</v>
      </c>
      <c r="Z61" s="9" t="n">
        <f aca="false">Assumptions!$D$83*(1+Assumptions!$D$84)^INT(Z7/12)</f>
        <v>18.39875</v>
      </c>
      <c r="AA61" s="9" t="n">
        <f aca="false">Assumptions!$D$83*(1+Assumptions!$D$84)^INT(AA7/12)</f>
        <v>18.85871875</v>
      </c>
      <c r="AB61" s="9" t="n">
        <f aca="false">Assumptions!$D$83*(1+Assumptions!$D$84)^INT(AB7/12)</f>
        <v>18.85871875</v>
      </c>
      <c r="AC61" s="9" t="n">
        <f aca="false">Assumptions!$D$83*(1+Assumptions!$D$84)^INT(AC7/12)</f>
        <v>18.85871875</v>
      </c>
      <c r="AD61" s="9" t="n">
        <f aca="false">Assumptions!$D$83*(1+Assumptions!$D$84)^INT(AD7/12)</f>
        <v>18.85871875</v>
      </c>
      <c r="AE61" s="9" t="n">
        <f aca="false">Assumptions!$D$83*(1+Assumptions!$D$84)^INT(AE7/12)</f>
        <v>18.85871875</v>
      </c>
      <c r="AF61" s="9" t="n">
        <f aca="false">Assumptions!$D$83*(1+Assumptions!$D$84)^INT(AF7/12)</f>
        <v>18.85871875</v>
      </c>
      <c r="AG61" s="9" t="n">
        <f aca="false">Assumptions!$D$83*(1+Assumptions!$D$84)^INT(AG7/12)</f>
        <v>18.85871875</v>
      </c>
      <c r="AH61" s="9" t="n">
        <f aca="false">Assumptions!$D$83*(1+Assumptions!$D$84)^INT(AH7/12)</f>
        <v>18.85871875</v>
      </c>
      <c r="AI61" s="9" t="n">
        <f aca="false">Assumptions!$D$83*(1+Assumptions!$D$84)^INT(AI7/12)</f>
        <v>18.85871875</v>
      </c>
      <c r="AJ61" s="9" t="n">
        <f aca="false">Assumptions!$D$83*(1+Assumptions!$D$84)^INT(AJ7/12)</f>
        <v>18.85871875</v>
      </c>
      <c r="AK61" s="9" t="n">
        <f aca="false">Assumptions!$D$83*(1+Assumptions!$D$84)^INT(AK7/12)</f>
        <v>18.85871875</v>
      </c>
      <c r="AL61" s="9" t="n">
        <f aca="false">Assumptions!$D$83*(1+Assumptions!$D$84)^INT(AL7/12)</f>
        <v>18.85871875</v>
      </c>
      <c r="AM61" s="9" t="n">
        <f aca="false">Assumptions!$D$83*(1+Assumptions!$D$84)^INT(AM7/12)</f>
        <v>19.33018671875</v>
      </c>
      <c r="AN61" s="48" t="n">
        <f aca="false">Assumptions!$D$83*(1+Assumptions!$D$84)^INT(AN7/12)</f>
        <v>19.33018671875</v>
      </c>
      <c r="AO61" s="48" t="n">
        <f aca="false">Assumptions!$D$83*(1+Assumptions!$D$84)^INT(AO7/12)</f>
        <v>19.33018671875</v>
      </c>
      <c r="AP61" s="48" t="n">
        <f aca="false">Assumptions!$D$83*(1+Assumptions!$D$84)^INT(AP7/12)</f>
        <v>19.33018671875</v>
      </c>
      <c r="AQ61" s="48" t="n">
        <f aca="false">Assumptions!$D$83*(1+Assumptions!$D$84)^INT(AQ7/12)</f>
        <v>19.33018671875</v>
      </c>
      <c r="AR61" s="48" t="n">
        <f aca="false">Assumptions!$D$83*(1+Assumptions!$D$84)^INT(AR7/12)</f>
        <v>19.33018671875</v>
      </c>
      <c r="AS61" s="48" t="n">
        <f aca="false">Assumptions!$D$83*(1+Assumptions!$D$84)^INT(AS7/12)</f>
        <v>19.33018671875</v>
      </c>
      <c r="AT61" s="48" t="n">
        <f aca="false">Assumptions!$D$83*(1+Assumptions!$D$84)^INT(AT7/12)</f>
        <v>19.33018671875</v>
      </c>
      <c r="AU61" s="48" t="n">
        <f aca="false">Assumptions!$D$83*(1+Assumptions!$D$84)^INT(AU7/12)</f>
        <v>19.33018671875</v>
      </c>
      <c r="AV61" s="48" t="n">
        <f aca="false">Assumptions!$D$83*(1+Assumptions!$D$84)^INT(AV7/12)</f>
        <v>19.33018671875</v>
      </c>
      <c r="AW61" s="48" t="n">
        <f aca="false">Assumptions!$D$83*(1+Assumptions!$D$84)^INT(AW7/12)</f>
        <v>19.33018671875</v>
      </c>
      <c r="AX61" s="48" t="n">
        <f aca="false">Assumptions!$D$83*(1+Assumptions!$D$84)^INT(AX7/12)</f>
        <v>19.33018671875</v>
      </c>
      <c r="AY61" s="48" t="n">
        <f aca="false">Assumptions!$D$83*(1+Assumptions!$D$84)^INT(AY7/12)</f>
        <v>19.8134413867187</v>
      </c>
      <c r="AZ61" s="48" t="n">
        <f aca="false">Assumptions!$D$83*(1+Assumptions!$D$84)^INT(AZ7/12)</f>
        <v>19.8134413867187</v>
      </c>
      <c r="BA61" s="48" t="n">
        <f aca="false">Assumptions!$D$83*(1+Assumptions!$D$84)^INT(BA7/12)</f>
        <v>19.8134413867187</v>
      </c>
      <c r="BB61" s="48" t="n">
        <f aca="false">Assumptions!$D$83*(1+Assumptions!$D$84)^INT(BB7/12)</f>
        <v>19.8134413867187</v>
      </c>
      <c r="BC61" s="48" t="n">
        <f aca="false">Assumptions!$D$83*(1+Assumptions!$D$84)^INT(BC7/12)</f>
        <v>19.8134413867187</v>
      </c>
      <c r="BD61" s="48" t="n">
        <f aca="false">Assumptions!$D$83*(1+Assumptions!$D$84)^INT(BD7/12)</f>
        <v>19.8134413867187</v>
      </c>
      <c r="BE61" s="48" t="n">
        <f aca="false">Assumptions!$D$83*(1+Assumptions!$D$84)^INT(BE7/12)</f>
        <v>19.8134413867187</v>
      </c>
      <c r="BF61" s="48" t="n">
        <f aca="false">Assumptions!$D$83*(1+Assumptions!$D$84)^INT(BF7/12)</f>
        <v>19.8134413867187</v>
      </c>
      <c r="BG61" s="48" t="n">
        <f aca="false">Assumptions!$D$83*(1+Assumptions!$D$84)^INT(BG7/12)</f>
        <v>19.8134413867187</v>
      </c>
      <c r="BH61" s="48" t="n">
        <f aca="false">Assumptions!$D$83*(1+Assumptions!$D$84)^INT(BH7/12)</f>
        <v>19.8134413867187</v>
      </c>
      <c r="BI61" s="48" t="n">
        <f aca="false">Assumptions!$D$83*(1+Assumptions!$D$84)^INT(BI7/12)</f>
        <v>19.8134413867187</v>
      </c>
      <c r="BJ61" s="48" t="n">
        <f aca="false">Assumptions!$D$83*(1+Assumptions!$D$84)^INT(BJ7/12)</f>
        <v>19.8134413867187</v>
      </c>
      <c r="BK61" s="48" t="n">
        <f aca="false">Assumptions!$D$83*(1+Assumptions!$D$84)^INT(BK7/12)</f>
        <v>20.3087774213867</v>
      </c>
    </row>
    <row r="62" customFormat="false" ht="15" hidden="false" customHeight="false" outlineLevel="0" collapsed="false">
      <c r="A62" s="28" t="s">
        <v>636</v>
      </c>
      <c r="B62" s="6" t="s">
        <v>637</v>
      </c>
      <c r="C62" s="43"/>
      <c r="D62" s="17" t="n">
        <f aca="false">D11*Assumptions!$D$86*D61*(1+Assumptions!$D$85)*Assumptions!$D$91</f>
        <v>0</v>
      </c>
      <c r="E62" s="17" t="n">
        <f aca="false">E11*Assumptions!$D$86*E61*(1+Assumptions!$D$85)*Assumptions!$D$91</f>
        <v>0</v>
      </c>
      <c r="F62" s="17" t="n">
        <f aca="false">F11*Assumptions!$D$86*F61*(1+Assumptions!$D$85)*Assumptions!$D$91</f>
        <v>0</v>
      </c>
      <c r="G62" s="17" t="n">
        <f aca="false">G11*Assumptions!$D$86*G61*(1+Assumptions!$D$85)*Assumptions!$D$91</f>
        <v>0</v>
      </c>
      <c r="H62" s="17" t="n">
        <f aca="false">H11*Assumptions!$D$86*H61*(1+Assumptions!$D$85)*Assumptions!$D$91</f>
        <v>362.060475</v>
      </c>
      <c r="I62" s="17" t="n">
        <f aca="false">I11*Assumptions!$D$86*I61*(1+Assumptions!$D$85)*Assumptions!$D$91</f>
        <v>318.613218</v>
      </c>
      <c r="J62" s="17" t="n">
        <f aca="false">J11*Assumptions!$D$86*J61*(1+Assumptions!$D$85)*Assumptions!$D$91</f>
        <v>217.236285</v>
      </c>
      <c r="K62" s="17" t="n">
        <f aca="false">K11*Assumptions!$D$86*K61*(1+Assumptions!$D$85)*Assumptions!$D$91</f>
        <v>144.82419</v>
      </c>
      <c r="L62" s="17" t="n">
        <f aca="false">L11*Assumptions!$D$86*L61*(1+Assumptions!$D$85)*Assumptions!$D$91</f>
        <v>86.894514</v>
      </c>
      <c r="M62" s="17" t="n">
        <f aca="false">M11*Assumptions!$D$86*M61*(1+Assumptions!$D$85)*Assumptions!$D$91</f>
        <v>72.412095</v>
      </c>
      <c r="N62" s="17" t="n">
        <f aca="false">N11*Assumptions!$D$86*N61*(1+Assumptions!$D$85)*Assumptions!$D$91</f>
        <v>376.542894</v>
      </c>
      <c r="O62" s="17" t="n">
        <f aca="false">O11*Assumptions!$D$86*O61*(1+Assumptions!$D$85)*Assumptions!$D$91</f>
        <v>341.423027925</v>
      </c>
      <c r="P62" s="17" t="n">
        <f aca="false">P11*Assumptions!$D$86*P61*(1+Assumptions!$D$85)*Assumptions!$D$91</f>
        <v>237.5116716</v>
      </c>
      <c r="Q62" s="17" t="n">
        <f aca="false">Q11*Assumptions!$D$86*Q61*(1+Assumptions!$D$85)*Assumptions!$D$91</f>
        <v>534.4012611</v>
      </c>
      <c r="R62" s="17" t="n">
        <f aca="false">R11*Assumptions!$D$86*R61*(1+Assumptions!$D$85)*Assumptions!$D$91</f>
        <v>430.489904775</v>
      </c>
      <c r="S62" s="17" t="n">
        <f aca="false">S11*Assumptions!$D$86*S61*(1+Assumptions!$D$85)*Assumptions!$D$91</f>
        <v>311.734068975</v>
      </c>
      <c r="T62" s="17" t="n">
        <f aca="false">T11*Assumptions!$D$86*T61*(1+Assumptions!$D$85)*Assumptions!$D$91</f>
        <v>549.245740575</v>
      </c>
      <c r="U62" s="17" t="n">
        <f aca="false">U11*Assumptions!$D$86*U61*(1+Assumptions!$D$85)*Assumptions!$D$91</f>
        <v>816.446371125</v>
      </c>
      <c r="V62" s="17" t="n">
        <f aca="false">V11*Assumptions!$D$86*V61*(1+Assumptions!$D$85)*Assumptions!$D$91</f>
        <v>653.1570969</v>
      </c>
      <c r="W62" s="17" t="n">
        <f aca="false">W11*Assumptions!$D$86*W61*(1+Assumptions!$D$85)*Assumptions!$D$91</f>
        <v>786.757412175</v>
      </c>
      <c r="X62" s="17" t="n">
        <f aca="false">X11*Assumptions!$D$86*X61*(1+Assumptions!$D$85)*Assumptions!$D$91</f>
        <v>979.735645349999</v>
      </c>
      <c r="Y62" s="17" t="n">
        <f aca="false">Y11*Assumptions!$D$86*Y61*(1+Assumptions!$D$85)*Assumptions!$D$91</f>
        <v>757.068453225</v>
      </c>
      <c r="Z62" s="17" t="n">
        <f aca="false">Z11*Assumptions!$D$86*Z61*(1+Assumptions!$D$85)*Assumptions!$D$91</f>
        <v>875.824289025</v>
      </c>
      <c r="AA62" s="17" t="n">
        <f aca="false">AA11*Assumptions!$D$86*AA61*(1+Assumptions!$D$85)*Assumptions!$D$91</f>
        <v>1034.6602194075</v>
      </c>
      <c r="AB62" s="17" t="n">
        <f aca="false">AB11*Assumptions!$D$86*AB61*(1+Assumptions!$D$85)*Assumptions!$D$91</f>
        <v>806.426347479375</v>
      </c>
      <c r="AC62" s="17" t="n">
        <f aca="false">AC11*Assumptions!$D$86*AC61*(1+Assumptions!$D$85)*Assumptions!$D$91</f>
        <v>928.151079174375</v>
      </c>
      <c r="AD62" s="17" t="n">
        <f aca="false">AD11*Assumptions!$D$86*AD61*(1+Assumptions!$D$85)*Assumptions!$D$91</f>
        <v>1065.09140233125</v>
      </c>
      <c r="AE62" s="17" t="n">
        <f aca="false">AE11*Assumptions!$D$86*AE61*(1+Assumptions!$D$85)*Assumptions!$D$91</f>
        <v>1202.03172548812</v>
      </c>
      <c r="AF62" s="17" t="n">
        <f aca="false">AF11*Assumptions!$D$86*AF61*(1+Assumptions!$D$85)*Assumptions!$D$91</f>
        <v>1278.1096827975</v>
      </c>
      <c r="AG62" s="17" t="n">
        <f aca="false">AG11*Assumptions!$D$86*AG61*(1+Assumptions!$D$85)*Assumptions!$D$91</f>
        <v>1308.54086572125</v>
      </c>
      <c r="AH62" s="17" t="n">
        <f aca="false">AH11*Assumptions!$D$86*AH61*(1+Assumptions!$D$85)*Assumptions!$D$91</f>
        <v>1384.61882303062</v>
      </c>
      <c r="AI62" s="17" t="n">
        <f aca="false">AI11*Assumptions!$D$86*AI61*(1+Assumptions!$D$85)*Assumptions!$D$91</f>
        <v>1399.8344144925</v>
      </c>
      <c r="AJ62" s="17" t="n">
        <f aca="false">AJ11*Assumptions!$D$86*AJ61*(1+Assumptions!$D$85)*Assumptions!$D$91</f>
        <v>1415.05000595438</v>
      </c>
      <c r="AK62" s="17" t="n">
        <f aca="false">AK11*Assumptions!$D$86*AK61*(1+Assumptions!$D$85)*Assumptions!$D$91</f>
        <v>1415.05000595438</v>
      </c>
      <c r="AL62" s="17" t="n">
        <f aca="false">AL11*Assumptions!$D$86*AL61*(1+Assumptions!$D$85)*Assumptions!$D$91</f>
        <v>1430.26559741625</v>
      </c>
      <c r="AM62" s="17" t="n">
        <f aca="false">AM11*Assumptions!$D$86*AM61*(1+Assumptions!$D$85)*Assumptions!$D$91</f>
        <v>1481.61821860008</v>
      </c>
      <c r="AN62" s="44" t="n">
        <f aca="false">AN11*Assumptions!$D$86*AN61*(1+Assumptions!$D$85)*Assumptions!$D$91</f>
        <v>1481.61821860008</v>
      </c>
      <c r="AO62" s="44" t="n">
        <f aca="false">AO11*Assumptions!$D$86*AO61*(1+Assumptions!$D$85)*Assumptions!$D$91</f>
        <v>1497.2141998485</v>
      </c>
      <c r="AP62" s="44" t="n">
        <f aca="false">AP11*Assumptions!$D$86*AP61*(1+Assumptions!$D$85)*Assumptions!$D$91</f>
        <v>1512.81018109692</v>
      </c>
      <c r="AQ62" s="44" t="n">
        <f aca="false">AQ11*Assumptions!$D$86*AQ61*(1+Assumptions!$D$85)*Assumptions!$D$91</f>
        <v>1512.81018109692</v>
      </c>
      <c r="AR62" s="44" t="n">
        <f aca="false">AR11*Assumptions!$D$86*AR61*(1+Assumptions!$D$85)*Assumptions!$D$91</f>
        <v>1512.81018109692</v>
      </c>
      <c r="AS62" s="44" t="n">
        <f aca="false">AS11*Assumptions!$D$86*AS61*(1+Assumptions!$D$85)*Assumptions!$D$91</f>
        <v>1528.40616234534</v>
      </c>
      <c r="AT62" s="44" t="n">
        <f aca="false">AT11*Assumptions!$D$86*AT61*(1+Assumptions!$D$85)*Assumptions!$D$91</f>
        <v>1528.40616234534</v>
      </c>
      <c r="AU62" s="44" t="n">
        <f aca="false">AU11*Assumptions!$D$86*AU61*(1+Assumptions!$D$85)*Assumptions!$D$91</f>
        <v>1528.40616234534</v>
      </c>
      <c r="AV62" s="44" t="n">
        <f aca="false">AV11*Assumptions!$D$86*AV61*(1+Assumptions!$D$85)*Assumptions!$D$91</f>
        <v>1544.00214359377</v>
      </c>
      <c r="AW62" s="44" t="n">
        <f aca="false">AW11*Assumptions!$D$86*AW61*(1+Assumptions!$D$85)*Assumptions!$D$91</f>
        <v>1544.00214359377</v>
      </c>
      <c r="AX62" s="44" t="n">
        <f aca="false">AX11*Assumptions!$D$86*AX61*(1+Assumptions!$D$85)*Assumptions!$D$91</f>
        <v>1544.00214359377</v>
      </c>
      <c r="AY62" s="44" t="n">
        <f aca="false">AY11*Assumptions!$D$86*AY61*(1+Assumptions!$D$85)*Assumptions!$D$91</f>
        <v>1598.58807796324</v>
      </c>
      <c r="AZ62" s="44" t="n">
        <f aca="false">AZ11*Assumptions!$D$86*AZ61*(1+Assumptions!$D$85)*Assumptions!$D$91</f>
        <v>1598.58807796324</v>
      </c>
      <c r="BA62" s="44" t="n">
        <f aca="false">BA11*Assumptions!$D$86*BA61*(1+Assumptions!$D$85)*Assumptions!$D$91</f>
        <v>1598.58807796324</v>
      </c>
      <c r="BB62" s="44" t="n">
        <f aca="false">BB11*Assumptions!$D$86*BB61*(1+Assumptions!$D$85)*Assumptions!$D$91</f>
        <v>1598.58807796324</v>
      </c>
      <c r="BC62" s="44" t="n">
        <f aca="false">BC11*Assumptions!$D$86*BC61*(1+Assumptions!$D$85)*Assumptions!$D$91</f>
        <v>1598.58807796324</v>
      </c>
      <c r="BD62" s="44" t="n">
        <f aca="false">BD11*Assumptions!$D$86*BD61*(1+Assumptions!$D$85)*Assumptions!$D$91</f>
        <v>1598.58807796324</v>
      </c>
      <c r="BE62" s="44" t="n">
        <f aca="false">BE11*Assumptions!$D$86*BE61*(1+Assumptions!$D$85)*Assumptions!$D$91</f>
        <v>1598.58807796324</v>
      </c>
      <c r="BF62" s="44" t="n">
        <f aca="false">BF11*Assumptions!$D$86*BF61*(1+Assumptions!$D$85)*Assumptions!$D$91</f>
        <v>1598.58807796324</v>
      </c>
      <c r="BG62" s="44" t="n">
        <f aca="false">BG11*Assumptions!$D$86*BG61*(1+Assumptions!$D$85)*Assumptions!$D$91</f>
        <v>1598.58807796324</v>
      </c>
      <c r="BH62" s="44" t="n">
        <f aca="false">BH11*Assumptions!$D$86*BH61*(1+Assumptions!$D$85)*Assumptions!$D$91</f>
        <v>1598.58807796324</v>
      </c>
      <c r="BI62" s="44" t="n">
        <f aca="false">BI11*Assumptions!$D$86*BI61*(1+Assumptions!$D$85)*Assumptions!$D$91</f>
        <v>1598.58807796324</v>
      </c>
      <c r="BJ62" s="44" t="n">
        <f aca="false">BJ11*Assumptions!$D$86*BJ61*(1+Assumptions!$D$85)*Assumptions!$D$91</f>
        <v>1598.58807796324</v>
      </c>
      <c r="BK62" s="44" t="n">
        <f aca="false">BK11*Assumptions!$D$86*BK61*(1+Assumptions!$D$85)*Assumptions!$D$91</f>
        <v>1638.55277991232</v>
      </c>
    </row>
    <row r="63" customFormat="false" ht="15" hidden="false" customHeight="false" outlineLevel="0" collapsed="false">
      <c r="A63" s="28" t="s">
        <v>638</v>
      </c>
      <c r="B63" s="6" t="s">
        <v>639</v>
      </c>
      <c r="C63" s="43"/>
      <c r="D63" s="17" t="n">
        <f aca="false">D14*Assumptions!$D$87*(1+Assumptions!$D$85)*Assumptions!$D$91</f>
        <v>0</v>
      </c>
      <c r="E63" s="17" t="n">
        <f aca="false">E14*Assumptions!$D$87*(1+Assumptions!$D$85)*Assumptions!$D$91</f>
        <v>0</v>
      </c>
      <c r="F63" s="17" t="n">
        <f aca="false">F14*Assumptions!$D$87*(1+Assumptions!$D$85)*Assumptions!$D$91</f>
        <v>0</v>
      </c>
      <c r="G63" s="17" t="n">
        <f aca="false">G14*Assumptions!$D$87*(1+Assumptions!$D$85)*Assumptions!$D$91</f>
        <v>0</v>
      </c>
      <c r="H63" s="17" t="n">
        <f aca="false">H14*Assumptions!$D$87*(1+Assumptions!$D$85)*Assumptions!$D$91</f>
        <v>72.0375</v>
      </c>
      <c r="I63" s="17" t="n">
        <f aca="false">I14*Assumptions!$D$87*(1+Assumptions!$D$85)*Assumptions!$D$91</f>
        <v>63.393</v>
      </c>
      <c r="J63" s="17" t="n">
        <f aca="false">J14*Assumptions!$D$87*(1+Assumptions!$D$85)*Assumptions!$D$91</f>
        <v>43.2225</v>
      </c>
      <c r="K63" s="17" t="n">
        <f aca="false">K14*Assumptions!$D$87*(1+Assumptions!$D$85)*Assumptions!$D$91</f>
        <v>28.815</v>
      </c>
      <c r="L63" s="17" t="n">
        <f aca="false">L14*Assumptions!$D$87*(1+Assumptions!$D$85)*Assumptions!$D$91</f>
        <v>17.289</v>
      </c>
      <c r="M63" s="17" t="n">
        <f aca="false">M14*Assumptions!$D$87*(1+Assumptions!$D$85)*Assumptions!$D$91</f>
        <v>14.4075</v>
      </c>
      <c r="N63" s="17" t="n">
        <f aca="false">N14*Assumptions!$D$87*(1+Assumptions!$D$85)*Assumptions!$D$91</f>
        <v>74.919</v>
      </c>
      <c r="O63" s="17" t="n">
        <f aca="false">O14*Assumptions!$D$87*(1+Assumptions!$D$85)*Assumptions!$D$91</f>
        <v>66.2745</v>
      </c>
      <c r="P63" s="17" t="n">
        <f aca="false">P14*Assumptions!$D$87*(1+Assumptions!$D$85)*Assumptions!$D$91</f>
        <v>46.104</v>
      </c>
      <c r="Q63" s="17" t="n">
        <f aca="false">Q14*Assumptions!$D$87*(1+Assumptions!$D$85)*Assumptions!$D$91</f>
        <v>103.734</v>
      </c>
      <c r="R63" s="17" t="n">
        <f aca="false">R14*Assumptions!$D$87*(1+Assumptions!$D$85)*Assumptions!$D$91</f>
        <v>83.5635</v>
      </c>
      <c r="S63" s="17" t="n">
        <f aca="false">S14*Assumptions!$D$87*(1+Assumptions!$D$85)*Assumptions!$D$91</f>
        <v>60.5115</v>
      </c>
      <c r="T63" s="17" t="n">
        <f aca="false">T14*Assumptions!$D$87*(1+Assumptions!$D$85)*Assumptions!$D$91</f>
        <v>106.6155</v>
      </c>
      <c r="U63" s="17" t="n">
        <f aca="false">U14*Assumptions!$D$87*(1+Assumptions!$D$85)*Assumptions!$D$91</f>
        <v>158.4825</v>
      </c>
      <c r="V63" s="17" t="n">
        <f aca="false">V14*Assumptions!$D$87*(1+Assumptions!$D$85)*Assumptions!$D$91</f>
        <v>126.786</v>
      </c>
      <c r="W63" s="17" t="n">
        <f aca="false">W14*Assumptions!$D$87*(1+Assumptions!$D$85)*Assumptions!$D$91</f>
        <v>152.7195</v>
      </c>
      <c r="X63" s="17" t="n">
        <f aca="false">X14*Assumptions!$D$87*(1+Assumptions!$D$85)*Assumptions!$D$91</f>
        <v>190.179</v>
      </c>
      <c r="Y63" s="17" t="n">
        <f aca="false">Y14*Assumptions!$D$87*(1+Assumptions!$D$85)*Assumptions!$D$91</f>
        <v>146.9565</v>
      </c>
      <c r="Z63" s="17" t="n">
        <f aca="false">Z14*Assumptions!$D$87*(1+Assumptions!$D$85)*Assumptions!$D$91</f>
        <v>170.0085</v>
      </c>
      <c r="AA63" s="17" t="n">
        <f aca="false">AA14*Assumptions!$D$87*(1+Assumptions!$D$85)*Assumptions!$D$91</f>
        <v>195.942</v>
      </c>
      <c r="AB63" s="17" t="n">
        <f aca="false">AB14*Assumptions!$D$87*(1+Assumptions!$D$85)*Assumptions!$D$91</f>
        <v>152.7195</v>
      </c>
      <c r="AC63" s="17" t="n">
        <f aca="false">AC14*Assumptions!$D$87*(1+Assumptions!$D$85)*Assumptions!$D$91</f>
        <v>175.7715</v>
      </c>
      <c r="AD63" s="17" t="n">
        <f aca="false">AD14*Assumptions!$D$87*(1+Assumptions!$D$85)*Assumptions!$D$91</f>
        <v>201.705</v>
      </c>
      <c r="AE63" s="17" t="n">
        <f aca="false">AE14*Assumptions!$D$87*(1+Assumptions!$D$85)*Assumptions!$D$91</f>
        <v>227.6385</v>
      </c>
      <c r="AF63" s="17" t="n">
        <f aca="false">AF14*Assumptions!$D$87*(1+Assumptions!$D$85)*Assumptions!$D$91</f>
        <v>242.046</v>
      </c>
      <c r="AG63" s="17" t="n">
        <f aca="false">AG14*Assumptions!$D$87*(1+Assumptions!$D$85)*Assumptions!$D$91</f>
        <v>247.809</v>
      </c>
      <c r="AH63" s="17" t="n">
        <f aca="false">AH14*Assumptions!$D$87*(1+Assumptions!$D$85)*Assumptions!$D$91</f>
        <v>262.2165</v>
      </c>
      <c r="AI63" s="17" t="n">
        <f aca="false">AI14*Assumptions!$D$87*(1+Assumptions!$D$85)*Assumptions!$D$91</f>
        <v>265.098</v>
      </c>
      <c r="AJ63" s="17" t="n">
        <f aca="false">AJ14*Assumptions!$D$87*(1+Assumptions!$D$85)*Assumptions!$D$91</f>
        <v>267.9795</v>
      </c>
      <c r="AK63" s="17" t="n">
        <f aca="false">AK14*Assumptions!$D$87*(1+Assumptions!$D$85)*Assumptions!$D$91</f>
        <v>267.9795</v>
      </c>
      <c r="AL63" s="17" t="n">
        <f aca="false">AL14*Assumptions!$D$87*(1+Assumptions!$D$85)*Assumptions!$D$91</f>
        <v>270.861</v>
      </c>
      <c r="AM63" s="17" t="n">
        <f aca="false">AM14*Assumptions!$D$87*(1+Assumptions!$D$85)*Assumptions!$D$91</f>
        <v>273.7425</v>
      </c>
      <c r="AN63" s="44" t="n">
        <f aca="false">AN14*Assumptions!$D$87*(1+Assumptions!$D$85)*Assumptions!$D$91</f>
        <v>273.7425</v>
      </c>
      <c r="AO63" s="44" t="n">
        <f aca="false">AO14*Assumptions!$D$87*(1+Assumptions!$D$85)*Assumptions!$D$91</f>
        <v>276.624</v>
      </c>
      <c r="AP63" s="44" t="n">
        <f aca="false">AP14*Assumptions!$D$87*(1+Assumptions!$D$85)*Assumptions!$D$91</f>
        <v>279.5055</v>
      </c>
      <c r="AQ63" s="44" t="n">
        <f aca="false">AQ14*Assumptions!$D$87*(1+Assumptions!$D$85)*Assumptions!$D$91</f>
        <v>279.5055</v>
      </c>
      <c r="AR63" s="44" t="n">
        <f aca="false">AR14*Assumptions!$D$87*(1+Assumptions!$D$85)*Assumptions!$D$91</f>
        <v>279.5055</v>
      </c>
      <c r="AS63" s="44" t="n">
        <f aca="false">AS14*Assumptions!$D$87*(1+Assumptions!$D$85)*Assumptions!$D$91</f>
        <v>282.387</v>
      </c>
      <c r="AT63" s="44" t="n">
        <f aca="false">AT14*Assumptions!$D$87*(1+Assumptions!$D$85)*Assumptions!$D$91</f>
        <v>282.387</v>
      </c>
      <c r="AU63" s="44" t="n">
        <f aca="false">AU14*Assumptions!$D$87*(1+Assumptions!$D$85)*Assumptions!$D$91</f>
        <v>282.387</v>
      </c>
      <c r="AV63" s="44" t="n">
        <f aca="false">AV14*Assumptions!$D$87*(1+Assumptions!$D$85)*Assumptions!$D$91</f>
        <v>285.2685</v>
      </c>
      <c r="AW63" s="44" t="n">
        <f aca="false">AW14*Assumptions!$D$87*(1+Assumptions!$D$85)*Assumptions!$D$91</f>
        <v>285.2685</v>
      </c>
      <c r="AX63" s="44" t="n">
        <f aca="false">AX14*Assumptions!$D$87*(1+Assumptions!$D$85)*Assumptions!$D$91</f>
        <v>285.2685</v>
      </c>
      <c r="AY63" s="44" t="n">
        <f aca="false">AY14*Assumptions!$D$87*(1+Assumptions!$D$85)*Assumptions!$D$91</f>
        <v>288.15</v>
      </c>
      <c r="AZ63" s="44" t="n">
        <f aca="false">AZ14*Assumptions!$D$87*(1+Assumptions!$D$85)*Assumptions!$D$91</f>
        <v>288.15</v>
      </c>
      <c r="BA63" s="44" t="n">
        <f aca="false">BA14*Assumptions!$D$87*(1+Assumptions!$D$85)*Assumptions!$D$91</f>
        <v>288.15</v>
      </c>
      <c r="BB63" s="44" t="n">
        <f aca="false">BB14*Assumptions!$D$87*(1+Assumptions!$D$85)*Assumptions!$D$91</f>
        <v>288.15</v>
      </c>
      <c r="BC63" s="44" t="n">
        <f aca="false">BC14*Assumptions!$D$87*(1+Assumptions!$D$85)*Assumptions!$D$91</f>
        <v>288.15</v>
      </c>
      <c r="BD63" s="44" t="n">
        <f aca="false">BD14*Assumptions!$D$87*(1+Assumptions!$D$85)*Assumptions!$D$91</f>
        <v>288.15</v>
      </c>
      <c r="BE63" s="44" t="n">
        <f aca="false">BE14*Assumptions!$D$87*(1+Assumptions!$D$85)*Assumptions!$D$91</f>
        <v>288.15</v>
      </c>
      <c r="BF63" s="44" t="n">
        <f aca="false">BF14*Assumptions!$D$87*(1+Assumptions!$D$85)*Assumptions!$D$91</f>
        <v>288.15</v>
      </c>
      <c r="BG63" s="44" t="n">
        <f aca="false">BG14*Assumptions!$D$87*(1+Assumptions!$D$85)*Assumptions!$D$91</f>
        <v>288.15</v>
      </c>
      <c r="BH63" s="44" t="n">
        <f aca="false">BH14*Assumptions!$D$87*(1+Assumptions!$D$85)*Assumptions!$D$91</f>
        <v>288.15</v>
      </c>
      <c r="BI63" s="44" t="n">
        <f aca="false">BI14*Assumptions!$D$87*(1+Assumptions!$D$85)*Assumptions!$D$91</f>
        <v>288.15</v>
      </c>
      <c r="BJ63" s="44" t="n">
        <f aca="false">BJ14*Assumptions!$D$87*(1+Assumptions!$D$85)*Assumptions!$D$91</f>
        <v>288.15</v>
      </c>
      <c r="BK63" s="44" t="n">
        <f aca="false">BK14*Assumptions!$D$87*(1+Assumptions!$D$85)*Assumptions!$D$91</f>
        <v>288.15</v>
      </c>
    </row>
    <row r="64" customFormat="false" ht="15" hidden="false" customHeight="false" outlineLevel="0" collapsed="false">
      <c r="A64" s="28" t="s">
        <v>640</v>
      </c>
      <c r="B64" s="6" t="s">
        <v>641</v>
      </c>
      <c r="C64" s="43"/>
      <c r="D64" s="17" t="n">
        <f aca="false">D11*Assumptions!$D$88*Assumptions!$D$91</f>
        <v>0</v>
      </c>
      <c r="E64" s="17" t="n">
        <f aca="false">E11*Assumptions!$D$88*Assumptions!$D$91</f>
        <v>0</v>
      </c>
      <c r="F64" s="17" t="n">
        <f aca="false">F11*Assumptions!$D$88*Assumptions!$D$91</f>
        <v>0</v>
      </c>
      <c r="G64" s="17" t="n">
        <f aca="false">G11*Assumptions!$D$88*Assumptions!$D$91</f>
        <v>0</v>
      </c>
      <c r="H64" s="17" t="n">
        <f aca="false">H11*Assumptions!$D$88*Assumptions!$D$91</f>
        <v>76.5</v>
      </c>
      <c r="I64" s="17" t="n">
        <f aca="false">I11*Assumptions!$D$88*Assumptions!$D$91</f>
        <v>67.32</v>
      </c>
      <c r="J64" s="17" t="n">
        <f aca="false">J11*Assumptions!$D$88*Assumptions!$D$91</f>
        <v>45.9</v>
      </c>
      <c r="K64" s="17" t="n">
        <f aca="false">K11*Assumptions!$D$88*Assumptions!$D$91</f>
        <v>30.6</v>
      </c>
      <c r="L64" s="17" t="n">
        <f aca="false">L11*Assumptions!$D$88*Assumptions!$D$91</f>
        <v>18.36</v>
      </c>
      <c r="M64" s="17" t="n">
        <f aca="false">M11*Assumptions!$D$88*Assumptions!$D$91</f>
        <v>15.3</v>
      </c>
      <c r="N64" s="17" t="n">
        <f aca="false">N11*Assumptions!$D$88*Assumptions!$D$91</f>
        <v>79.56</v>
      </c>
      <c r="O64" s="17" t="n">
        <f aca="false">O11*Assumptions!$D$88*Assumptions!$D$91</f>
        <v>70.38</v>
      </c>
      <c r="P64" s="17" t="n">
        <f aca="false">P11*Assumptions!$D$88*Assumptions!$D$91</f>
        <v>48.96</v>
      </c>
      <c r="Q64" s="17" t="n">
        <f aca="false">Q11*Assumptions!$D$88*Assumptions!$D$91</f>
        <v>110.16</v>
      </c>
      <c r="R64" s="17" t="n">
        <f aca="false">R11*Assumptions!$D$88*Assumptions!$D$91</f>
        <v>88.74</v>
      </c>
      <c r="S64" s="17" t="n">
        <f aca="false">S11*Assumptions!$D$88*Assumptions!$D$91</f>
        <v>64.26</v>
      </c>
      <c r="T64" s="17" t="n">
        <f aca="false">T11*Assumptions!$D$88*Assumptions!$D$91</f>
        <v>113.22</v>
      </c>
      <c r="U64" s="17" t="n">
        <f aca="false">U11*Assumptions!$D$88*Assumptions!$D$91</f>
        <v>168.3</v>
      </c>
      <c r="V64" s="17" t="n">
        <f aca="false">V11*Assumptions!$D$88*Assumptions!$D$91</f>
        <v>134.64</v>
      </c>
      <c r="W64" s="17" t="n">
        <f aca="false">W11*Assumptions!$D$88*Assumptions!$D$91</f>
        <v>162.18</v>
      </c>
      <c r="X64" s="17" t="n">
        <f aca="false">X11*Assumptions!$D$88*Assumptions!$D$91</f>
        <v>201.96</v>
      </c>
      <c r="Y64" s="17" t="n">
        <f aca="false">Y11*Assumptions!$D$88*Assumptions!$D$91</f>
        <v>156.06</v>
      </c>
      <c r="Z64" s="17" t="n">
        <f aca="false">Z11*Assumptions!$D$88*Assumptions!$D$91</f>
        <v>180.54</v>
      </c>
      <c r="AA64" s="17" t="n">
        <f aca="false">AA11*Assumptions!$D$88*Assumptions!$D$91</f>
        <v>208.08</v>
      </c>
      <c r="AB64" s="17" t="n">
        <f aca="false">AB11*Assumptions!$D$88*Assumptions!$D$91</f>
        <v>162.18</v>
      </c>
      <c r="AC64" s="17" t="n">
        <f aca="false">AC11*Assumptions!$D$88*Assumptions!$D$91</f>
        <v>186.66</v>
      </c>
      <c r="AD64" s="17" t="n">
        <f aca="false">AD11*Assumptions!$D$88*Assumptions!$D$91</f>
        <v>214.2</v>
      </c>
      <c r="AE64" s="17" t="n">
        <f aca="false">AE11*Assumptions!$D$88*Assumptions!$D$91</f>
        <v>241.74</v>
      </c>
      <c r="AF64" s="17" t="n">
        <f aca="false">AF11*Assumptions!$D$88*Assumptions!$D$91</f>
        <v>257.04</v>
      </c>
      <c r="AG64" s="17" t="n">
        <f aca="false">AG11*Assumptions!$D$88*Assumptions!$D$91</f>
        <v>263.16</v>
      </c>
      <c r="AH64" s="17" t="n">
        <f aca="false">AH11*Assumptions!$D$88*Assumptions!$D$91</f>
        <v>278.46</v>
      </c>
      <c r="AI64" s="17" t="n">
        <f aca="false">AI11*Assumptions!$D$88*Assumptions!$D$91</f>
        <v>281.52</v>
      </c>
      <c r="AJ64" s="17" t="n">
        <f aca="false">AJ11*Assumptions!$D$88*Assumptions!$D$91</f>
        <v>284.58</v>
      </c>
      <c r="AK64" s="17" t="n">
        <f aca="false">AK11*Assumptions!$D$88*Assumptions!$D$91</f>
        <v>284.58</v>
      </c>
      <c r="AL64" s="17" t="n">
        <f aca="false">AL11*Assumptions!$D$88*Assumptions!$D$91</f>
        <v>287.64</v>
      </c>
      <c r="AM64" s="17" t="n">
        <f aca="false">AM11*Assumptions!$D$88*Assumptions!$D$91</f>
        <v>290.7</v>
      </c>
      <c r="AN64" s="44" t="n">
        <f aca="false">AN11*Assumptions!$D$88*Assumptions!$D$91</f>
        <v>290.7</v>
      </c>
      <c r="AO64" s="44" t="n">
        <f aca="false">AO11*Assumptions!$D$88*Assumptions!$D$91</f>
        <v>293.76</v>
      </c>
      <c r="AP64" s="44" t="n">
        <f aca="false">AP11*Assumptions!$D$88*Assumptions!$D$91</f>
        <v>296.82</v>
      </c>
      <c r="AQ64" s="44" t="n">
        <f aca="false">AQ11*Assumptions!$D$88*Assumptions!$D$91</f>
        <v>296.82</v>
      </c>
      <c r="AR64" s="44" t="n">
        <f aca="false">AR11*Assumptions!$D$88*Assumptions!$D$91</f>
        <v>296.82</v>
      </c>
      <c r="AS64" s="44" t="n">
        <f aca="false">AS11*Assumptions!$D$88*Assumptions!$D$91</f>
        <v>299.88</v>
      </c>
      <c r="AT64" s="44" t="n">
        <f aca="false">AT11*Assumptions!$D$88*Assumptions!$D$91</f>
        <v>299.88</v>
      </c>
      <c r="AU64" s="44" t="n">
        <f aca="false">AU11*Assumptions!$D$88*Assumptions!$D$91</f>
        <v>299.88</v>
      </c>
      <c r="AV64" s="44" t="n">
        <f aca="false">AV11*Assumptions!$D$88*Assumptions!$D$91</f>
        <v>302.94</v>
      </c>
      <c r="AW64" s="44" t="n">
        <f aca="false">AW11*Assumptions!$D$88*Assumptions!$D$91</f>
        <v>302.94</v>
      </c>
      <c r="AX64" s="44" t="n">
        <f aca="false">AX11*Assumptions!$D$88*Assumptions!$D$91</f>
        <v>302.94</v>
      </c>
      <c r="AY64" s="44" t="n">
        <f aca="false">AY11*Assumptions!$D$88*Assumptions!$D$91</f>
        <v>306</v>
      </c>
      <c r="AZ64" s="44" t="n">
        <f aca="false">AZ11*Assumptions!$D$88*Assumptions!$D$91</f>
        <v>306</v>
      </c>
      <c r="BA64" s="44" t="n">
        <f aca="false">BA11*Assumptions!$D$88*Assumptions!$D$91</f>
        <v>306</v>
      </c>
      <c r="BB64" s="44" t="n">
        <f aca="false">BB11*Assumptions!$D$88*Assumptions!$D$91</f>
        <v>306</v>
      </c>
      <c r="BC64" s="44" t="n">
        <f aca="false">BC11*Assumptions!$D$88*Assumptions!$D$91</f>
        <v>306</v>
      </c>
      <c r="BD64" s="44" t="n">
        <f aca="false">BD11*Assumptions!$D$88*Assumptions!$D$91</f>
        <v>306</v>
      </c>
      <c r="BE64" s="44" t="n">
        <f aca="false">BE11*Assumptions!$D$88*Assumptions!$D$91</f>
        <v>306</v>
      </c>
      <c r="BF64" s="44" t="n">
        <f aca="false">BF11*Assumptions!$D$88*Assumptions!$D$91</f>
        <v>306</v>
      </c>
      <c r="BG64" s="44" t="n">
        <f aca="false">BG11*Assumptions!$D$88*Assumptions!$D$91</f>
        <v>306</v>
      </c>
      <c r="BH64" s="44" t="n">
        <f aca="false">BH11*Assumptions!$D$88*Assumptions!$D$91</f>
        <v>306</v>
      </c>
      <c r="BI64" s="44" t="n">
        <f aca="false">BI11*Assumptions!$D$88*Assumptions!$D$91</f>
        <v>306</v>
      </c>
      <c r="BJ64" s="44" t="n">
        <f aca="false">BJ11*Assumptions!$D$88*Assumptions!$D$91</f>
        <v>306</v>
      </c>
      <c r="BK64" s="44" t="n">
        <f aca="false">BK11*Assumptions!$D$88*Assumptions!$D$91</f>
        <v>306</v>
      </c>
    </row>
    <row r="65" customFormat="false" ht="15" hidden="false" customHeight="false" outlineLevel="0" collapsed="false">
      <c r="A65" s="28" t="s">
        <v>642</v>
      </c>
      <c r="B65" s="6" t="s">
        <v>643</v>
      </c>
      <c r="C65" s="43"/>
      <c r="D65" s="17" t="n">
        <f aca="false">D8*Assumptions!$D$89*Assumptions!$D$91</f>
        <v>0</v>
      </c>
      <c r="E65" s="17" t="n">
        <f aca="false">E8*Assumptions!$D$89*Assumptions!$D$91</f>
        <v>0</v>
      </c>
      <c r="F65" s="17" t="n">
        <f aca="false">F8*Assumptions!$D$89*Assumptions!$D$91</f>
        <v>0</v>
      </c>
      <c r="G65" s="17" t="n">
        <f aca="false">G8*Assumptions!$D$89*Assumptions!$D$91</f>
        <v>0</v>
      </c>
      <c r="H65" s="17" t="n">
        <f aca="false">H8*Assumptions!$D$89*Assumptions!$D$91</f>
        <v>750</v>
      </c>
      <c r="I65" s="17" t="n">
        <f aca="false">I8*Assumptions!$D$89*Assumptions!$D$91</f>
        <v>0</v>
      </c>
      <c r="J65" s="17" t="n">
        <f aca="false">J8*Assumptions!$D$89*Assumptions!$D$91</f>
        <v>0</v>
      </c>
      <c r="K65" s="17" t="n">
        <f aca="false">K8*Assumptions!$D$89*Assumptions!$D$91</f>
        <v>0</v>
      </c>
      <c r="L65" s="17" t="n">
        <f aca="false">L8*Assumptions!$D$89*Assumptions!$D$91</f>
        <v>0</v>
      </c>
      <c r="M65" s="17" t="n">
        <f aca="false">M8*Assumptions!$D$89*Assumptions!$D$91</f>
        <v>0</v>
      </c>
      <c r="N65" s="17" t="n">
        <f aca="false">N8*Assumptions!$D$89*Assumptions!$D$91</f>
        <v>750</v>
      </c>
      <c r="O65" s="17" t="n">
        <f aca="false">O8*Assumptions!$D$89*Assumptions!$D$91</f>
        <v>0</v>
      </c>
      <c r="P65" s="17" t="n">
        <f aca="false">P8*Assumptions!$D$89*Assumptions!$D$91</f>
        <v>0</v>
      </c>
      <c r="Q65" s="17" t="n">
        <f aca="false">Q8*Assumptions!$D$89*Assumptions!$D$91</f>
        <v>750</v>
      </c>
      <c r="R65" s="17" t="n">
        <f aca="false">R8*Assumptions!$D$89*Assumptions!$D$91</f>
        <v>0</v>
      </c>
      <c r="S65" s="17" t="n">
        <f aca="false">S8*Assumptions!$D$89*Assumptions!$D$91</f>
        <v>0</v>
      </c>
      <c r="T65" s="17" t="n">
        <f aca="false">T8*Assumptions!$D$89*Assumptions!$D$91</f>
        <v>750</v>
      </c>
      <c r="U65" s="17" t="n">
        <f aca="false">U8*Assumptions!$D$89*Assumptions!$D$91</f>
        <v>750</v>
      </c>
      <c r="V65" s="17" t="n">
        <f aca="false">V8*Assumptions!$D$89*Assumptions!$D$91</f>
        <v>0</v>
      </c>
      <c r="W65" s="17" t="n">
        <f aca="false">W8*Assumptions!$D$89*Assumptions!$D$91</f>
        <v>750</v>
      </c>
      <c r="X65" s="17" t="n">
        <f aca="false">X8*Assumptions!$D$89*Assumptions!$D$91</f>
        <v>750</v>
      </c>
      <c r="Y65" s="17" t="n">
        <f aca="false">Y8*Assumptions!$D$89*Assumptions!$D$91</f>
        <v>0</v>
      </c>
      <c r="Z65" s="17" t="n">
        <f aca="false">Z8*Assumptions!$D$89*Assumptions!$D$91</f>
        <v>750</v>
      </c>
      <c r="AA65" s="17" t="n">
        <f aca="false">AA8*Assumptions!$D$89*Assumptions!$D$91</f>
        <v>750</v>
      </c>
      <c r="AB65" s="17" t="n">
        <f aca="false">AB8*Assumptions!$D$89*Assumptions!$D$91</f>
        <v>0</v>
      </c>
      <c r="AC65" s="17" t="n">
        <f aca="false">AC8*Assumptions!$D$89*Assumptions!$D$91</f>
        <v>750</v>
      </c>
      <c r="AD65" s="17" t="n">
        <f aca="false">AD8*Assumptions!$D$89*Assumptions!$D$91</f>
        <v>750</v>
      </c>
      <c r="AE65" s="17" t="n">
        <f aca="false">AE8*Assumptions!$D$89*Assumptions!$D$91</f>
        <v>750</v>
      </c>
      <c r="AF65" s="17" t="n">
        <f aca="false">AF8*Assumptions!$D$89*Assumptions!$D$91</f>
        <v>750</v>
      </c>
      <c r="AG65" s="17" t="n">
        <f aca="false">AG8*Assumptions!$D$89*Assumptions!$D$91</f>
        <v>750</v>
      </c>
      <c r="AH65" s="17" t="n">
        <f aca="false">AH8*Assumptions!$D$89*Assumptions!$D$91</f>
        <v>750</v>
      </c>
      <c r="AI65" s="17" t="n">
        <f aca="false">AI8*Assumptions!$D$89*Assumptions!$D$91</f>
        <v>750</v>
      </c>
      <c r="AJ65" s="17" t="n">
        <f aca="false">AJ8*Assumptions!$D$89*Assumptions!$D$91</f>
        <v>750</v>
      </c>
      <c r="AK65" s="17" t="n">
        <f aca="false">AK8*Assumptions!$D$89*Assumptions!$D$91</f>
        <v>750</v>
      </c>
      <c r="AL65" s="17" t="n">
        <f aca="false">AL8*Assumptions!$D$89*Assumptions!$D$91</f>
        <v>750</v>
      </c>
      <c r="AM65" s="17" t="n">
        <f aca="false">AM8*Assumptions!$D$89*Assumptions!$D$91</f>
        <v>750</v>
      </c>
      <c r="AN65" s="44" t="n">
        <f aca="false">AN8*Assumptions!$D$89*Assumptions!$D$91</f>
        <v>750</v>
      </c>
      <c r="AO65" s="44" t="n">
        <f aca="false">AO8*Assumptions!$D$89*Assumptions!$D$91</f>
        <v>750</v>
      </c>
      <c r="AP65" s="44" t="n">
        <f aca="false">AP8*Assumptions!$D$89*Assumptions!$D$91</f>
        <v>750</v>
      </c>
      <c r="AQ65" s="44" t="n">
        <f aca="false">AQ8*Assumptions!$D$89*Assumptions!$D$91</f>
        <v>750</v>
      </c>
      <c r="AR65" s="44" t="n">
        <f aca="false">AR8*Assumptions!$D$89*Assumptions!$D$91</f>
        <v>750</v>
      </c>
      <c r="AS65" s="44" t="n">
        <f aca="false">AS8*Assumptions!$D$89*Assumptions!$D$91</f>
        <v>750</v>
      </c>
      <c r="AT65" s="44" t="n">
        <f aca="false">AT8*Assumptions!$D$89*Assumptions!$D$91</f>
        <v>750</v>
      </c>
      <c r="AU65" s="44" t="n">
        <f aca="false">AU8*Assumptions!$D$89*Assumptions!$D$91</f>
        <v>750</v>
      </c>
      <c r="AV65" s="44" t="n">
        <f aca="false">AV8*Assumptions!$D$89*Assumptions!$D$91</f>
        <v>750</v>
      </c>
      <c r="AW65" s="44" t="n">
        <f aca="false">AW8*Assumptions!$D$89*Assumptions!$D$91</f>
        <v>750</v>
      </c>
      <c r="AX65" s="44" t="n">
        <f aca="false">AX8*Assumptions!$D$89*Assumptions!$D$91</f>
        <v>750</v>
      </c>
      <c r="AY65" s="44" t="n">
        <f aca="false">AY8*Assumptions!$D$89*Assumptions!$D$91</f>
        <v>750</v>
      </c>
      <c r="AZ65" s="44" t="n">
        <f aca="false">AZ8*Assumptions!$D$89*Assumptions!$D$91</f>
        <v>750</v>
      </c>
      <c r="BA65" s="44" t="n">
        <f aca="false">BA8*Assumptions!$D$89*Assumptions!$D$91</f>
        <v>750</v>
      </c>
      <c r="BB65" s="44" t="n">
        <f aca="false">BB8*Assumptions!$D$89*Assumptions!$D$91</f>
        <v>750</v>
      </c>
      <c r="BC65" s="44" t="n">
        <f aca="false">BC8*Assumptions!$D$89*Assumptions!$D$91</f>
        <v>750</v>
      </c>
      <c r="BD65" s="44" t="n">
        <f aca="false">BD8*Assumptions!$D$89*Assumptions!$D$91</f>
        <v>750</v>
      </c>
      <c r="BE65" s="44" t="n">
        <f aca="false">BE8*Assumptions!$D$89*Assumptions!$D$91</f>
        <v>750</v>
      </c>
      <c r="BF65" s="44" t="n">
        <f aca="false">BF8*Assumptions!$D$89*Assumptions!$D$91</f>
        <v>750</v>
      </c>
      <c r="BG65" s="44" t="n">
        <f aca="false">BG8*Assumptions!$D$89*Assumptions!$D$91</f>
        <v>750</v>
      </c>
      <c r="BH65" s="44" t="n">
        <f aca="false">BH8*Assumptions!$D$89*Assumptions!$D$91</f>
        <v>750</v>
      </c>
      <c r="BI65" s="44" t="n">
        <f aca="false">BI8*Assumptions!$D$89*Assumptions!$D$91</f>
        <v>750</v>
      </c>
      <c r="BJ65" s="44" t="n">
        <f aca="false">BJ8*Assumptions!$D$89*Assumptions!$D$91</f>
        <v>750</v>
      </c>
      <c r="BK65" s="44" t="n">
        <f aca="false">BK8*Assumptions!$D$89*Assumptions!$D$91</f>
        <v>750</v>
      </c>
    </row>
    <row r="66" customFormat="false" ht="15" hidden="false" customHeight="false" outlineLevel="0" collapsed="false">
      <c r="A66" s="28" t="s">
        <v>644</v>
      </c>
      <c r="B66" s="6" t="s">
        <v>645</v>
      </c>
      <c r="C66" s="43"/>
      <c r="D66" s="17" t="n">
        <f aca="false">D35*Assumptions!$D$90*Assumptions!$D$91</f>
        <v>0</v>
      </c>
      <c r="E66" s="17" t="n">
        <f aca="false">E35*Assumptions!$D$90*Assumptions!$D$91</f>
        <v>0</v>
      </c>
      <c r="F66" s="17" t="n">
        <f aca="false">F35*Assumptions!$D$90*Assumptions!$D$91</f>
        <v>0</v>
      </c>
      <c r="G66" s="17" t="n">
        <f aca="false">G35*Assumptions!$D$90*Assumptions!$D$91</f>
        <v>0</v>
      </c>
      <c r="H66" s="17" t="n">
        <f aca="false">H35*Assumptions!$D$90*Assumptions!$D$91</f>
        <v>0</v>
      </c>
      <c r="I66" s="17" t="n">
        <f aca="false">I35*Assumptions!$D$90*Assumptions!$D$91</f>
        <v>0</v>
      </c>
      <c r="J66" s="17" t="n">
        <f aca="false">J35*Assumptions!$D$90*Assumptions!$D$91</f>
        <v>0</v>
      </c>
      <c r="K66" s="17" t="n">
        <f aca="false">K35*Assumptions!$D$90*Assumptions!$D$91</f>
        <v>0</v>
      </c>
      <c r="L66" s="17" t="n">
        <f aca="false">L35*Assumptions!$D$90*Assumptions!$D$91</f>
        <v>0</v>
      </c>
      <c r="M66" s="17" t="n">
        <f aca="false">M35*Assumptions!$D$90*Assumptions!$D$91</f>
        <v>0</v>
      </c>
      <c r="N66" s="17" t="n">
        <f aca="false">N35*Assumptions!$D$90*Assumptions!$D$91</f>
        <v>0</v>
      </c>
      <c r="O66" s="17" t="n">
        <f aca="false">O35*Assumptions!$D$90*Assumptions!$D$91</f>
        <v>0</v>
      </c>
      <c r="P66" s="17" t="n">
        <f aca="false">P35*Assumptions!$D$90*Assumptions!$D$91</f>
        <v>0</v>
      </c>
      <c r="Q66" s="17" t="n">
        <f aca="false">Q35*Assumptions!$D$90*Assumptions!$D$91</f>
        <v>0</v>
      </c>
      <c r="R66" s="17" t="n">
        <f aca="false">R35*Assumptions!$D$90*Assumptions!$D$91</f>
        <v>0</v>
      </c>
      <c r="S66" s="17" t="n">
        <f aca="false">S35*Assumptions!$D$90*Assumptions!$D$91</f>
        <v>0</v>
      </c>
      <c r="T66" s="17" t="n">
        <f aca="false">T35*Assumptions!$D$90*Assumptions!$D$91</f>
        <v>0</v>
      </c>
      <c r="U66" s="17" t="n">
        <f aca="false">U35*Assumptions!$D$90*Assumptions!$D$91</f>
        <v>0</v>
      </c>
      <c r="V66" s="17" t="n">
        <f aca="false">V35*Assumptions!$D$90*Assumptions!$D$91</f>
        <v>0</v>
      </c>
      <c r="W66" s="17" t="n">
        <f aca="false">W35*Assumptions!$D$90*Assumptions!$D$91</f>
        <v>0</v>
      </c>
      <c r="X66" s="17" t="n">
        <f aca="false">X35*Assumptions!$D$90*Assumptions!$D$91</f>
        <v>0</v>
      </c>
      <c r="Y66" s="17" t="n">
        <f aca="false">Y35*Assumptions!$D$90*Assumptions!$D$91</f>
        <v>0</v>
      </c>
      <c r="Z66" s="17" t="n">
        <f aca="false">Z35*Assumptions!$D$90*Assumptions!$D$91</f>
        <v>0</v>
      </c>
      <c r="AA66" s="17" t="n">
        <f aca="false">AA35*Assumptions!$D$90*Assumptions!$D$91</f>
        <v>0</v>
      </c>
      <c r="AB66" s="17" t="n">
        <f aca="false">AB35*Assumptions!$D$90*Assumptions!$D$91</f>
        <v>0</v>
      </c>
      <c r="AC66" s="17" t="n">
        <f aca="false">AC35*Assumptions!$D$90*Assumptions!$D$91</f>
        <v>0</v>
      </c>
      <c r="AD66" s="17" t="n">
        <f aca="false">AD35*Assumptions!$D$90*Assumptions!$D$91</f>
        <v>0</v>
      </c>
      <c r="AE66" s="17" t="n">
        <f aca="false">AE35*Assumptions!$D$90*Assumptions!$D$91</f>
        <v>0</v>
      </c>
      <c r="AF66" s="17" t="n">
        <f aca="false">AF35*Assumptions!$D$90*Assumptions!$D$91</f>
        <v>0</v>
      </c>
      <c r="AG66" s="17" t="n">
        <f aca="false">AG35*Assumptions!$D$90*Assumptions!$D$91</f>
        <v>0</v>
      </c>
      <c r="AH66" s="17" t="n">
        <f aca="false">AH35*Assumptions!$D$90*Assumptions!$D$91</f>
        <v>0</v>
      </c>
      <c r="AI66" s="17" t="n">
        <f aca="false">AI35*Assumptions!$D$90*Assumptions!$D$91</f>
        <v>0</v>
      </c>
      <c r="AJ66" s="17" t="n">
        <f aca="false">AJ35*Assumptions!$D$90*Assumptions!$D$91</f>
        <v>0</v>
      </c>
      <c r="AK66" s="17" t="n">
        <f aca="false">AK35*Assumptions!$D$90*Assumptions!$D$91</f>
        <v>0</v>
      </c>
      <c r="AL66" s="17" t="n">
        <f aca="false">AL35*Assumptions!$D$90*Assumptions!$D$91</f>
        <v>0</v>
      </c>
      <c r="AM66" s="17" t="n">
        <f aca="false">AM35*Assumptions!$D$90*Assumptions!$D$91</f>
        <v>0</v>
      </c>
      <c r="AN66" s="44" t="n">
        <f aca="false">AN35*Assumptions!$D$90*Assumptions!$D$91</f>
        <v>0</v>
      </c>
      <c r="AO66" s="44" t="n">
        <f aca="false">AO35*Assumptions!$D$90*Assumptions!$D$91</f>
        <v>0</v>
      </c>
      <c r="AP66" s="44" t="n">
        <f aca="false">AP35*Assumptions!$D$90*Assumptions!$D$91</f>
        <v>141.322995159099</v>
      </c>
      <c r="AQ66" s="44" t="n">
        <f aca="false">AQ35*Assumptions!$D$90*Assumptions!$D$91</f>
        <v>144.078671318103</v>
      </c>
      <c r="AR66" s="44" t="n">
        <f aca="false">AR35*Assumptions!$D$90*Assumptions!$D$91</f>
        <v>146.770625503721</v>
      </c>
      <c r="AS66" s="44" t="n">
        <f aca="false">AS35*Assumptions!$D$90*Assumptions!$D$91</f>
        <v>149.495356943745</v>
      </c>
      <c r="AT66" s="44" t="n">
        <f aca="false">AT35*Assumptions!$D$90*Assumptions!$D$91</f>
        <v>152.154383630322</v>
      </c>
      <c r="AU66" s="44" t="n">
        <f aca="false">AU35*Assumptions!$D$90*Assumptions!$D$91</f>
        <v>154.749142739024</v>
      </c>
      <c r="AV66" s="44" t="n">
        <f aca="false">AV35*Assumptions!$D$90*Assumptions!$D$91</f>
        <v>157.376354594643</v>
      </c>
      <c r="AW66" s="44" t="n">
        <f aca="false">AW35*Assumptions!$D$90*Assumptions!$D$91</f>
        <v>159.937738262439</v>
      </c>
      <c r="AX66" s="44" t="n">
        <f aca="false">AX35*Assumptions!$D$90*Assumptions!$D$91</f>
        <v>162.434913478894</v>
      </c>
      <c r="AY66" s="44" t="n">
        <f aca="false">AY35*Assumptions!$D$90*Assumptions!$D$91</f>
        <v>164.964766020978</v>
      </c>
      <c r="AZ66" s="44" t="n">
        <f aca="false">AZ35*Assumptions!$D$90*Assumptions!$D$91</f>
        <v>167.429164600259</v>
      </c>
      <c r="BA66" s="44" t="n">
        <f aca="false">BA35*Assumptions!$D$90*Assumptions!$D$91</f>
        <v>169.829864002997</v>
      </c>
      <c r="BB66" s="44" t="n">
        <f aca="false">BB35*Assumptions!$D$90*Assumptions!$D$91</f>
        <v>172.168568941655</v>
      </c>
      <c r="BC66" s="44" t="n">
        <f aca="false">BC35*Assumptions!$D$90*Assumptions!$D$91</f>
        <v>174.446935620152</v>
      </c>
      <c r="BD66" s="44" t="n">
        <f aca="false">BD35*Assumptions!$D$90*Assumptions!$D$91</f>
        <v>176.666573245054</v>
      </c>
      <c r="BE66" s="44" t="n">
        <f aca="false">BE35*Assumptions!$D$90*Assumptions!$D$91</f>
        <v>178.829045484714</v>
      </c>
      <c r="BF66" s="44" t="n">
        <f aca="false">BF35*Assumptions!$D$90*Assumptions!$D$91</f>
        <v>180.935871878257</v>
      </c>
      <c r="BG66" s="44" t="n">
        <f aca="false">BG35*Assumptions!$D$90*Assumptions!$D$91</f>
        <v>182.988529196275</v>
      </c>
      <c r="BH66" s="44" t="n">
        <f aca="false">BH35*Assumptions!$D$90*Assumptions!$D$91</f>
        <v>184.988452754994</v>
      </c>
      <c r="BI66" s="44" t="n">
        <f aca="false">BI35*Assumptions!$D$90*Assumptions!$D$91</f>
        <v>186.937037685652</v>
      </c>
      <c r="BJ66" s="44" t="n">
        <f aca="false">BJ35*Assumptions!$D$90*Assumptions!$D$91</f>
        <v>188.835640160728</v>
      </c>
      <c r="BK66" s="44" t="n">
        <f aca="false">BK35*Assumptions!$D$90*Assumptions!$D$91</f>
        <v>190.685578578612</v>
      </c>
    </row>
    <row r="67" customFormat="false" ht="15" hidden="false" customHeight="false" outlineLevel="0" collapsed="false">
      <c r="A67" s="28" t="s">
        <v>646</v>
      </c>
      <c r="B67" s="5" t="s">
        <v>647</v>
      </c>
      <c r="C67" s="43"/>
      <c r="D67" s="45" t="n">
        <f aca="false">D62+D63+D64+D65+D66</f>
        <v>0</v>
      </c>
      <c r="E67" s="45" t="n">
        <f aca="false">E62+E63+E64+E65+E66</f>
        <v>0</v>
      </c>
      <c r="F67" s="45" t="n">
        <f aca="false">F62+F63+F64+F65+F66</f>
        <v>0</v>
      </c>
      <c r="G67" s="45" t="n">
        <f aca="false">G62+G63+G64+G65+G66</f>
        <v>0</v>
      </c>
      <c r="H67" s="45" t="n">
        <f aca="false">H62+H63+H64+H65+H66</f>
        <v>1260.597975</v>
      </c>
      <c r="I67" s="45" t="n">
        <f aca="false">I62+I63+I64+I65+I66</f>
        <v>449.326218</v>
      </c>
      <c r="J67" s="45" t="n">
        <f aca="false">J62+J63+J64+J65+J66</f>
        <v>306.358785</v>
      </c>
      <c r="K67" s="45" t="n">
        <f aca="false">K62+K63+K64+K65+K66</f>
        <v>204.23919</v>
      </c>
      <c r="L67" s="45" t="n">
        <f aca="false">L62+L63+L64+L65+L66</f>
        <v>122.543514</v>
      </c>
      <c r="M67" s="45" t="n">
        <f aca="false">M62+M63+M64+M65+M66</f>
        <v>102.119595</v>
      </c>
      <c r="N67" s="45" t="n">
        <f aca="false">N62+N63+N64+N65+N66</f>
        <v>1281.021894</v>
      </c>
      <c r="O67" s="45" t="n">
        <f aca="false">O62+O63+O64+O65+O66</f>
        <v>478.077527925</v>
      </c>
      <c r="P67" s="45" t="n">
        <f aca="false">P62+P63+P64+P65+P66</f>
        <v>332.5756716</v>
      </c>
      <c r="Q67" s="45" t="n">
        <f aca="false">Q62+Q63+Q64+Q65+Q66</f>
        <v>1498.2952611</v>
      </c>
      <c r="R67" s="45" t="n">
        <f aca="false">R62+R63+R64+R65+R66</f>
        <v>602.793404775</v>
      </c>
      <c r="S67" s="45" t="n">
        <f aca="false">S62+S63+S64+S65+S66</f>
        <v>436.505568975</v>
      </c>
      <c r="T67" s="45" t="n">
        <f aca="false">T62+T63+T64+T65+T66</f>
        <v>1519.081240575</v>
      </c>
      <c r="U67" s="45" t="n">
        <f aca="false">U62+U63+U64+U65+U66</f>
        <v>1893.228871125</v>
      </c>
      <c r="V67" s="45" t="n">
        <f aca="false">V62+V63+V64+V65+V66</f>
        <v>914.5830969</v>
      </c>
      <c r="W67" s="45" t="n">
        <f aca="false">W62+W63+W64+W65+W66</f>
        <v>1851.656912175</v>
      </c>
      <c r="X67" s="45" t="n">
        <f aca="false">X62+X63+X64+X65+X66</f>
        <v>2121.87464535</v>
      </c>
      <c r="Y67" s="45" t="n">
        <f aca="false">Y62+Y63+Y64+Y65+Y66</f>
        <v>1060.084953225</v>
      </c>
      <c r="Z67" s="45" t="n">
        <f aca="false">Z62+Z63+Z64+Z65+Z66</f>
        <v>1976.372789025</v>
      </c>
      <c r="AA67" s="45" t="n">
        <f aca="false">AA62+AA63+AA64+AA65+AA66</f>
        <v>2188.6822194075</v>
      </c>
      <c r="AB67" s="45" t="n">
        <f aca="false">AB62+AB63+AB64+AB65+AB66</f>
        <v>1121.32584747938</v>
      </c>
      <c r="AC67" s="45" t="n">
        <f aca="false">AC62+AC63+AC64+AC65+AC66</f>
        <v>2040.58257917438</v>
      </c>
      <c r="AD67" s="45" t="n">
        <f aca="false">AD62+AD63+AD64+AD65+AD66</f>
        <v>2230.99640233125</v>
      </c>
      <c r="AE67" s="45" t="n">
        <f aca="false">AE62+AE63+AE64+AE65+AE66</f>
        <v>2421.41022548812</v>
      </c>
      <c r="AF67" s="45" t="n">
        <f aca="false">AF62+AF63+AF64+AF65+AF66</f>
        <v>2527.1956827975</v>
      </c>
      <c r="AG67" s="45" t="n">
        <f aca="false">AG62+AG63+AG64+AG65+AG66</f>
        <v>2569.50986572125</v>
      </c>
      <c r="AH67" s="45" t="n">
        <f aca="false">AH62+AH63+AH64+AH65+AH66</f>
        <v>2675.29532303063</v>
      </c>
      <c r="AI67" s="45" t="n">
        <f aca="false">AI62+AI63+AI64+AI65+AI66</f>
        <v>2696.4524144925</v>
      </c>
      <c r="AJ67" s="45" t="n">
        <f aca="false">AJ62+AJ63+AJ64+AJ65+AJ66</f>
        <v>2717.60950595438</v>
      </c>
      <c r="AK67" s="45" t="n">
        <f aca="false">AK62+AK63+AK64+AK65+AK66</f>
        <v>2717.60950595438</v>
      </c>
      <c r="AL67" s="45" t="n">
        <f aca="false">AL62+AL63+AL64+AL65+AL66</f>
        <v>2738.76659741625</v>
      </c>
      <c r="AM67" s="45" t="n">
        <f aca="false">AM62+AM63+AM64+AM65+AM66</f>
        <v>2796.06071860008</v>
      </c>
      <c r="AN67" s="46" t="n">
        <f aca="false">AN62+AN63+AN64+AN65+AN66</f>
        <v>2796.06071860008</v>
      </c>
      <c r="AO67" s="46" t="n">
        <f aca="false">AO62+AO63+AO64+AO65+AO66</f>
        <v>2817.5981998485</v>
      </c>
      <c r="AP67" s="46" t="n">
        <f aca="false">AP62+AP63+AP64+AP65+AP66</f>
        <v>2980.45867625602</v>
      </c>
      <c r="AQ67" s="46" t="n">
        <f aca="false">AQ62+AQ63+AQ64+AQ65+AQ66</f>
        <v>2983.21435241502</v>
      </c>
      <c r="AR67" s="46" t="n">
        <f aca="false">AR62+AR63+AR64+AR65+AR66</f>
        <v>2985.90630660064</v>
      </c>
      <c r="AS67" s="46" t="n">
        <f aca="false">AS62+AS63+AS64+AS65+AS66</f>
        <v>3010.16851928909</v>
      </c>
      <c r="AT67" s="46" t="n">
        <f aca="false">AT62+AT63+AT64+AT65+AT66</f>
        <v>3012.82754597567</v>
      </c>
      <c r="AU67" s="46" t="n">
        <f aca="false">AU62+AU63+AU64+AU65+AU66</f>
        <v>3015.42230508437</v>
      </c>
      <c r="AV67" s="46" t="n">
        <f aca="false">AV62+AV63+AV64+AV65+AV66</f>
        <v>3039.58699818841</v>
      </c>
      <c r="AW67" s="46" t="n">
        <f aca="false">AW62+AW63+AW64+AW65+AW66</f>
        <v>3042.1483818562</v>
      </c>
      <c r="AX67" s="46" t="n">
        <f aca="false">AX62+AX63+AX64+AX65+AX66</f>
        <v>3044.64555707266</v>
      </c>
      <c r="AY67" s="46" t="n">
        <f aca="false">AY62+AY63+AY64+AY65+AY66</f>
        <v>3107.70284398422</v>
      </c>
      <c r="AZ67" s="46" t="n">
        <f aca="false">AZ62+AZ63+AZ64+AZ65+AZ66</f>
        <v>3110.1672425635</v>
      </c>
      <c r="BA67" s="46" t="n">
        <f aca="false">BA62+BA63+BA64+BA65+BA66</f>
        <v>3112.56794196624</v>
      </c>
      <c r="BB67" s="46" t="n">
        <f aca="false">BB62+BB63+BB64+BB65+BB66</f>
        <v>3114.9066469049</v>
      </c>
      <c r="BC67" s="46" t="n">
        <f aca="false">BC62+BC63+BC64+BC65+BC66</f>
        <v>3117.18501358339</v>
      </c>
      <c r="BD67" s="46" t="n">
        <f aca="false">BD62+BD63+BD64+BD65+BD66</f>
        <v>3119.4046512083</v>
      </c>
      <c r="BE67" s="46" t="n">
        <f aca="false">BE62+BE63+BE64+BE65+BE66</f>
        <v>3121.56712344796</v>
      </c>
      <c r="BF67" s="46" t="n">
        <f aca="false">BF62+BF63+BF64+BF65+BF66</f>
        <v>3123.6739498415</v>
      </c>
      <c r="BG67" s="46" t="n">
        <f aca="false">BG62+BG63+BG64+BG65+BG66</f>
        <v>3125.72660715952</v>
      </c>
      <c r="BH67" s="46" t="n">
        <f aca="false">BH62+BH63+BH64+BH65+BH66</f>
        <v>3127.72653071824</v>
      </c>
      <c r="BI67" s="46" t="n">
        <f aca="false">BI62+BI63+BI64+BI65+BI66</f>
        <v>3129.67511564889</v>
      </c>
      <c r="BJ67" s="46" t="n">
        <f aca="false">BJ62+BJ63+BJ64+BJ65+BJ66</f>
        <v>3131.57371812397</v>
      </c>
      <c r="BK67" s="46" t="n">
        <f aca="false">BK62+BK63+BK64+BK65+BK66</f>
        <v>3173.38835849094</v>
      </c>
    </row>
    <row r="68" customFormat="false" ht="15" hidden="false" customHeight="false" outlineLevel="0" collapsed="false">
      <c r="B68" s="5" t="s">
        <v>648</v>
      </c>
    </row>
    <row r="69" customFormat="false" ht="15" hidden="false" customHeight="false" outlineLevel="0" collapsed="false">
      <c r="A69" s="28" t="s">
        <v>649</v>
      </c>
      <c r="B69" s="6" t="s">
        <v>650</v>
      </c>
      <c r="C69" s="43"/>
      <c r="D69" s="17" t="n">
        <f aca="false">Assumptions!$D$108</f>
        <v>1465</v>
      </c>
      <c r="E69" s="17" t="n">
        <f aca="false">Assumptions!$D$108</f>
        <v>1465</v>
      </c>
      <c r="F69" s="17" t="n">
        <f aca="false">Assumptions!$D$108</f>
        <v>1465</v>
      </c>
      <c r="G69" s="17" t="n">
        <f aca="false">Assumptions!$D$108</f>
        <v>1465</v>
      </c>
      <c r="H69" s="17" t="n">
        <f aca="false">Assumptions!$D$108</f>
        <v>1465</v>
      </c>
      <c r="I69" s="17" t="n">
        <f aca="false">Assumptions!$D$108</f>
        <v>1465</v>
      </c>
      <c r="J69" s="17" t="n">
        <f aca="false">Assumptions!$D$108</f>
        <v>1465</v>
      </c>
      <c r="K69" s="17" t="n">
        <f aca="false">Assumptions!$D$108</f>
        <v>1465</v>
      </c>
      <c r="L69" s="17" t="n">
        <f aca="false">Assumptions!$D$108</f>
        <v>1465</v>
      </c>
      <c r="M69" s="17" t="n">
        <f aca="false">Assumptions!$D$108</f>
        <v>1465</v>
      </c>
      <c r="N69" s="17" t="n">
        <f aca="false">Assumptions!$D$108</f>
        <v>1465</v>
      </c>
      <c r="O69" s="17" t="n">
        <f aca="false">Assumptions!$D$108</f>
        <v>1465</v>
      </c>
      <c r="P69" s="17" t="n">
        <f aca="false">Assumptions!$D$108</f>
        <v>1465</v>
      </c>
      <c r="Q69" s="17" t="n">
        <f aca="false">Assumptions!$D$108</f>
        <v>1465</v>
      </c>
      <c r="R69" s="17" t="n">
        <f aca="false">Assumptions!$D$108</f>
        <v>1465</v>
      </c>
      <c r="S69" s="17" t="n">
        <f aca="false">Assumptions!$D$108</f>
        <v>1465</v>
      </c>
      <c r="T69" s="17" t="n">
        <f aca="false">Assumptions!$D$108</f>
        <v>1465</v>
      </c>
      <c r="U69" s="17" t="n">
        <f aca="false">Assumptions!$D$108</f>
        <v>1465</v>
      </c>
      <c r="V69" s="17" t="n">
        <f aca="false">Assumptions!$D$108</f>
        <v>1465</v>
      </c>
      <c r="W69" s="17" t="n">
        <f aca="false">Assumptions!$D$108</f>
        <v>1465</v>
      </c>
      <c r="X69" s="17" t="n">
        <f aca="false">Assumptions!$D$108</f>
        <v>1465</v>
      </c>
      <c r="Y69" s="17" t="n">
        <f aca="false">Assumptions!$D$108</f>
        <v>1465</v>
      </c>
      <c r="Z69" s="17" t="n">
        <f aca="false">Assumptions!$D$108</f>
        <v>1465</v>
      </c>
      <c r="AA69" s="17" t="n">
        <f aca="false">Assumptions!$D$108</f>
        <v>1465</v>
      </c>
      <c r="AB69" s="17" t="n">
        <f aca="false">Assumptions!$D$108</f>
        <v>1465</v>
      </c>
      <c r="AC69" s="17" t="n">
        <f aca="false">Assumptions!$D$108</f>
        <v>1465</v>
      </c>
      <c r="AD69" s="17" t="n">
        <f aca="false">Assumptions!$D$108</f>
        <v>1465</v>
      </c>
      <c r="AE69" s="17" t="n">
        <f aca="false">Assumptions!$D$108</f>
        <v>1465</v>
      </c>
      <c r="AF69" s="17" t="n">
        <f aca="false">Assumptions!$D$108</f>
        <v>1465</v>
      </c>
      <c r="AG69" s="17" t="n">
        <f aca="false">Assumptions!$D$108</f>
        <v>1465</v>
      </c>
      <c r="AH69" s="17" t="n">
        <f aca="false">Assumptions!$D$108</f>
        <v>1465</v>
      </c>
      <c r="AI69" s="17" t="n">
        <f aca="false">Assumptions!$D$108</f>
        <v>1465</v>
      </c>
      <c r="AJ69" s="17" t="n">
        <f aca="false">Assumptions!$D$108</f>
        <v>1465</v>
      </c>
      <c r="AK69" s="17" t="n">
        <f aca="false">Assumptions!$D$108</f>
        <v>1465</v>
      </c>
      <c r="AL69" s="17" t="n">
        <f aca="false">Assumptions!$D$108</f>
        <v>1465</v>
      </c>
      <c r="AM69" s="17" t="n">
        <f aca="false">Assumptions!$D$108</f>
        <v>1465</v>
      </c>
      <c r="AN69" s="44" t="n">
        <f aca="false">Assumptions!$D$108</f>
        <v>1465</v>
      </c>
      <c r="AO69" s="44" t="n">
        <f aca="false">Assumptions!$D$108</f>
        <v>1465</v>
      </c>
      <c r="AP69" s="44" t="n">
        <f aca="false">Assumptions!$D$108</f>
        <v>1465</v>
      </c>
      <c r="AQ69" s="44" t="n">
        <f aca="false">Assumptions!$D$108</f>
        <v>1465</v>
      </c>
      <c r="AR69" s="44" t="n">
        <f aca="false">Assumptions!$D$108</f>
        <v>1465</v>
      </c>
      <c r="AS69" s="44" t="n">
        <f aca="false">Assumptions!$D$108</f>
        <v>1465</v>
      </c>
      <c r="AT69" s="44" t="n">
        <f aca="false">Assumptions!$D$108</f>
        <v>1465</v>
      </c>
      <c r="AU69" s="44" t="n">
        <f aca="false">Assumptions!$D$108</f>
        <v>1465</v>
      </c>
      <c r="AV69" s="44" t="n">
        <f aca="false">Assumptions!$D$108</f>
        <v>1465</v>
      </c>
      <c r="AW69" s="44" t="n">
        <f aca="false">Assumptions!$D$108</f>
        <v>1465</v>
      </c>
      <c r="AX69" s="44" t="n">
        <f aca="false">Assumptions!$D$108</f>
        <v>1465</v>
      </c>
      <c r="AY69" s="44" t="n">
        <f aca="false">Assumptions!$D$108</f>
        <v>1465</v>
      </c>
      <c r="AZ69" s="44" t="n">
        <f aca="false">Assumptions!$D$108</f>
        <v>1465</v>
      </c>
      <c r="BA69" s="44" t="n">
        <f aca="false">Assumptions!$D$108</f>
        <v>1465</v>
      </c>
      <c r="BB69" s="44" t="n">
        <f aca="false">Assumptions!$D$108</f>
        <v>1465</v>
      </c>
      <c r="BC69" s="44" t="n">
        <f aca="false">Assumptions!$D$108</f>
        <v>1465</v>
      </c>
      <c r="BD69" s="44" t="n">
        <f aca="false">Assumptions!$D$108</f>
        <v>1465</v>
      </c>
      <c r="BE69" s="44" t="n">
        <f aca="false">Assumptions!$D$108</f>
        <v>1465</v>
      </c>
      <c r="BF69" s="44" t="n">
        <f aca="false">Assumptions!$D$108</f>
        <v>1465</v>
      </c>
      <c r="BG69" s="44" t="n">
        <f aca="false">Assumptions!$D$108</f>
        <v>1465</v>
      </c>
      <c r="BH69" s="44" t="n">
        <f aca="false">Assumptions!$D$108</f>
        <v>1465</v>
      </c>
      <c r="BI69" s="44" t="n">
        <f aca="false">Assumptions!$D$108</f>
        <v>1465</v>
      </c>
      <c r="BJ69" s="44" t="n">
        <f aca="false">Assumptions!$D$108</f>
        <v>1465</v>
      </c>
      <c r="BK69" s="44" t="n">
        <f aca="false">Assumptions!$D$108</f>
        <v>1465</v>
      </c>
    </row>
    <row r="70" customFormat="false" ht="15" hidden="false" customHeight="false" outlineLevel="0" collapsed="false">
      <c r="A70" s="28" t="s">
        <v>651</v>
      </c>
      <c r="B70" s="6" t="s">
        <v>652</v>
      </c>
      <c r="C70" s="43"/>
      <c r="D70" s="17" t="n">
        <f aca="false">IF(D7&lt;=12,Assumptions!$D$100,IF(D7&lt;=24,Assumptions!$D$101,Assumptions!$D$102))</f>
        <v>4000</v>
      </c>
      <c r="E70" s="17" t="n">
        <f aca="false">IF(E7&lt;=12,Assumptions!$D$100,IF(E7&lt;=24,Assumptions!$D$101,Assumptions!$D$102))</f>
        <v>4000</v>
      </c>
      <c r="F70" s="17" t="n">
        <f aca="false">IF(F7&lt;=12,Assumptions!$D$100,IF(F7&lt;=24,Assumptions!$D$101,Assumptions!$D$102))</f>
        <v>4000</v>
      </c>
      <c r="G70" s="17" t="n">
        <f aca="false">IF(G7&lt;=12,Assumptions!$D$100,IF(G7&lt;=24,Assumptions!$D$101,Assumptions!$D$102))</f>
        <v>4000</v>
      </c>
      <c r="H70" s="17" t="n">
        <f aca="false">IF(H7&lt;=12,Assumptions!$D$100,IF(H7&lt;=24,Assumptions!$D$101,Assumptions!$D$102))</f>
        <v>4000</v>
      </c>
      <c r="I70" s="17" t="n">
        <f aca="false">IF(I7&lt;=12,Assumptions!$D$100,IF(I7&lt;=24,Assumptions!$D$101,Assumptions!$D$102))</f>
        <v>4000</v>
      </c>
      <c r="J70" s="17" t="n">
        <f aca="false">IF(J7&lt;=12,Assumptions!$D$100,IF(J7&lt;=24,Assumptions!$D$101,Assumptions!$D$102))</f>
        <v>4000</v>
      </c>
      <c r="K70" s="17" t="n">
        <f aca="false">IF(K7&lt;=12,Assumptions!$D$100,IF(K7&lt;=24,Assumptions!$D$101,Assumptions!$D$102))</f>
        <v>4000</v>
      </c>
      <c r="L70" s="17" t="n">
        <f aca="false">IF(L7&lt;=12,Assumptions!$D$100,IF(L7&lt;=24,Assumptions!$D$101,Assumptions!$D$102))</f>
        <v>4000</v>
      </c>
      <c r="M70" s="17" t="n">
        <f aca="false">IF(M7&lt;=12,Assumptions!$D$100,IF(M7&lt;=24,Assumptions!$D$101,Assumptions!$D$102))</f>
        <v>4000</v>
      </c>
      <c r="N70" s="17" t="n">
        <f aca="false">IF(N7&lt;=12,Assumptions!$D$100,IF(N7&lt;=24,Assumptions!$D$101,Assumptions!$D$102))</f>
        <v>4000</v>
      </c>
      <c r="O70" s="17" t="n">
        <f aca="false">IF(O7&lt;=12,Assumptions!$D$100,IF(O7&lt;=24,Assumptions!$D$101,Assumptions!$D$102))</f>
        <v>4000</v>
      </c>
      <c r="P70" s="17" t="n">
        <f aca="false">IF(P7&lt;=12,Assumptions!$D$100,IF(P7&lt;=24,Assumptions!$D$101,Assumptions!$D$102))</f>
        <v>5000</v>
      </c>
      <c r="Q70" s="17" t="n">
        <f aca="false">IF(Q7&lt;=12,Assumptions!$D$100,IF(Q7&lt;=24,Assumptions!$D$101,Assumptions!$D$102))</f>
        <v>5000</v>
      </c>
      <c r="R70" s="17" t="n">
        <f aca="false">IF(R7&lt;=12,Assumptions!$D$100,IF(R7&lt;=24,Assumptions!$D$101,Assumptions!$D$102))</f>
        <v>5000</v>
      </c>
      <c r="S70" s="17" t="n">
        <f aca="false">IF(S7&lt;=12,Assumptions!$D$100,IF(S7&lt;=24,Assumptions!$D$101,Assumptions!$D$102))</f>
        <v>5000</v>
      </c>
      <c r="T70" s="17" t="n">
        <f aca="false">IF(T7&lt;=12,Assumptions!$D$100,IF(T7&lt;=24,Assumptions!$D$101,Assumptions!$D$102))</f>
        <v>5000</v>
      </c>
      <c r="U70" s="17" t="n">
        <f aca="false">IF(U7&lt;=12,Assumptions!$D$100,IF(U7&lt;=24,Assumptions!$D$101,Assumptions!$D$102))</f>
        <v>5000</v>
      </c>
      <c r="V70" s="17" t="n">
        <f aca="false">IF(V7&lt;=12,Assumptions!$D$100,IF(V7&lt;=24,Assumptions!$D$101,Assumptions!$D$102))</f>
        <v>5000</v>
      </c>
      <c r="W70" s="17" t="n">
        <f aca="false">IF(W7&lt;=12,Assumptions!$D$100,IF(W7&lt;=24,Assumptions!$D$101,Assumptions!$D$102))</f>
        <v>5000</v>
      </c>
      <c r="X70" s="17" t="n">
        <f aca="false">IF(X7&lt;=12,Assumptions!$D$100,IF(X7&lt;=24,Assumptions!$D$101,Assumptions!$D$102))</f>
        <v>5000</v>
      </c>
      <c r="Y70" s="17" t="n">
        <f aca="false">IF(Y7&lt;=12,Assumptions!$D$100,IF(Y7&lt;=24,Assumptions!$D$101,Assumptions!$D$102))</f>
        <v>5000</v>
      </c>
      <c r="Z70" s="17" t="n">
        <f aca="false">IF(Z7&lt;=12,Assumptions!$D$100,IF(Z7&lt;=24,Assumptions!$D$101,Assumptions!$D$102))</f>
        <v>5000</v>
      </c>
      <c r="AA70" s="17" t="n">
        <f aca="false">IF(AA7&lt;=12,Assumptions!$D$100,IF(AA7&lt;=24,Assumptions!$D$101,Assumptions!$D$102))</f>
        <v>5000</v>
      </c>
      <c r="AB70" s="17" t="n">
        <f aca="false">IF(AB7&lt;=12,Assumptions!$D$100,IF(AB7&lt;=24,Assumptions!$D$101,Assumptions!$D$102))</f>
        <v>6000</v>
      </c>
      <c r="AC70" s="17" t="n">
        <f aca="false">IF(AC7&lt;=12,Assumptions!$D$100,IF(AC7&lt;=24,Assumptions!$D$101,Assumptions!$D$102))</f>
        <v>6000</v>
      </c>
      <c r="AD70" s="17" t="n">
        <f aca="false">IF(AD7&lt;=12,Assumptions!$D$100,IF(AD7&lt;=24,Assumptions!$D$101,Assumptions!$D$102))</f>
        <v>6000</v>
      </c>
      <c r="AE70" s="17" t="n">
        <f aca="false">IF(AE7&lt;=12,Assumptions!$D$100,IF(AE7&lt;=24,Assumptions!$D$101,Assumptions!$D$102))</f>
        <v>6000</v>
      </c>
      <c r="AF70" s="17" t="n">
        <f aca="false">IF(AF7&lt;=12,Assumptions!$D$100,IF(AF7&lt;=24,Assumptions!$D$101,Assumptions!$D$102))</f>
        <v>6000</v>
      </c>
      <c r="AG70" s="17" t="n">
        <f aca="false">IF(AG7&lt;=12,Assumptions!$D$100,IF(AG7&lt;=24,Assumptions!$D$101,Assumptions!$D$102))</f>
        <v>6000</v>
      </c>
      <c r="AH70" s="17" t="n">
        <f aca="false">IF(AH7&lt;=12,Assumptions!$D$100,IF(AH7&lt;=24,Assumptions!$D$101,Assumptions!$D$102))</f>
        <v>6000</v>
      </c>
      <c r="AI70" s="17" t="n">
        <f aca="false">IF(AI7&lt;=12,Assumptions!$D$100,IF(AI7&lt;=24,Assumptions!$D$101,Assumptions!$D$102))</f>
        <v>6000</v>
      </c>
      <c r="AJ70" s="17" t="n">
        <f aca="false">IF(AJ7&lt;=12,Assumptions!$D$100,IF(AJ7&lt;=24,Assumptions!$D$101,Assumptions!$D$102))</f>
        <v>6000</v>
      </c>
      <c r="AK70" s="17" t="n">
        <f aca="false">IF(AK7&lt;=12,Assumptions!$D$100,IF(AK7&lt;=24,Assumptions!$D$101,Assumptions!$D$102))</f>
        <v>6000</v>
      </c>
      <c r="AL70" s="17" t="n">
        <f aca="false">IF(AL7&lt;=12,Assumptions!$D$100,IF(AL7&lt;=24,Assumptions!$D$101,Assumptions!$D$102))</f>
        <v>6000</v>
      </c>
      <c r="AM70" s="17" t="n">
        <f aca="false">IF(AM7&lt;=12,Assumptions!$D$100,IF(AM7&lt;=24,Assumptions!$D$101,Assumptions!$D$102))</f>
        <v>6000</v>
      </c>
      <c r="AN70" s="44" t="n">
        <f aca="false">IF(AN7&lt;=12,Assumptions!$D$100,IF(AN7&lt;=24,Assumptions!$D$101,Assumptions!$D$102))</f>
        <v>6000</v>
      </c>
      <c r="AO70" s="44" t="n">
        <f aca="false">IF(AO7&lt;=12,Assumptions!$D$100,IF(AO7&lt;=24,Assumptions!$D$101,Assumptions!$D$102))</f>
        <v>6000</v>
      </c>
      <c r="AP70" s="44" t="n">
        <f aca="false">IF(AP7&lt;=12,Assumptions!$D$100,IF(AP7&lt;=24,Assumptions!$D$101,Assumptions!$D$102))</f>
        <v>6000</v>
      </c>
      <c r="AQ70" s="44" t="n">
        <f aca="false">IF(AQ7&lt;=12,Assumptions!$D$100,IF(AQ7&lt;=24,Assumptions!$D$101,Assumptions!$D$102))</f>
        <v>6000</v>
      </c>
      <c r="AR70" s="44" t="n">
        <f aca="false">IF(AR7&lt;=12,Assumptions!$D$100,IF(AR7&lt;=24,Assumptions!$D$101,Assumptions!$D$102))</f>
        <v>6000</v>
      </c>
      <c r="AS70" s="44" t="n">
        <f aca="false">IF(AS7&lt;=12,Assumptions!$D$100,IF(AS7&lt;=24,Assumptions!$D$101,Assumptions!$D$102))</f>
        <v>6000</v>
      </c>
      <c r="AT70" s="44" t="n">
        <f aca="false">IF(AT7&lt;=12,Assumptions!$D$100,IF(AT7&lt;=24,Assumptions!$D$101,Assumptions!$D$102))</f>
        <v>6000</v>
      </c>
      <c r="AU70" s="44" t="n">
        <f aca="false">IF(AU7&lt;=12,Assumptions!$D$100,IF(AU7&lt;=24,Assumptions!$D$101,Assumptions!$D$102))</f>
        <v>6000</v>
      </c>
      <c r="AV70" s="44" t="n">
        <f aca="false">IF(AV7&lt;=12,Assumptions!$D$100,IF(AV7&lt;=24,Assumptions!$D$101,Assumptions!$D$102))</f>
        <v>6000</v>
      </c>
      <c r="AW70" s="44" t="n">
        <f aca="false">IF(AW7&lt;=12,Assumptions!$D$100,IF(AW7&lt;=24,Assumptions!$D$101,Assumptions!$D$102))</f>
        <v>6000</v>
      </c>
      <c r="AX70" s="44" t="n">
        <f aca="false">IF(AX7&lt;=12,Assumptions!$D$100,IF(AX7&lt;=24,Assumptions!$D$101,Assumptions!$D$102))</f>
        <v>6000</v>
      </c>
      <c r="AY70" s="44" t="n">
        <f aca="false">IF(AY7&lt;=12,Assumptions!$D$100,IF(AY7&lt;=24,Assumptions!$D$101,Assumptions!$D$102))</f>
        <v>6000</v>
      </c>
      <c r="AZ70" s="44" t="n">
        <f aca="false">IF(AZ7&lt;=12,Assumptions!$D$100,IF(AZ7&lt;=24,Assumptions!$D$101,Assumptions!$D$102))</f>
        <v>6000</v>
      </c>
      <c r="BA70" s="44" t="n">
        <f aca="false">IF(BA7&lt;=12,Assumptions!$D$100,IF(BA7&lt;=24,Assumptions!$D$101,Assumptions!$D$102))</f>
        <v>6000</v>
      </c>
      <c r="BB70" s="44" t="n">
        <f aca="false">IF(BB7&lt;=12,Assumptions!$D$100,IF(BB7&lt;=24,Assumptions!$D$101,Assumptions!$D$102))</f>
        <v>6000</v>
      </c>
      <c r="BC70" s="44" t="n">
        <f aca="false">IF(BC7&lt;=12,Assumptions!$D$100,IF(BC7&lt;=24,Assumptions!$D$101,Assumptions!$D$102))</f>
        <v>6000</v>
      </c>
      <c r="BD70" s="44" t="n">
        <f aca="false">IF(BD7&lt;=12,Assumptions!$D$100,IF(BD7&lt;=24,Assumptions!$D$101,Assumptions!$D$102))</f>
        <v>6000</v>
      </c>
      <c r="BE70" s="44" t="n">
        <f aca="false">IF(BE7&lt;=12,Assumptions!$D$100,IF(BE7&lt;=24,Assumptions!$D$101,Assumptions!$D$102))</f>
        <v>6000</v>
      </c>
      <c r="BF70" s="44" t="n">
        <f aca="false">IF(BF7&lt;=12,Assumptions!$D$100,IF(BF7&lt;=24,Assumptions!$D$101,Assumptions!$D$102))</f>
        <v>6000</v>
      </c>
      <c r="BG70" s="44" t="n">
        <f aca="false">IF(BG7&lt;=12,Assumptions!$D$100,IF(BG7&lt;=24,Assumptions!$D$101,Assumptions!$D$102))</f>
        <v>6000</v>
      </c>
      <c r="BH70" s="44" t="n">
        <f aca="false">IF(BH7&lt;=12,Assumptions!$D$100,IF(BH7&lt;=24,Assumptions!$D$101,Assumptions!$D$102))</f>
        <v>6000</v>
      </c>
      <c r="BI70" s="44" t="n">
        <f aca="false">IF(BI7&lt;=12,Assumptions!$D$100,IF(BI7&lt;=24,Assumptions!$D$101,Assumptions!$D$102))</f>
        <v>6000</v>
      </c>
      <c r="BJ70" s="44" t="n">
        <f aca="false">IF(BJ7&lt;=12,Assumptions!$D$100,IF(BJ7&lt;=24,Assumptions!$D$101,Assumptions!$D$102))</f>
        <v>6000</v>
      </c>
      <c r="BK70" s="44" t="n">
        <f aca="false">IF(BK7&lt;=12,Assumptions!$D$100,IF(BK7&lt;=24,Assumptions!$D$101,Assumptions!$D$102))</f>
        <v>6000</v>
      </c>
    </row>
    <row r="71" customFormat="false" ht="15" hidden="false" customHeight="false" outlineLevel="0" collapsed="false">
      <c r="A71" s="28" t="s">
        <v>653</v>
      </c>
      <c r="B71" s="6" t="s">
        <v>654</v>
      </c>
      <c r="C71" s="43"/>
      <c r="D71" s="17" t="n">
        <f aca="false">INT(D13/Assumptions!$D$103)*Assumptions!$D$104</f>
        <v>0</v>
      </c>
      <c r="E71" s="17" t="n">
        <f aca="false">INT(E13/Assumptions!$D$103)*Assumptions!$D$104</f>
        <v>0</v>
      </c>
      <c r="F71" s="17" t="n">
        <f aca="false">INT(F13/Assumptions!$D$103)*Assumptions!$D$104</f>
        <v>0</v>
      </c>
      <c r="G71" s="17" t="n">
        <f aca="false">INT(G13/Assumptions!$D$103)*Assumptions!$D$104</f>
        <v>0</v>
      </c>
      <c r="H71" s="17" t="n">
        <f aca="false">INT(H13/Assumptions!$D$103)*Assumptions!$D$104</f>
        <v>0</v>
      </c>
      <c r="I71" s="17" t="n">
        <f aca="false">INT(I13/Assumptions!$D$103)*Assumptions!$D$104</f>
        <v>0</v>
      </c>
      <c r="J71" s="17" t="n">
        <f aca="false">INT(J13/Assumptions!$D$103)*Assumptions!$D$104</f>
        <v>0</v>
      </c>
      <c r="K71" s="17" t="n">
        <f aca="false">INT(K13/Assumptions!$D$103)*Assumptions!$D$104</f>
        <v>0</v>
      </c>
      <c r="L71" s="17" t="n">
        <f aca="false">INT(L13/Assumptions!$D$103)*Assumptions!$D$104</f>
        <v>0</v>
      </c>
      <c r="M71" s="17" t="n">
        <f aca="false">INT(M13/Assumptions!$D$103)*Assumptions!$D$104</f>
        <v>0</v>
      </c>
      <c r="N71" s="17" t="n">
        <f aca="false">INT(N13/Assumptions!$D$103)*Assumptions!$D$104</f>
        <v>0</v>
      </c>
      <c r="O71" s="17" t="n">
        <f aca="false">INT(O13/Assumptions!$D$103)*Assumptions!$D$104</f>
        <v>0</v>
      </c>
      <c r="P71" s="17" t="n">
        <f aca="false">INT(P13/Assumptions!$D$103)*Assumptions!$D$104</f>
        <v>0</v>
      </c>
      <c r="Q71" s="17" t="n">
        <f aca="false">INT(Q13/Assumptions!$D$103)*Assumptions!$D$104</f>
        <v>0</v>
      </c>
      <c r="R71" s="17" t="n">
        <f aca="false">INT(R13/Assumptions!$D$103)*Assumptions!$D$104</f>
        <v>0</v>
      </c>
      <c r="S71" s="17" t="n">
        <f aca="false">INT(S13/Assumptions!$D$103)*Assumptions!$D$104</f>
        <v>0</v>
      </c>
      <c r="T71" s="17" t="n">
        <f aca="false">INT(T13/Assumptions!$D$103)*Assumptions!$D$104</f>
        <v>0</v>
      </c>
      <c r="U71" s="17" t="n">
        <f aca="false">INT(U13/Assumptions!$D$103)*Assumptions!$D$104</f>
        <v>0</v>
      </c>
      <c r="V71" s="17" t="n">
        <f aca="false">INT(V13/Assumptions!$D$103)*Assumptions!$D$104</f>
        <v>0</v>
      </c>
      <c r="W71" s="17" t="n">
        <f aca="false">INT(W13/Assumptions!$D$103)*Assumptions!$D$104</f>
        <v>0</v>
      </c>
      <c r="X71" s="17" t="n">
        <f aca="false">INT(X13/Assumptions!$D$103)*Assumptions!$D$104</f>
        <v>0</v>
      </c>
      <c r="Y71" s="17" t="n">
        <f aca="false">INT(Y13/Assumptions!$D$103)*Assumptions!$D$104</f>
        <v>0</v>
      </c>
      <c r="Z71" s="17" t="n">
        <f aca="false">INT(Z13/Assumptions!$D$103)*Assumptions!$D$104</f>
        <v>0</v>
      </c>
      <c r="AA71" s="17" t="n">
        <f aca="false">INT(AA13/Assumptions!$D$103)*Assumptions!$D$104</f>
        <v>0</v>
      </c>
      <c r="AB71" s="17" t="n">
        <f aca="false">INT(AB13/Assumptions!$D$103)*Assumptions!$D$104</f>
        <v>0</v>
      </c>
      <c r="AC71" s="17" t="n">
        <f aca="false">INT(AC13/Assumptions!$D$103)*Assumptions!$D$104</f>
        <v>0</v>
      </c>
      <c r="AD71" s="17" t="n">
        <f aca="false">INT(AD13/Assumptions!$D$103)*Assumptions!$D$104</f>
        <v>0</v>
      </c>
      <c r="AE71" s="17" t="n">
        <f aca="false">INT(AE13/Assumptions!$D$103)*Assumptions!$D$104</f>
        <v>0</v>
      </c>
      <c r="AF71" s="17" t="n">
        <f aca="false">INT(AF13/Assumptions!$D$103)*Assumptions!$D$104</f>
        <v>0</v>
      </c>
      <c r="AG71" s="17" t="n">
        <f aca="false">INT(AG13/Assumptions!$D$103)*Assumptions!$D$104</f>
        <v>0</v>
      </c>
      <c r="AH71" s="17" t="n">
        <f aca="false">INT(AH13/Assumptions!$D$103)*Assumptions!$D$104</f>
        <v>0</v>
      </c>
      <c r="AI71" s="17" t="n">
        <f aca="false">INT(AI13/Assumptions!$D$103)*Assumptions!$D$104</f>
        <v>0</v>
      </c>
      <c r="AJ71" s="17" t="n">
        <f aca="false">INT(AJ13/Assumptions!$D$103)*Assumptions!$D$104</f>
        <v>0</v>
      </c>
      <c r="AK71" s="17" t="n">
        <f aca="false">INT(AK13/Assumptions!$D$103)*Assumptions!$D$104</f>
        <v>0</v>
      </c>
      <c r="AL71" s="17" t="n">
        <f aca="false">INT(AL13/Assumptions!$D$103)*Assumptions!$D$104</f>
        <v>0</v>
      </c>
      <c r="AM71" s="17" t="n">
        <f aca="false">INT(AM13/Assumptions!$D$103)*Assumptions!$D$104</f>
        <v>0</v>
      </c>
      <c r="AN71" s="44" t="n">
        <f aca="false">INT(AN13/Assumptions!$D$103)*Assumptions!$D$104</f>
        <v>0</v>
      </c>
      <c r="AO71" s="44" t="n">
        <f aca="false">INT(AO13/Assumptions!$D$103)*Assumptions!$D$104</f>
        <v>0</v>
      </c>
      <c r="AP71" s="44" t="n">
        <f aca="false">INT(AP13/Assumptions!$D$103)*Assumptions!$D$104</f>
        <v>0</v>
      </c>
      <c r="AQ71" s="44" t="n">
        <f aca="false">INT(AQ13/Assumptions!$D$103)*Assumptions!$D$104</f>
        <v>0</v>
      </c>
      <c r="AR71" s="44" t="n">
        <f aca="false">INT(AR13/Assumptions!$D$103)*Assumptions!$D$104</f>
        <v>0</v>
      </c>
      <c r="AS71" s="44" t="n">
        <f aca="false">INT(AS13/Assumptions!$D$103)*Assumptions!$D$104</f>
        <v>0</v>
      </c>
      <c r="AT71" s="44" t="n">
        <f aca="false">INT(AT13/Assumptions!$D$103)*Assumptions!$D$104</f>
        <v>0</v>
      </c>
      <c r="AU71" s="44" t="n">
        <f aca="false">INT(AU13/Assumptions!$D$103)*Assumptions!$D$104</f>
        <v>0</v>
      </c>
      <c r="AV71" s="44" t="n">
        <f aca="false">INT(AV13/Assumptions!$D$103)*Assumptions!$D$104</f>
        <v>0</v>
      </c>
      <c r="AW71" s="44" t="n">
        <f aca="false">INT(AW13/Assumptions!$D$103)*Assumptions!$D$104</f>
        <v>0</v>
      </c>
      <c r="AX71" s="44" t="n">
        <f aca="false">INT(AX13/Assumptions!$D$103)*Assumptions!$D$104</f>
        <v>0</v>
      </c>
      <c r="AY71" s="44" t="n">
        <f aca="false">INT(AY13/Assumptions!$D$103)*Assumptions!$D$104</f>
        <v>0</v>
      </c>
      <c r="AZ71" s="44" t="n">
        <f aca="false">INT(AZ13/Assumptions!$D$103)*Assumptions!$D$104</f>
        <v>0</v>
      </c>
      <c r="BA71" s="44" t="n">
        <f aca="false">INT(BA13/Assumptions!$D$103)*Assumptions!$D$104</f>
        <v>0</v>
      </c>
      <c r="BB71" s="44" t="n">
        <f aca="false">INT(BB13/Assumptions!$D$103)*Assumptions!$D$104</f>
        <v>0</v>
      </c>
      <c r="BC71" s="44" t="n">
        <f aca="false">INT(BC13/Assumptions!$D$103)*Assumptions!$D$104</f>
        <v>0</v>
      </c>
      <c r="BD71" s="44" t="n">
        <f aca="false">INT(BD13/Assumptions!$D$103)*Assumptions!$D$104</f>
        <v>0</v>
      </c>
      <c r="BE71" s="44" t="n">
        <f aca="false">INT(BE13/Assumptions!$D$103)*Assumptions!$D$104</f>
        <v>0</v>
      </c>
      <c r="BF71" s="44" t="n">
        <f aca="false">INT(BF13/Assumptions!$D$103)*Assumptions!$D$104</f>
        <v>0</v>
      </c>
      <c r="BG71" s="44" t="n">
        <f aca="false">INT(BG13/Assumptions!$D$103)*Assumptions!$D$104</f>
        <v>0</v>
      </c>
      <c r="BH71" s="44" t="n">
        <f aca="false">INT(BH13/Assumptions!$D$103)*Assumptions!$D$104</f>
        <v>0</v>
      </c>
      <c r="BI71" s="44" t="n">
        <f aca="false">INT(BI13/Assumptions!$D$103)*Assumptions!$D$104</f>
        <v>0</v>
      </c>
      <c r="BJ71" s="44" t="n">
        <f aca="false">INT(BJ13/Assumptions!$D$103)*Assumptions!$D$104</f>
        <v>0</v>
      </c>
      <c r="BK71" s="44" t="n">
        <f aca="false">INT(BK13/Assumptions!$D$103)*Assumptions!$D$104</f>
        <v>0</v>
      </c>
    </row>
    <row r="72" customFormat="false" ht="15" hidden="false" customHeight="false" outlineLevel="0" collapsed="false">
      <c r="A72" s="28" t="s">
        <v>655</v>
      </c>
      <c r="B72" s="6" t="s">
        <v>342</v>
      </c>
      <c r="C72" s="43"/>
      <c r="D72" s="17" t="n">
        <f aca="false">IF(D7&gt;=Assumptions!$D$106,Assumptions!$D$105,0)</f>
        <v>0</v>
      </c>
      <c r="E72" s="17" t="n">
        <f aca="false">IF(E7&gt;=Assumptions!$D$106,Assumptions!$D$105,0)</f>
        <v>0</v>
      </c>
      <c r="F72" s="17" t="n">
        <f aca="false">IF(F7&gt;=Assumptions!$D$106,Assumptions!$D$105,0)</f>
        <v>0</v>
      </c>
      <c r="G72" s="17" t="n">
        <f aca="false">IF(G7&gt;=Assumptions!$D$106,Assumptions!$D$105,0)</f>
        <v>0</v>
      </c>
      <c r="H72" s="17" t="n">
        <f aca="false">IF(H7&gt;=Assumptions!$D$106,Assumptions!$D$105,0)</f>
        <v>0</v>
      </c>
      <c r="I72" s="17" t="n">
        <f aca="false">IF(I7&gt;=Assumptions!$D$106,Assumptions!$D$105,0)</f>
        <v>0</v>
      </c>
      <c r="J72" s="17" t="n">
        <f aca="false">IF(J7&gt;=Assumptions!$D$106,Assumptions!$D$105,0)</f>
        <v>0</v>
      </c>
      <c r="K72" s="17" t="n">
        <f aca="false">IF(K7&gt;=Assumptions!$D$106,Assumptions!$D$105,0)</f>
        <v>0</v>
      </c>
      <c r="L72" s="17" t="n">
        <f aca="false">IF(L7&gt;=Assumptions!$D$106,Assumptions!$D$105,0)</f>
        <v>0</v>
      </c>
      <c r="M72" s="17" t="n">
        <f aca="false">IF(M7&gt;=Assumptions!$D$106,Assumptions!$D$105,0)</f>
        <v>0</v>
      </c>
      <c r="N72" s="17" t="n">
        <f aca="false">IF(N7&gt;=Assumptions!$D$106,Assumptions!$D$105,0)</f>
        <v>0</v>
      </c>
      <c r="O72" s="17" t="n">
        <f aca="false">IF(O7&gt;=Assumptions!$D$106,Assumptions!$D$105,0)</f>
        <v>0</v>
      </c>
      <c r="P72" s="17" t="n">
        <f aca="false">IF(P7&gt;=Assumptions!$D$106,Assumptions!$D$105,0)</f>
        <v>0</v>
      </c>
      <c r="Q72" s="17" t="n">
        <f aca="false">IF(Q7&gt;=Assumptions!$D$106,Assumptions!$D$105,0)</f>
        <v>0</v>
      </c>
      <c r="R72" s="17" t="n">
        <f aca="false">IF(R7&gt;=Assumptions!$D$106,Assumptions!$D$105,0)</f>
        <v>0</v>
      </c>
      <c r="S72" s="17" t="n">
        <f aca="false">IF(S7&gt;=Assumptions!$D$106,Assumptions!$D$105,0)</f>
        <v>0</v>
      </c>
      <c r="T72" s="17" t="n">
        <f aca="false">IF(T7&gt;=Assumptions!$D$106,Assumptions!$D$105,0)</f>
        <v>0</v>
      </c>
      <c r="U72" s="17" t="n">
        <f aca="false">IF(U7&gt;=Assumptions!$D$106,Assumptions!$D$105,0)</f>
        <v>0</v>
      </c>
      <c r="V72" s="17" t="n">
        <f aca="false">IF(V7&gt;=Assumptions!$D$106,Assumptions!$D$105,0)</f>
        <v>0</v>
      </c>
      <c r="W72" s="17" t="n">
        <f aca="false">IF(W7&gt;=Assumptions!$D$106,Assumptions!$D$105,0)</f>
        <v>0</v>
      </c>
      <c r="X72" s="17" t="n">
        <f aca="false">IF(X7&gt;=Assumptions!$D$106,Assumptions!$D$105,0)</f>
        <v>0</v>
      </c>
      <c r="Y72" s="17" t="n">
        <f aca="false">IF(Y7&gt;=Assumptions!$D$106,Assumptions!$D$105,0)</f>
        <v>0</v>
      </c>
      <c r="Z72" s="17" t="n">
        <f aca="false">IF(Z7&gt;=Assumptions!$D$106,Assumptions!$D$105,0)</f>
        <v>0</v>
      </c>
      <c r="AA72" s="17" t="n">
        <f aca="false">IF(AA7&gt;=Assumptions!$D$106,Assumptions!$D$105,0)</f>
        <v>0</v>
      </c>
      <c r="AB72" s="17" t="n">
        <f aca="false">IF(AB7&gt;=Assumptions!$D$106,Assumptions!$D$105,0)</f>
        <v>0</v>
      </c>
      <c r="AC72" s="17" t="n">
        <f aca="false">IF(AC7&gt;=Assumptions!$D$106,Assumptions!$D$105,0)</f>
        <v>0</v>
      </c>
      <c r="AD72" s="17" t="n">
        <f aca="false">IF(AD7&gt;=Assumptions!$D$106,Assumptions!$D$105,0)</f>
        <v>0</v>
      </c>
      <c r="AE72" s="17" t="n">
        <f aca="false">IF(AE7&gt;=Assumptions!$D$106,Assumptions!$D$105,0)</f>
        <v>0</v>
      </c>
      <c r="AF72" s="17" t="n">
        <f aca="false">IF(AF7&gt;=Assumptions!$D$106,Assumptions!$D$105,0)</f>
        <v>0</v>
      </c>
      <c r="AG72" s="17" t="n">
        <f aca="false">IF(AG7&gt;=Assumptions!$D$106,Assumptions!$D$105,0)</f>
        <v>0</v>
      </c>
      <c r="AH72" s="17" t="n">
        <f aca="false">IF(AH7&gt;=Assumptions!$D$106,Assumptions!$D$105,0)</f>
        <v>0</v>
      </c>
      <c r="AI72" s="17" t="n">
        <f aca="false">IF(AI7&gt;=Assumptions!$D$106,Assumptions!$D$105,0)</f>
        <v>0</v>
      </c>
      <c r="AJ72" s="17" t="n">
        <f aca="false">IF(AJ7&gt;=Assumptions!$D$106,Assumptions!$D$105,0)</f>
        <v>0</v>
      </c>
      <c r="AK72" s="17" t="n">
        <f aca="false">IF(AK7&gt;=Assumptions!$D$106,Assumptions!$D$105,0)</f>
        <v>0</v>
      </c>
      <c r="AL72" s="17" t="n">
        <f aca="false">IF(AL7&gt;=Assumptions!$D$106,Assumptions!$D$105,0)</f>
        <v>0</v>
      </c>
      <c r="AM72" s="17" t="n">
        <f aca="false">IF(AM7&gt;=Assumptions!$D$106,Assumptions!$D$105,0)</f>
        <v>0</v>
      </c>
      <c r="AN72" s="44" t="n">
        <f aca="false">IF(AN7&gt;=Assumptions!$D$106,Assumptions!$D$105,0)</f>
        <v>0</v>
      </c>
      <c r="AO72" s="44" t="n">
        <f aca="false">IF(AO7&gt;=Assumptions!$D$106,Assumptions!$D$105,0)</f>
        <v>0</v>
      </c>
      <c r="AP72" s="44" t="n">
        <f aca="false">IF(AP7&gt;=Assumptions!$D$106,Assumptions!$D$105,0)</f>
        <v>0</v>
      </c>
      <c r="AQ72" s="44" t="n">
        <f aca="false">IF(AQ7&gt;=Assumptions!$D$106,Assumptions!$D$105,0)</f>
        <v>0</v>
      </c>
      <c r="AR72" s="44" t="n">
        <f aca="false">IF(AR7&gt;=Assumptions!$D$106,Assumptions!$D$105,0)</f>
        <v>0</v>
      </c>
      <c r="AS72" s="44" t="n">
        <f aca="false">IF(AS7&gt;=Assumptions!$D$106,Assumptions!$D$105,0)</f>
        <v>0</v>
      </c>
      <c r="AT72" s="44" t="n">
        <f aca="false">IF(AT7&gt;=Assumptions!$D$106,Assumptions!$D$105,0)</f>
        <v>0</v>
      </c>
      <c r="AU72" s="44" t="n">
        <f aca="false">IF(AU7&gt;=Assumptions!$D$106,Assumptions!$D$105,0)</f>
        <v>0</v>
      </c>
      <c r="AV72" s="44" t="n">
        <f aca="false">IF(AV7&gt;=Assumptions!$D$106,Assumptions!$D$105,0)</f>
        <v>0</v>
      </c>
      <c r="AW72" s="44" t="n">
        <f aca="false">IF(AW7&gt;=Assumptions!$D$106,Assumptions!$D$105,0)</f>
        <v>0</v>
      </c>
      <c r="AX72" s="44" t="n">
        <f aca="false">IF(AX7&gt;=Assumptions!$D$106,Assumptions!$D$105,0)</f>
        <v>0</v>
      </c>
      <c r="AY72" s="44" t="n">
        <f aca="false">IF(AY7&gt;=Assumptions!$D$106,Assumptions!$D$105,0)</f>
        <v>0</v>
      </c>
      <c r="AZ72" s="44" t="n">
        <f aca="false">IF(AZ7&gt;=Assumptions!$D$106,Assumptions!$D$105,0)</f>
        <v>0</v>
      </c>
      <c r="BA72" s="44" t="n">
        <f aca="false">IF(BA7&gt;=Assumptions!$D$106,Assumptions!$D$105,0)</f>
        <v>0</v>
      </c>
      <c r="BB72" s="44" t="n">
        <f aca="false">IF(BB7&gt;=Assumptions!$D$106,Assumptions!$D$105,0)</f>
        <v>0</v>
      </c>
      <c r="BC72" s="44" t="n">
        <f aca="false">IF(BC7&gt;=Assumptions!$D$106,Assumptions!$D$105,0)</f>
        <v>0</v>
      </c>
      <c r="BD72" s="44" t="n">
        <f aca="false">IF(BD7&gt;=Assumptions!$D$106,Assumptions!$D$105,0)</f>
        <v>0</v>
      </c>
      <c r="BE72" s="44" t="n">
        <f aca="false">IF(BE7&gt;=Assumptions!$D$106,Assumptions!$D$105,0)</f>
        <v>0</v>
      </c>
      <c r="BF72" s="44" t="n">
        <f aca="false">IF(BF7&gt;=Assumptions!$D$106,Assumptions!$D$105,0)</f>
        <v>0</v>
      </c>
      <c r="BG72" s="44" t="n">
        <f aca="false">IF(BG7&gt;=Assumptions!$D$106,Assumptions!$D$105,0)</f>
        <v>0</v>
      </c>
      <c r="BH72" s="44" t="n">
        <f aca="false">IF(BH7&gt;=Assumptions!$D$106,Assumptions!$D$105,0)</f>
        <v>0</v>
      </c>
      <c r="BI72" s="44" t="n">
        <f aca="false">IF(BI7&gt;=Assumptions!$D$106,Assumptions!$D$105,0)</f>
        <v>0</v>
      </c>
      <c r="BJ72" s="44" t="n">
        <f aca="false">IF(BJ7&gt;=Assumptions!$D$106,Assumptions!$D$105,0)</f>
        <v>0</v>
      </c>
      <c r="BK72" s="44" t="n">
        <f aca="false">IF(BK7&gt;=Assumptions!$D$106,Assumptions!$D$105,0)</f>
        <v>0</v>
      </c>
    </row>
    <row r="73" customFormat="false" ht="15" hidden="false" customHeight="false" outlineLevel="0" collapsed="false">
      <c r="A73" s="28" t="s">
        <v>656</v>
      </c>
      <c r="B73" s="6" t="s">
        <v>657</v>
      </c>
      <c r="C73" s="43"/>
      <c r="D73" s="22" t="n">
        <f aca="false">Assumptions!C$144</f>
        <v>3500</v>
      </c>
      <c r="E73" s="22" t="n">
        <f aca="false">Assumptions!D$144</f>
        <v>1500</v>
      </c>
      <c r="F73" s="22" t="n">
        <f aca="false">Assumptions!E$144</f>
        <v>3000</v>
      </c>
      <c r="G73" s="22" t="n">
        <f aca="false">Assumptions!F$144</f>
        <v>0</v>
      </c>
      <c r="H73" s="22" t="n">
        <f aca="false">Assumptions!G$144</f>
        <v>0</v>
      </c>
      <c r="I73" s="22" t="n">
        <f aca="false">Assumptions!H$144</f>
        <v>0</v>
      </c>
      <c r="J73" s="22" t="n">
        <f aca="false">Assumptions!I$144</f>
        <v>0</v>
      </c>
      <c r="K73" s="22" t="n">
        <f aca="false">Assumptions!J$144</f>
        <v>0</v>
      </c>
      <c r="L73" s="22" t="n">
        <f aca="false">Assumptions!K$144</f>
        <v>0</v>
      </c>
      <c r="M73" s="22" t="n">
        <f aca="false">Assumptions!L$144</f>
        <v>0</v>
      </c>
      <c r="N73" s="22" t="n">
        <f aca="false">Assumptions!M$144</f>
        <v>0</v>
      </c>
      <c r="O73" s="22" t="n">
        <f aca="false">Assumptions!N$144</f>
        <v>0</v>
      </c>
      <c r="P73" s="22" t="n">
        <f aca="false">Assumptions!O$144</f>
        <v>0</v>
      </c>
      <c r="Q73" s="22" t="n">
        <f aca="false">Assumptions!P$144</f>
        <v>0</v>
      </c>
      <c r="R73" s="22" t="n">
        <f aca="false">Assumptions!Q$144</f>
        <v>0</v>
      </c>
      <c r="S73" s="22" t="n">
        <f aca="false">Assumptions!R$144</f>
        <v>0</v>
      </c>
      <c r="T73" s="22" t="n">
        <f aca="false">Assumptions!S$144</f>
        <v>0</v>
      </c>
      <c r="U73" s="22" t="n">
        <f aca="false">Assumptions!T$144</f>
        <v>0</v>
      </c>
      <c r="V73" s="22" t="n">
        <f aca="false">Assumptions!U$144</f>
        <v>0</v>
      </c>
      <c r="W73" s="22" t="n">
        <f aca="false">Assumptions!V$144</f>
        <v>0</v>
      </c>
      <c r="X73" s="22" t="n">
        <f aca="false">Assumptions!W$144</f>
        <v>0</v>
      </c>
      <c r="Y73" s="22" t="n">
        <f aca="false">Assumptions!X$144</f>
        <v>0</v>
      </c>
      <c r="Z73" s="22" t="n">
        <f aca="false">Assumptions!Y$144</f>
        <v>0</v>
      </c>
      <c r="AA73" s="22" t="n">
        <f aca="false">Assumptions!Z$144</f>
        <v>0</v>
      </c>
      <c r="AB73" s="22" t="n">
        <f aca="false">Assumptions!AA$144</f>
        <v>0</v>
      </c>
      <c r="AC73" s="22" t="n">
        <f aca="false">Assumptions!AB$144</f>
        <v>0</v>
      </c>
      <c r="AD73" s="22" t="n">
        <f aca="false">Assumptions!AC$144</f>
        <v>0</v>
      </c>
      <c r="AE73" s="22" t="n">
        <f aca="false">Assumptions!AD$144</f>
        <v>0</v>
      </c>
      <c r="AF73" s="22" t="n">
        <f aca="false">Assumptions!AE$144</f>
        <v>0</v>
      </c>
      <c r="AG73" s="22" t="n">
        <f aca="false">Assumptions!AF$144</f>
        <v>0</v>
      </c>
      <c r="AH73" s="22" t="n">
        <f aca="false">Assumptions!AG$144</f>
        <v>0</v>
      </c>
      <c r="AI73" s="22" t="n">
        <f aca="false">Assumptions!AH$144</f>
        <v>0</v>
      </c>
      <c r="AJ73" s="22" t="n">
        <f aca="false">Assumptions!AI$144</f>
        <v>0</v>
      </c>
      <c r="AK73" s="22" t="n">
        <f aca="false">Assumptions!AJ$144</f>
        <v>0</v>
      </c>
      <c r="AL73" s="22" t="n">
        <f aca="false">Assumptions!AK$144</f>
        <v>0</v>
      </c>
      <c r="AM73" s="22" t="n">
        <f aca="false">Assumptions!AL$144</f>
        <v>0</v>
      </c>
      <c r="AN73" s="49" t="n">
        <f aca="false">Assumptions!AM$144</f>
        <v>0</v>
      </c>
      <c r="AO73" s="49" t="n">
        <f aca="false">Assumptions!AN$144</f>
        <v>0</v>
      </c>
      <c r="AP73" s="49" t="n">
        <f aca="false">Assumptions!AO$144</f>
        <v>0</v>
      </c>
      <c r="AQ73" s="49" t="n">
        <f aca="false">Assumptions!AP$144</f>
        <v>0</v>
      </c>
      <c r="AR73" s="49" t="n">
        <f aca="false">Assumptions!AQ$144</f>
        <v>0</v>
      </c>
      <c r="AS73" s="49" t="n">
        <f aca="false">Assumptions!AR$144</f>
        <v>0</v>
      </c>
      <c r="AT73" s="49" t="n">
        <f aca="false">Assumptions!AS$144</f>
        <v>0</v>
      </c>
      <c r="AU73" s="49" t="n">
        <f aca="false">Assumptions!AT$144</f>
        <v>0</v>
      </c>
      <c r="AV73" s="49" t="n">
        <f aca="false">Assumptions!AU$144</f>
        <v>0</v>
      </c>
      <c r="AW73" s="49" t="n">
        <f aca="false">Assumptions!AV$144</f>
        <v>0</v>
      </c>
      <c r="AX73" s="49" t="n">
        <f aca="false">Assumptions!AW$144</f>
        <v>0</v>
      </c>
      <c r="AY73" s="49" t="n">
        <f aca="false">Assumptions!AX$144</f>
        <v>0</v>
      </c>
      <c r="AZ73" s="49" t="n">
        <f aca="false">Assumptions!AY$144</f>
        <v>0</v>
      </c>
      <c r="BA73" s="49" t="n">
        <f aca="false">Assumptions!AZ$144</f>
        <v>0</v>
      </c>
      <c r="BB73" s="49" t="n">
        <f aca="false">Assumptions!BA$144</f>
        <v>0</v>
      </c>
      <c r="BC73" s="49" t="n">
        <f aca="false">Assumptions!BB$144</f>
        <v>0</v>
      </c>
      <c r="BD73" s="49" t="n">
        <f aca="false">Assumptions!BC$144</f>
        <v>0</v>
      </c>
      <c r="BE73" s="49" t="n">
        <f aca="false">Assumptions!BD$144</f>
        <v>0</v>
      </c>
      <c r="BF73" s="49" t="n">
        <f aca="false">Assumptions!BE$144</f>
        <v>0</v>
      </c>
      <c r="BG73" s="49" t="n">
        <f aca="false">Assumptions!BF$144</f>
        <v>0</v>
      </c>
      <c r="BH73" s="49" t="n">
        <f aca="false">Assumptions!BG$144</f>
        <v>0</v>
      </c>
      <c r="BI73" s="49" t="n">
        <f aca="false">Assumptions!BH$144</f>
        <v>0</v>
      </c>
      <c r="BJ73" s="49" t="n">
        <f aca="false">Assumptions!BI$144</f>
        <v>0</v>
      </c>
      <c r="BK73" s="49" t="n">
        <f aca="false">Assumptions!BJ$144</f>
        <v>0</v>
      </c>
    </row>
    <row r="74" customFormat="false" ht="15" hidden="false" customHeight="false" outlineLevel="0" collapsed="false">
      <c r="A74" s="28" t="s">
        <v>658</v>
      </c>
      <c r="B74" s="5" t="s">
        <v>659</v>
      </c>
      <c r="C74" s="43"/>
      <c r="D74" s="45" t="n">
        <f aca="false">D69+D70+D71+D72+D73</f>
        <v>8965</v>
      </c>
      <c r="E74" s="45" t="n">
        <f aca="false">E69+E70+E71+E72+E73</f>
        <v>6965</v>
      </c>
      <c r="F74" s="45" t="n">
        <f aca="false">F69+F70+F71+F72+F73</f>
        <v>8465</v>
      </c>
      <c r="G74" s="45" t="n">
        <f aca="false">G69+G70+G71+G72+G73</f>
        <v>5465</v>
      </c>
      <c r="H74" s="45" t="n">
        <f aca="false">H69+H70+H71+H72+H73</f>
        <v>5465</v>
      </c>
      <c r="I74" s="45" t="n">
        <f aca="false">I69+I70+I71+I72+I73</f>
        <v>5465</v>
      </c>
      <c r="J74" s="45" t="n">
        <f aca="false">J69+J70+J71+J72+J73</f>
        <v>5465</v>
      </c>
      <c r="K74" s="45" t="n">
        <f aca="false">K69+K70+K71+K72+K73</f>
        <v>5465</v>
      </c>
      <c r="L74" s="45" t="n">
        <f aca="false">L69+L70+L71+L72+L73</f>
        <v>5465</v>
      </c>
      <c r="M74" s="45" t="n">
        <f aca="false">M69+M70+M71+M72+M73</f>
        <v>5465</v>
      </c>
      <c r="N74" s="45" t="n">
        <f aca="false">N69+N70+N71+N72+N73</f>
        <v>5465</v>
      </c>
      <c r="O74" s="45" t="n">
        <f aca="false">O69+O70+O71+O72+O73</f>
        <v>5465</v>
      </c>
      <c r="P74" s="45" t="n">
        <f aca="false">P69+P70+P71+P72+P73</f>
        <v>6465</v>
      </c>
      <c r="Q74" s="45" t="n">
        <f aca="false">Q69+Q70+Q71+Q72+Q73</f>
        <v>6465</v>
      </c>
      <c r="R74" s="45" t="n">
        <f aca="false">R69+R70+R71+R72+R73</f>
        <v>6465</v>
      </c>
      <c r="S74" s="45" t="n">
        <f aca="false">S69+S70+S71+S72+S73</f>
        <v>6465</v>
      </c>
      <c r="T74" s="45" t="n">
        <f aca="false">T69+T70+T71+T72+T73</f>
        <v>6465</v>
      </c>
      <c r="U74" s="45" t="n">
        <f aca="false">U69+U70+U71+U72+U73</f>
        <v>6465</v>
      </c>
      <c r="V74" s="45" t="n">
        <f aca="false">V69+V70+V71+V72+V73</f>
        <v>6465</v>
      </c>
      <c r="W74" s="45" t="n">
        <f aca="false">W69+W70+W71+W72+W73</f>
        <v>6465</v>
      </c>
      <c r="X74" s="45" t="n">
        <f aca="false">X69+X70+X71+X72+X73</f>
        <v>6465</v>
      </c>
      <c r="Y74" s="45" t="n">
        <f aca="false">Y69+Y70+Y71+Y72+Y73</f>
        <v>6465</v>
      </c>
      <c r="Z74" s="45" t="n">
        <f aca="false">Z69+Z70+Z71+Z72+Z73</f>
        <v>6465</v>
      </c>
      <c r="AA74" s="45" t="n">
        <f aca="false">AA69+AA70+AA71+AA72+AA73</f>
        <v>6465</v>
      </c>
      <c r="AB74" s="45" t="n">
        <f aca="false">AB69+AB70+AB71+AB72+AB73</f>
        <v>7465</v>
      </c>
      <c r="AC74" s="45" t="n">
        <f aca="false">AC69+AC70+AC71+AC72+AC73</f>
        <v>7465</v>
      </c>
      <c r="AD74" s="45" t="n">
        <f aca="false">AD69+AD70+AD71+AD72+AD73</f>
        <v>7465</v>
      </c>
      <c r="AE74" s="45" t="n">
        <f aca="false">AE69+AE70+AE71+AE72+AE73</f>
        <v>7465</v>
      </c>
      <c r="AF74" s="45" t="n">
        <f aca="false">AF69+AF70+AF71+AF72+AF73</f>
        <v>7465</v>
      </c>
      <c r="AG74" s="45" t="n">
        <f aca="false">AG69+AG70+AG71+AG72+AG73</f>
        <v>7465</v>
      </c>
      <c r="AH74" s="45" t="n">
        <f aca="false">AH69+AH70+AH71+AH72+AH73</f>
        <v>7465</v>
      </c>
      <c r="AI74" s="45" t="n">
        <f aca="false">AI69+AI70+AI71+AI72+AI73</f>
        <v>7465</v>
      </c>
      <c r="AJ74" s="45" t="n">
        <f aca="false">AJ69+AJ70+AJ71+AJ72+AJ73</f>
        <v>7465</v>
      </c>
      <c r="AK74" s="45" t="n">
        <f aca="false">AK69+AK70+AK71+AK72+AK73</f>
        <v>7465</v>
      </c>
      <c r="AL74" s="45" t="n">
        <f aca="false">AL69+AL70+AL71+AL72+AL73</f>
        <v>7465</v>
      </c>
      <c r="AM74" s="45" t="n">
        <f aca="false">AM69+AM70+AM71+AM72+AM73</f>
        <v>7465</v>
      </c>
      <c r="AN74" s="46" t="n">
        <f aca="false">AN69+AN70+AN71+AN72+AN73</f>
        <v>7465</v>
      </c>
      <c r="AO74" s="46" t="n">
        <f aca="false">AO69+AO70+AO71+AO72+AO73</f>
        <v>7465</v>
      </c>
      <c r="AP74" s="46" t="n">
        <f aca="false">AP69+AP70+AP71+AP72+AP73</f>
        <v>7465</v>
      </c>
      <c r="AQ74" s="46" t="n">
        <f aca="false">AQ69+AQ70+AQ71+AQ72+AQ73</f>
        <v>7465</v>
      </c>
      <c r="AR74" s="46" t="n">
        <f aca="false">AR69+AR70+AR71+AR72+AR73</f>
        <v>7465</v>
      </c>
      <c r="AS74" s="46" t="n">
        <f aca="false">AS69+AS70+AS71+AS72+AS73</f>
        <v>7465</v>
      </c>
      <c r="AT74" s="46" t="n">
        <f aca="false">AT69+AT70+AT71+AT72+AT73</f>
        <v>7465</v>
      </c>
      <c r="AU74" s="46" t="n">
        <f aca="false">AU69+AU70+AU71+AU72+AU73</f>
        <v>7465</v>
      </c>
      <c r="AV74" s="46" t="n">
        <f aca="false">AV69+AV70+AV71+AV72+AV73</f>
        <v>7465</v>
      </c>
      <c r="AW74" s="46" t="n">
        <f aca="false">AW69+AW70+AW71+AW72+AW73</f>
        <v>7465</v>
      </c>
      <c r="AX74" s="46" t="n">
        <f aca="false">AX69+AX70+AX71+AX72+AX73</f>
        <v>7465</v>
      </c>
      <c r="AY74" s="46" t="n">
        <f aca="false">AY69+AY70+AY71+AY72+AY73</f>
        <v>7465</v>
      </c>
      <c r="AZ74" s="46" t="n">
        <f aca="false">AZ69+AZ70+AZ71+AZ72+AZ73</f>
        <v>7465</v>
      </c>
      <c r="BA74" s="46" t="n">
        <f aca="false">BA69+BA70+BA71+BA72+BA73</f>
        <v>7465</v>
      </c>
      <c r="BB74" s="46" t="n">
        <f aca="false">BB69+BB70+BB71+BB72+BB73</f>
        <v>7465</v>
      </c>
      <c r="BC74" s="46" t="n">
        <f aca="false">BC69+BC70+BC71+BC72+BC73</f>
        <v>7465</v>
      </c>
      <c r="BD74" s="46" t="n">
        <f aca="false">BD69+BD70+BD71+BD72+BD73</f>
        <v>7465</v>
      </c>
      <c r="BE74" s="46" t="n">
        <f aca="false">BE69+BE70+BE71+BE72+BE73</f>
        <v>7465</v>
      </c>
      <c r="BF74" s="46" t="n">
        <f aca="false">BF69+BF70+BF71+BF72+BF73</f>
        <v>7465</v>
      </c>
      <c r="BG74" s="46" t="n">
        <f aca="false">BG69+BG70+BG71+BG72+BG73</f>
        <v>7465</v>
      </c>
      <c r="BH74" s="46" t="n">
        <f aca="false">BH69+BH70+BH71+BH72+BH73</f>
        <v>7465</v>
      </c>
      <c r="BI74" s="46" t="n">
        <f aca="false">BI69+BI70+BI71+BI72+BI73</f>
        <v>7465</v>
      </c>
      <c r="BJ74" s="46" t="n">
        <f aca="false">BJ69+BJ70+BJ71+BJ72+BJ73</f>
        <v>7465</v>
      </c>
      <c r="BK74" s="46" t="n">
        <f aca="false">BK69+BK70+BK71+BK72+BK73</f>
        <v>7465</v>
      </c>
    </row>
    <row r="75" customFormat="false" ht="15" hidden="false" customHeight="false" outlineLevel="0" collapsed="false">
      <c r="B75" s="5" t="s">
        <v>660</v>
      </c>
    </row>
    <row r="76" customFormat="false" ht="15" hidden="false" customHeight="false" outlineLevel="0" collapsed="false">
      <c r="A76" s="28" t="s">
        <v>661</v>
      </c>
      <c r="B76" s="5" t="s">
        <v>662</v>
      </c>
      <c r="C76" s="43"/>
      <c r="D76" s="45" t="n">
        <f aca="false">D59-D67-D74</f>
        <v>-8965</v>
      </c>
      <c r="E76" s="45" t="n">
        <f aca="false">E59-E67-E74</f>
        <v>-6965</v>
      </c>
      <c r="F76" s="45" t="n">
        <f aca="false">F59-F67-F74</f>
        <v>-8465</v>
      </c>
      <c r="G76" s="45" t="n">
        <f aca="false">G59-G67-G74</f>
        <v>-5465</v>
      </c>
      <c r="H76" s="45" t="n">
        <f aca="false">H59-H67-H74</f>
        <v>-6749.25985</v>
      </c>
      <c r="I76" s="45" t="n">
        <f aca="false">I59-I67-I74</f>
        <v>-5955.432164875</v>
      </c>
      <c r="J76" s="45" t="n">
        <f aca="false">J59-J67-J74</f>
        <v>-5821.37035639063</v>
      </c>
      <c r="K76" s="45" t="n">
        <f aca="false">K59-K67-K74</f>
        <v>-5723.02161967774</v>
      </c>
      <c r="L76" s="45" t="n">
        <f aca="false">L59-L67-L74</f>
        <v>-5641.65715885751</v>
      </c>
      <c r="M76" s="45" t="n">
        <f aca="false">M59-M67-M74</f>
        <v>-5621.34193608519</v>
      </c>
      <c r="N76" s="45" t="n">
        <f aca="false">N59-N67-N74</f>
        <v>-6820.81361583499</v>
      </c>
      <c r="O76" s="45" t="n">
        <f aca="false">O59-O67-O74</f>
        <v>-6033.12586024411</v>
      </c>
      <c r="P76" s="45" t="n">
        <f aca="false">P59-P67-P74</f>
        <v>-6894.93487190564</v>
      </c>
      <c r="Q76" s="45" t="n">
        <f aca="false">Q59-Q67-Q74</f>
        <v>-8086.88201898942</v>
      </c>
      <c r="R76" s="45" t="n">
        <f aca="false">R59-R67-R74</f>
        <v>-7208.20771615161</v>
      </c>
      <c r="S76" s="45" t="n">
        <f aca="false">S59-S67-S74</f>
        <v>-7050.15791414958</v>
      </c>
      <c r="T76" s="45" t="n">
        <f aca="false">T59-T67-T74</f>
        <v>-8156.41298464876</v>
      </c>
      <c r="U76" s="45" t="n">
        <f aca="false">U59-U67-U74</f>
        <v>-8569.22842249047</v>
      </c>
      <c r="V76" s="45" t="n">
        <f aca="false">V59-V67-V74</f>
        <v>-7614.91951506214</v>
      </c>
      <c r="W76" s="45" t="n">
        <f aca="false">W59-W67-W74</f>
        <v>-8583.54679301061</v>
      </c>
      <c r="X76" s="45" t="n">
        <f aca="false">X59-X67-X74</f>
        <v>-8895.37945069762</v>
      </c>
      <c r="Y76" s="45" t="n">
        <f aca="false">Y59-Y67-Y74</f>
        <v>-7857.57301293531</v>
      </c>
      <c r="Z76" s="45" t="n">
        <f aca="false">Z59-Z67-Z74</f>
        <v>-8804.93220866519</v>
      </c>
      <c r="AA76" s="45" t="n">
        <f aca="false">AA59-AA67-AA74</f>
        <v>-9055.23803048141</v>
      </c>
      <c r="AB76" s="45" t="n">
        <f aca="false">AB59-AB67-AB74</f>
        <v>-9009.19705727751</v>
      </c>
      <c r="AC76" s="45" t="n">
        <f aca="false">AC59-AC67-AC74</f>
        <v>-9957.48312882825</v>
      </c>
      <c r="AD76" s="45" t="n">
        <f aca="false">AD59-AD67-AD74</f>
        <v>-10184.2658143092</v>
      </c>
      <c r="AE76" s="45" t="n">
        <f aca="false">AE59-AE67-AE74</f>
        <v>-10417.3598316092</v>
      </c>
      <c r="AF76" s="45" t="n">
        <f aca="false">AF59-AF67-AF74</f>
        <v>-10567.6440749032</v>
      </c>
      <c r="AG76" s="45" t="n">
        <f aca="false">AG59-AG67-AG74</f>
        <v>-10653.4797520138</v>
      </c>
      <c r="AH76" s="45" t="n">
        <f aca="false">AH59-AH67-AH74</f>
        <v>-10805.065542759</v>
      </c>
      <c r="AI76" s="45" t="n">
        <f aca="false">AI59-AI67-AI74</f>
        <v>-10214.1294941132</v>
      </c>
      <c r="AJ76" s="45" t="n">
        <f aca="false">AJ59-AJ67-AJ74</f>
        <v>-10212.6103145852</v>
      </c>
      <c r="AK76" s="45" t="n">
        <f aca="false">AK59-AK67-AK74</f>
        <v>-10188.0659072698</v>
      </c>
      <c r="AL76" s="45" t="n">
        <f aca="false">AL59-AL67-AL74</f>
        <v>-10184.0816798341</v>
      </c>
      <c r="AM76" s="45" t="n">
        <f aca="false">AM59-AM67-AM74</f>
        <v>-10215.7217501954</v>
      </c>
      <c r="AN76" s="46" t="n">
        <f aca="false">AN59-AN67-AN74</f>
        <v>-10188.6663277101</v>
      </c>
      <c r="AO76" s="46" t="n">
        <f aca="false">AO59-AO67-AO74</f>
        <v>-10182.8692583788</v>
      </c>
      <c r="AP76" s="46" t="n">
        <f aca="false">AP59-AP67-AP74</f>
        <v>-10210.4581059245</v>
      </c>
      <c r="AQ76" s="46" t="n">
        <f aca="false">AQ59-AQ67-AQ74</f>
        <v>-10079.5117591647</v>
      </c>
      <c r="AR76" s="46" t="n">
        <f aca="false">AR59-AR67-AR74</f>
        <v>-9950.12436870312</v>
      </c>
      <c r="AS76" s="46" t="n">
        <f aca="false">AS59-AS67-AS74</f>
        <v>-9844.82035256279</v>
      </c>
      <c r="AT76" s="46" t="n">
        <f aca="false">AT59-AT67-AT74</f>
        <v>-9719.34480416474</v>
      </c>
      <c r="AU76" s="46" t="n">
        <f aca="false">AU59-AU67-AU74</f>
        <v>-9595.26436010266</v>
      </c>
      <c r="AV76" s="46" t="n">
        <f aca="false">AV59-AV67-AV74</f>
        <v>-9495.09095146252</v>
      </c>
      <c r="AW76" s="46" t="n">
        <f aca="false">AW59-AW67-AW74</f>
        <v>-9374.56515382237</v>
      </c>
      <c r="AX76" s="46" t="n">
        <f aca="false">AX59-AX67-AX74</f>
        <v>-9255.25404487319</v>
      </c>
      <c r="AY76" s="46" t="n">
        <f aca="false">AY59-AY67-AY74</f>
        <v>-9198.66296700893</v>
      </c>
      <c r="AZ76" s="46" t="n">
        <f aca="false">AZ59-AZ67-AZ74</f>
        <v>-9082.55781637252</v>
      </c>
      <c r="BA76" s="46" t="n">
        <f aca="false">BA59-BA67-BA74</f>
        <v>-8967.50182048529</v>
      </c>
      <c r="BB76" s="46" t="n">
        <f aca="false">BB59-BB67-BB74</f>
        <v>-8853.51036057077</v>
      </c>
      <c r="BC76" s="46" t="n">
        <f aca="false">BC59-BC67-BC74</f>
        <v>-8740.58564733171</v>
      </c>
      <c r="BD76" s="46" t="n">
        <f aca="false">BD59-BD67-BD74</f>
        <v>-8628.72143062783</v>
      </c>
      <c r="BE76" s="46" t="n">
        <f aca="false">BE59-BE67-BE74</f>
        <v>-8517.90606319944</v>
      </c>
      <c r="BF76" s="46" t="n">
        <f aca="false">BF59-BF67-BF74</f>
        <v>-8408.12449421174</v>
      </c>
      <c r="BG76" s="46" t="n">
        <f aca="false">BG59-BG67-BG74</f>
        <v>-8299.35956689287</v>
      </c>
      <c r="BH76" s="46" t="n">
        <f aca="false">BH59-BH67-BH74</f>
        <v>-8191.59286356193</v>
      </c>
      <c r="BI76" s="46" t="n">
        <f aca="false">BI59-BI67-BI74</f>
        <v>-8084.80525620692</v>
      </c>
      <c r="BJ76" s="46" t="n">
        <f aca="false">BJ59-BJ67-BJ74</f>
        <v>-7978.97726543333</v>
      </c>
      <c r="BK76" s="46" t="n">
        <f aca="false">BK59-BK67-BK74</f>
        <v>-7914.05399658181</v>
      </c>
    </row>
    <row r="77" customFormat="false" ht="15" hidden="false" customHeight="false" outlineLevel="0" collapsed="false">
      <c r="A77" s="28" t="s">
        <v>663</v>
      </c>
      <c r="B77" s="5" t="s">
        <v>664</v>
      </c>
      <c r="C77" s="50" t="n">
        <f aca="false">Assumptions!$D$9</f>
        <v>0</v>
      </c>
      <c r="D77" s="45" t="n">
        <f aca="false">C77+D76</f>
        <v>-8965</v>
      </c>
      <c r="E77" s="45" t="n">
        <f aca="false">D77+E76</f>
        <v>-15930</v>
      </c>
      <c r="F77" s="45" t="n">
        <f aca="false">E77+F76</f>
        <v>-24395</v>
      </c>
      <c r="G77" s="45" t="n">
        <f aca="false">F77+G76</f>
        <v>-29860</v>
      </c>
      <c r="H77" s="45" t="n">
        <f aca="false">G77+H76</f>
        <v>-36609.25985</v>
      </c>
      <c r="I77" s="45" t="n">
        <f aca="false">H77+I76</f>
        <v>-42564.692014875</v>
      </c>
      <c r="J77" s="45" t="n">
        <f aca="false">I77+J76</f>
        <v>-48386.0623712656</v>
      </c>
      <c r="K77" s="45" t="n">
        <f aca="false">J77+K76</f>
        <v>-54109.0839909434</v>
      </c>
      <c r="L77" s="45" t="n">
        <f aca="false">K77+L76</f>
        <v>-59750.7411498009</v>
      </c>
      <c r="M77" s="45" t="n">
        <f aca="false">L77+M76</f>
        <v>-65372.0830858861</v>
      </c>
      <c r="N77" s="45" t="n">
        <f aca="false">M77+N76</f>
        <v>-72192.896701721</v>
      </c>
      <c r="O77" s="45" t="n">
        <f aca="false">N77+O76</f>
        <v>-78226.0225619652</v>
      </c>
      <c r="P77" s="45" t="n">
        <f aca="false">O77+P76</f>
        <v>-85120.9574338708</v>
      </c>
      <c r="Q77" s="45" t="n">
        <f aca="false">P77+Q76</f>
        <v>-93207.8394528602</v>
      </c>
      <c r="R77" s="45" t="n">
        <f aca="false">Q77+R76</f>
        <v>-100416.047169012</v>
      </c>
      <c r="S77" s="45" t="n">
        <f aca="false">R77+S76</f>
        <v>-107466.205083161</v>
      </c>
      <c r="T77" s="45" t="n">
        <f aca="false">S77+T76</f>
        <v>-115622.61806781</v>
      </c>
      <c r="U77" s="45" t="n">
        <f aca="false">T77+U76</f>
        <v>-124191.846490301</v>
      </c>
      <c r="V77" s="45" t="n">
        <f aca="false">U77+V76</f>
        <v>-131806.766005363</v>
      </c>
      <c r="W77" s="45" t="n">
        <f aca="false">V77+W76</f>
        <v>-140390.312798373</v>
      </c>
      <c r="X77" s="45" t="n">
        <f aca="false">W77+X76</f>
        <v>-149285.692249071</v>
      </c>
      <c r="Y77" s="45" t="n">
        <f aca="false">X77+Y76</f>
        <v>-157143.265262006</v>
      </c>
      <c r="Z77" s="45" t="n">
        <f aca="false">Y77+Z76</f>
        <v>-165948.197470672</v>
      </c>
      <c r="AA77" s="45" t="n">
        <f aca="false">Z77+AA76</f>
        <v>-175003.435501153</v>
      </c>
      <c r="AB77" s="45" t="n">
        <f aca="false">AA77+AB76</f>
        <v>-184012.63255843</v>
      </c>
      <c r="AC77" s="45" t="n">
        <f aca="false">AB77+AC76</f>
        <v>-193970.115687259</v>
      </c>
      <c r="AD77" s="45" t="n">
        <f aca="false">AC77+AD76</f>
        <v>-204154.381501568</v>
      </c>
      <c r="AE77" s="45" t="n">
        <f aca="false">AD77+AE76</f>
        <v>-214571.741333177</v>
      </c>
      <c r="AF77" s="45" t="n">
        <f aca="false">AE77+AF76</f>
        <v>-225139.38540808</v>
      </c>
      <c r="AG77" s="45" t="n">
        <f aca="false">AF77+AG76</f>
        <v>-235792.865160094</v>
      </c>
      <c r="AH77" s="45" t="n">
        <f aca="false">AG77+AH76</f>
        <v>-246597.930702853</v>
      </c>
      <c r="AI77" s="45" t="n">
        <f aca="false">AH77+AI76</f>
        <v>-256812.060196966</v>
      </c>
      <c r="AJ77" s="45" t="n">
        <f aca="false">AI77+AJ76</f>
        <v>-267024.670511551</v>
      </c>
      <c r="AK77" s="45" t="n">
        <f aca="false">AJ77+AK76</f>
        <v>-277212.736418821</v>
      </c>
      <c r="AL77" s="45" t="n">
        <f aca="false">AK77+AL76</f>
        <v>-287396.818098655</v>
      </c>
      <c r="AM77" s="45" t="n">
        <f aca="false">AL77+AM76</f>
        <v>-297612.539848851</v>
      </c>
      <c r="AN77" s="46" t="n">
        <f aca="false">AM77+AN76</f>
        <v>-307801.206176561</v>
      </c>
      <c r="AO77" s="46" t="n">
        <f aca="false">AN77+AO76</f>
        <v>-317984.07543494</v>
      </c>
      <c r="AP77" s="46" t="n">
        <f aca="false">AO77+AP76</f>
        <v>-328194.533540864</v>
      </c>
      <c r="AQ77" s="46" t="n">
        <f aca="false">AP77+AQ76</f>
        <v>-338274.045300029</v>
      </c>
      <c r="AR77" s="46" t="n">
        <f aca="false">AQ77+AR76</f>
        <v>-348224.169668732</v>
      </c>
      <c r="AS77" s="46" t="n">
        <f aca="false">AR77+AS76</f>
        <v>-358068.990021295</v>
      </c>
      <c r="AT77" s="46" t="n">
        <f aca="false">AS77+AT76</f>
        <v>-367788.33482546</v>
      </c>
      <c r="AU77" s="46" t="n">
        <f aca="false">AT77+AU76</f>
        <v>-377383.599185562</v>
      </c>
      <c r="AV77" s="46" t="n">
        <f aca="false">AU77+AV76</f>
        <v>-386878.690137025</v>
      </c>
      <c r="AW77" s="46" t="n">
        <f aca="false">AV77+AW76</f>
        <v>-396253.255290847</v>
      </c>
      <c r="AX77" s="46" t="n">
        <f aca="false">AW77+AX76</f>
        <v>-405508.50933572</v>
      </c>
      <c r="AY77" s="46" t="n">
        <f aca="false">AX77+AY76</f>
        <v>-414707.172302729</v>
      </c>
      <c r="AZ77" s="46" t="n">
        <f aca="false">AY77+AZ76</f>
        <v>-423789.730119102</v>
      </c>
      <c r="BA77" s="46" t="n">
        <f aca="false">AZ77+BA76</f>
        <v>-432757.231939587</v>
      </c>
      <c r="BB77" s="46" t="n">
        <f aca="false">BA77+BB76</f>
        <v>-441610.742300158</v>
      </c>
      <c r="BC77" s="46" t="n">
        <f aca="false">BB77+BC76</f>
        <v>-450351.327947489</v>
      </c>
      <c r="BD77" s="46" t="n">
        <f aca="false">BC77+BD76</f>
        <v>-458980.049378117</v>
      </c>
      <c r="BE77" s="46" t="n">
        <f aca="false">BD77+BE76</f>
        <v>-467497.955441317</v>
      </c>
      <c r="BF77" s="46" t="n">
        <f aca="false">BE77+BF76</f>
        <v>-475906.079935528</v>
      </c>
      <c r="BG77" s="46" t="n">
        <f aca="false">BF77+BG76</f>
        <v>-484205.439502421</v>
      </c>
      <c r="BH77" s="46" t="n">
        <f aca="false">BG77+BH76</f>
        <v>-492397.032365983</v>
      </c>
      <c r="BI77" s="46" t="n">
        <f aca="false">BH77+BI76</f>
        <v>-500481.83762219</v>
      </c>
      <c r="BJ77" s="46" t="n">
        <f aca="false">BI77+BJ76</f>
        <v>-508460.814887624</v>
      </c>
      <c r="BK77" s="46" t="n">
        <f aca="false">BJ77+BK76</f>
        <v>-516374.868884205</v>
      </c>
    </row>
    <row r="78" customFormat="false" ht="15" hidden="false" customHeight="false" outlineLevel="0" collapsed="false">
      <c r="A78" s="28" t="s">
        <v>665</v>
      </c>
      <c r="B78" s="6" t="s">
        <v>666</v>
      </c>
      <c r="C78" s="43"/>
      <c r="D78" s="17" t="n">
        <f aca="false">D39*Assumptions!$D$49+D39/Assumptions!$D$48*Assumptions!$D$50</f>
        <v>0</v>
      </c>
      <c r="E78" s="17" t="n">
        <f aca="false">E39*Assumptions!$D$49+E39/Assumptions!$D$48*Assumptions!$D$50</f>
        <v>0</v>
      </c>
      <c r="F78" s="17" t="n">
        <f aca="false">F39*Assumptions!$D$49+F39/Assumptions!$D$48*Assumptions!$D$50</f>
        <v>0</v>
      </c>
      <c r="G78" s="17" t="n">
        <f aca="false">G39*Assumptions!$D$49+G39/Assumptions!$D$48*Assumptions!$D$50</f>
        <v>0</v>
      </c>
      <c r="H78" s="17" t="n">
        <f aca="false">H39*Assumptions!$D$49+H39/Assumptions!$D$48*Assumptions!$D$50</f>
        <v>0</v>
      </c>
      <c r="I78" s="17" t="n">
        <f aca="false">I39*Assumptions!$D$49+I39/Assumptions!$D$48*Assumptions!$D$50</f>
        <v>0</v>
      </c>
      <c r="J78" s="17" t="n">
        <f aca="false">J39*Assumptions!$D$49+J39/Assumptions!$D$48*Assumptions!$D$50</f>
        <v>0</v>
      </c>
      <c r="K78" s="17" t="n">
        <f aca="false">K39*Assumptions!$D$49+K39/Assumptions!$D$48*Assumptions!$D$50</f>
        <v>0</v>
      </c>
      <c r="L78" s="17" t="n">
        <f aca="false">L39*Assumptions!$D$49+L39/Assumptions!$D$48*Assumptions!$D$50</f>
        <v>0</v>
      </c>
      <c r="M78" s="17" t="n">
        <f aca="false">M39*Assumptions!$D$49+M39/Assumptions!$D$48*Assumptions!$D$50</f>
        <v>0</v>
      </c>
      <c r="N78" s="17" t="n">
        <f aca="false">N39*Assumptions!$D$49+N39/Assumptions!$D$48*Assumptions!$D$50</f>
        <v>0</v>
      </c>
      <c r="O78" s="17" t="n">
        <f aca="false">O39*Assumptions!$D$49+O39/Assumptions!$D$48*Assumptions!$D$50</f>
        <v>0</v>
      </c>
      <c r="P78" s="17" t="n">
        <f aca="false">P39*Assumptions!$D$49+P39/Assumptions!$D$48*Assumptions!$D$50</f>
        <v>0</v>
      </c>
      <c r="Q78" s="17" t="n">
        <f aca="false">Q39*Assumptions!$D$49+Q39/Assumptions!$D$48*Assumptions!$D$50</f>
        <v>0</v>
      </c>
      <c r="R78" s="17" t="n">
        <f aca="false">R39*Assumptions!$D$49+R39/Assumptions!$D$48*Assumptions!$D$50</f>
        <v>0</v>
      </c>
      <c r="S78" s="17" t="n">
        <f aca="false">S39*Assumptions!$D$49+S39/Assumptions!$D$48*Assumptions!$D$50</f>
        <v>0</v>
      </c>
      <c r="T78" s="17" t="n">
        <f aca="false">T39*Assumptions!$D$49+T39/Assumptions!$D$48*Assumptions!$D$50</f>
        <v>0</v>
      </c>
      <c r="U78" s="17" t="n">
        <f aca="false">U39*Assumptions!$D$49+U39/Assumptions!$D$48*Assumptions!$D$50</f>
        <v>0</v>
      </c>
      <c r="V78" s="17" t="n">
        <f aca="false">V39*Assumptions!$D$49+V39/Assumptions!$D$48*Assumptions!$D$50</f>
        <v>0</v>
      </c>
      <c r="W78" s="17" t="n">
        <f aca="false">W39*Assumptions!$D$49+W39/Assumptions!$D$48*Assumptions!$D$50</f>
        <v>0</v>
      </c>
      <c r="X78" s="17" t="n">
        <f aca="false">X39*Assumptions!$D$49+X39/Assumptions!$D$48*Assumptions!$D$50</f>
        <v>0</v>
      </c>
      <c r="Y78" s="17" t="n">
        <f aca="false">Y39*Assumptions!$D$49+Y39/Assumptions!$D$48*Assumptions!$D$50</f>
        <v>0</v>
      </c>
      <c r="Z78" s="17" t="n">
        <f aca="false">Z39*Assumptions!$D$49+Z39/Assumptions!$D$48*Assumptions!$D$50</f>
        <v>0</v>
      </c>
      <c r="AA78" s="17" t="n">
        <f aca="false">AA39*Assumptions!$D$49+AA39/Assumptions!$D$48*Assumptions!$D$50</f>
        <v>0</v>
      </c>
      <c r="AB78" s="17" t="n">
        <f aca="false">AB39*Assumptions!$D$49+AB39/Assumptions!$D$48*Assumptions!$D$50</f>
        <v>0</v>
      </c>
      <c r="AC78" s="17" t="n">
        <f aca="false">AC39*Assumptions!$D$49+AC39/Assumptions!$D$48*Assumptions!$D$50</f>
        <v>0</v>
      </c>
      <c r="AD78" s="17" t="n">
        <f aca="false">AD39*Assumptions!$D$49+AD39/Assumptions!$D$48*Assumptions!$D$50</f>
        <v>0</v>
      </c>
      <c r="AE78" s="17" t="n">
        <f aca="false">AE39*Assumptions!$D$49+AE39/Assumptions!$D$48*Assumptions!$D$50</f>
        <v>0</v>
      </c>
      <c r="AF78" s="17" t="n">
        <f aca="false">AF39*Assumptions!$D$49+AF39/Assumptions!$D$48*Assumptions!$D$50</f>
        <v>0</v>
      </c>
      <c r="AG78" s="17" t="n">
        <f aca="false">AG39*Assumptions!$D$49+AG39/Assumptions!$D$48*Assumptions!$D$50</f>
        <v>0</v>
      </c>
      <c r="AH78" s="17" t="n">
        <f aca="false">AH39*Assumptions!$D$49+AH39/Assumptions!$D$48*Assumptions!$D$50</f>
        <v>0</v>
      </c>
      <c r="AI78" s="17" t="n">
        <f aca="false">AI39*Assumptions!$D$49+AI39/Assumptions!$D$48*Assumptions!$D$50</f>
        <v>0</v>
      </c>
      <c r="AJ78" s="17" t="n">
        <f aca="false">AJ39*Assumptions!$D$49+AJ39/Assumptions!$D$48*Assumptions!$D$50</f>
        <v>0</v>
      </c>
      <c r="AK78" s="17" t="n">
        <f aca="false">AK39*Assumptions!$D$49+AK39/Assumptions!$D$48*Assumptions!$D$50</f>
        <v>0</v>
      </c>
      <c r="AL78" s="17" t="n">
        <f aca="false">AL39*Assumptions!$D$49+AL39/Assumptions!$D$48*Assumptions!$D$50</f>
        <v>0</v>
      </c>
      <c r="AM78" s="17" t="n">
        <f aca="false">AM39*Assumptions!$D$49+AM39/Assumptions!$D$48*Assumptions!$D$50</f>
        <v>0</v>
      </c>
      <c r="AN78" s="44" t="n">
        <f aca="false">AN39*Assumptions!$D$49+AN39/Assumptions!$D$48*Assumptions!$D$50</f>
        <v>0</v>
      </c>
      <c r="AO78" s="44" t="n">
        <f aca="false">AO39*Assumptions!$D$49+AO39/Assumptions!$D$48*Assumptions!$D$50</f>
        <v>0</v>
      </c>
      <c r="AP78" s="44" t="n">
        <f aca="false">AP39*Assumptions!$D$49+AP39/Assumptions!$D$48*Assumptions!$D$50</f>
        <v>149.094103170592</v>
      </c>
      <c r="AQ78" s="44" t="n">
        <f aca="false">AQ39*Assumptions!$D$49+AQ39/Assumptions!$D$48*Assumptions!$D$50</f>
        <v>294.274489249187</v>
      </c>
      <c r="AR78" s="44" t="n">
        <f aca="false">AR39*Assumptions!$D$49+AR39/Assumptions!$D$48*Assumptions!$D$50</f>
        <v>435.654866481988</v>
      </c>
      <c r="AS78" s="44" t="n">
        <f aca="false">AS39*Assumptions!$D$49+AS39/Assumptions!$D$48*Assumptions!$D$50</f>
        <v>573.445376466739</v>
      </c>
      <c r="AT78" s="44" t="n">
        <f aca="false">AT39*Assumptions!$D$49+AT39/Assumptions!$D$48*Assumptions!$D$50</f>
        <v>707.742491875615</v>
      </c>
      <c r="AU78" s="44" t="n">
        <f aca="false">AU39*Assumptions!$D$49+AU39/Assumptions!$D$48*Assumptions!$D$50</f>
        <v>838.639643075041</v>
      </c>
      <c r="AV78" s="44" t="n">
        <f aca="false">AV39*Assumptions!$D$49+AV39/Assumptions!$D$48*Assumptions!$D$50</f>
        <v>966.327890450327</v>
      </c>
      <c r="AW78" s="44" t="n">
        <f aca="false">AW39*Assumptions!$D$49+AW39/Assumptions!$D$48*Assumptions!$D$50</f>
        <v>1090.88574369323</v>
      </c>
      <c r="AX78" s="44" t="n">
        <f aca="false">AX39*Assumptions!$D$49+AX39/Assumptions!$D$48*Assumptions!$D$50</f>
        <v>1212.38971535111</v>
      </c>
      <c r="AY78" s="44" t="n">
        <f aca="false">AY39*Assumptions!$D$49+AY39/Assumptions!$D$48*Assumptions!$D$50</f>
        <v>1331.01492507323</v>
      </c>
      <c r="AZ78" s="44" t="n">
        <f aca="false">AZ39*Assumptions!$D$49+AZ39/Assumptions!$D$48*Assumptions!$D$50</f>
        <v>1446.82485546575</v>
      </c>
      <c r="BA78" s="44" t="n">
        <f aca="false">BA39*Assumptions!$D$49+BA39/Assumptions!$D$48*Assumptions!$D$50</f>
        <v>1559.88184653193</v>
      </c>
      <c r="BB78" s="44" t="n">
        <f aca="false">BB39*Assumptions!$D$49+BB39/Assumptions!$D$48*Assumptions!$D$50</f>
        <v>1670.24710166499</v>
      </c>
      <c r="BC78" s="44" t="n">
        <f aca="false">BC39*Assumptions!$D$49+BC39/Assumptions!$D$48*Assumptions!$D$50</f>
        <v>1777.98069458165</v>
      </c>
      <c r="BD78" s="44" t="n">
        <f aca="false">BD39*Assumptions!$D$49+BD39/Assumptions!$D$48*Assumptions!$D$50</f>
        <v>1883.14157712458</v>
      </c>
      <c r="BE78" s="44" t="n">
        <f aca="false">BE39*Assumptions!$D$49+BE39/Assumptions!$D$48*Assumptions!$D$50</f>
        <v>1985.78758786575</v>
      </c>
      <c r="BF78" s="44" t="n">
        <f aca="false">BF39*Assumptions!$D$49+BF39/Assumptions!$D$48*Assumptions!$D$50</f>
        <v>2085.97546144581</v>
      </c>
      <c r="BG78" s="44" t="n">
        <f aca="false">BG39*Assumptions!$D$49+BG39/Assumptions!$D$48*Assumptions!$D$50</f>
        <v>2183.76083858817</v>
      </c>
      <c r="BH78" s="44" t="n">
        <f aca="false">BH39*Assumptions!$D$49+BH39/Assumptions!$D$48*Assumptions!$D$50</f>
        <v>2279.1982767296</v>
      </c>
      <c r="BI78" s="44" t="n">
        <f aca="false">BI39*Assumptions!$D$49+BI39/Assumptions!$D$48*Assumptions!$D$50</f>
        <v>2372.34126121204</v>
      </c>
      <c r="BJ78" s="44" t="n">
        <f aca="false">BJ39*Assumptions!$D$49+BJ39/Assumptions!$D$48*Assumptions!$D$50</f>
        <v>2463.2422169836</v>
      </c>
      <c r="BK78" s="44" t="n">
        <f aca="false">BK39*Assumptions!$D$49+BK39/Assumptions!$D$48*Assumptions!$D$50</f>
        <v>2551.95252075919</v>
      </c>
    </row>
    <row r="79" customFormat="false" ht="15" hidden="false" customHeight="false" outlineLevel="0" collapsed="false">
      <c r="B79" s="5" t="s">
        <v>667</v>
      </c>
    </row>
    <row r="80" customFormat="false" ht="15" hidden="false" customHeight="false" outlineLevel="0" collapsed="false">
      <c r="A80" s="28" t="s">
        <v>668</v>
      </c>
      <c r="B80" s="6" t="s">
        <v>669</v>
      </c>
      <c r="C80" s="51"/>
      <c r="D80" s="39" t="n">
        <f aca="false">IF(D76&gt;=0,1,0)</f>
        <v>0</v>
      </c>
      <c r="E80" s="39" t="n">
        <f aca="false">IF(E76&gt;=0,1,0)</f>
        <v>0</v>
      </c>
      <c r="F80" s="39" t="n">
        <f aca="false">IF(F76&gt;=0,1,0)</f>
        <v>0</v>
      </c>
      <c r="G80" s="39" t="n">
        <f aca="false">IF(G76&gt;=0,1,0)</f>
        <v>0</v>
      </c>
      <c r="H80" s="39" t="n">
        <f aca="false">IF(H76&gt;=0,1,0)</f>
        <v>0</v>
      </c>
      <c r="I80" s="39" t="n">
        <f aca="false">IF(I76&gt;=0,1,0)</f>
        <v>0</v>
      </c>
      <c r="J80" s="39" t="n">
        <f aca="false">IF(J76&gt;=0,1,0)</f>
        <v>0</v>
      </c>
      <c r="K80" s="39" t="n">
        <f aca="false">IF(K76&gt;=0,1,0)</f>
        <v>0</v>
      </c>
      <c r="L80" s="39" t="n">
        <f aca="false">IF(L76&gt;=0,1,0)</f>
        <v>0</v>
      </c>
      <c r="M80" s="39" t="n">
        <f aca="false">IF(M76&gt;=0,1,0)</f>
        <v>0</v>
      </c>
      <c r="N80" s="39" t="n">
        <f aca="false">IF(N76&gt;=0,1,0)</f>
        <v>0</v>
      </c>
      <c r="O80" s="39" t="n">
        <f aca="false">IF(O76&gt;=0,1,0)</f>
        <v>0</v>
      </c>
      <c r="P80" s="39" t="n">
        <f aca="false">IF(P76&gt;=0,1,0)</f>
        <v>0</v>
      </c>
      <c r="Q80" s="39" t="n">
        <f aca="false">IF(Q76&gt;=0,1,0)</f>
        <v>0</v>
      </c>
      <c r="R80" s="39" t="n">
        <f aca="false">IF(R76&gt;=0,1,0)</f>
        <v>0</v>
      </c>
      <c r="S80" s="39" t="n">
        <f aca="false">IF(S76&gt;=0,1,0)</f>
        <v>0</v>
      </c>
      <c r="T80" s="39" t="n">
        <f aca="false">IF(T76&gt;=0,1,0)</f>
        <v>0</v>
      </c>
      <c r="U80" s="39" t="n">
        <f aca="false">IF(U76&gt;=0,1,0)</f>
        <v>0</v>
      </c>
      <c r="V80" s="39" t="n">
        <f aca="false">IF(V76&gt;=0,1,0)</f>
        <v>0</v>
      </c>
      <c r="W80" s="39" t="n">
        <f aca="false">IF(W76&gt;=0,1,0)</f>
        <v>0</v>
      </c>
      <c r="X80" s="39" t="n">
        <f aca="false">IF(X76&gt;=0,1,0)</f>
        <v>0</v>
      </c>
      <c r="Y80" s="39" t="n">
        <f aca="false">IF(Y76&gt;=0,1,0)</f>
        <v>0</v>
      </c>
      <c r="Z80" s="39" t="n">
        <f aca="false">IF(Z76&gt;=0,1,0)</f>
        <v>0</v>
      </c>
      <c r="AA80" s="39" t="n">
        <f aca="false">IF(AA76&gt;=0,1,0)</f>
        <v>0</v>
      </c>
      <c r="AB80" s="39" t="n">
        <f aca="false">IF(AB76&gt;=0,1,0)</f>
        <v>0</v>
      </c>
      <c r="AC80" s="39" t="n">
        <f aca="false">IF(AC76&gt;=0,1,0)</f>
        <v>0</v>
      </c>
      <c r="AD80" s="39" t="n">
        <f aca="false">IF(AD76&gt;=0,1,0)</f>
        <v>0</v>
      </c>
      <c r="AE80" s="39" t="n">
        <f aca="false">IF(AE76&gt;=0,1,0)</f>
        <v>0</v>
      </c>
      <c r="AF80" s="39" t="n">
        <f aca="false">IF(AF76&gt;=0,1,0)</f>
        <v>0</v>
      </c>
      <c r="AG80" s="39" t="n">
        <f aca="false">IF(AG76&gt;=0,1,0)</f>
        <v>0</v>
      </c>
      <c r="AH80" s="39" t="n">
        <f aca="false">IF(AH76&gt;=0,1,0)</f>
        <v>0</v>
      </c>
      <c r="AI80" s="39" t="n">
        <f aca="false">IF(AI76&gt;=0,1,0)</f>
        <v>0</v>
      </c>
      <c r="AJ80" s="39" t="n">
        <f aca="false">IF(AJ76&gt;=0,1,0)</f>
        <v>0</v>
      </c>
      <c r="AK80" s="39" t="n">
        <f aca="false">IF(AK76&gt;=0,1,0)</f>
        <v>0</v>
      </c>
      <c r="AL80" s="39" t="n">
        <f aca="false">IF(AL76&gt;=0,1,0)</f>
        <v>0</v>
      </c>
      <c r="AM80" s="39" t="n">
        <f aca="false">IF(AM76&gt;=0,1,0)</f>
        <v>0</v>
      </c>
      <c r="AN80" s="40" t="n">
        <f aca="false">IF(AN76&gt;=0,1,0)</f>
        <v>0</v>
      </c>
      <c r="AO80" s="40" t="n">
        <f aca="false">IF(AO76&gt;=0,1,0)</f>
        <v>0</v>
      </c>
      <c r="AP80" s="40" t="n">
        <f aca="false">IF(AP76&gt;=0,1,0)</f>
        <v>0</v>
      </c>
      <c r="AQ80" s="40" t="n">
        <f aca="false">IF(AQ76&gt;=0,1,0)</f>
        <v>0</v>
      </c>
      <c r="AR80" s="40" t="n">
        <f aca="false">IF(AR76&gt;=0,1,0)</f>
        <v>0</v>
      </c>
      <c r="AS80" s="40" t="n">
        <f aca="false">IF(AS76&gt;=0,1,0)</f>
        <v>0</v>
      </c>
      <c r="AT80" s="40" t="n">
        <f aca="false">IF(AT76&gt;=0,1,0)</f>
        <v>0</v>
      </c>
      <c r="AU80" s="40" t="n">
        <f aca="false">IF(AU76&gt;=0,1,0)</f>
        <v>0</v>
      </c>
      <c r="AV80" s="40" t="n">
        <f aca="false">IF(AV76&gt;=0,1,0)</f>
        <v>0</v>
      </c>
      <c r="AW80" s="40" t="n">
        <f aca="false">IF(AW76&gt;=0,1,0)</f>
        <v>0</v>
      </c>
      <c r="AX80" s="40" t="n">
        <f aca="false">IF(AX76&gt;=0,1,0)</f>
        <v>0</v>
      </c>
      <c r="AY80" s="40" t="n">
        <f aca="false">IF(AY76&gt;=0,1,0)</f>
        <v>0</v>
      </c>
      <c r="AZ80" s="40" t="n">
        <f aca="false">IF(AZ76&gt;=0,1,0)</f>
        <v>0</v>
      </c>
      <c r="BA80" s="40" t="n">
        <f aca="false">IF(BA76&gt;=0,1,0)</f>
        <v>0</v>
      </c>
      <c r="BB80" s="40" t="n">
        <f aca="false">IF(BB76&gt;=0,1,0)</f>
        <v>0</v>
      </c>
      <c r="BC80" s="40" t="n">
        <f aca="false">IF(BC76&gt;=0,1,0)</f>
        <v>0</v>
      </c>
      <c r="BD80" s="40" t="n">
        <f aca="false">IF(BD76&gt;=0,1,0)</f>
        <v>0</v>
      </c>
      <c r="BE80" s="40" t="n">
        <f aca="false">IF(BE76&gt;=0,1,0)</f>
        <v>0</v>
      </c>
      <c r="BF80" s="40" t="n">
        <f aca="false">IF(BF76&gt;=0,1,0)</f>
        <v>0</v>
      </c>
      <c r="BG80" s="40" t="n">
        <f aca="false">IF(BG76&gt;=0,1,0)</f>
        <v>0</v>
      </c>
      <c r="BH80" s="40" t="n">
        <f aca="false">IF(BH76&gt;=0,1,0)</f>
        <v>0</v>
      </c>
      <c r="BI80" s="40" t="n">
        <f aca="false">IF(BI76&gt;=0,1,0)</f>
        <v>0</v>
      </c>
      <c r="BJ80" s="40" t="n">
        <f aca="false">IF(BJ76&gt;=0,1,0)</f>
        <v>0</v>
      </c>
      <c r="BK80" s="40" t="n">
        <f aca="false">IF(BK76&gt;=0,1,0)</f>
        <v>0</v>
      </c>
    </row>
    <row r="81" customFormat="false" ht="15" hidden="false" customHeight="false" outlineLevel="0" collapsed="false">
      <c r="A81" s="28" t="s">
        <v>670</v>
      </c>
      <c r="B81" s="6" t="s">
        <v>671</v>
      </c>
      <c r="C81" s="51"/>
      <c r="D81" s="39" t="n">
        <f aca="false">IF(AND(D80=1,E81=1),1,0)</f>
        <v>0</v>
      </c>
      <c r="E81" s="39" t="n">
        <f aca="false">IF(AND(E80=1,F81=1),1,0)</f>
        <v>0</v>
      </c>
      <c r="F81" s="39" t="n">
        <f aca="false">IF(AND(F80=1,G81=1),1,0)</f>
        <v>0</v>
      </c>
      <c r="G81" s="39" t="n">
        <f aca="false">IF(AND(G80=1,H81=1),1,0)</f>
        <v>0</v>
      </c>
      <c r="H81" s="39" t="n">
        <f aca="false">IF(AND(H80=1,I81=1),1,0)</f>
        <v>0</v>
      </c>
      <c r="I81" s="39" t="n">
        <f aca="false">IF(AND(I80=1,J81=1),1,0)</f>
        <v>0</v>
      </c>
      <c r="J81" s="39" t="n">
        <f aca="false">IF(AND(J80=1,K81=1),1,0)</f>
        <v>0</v>
      </c>
      <c r="K81" s="39" t="n">
        <f aca="false">IF(AND(K80=1,L81=1),1,0)</f>
        <v>0</v>
      </c>
      <c r="L81" s="39" t="n">
        <f aca="false">IF(AND(L80=1,M81=1),1,0)</f>
        <v>0</v>
      </c>
      <c r="M81" s="39" t="n">
        <f aca="false">IF(AND(M80=1,N81=1),1,0)</f>
        <v>0</v>
      </c>
      <c r="N81" s="39" t="n">
        <f aca="false">IF(AND(N80=1,O81=1),1,0)</f>
        <v>0</v>
      </c>
      <c r="O81" s="39" t="n">
        <f aca="false">IF(AND(O80=1,P81=1),1,0)</f>
        <v>0</v>
      </c>
      <c r="P81" s="39" t="n">
        <f aca="false">IF(AND(P80=1,Q81=1),1,0)</f>
        <v>0</v>
      </c>
      <c r="Q81" s="39" t="n">
        <f aca="false">IF(AND(Q80=1,R81=1),1,0)</f>
        <v>0</v>
      </c>
      <c r="R81" s="39" t="n">
        <f aca="false">IF(AND(R80=1,S81=1),1,0)</f>
        <v>0</v>
      </c>
      <c r="S81" s="39" t="n">
        <f aca="false">IF(AND(S80=1,T81=1),1,0)</f>
        <v>0</v>
      </c>
      <c r="T81" s="39" t="n">
        <f aca="false">IF(AND(T80=1,U81=1),1,0)</f>
        <v>0</v>
      </c>
      <c r="U81" s="39" t="n">
        <f aca="false">IF(AND(U80=1,V81=1),1,0)</f>
        <v>0</v>
      </c>
      <c r="V81" s="39" t="n">
        <f aca="false">IF(AND(V80=1,W81=1),1,0)</f>
        <v>0</v>
      </c>
      <c r="W81" s="39" t="n">
        <f aca="false">IF(AND(W80=1,X81=1),1,0)</f>
        <v>0</v>
      </c>
      <c r="X81" s="39" t="n">
        <f aca="false">IF(AND(X80=1,Y81=1),1,0)</f>
        <v>0</v>
      </c>
      <c r="Y81" s="39" t="n">
        <f aca="false">IF(AND(Y80=1,Z81=1),1,0)</f>
        <v>0</v>
      </c>
      <c r="Z81" s="39" t="n">
        <f aca="false">IF(AND(Z80=1,AA81=1),1,0)</f>
        <v>0</v>
      </c>
      <c r="AA81" s="39" t="n">
        <f aca="false">IF(AND(AA80=1,AB81=1),1,0)</f>
        <v>0</v>
      </c>
      <c r="AB81" s="39" t="n">
        <f aca="false">IF(AND(AB80=1,AC81=1),1,0)</f>
        <v>0</v>
      </c>
      <c r="AC81" s="39" t="n">
        <f aca="false">IF(AND(AC80=1,AD81=1),1,0)</f>
        <v>0</v>
      </c>
      <c r="AD81" s="39" t="n">
        <f aca="false">IF(AND(AD80=1,AE81=1),1,0)</f>
        <v>0</v>
      </c>
      <c r="AE81" s="39" t="n">
        <f aca="false">IF(AND(AE80=1,AF81=1),1,0)</f>
        <v>0</v>
      </c>
      <c r="AF81" s="39" t="n">
        <f aca="false">IF(AND(AF80=1,AG81=1),1,0)</f>
        <v>0</v>
      </c>
      <c r="AG81" s="39" t="n">
        <f aca="false">IF(AND(AG80=1,AH81=1),1,0)</f>
        <v>0</v>
      </c>
      <c r="AH81" s="39" t="n">
        <f aca="false">IF(AND(AH80=1,AI81=1),1,0)</f>
        <v>0</v>
      </c>
      <c r="AI81" s="39" t="n">
        <f aca="false">IF(AND(AI80=1,AJ81=1),1,0)</f>
        <v>0</v>
      </c>
      <c r="AJ81" s="39" t="n">
        <f aca="false">IF(AND(AJ80=1,AK81=1),1,0)</f>
        <v>0</v>
      </c>
      <c r="AK81" s="39" t="n">
        <f aca="false">IF(AND(AK80=1,AL81=1),1,0)</f>
        <v>0</v>
      </c>
      <c r="AL81" s="39" t="n">
        <f aca="false">IF(AND(AL80=1,AM81=1),1,0)</f>
        <v>0</v>
      </c>
      <c r="AM81" s="39" t="n">
        <f aca="false">AM80</f>
        <v>0</v>
      </c>
    </row>
    <row r="82" customFormat="false" ht="15" hidden="false" customHeight="false" outlineLevel="0" collapsed="false">
      <c r="A82" s="28" t="s">
        <v>672</v>
      </c>
      <c r="B82" s="6" t="s">
        <v>673</v>
      </c>
      <c r="C82" s="51"/>
      <c r="D82" s="39" t="n">
        <f aca="false">IF(AND(D80=1,E82=1),1,0)</f>
        <v>0</v>
      </c>
      <c r="E82" s="39" t="n">
        <f aca="false">IF(AND(E80=1,F82=1),1,0)</f>
        <v>0</v>
      </c>
      <c r="F82" s="39" t="n">
        <f aca="false">IF(AND(F80=1,G82=1),1,0)</f>
        <v>0</v>
      </c>
      <c r="G82" s="39" t="n">
        <f aca="false">IF(AND(G80=1,H82=1),1,0)</f>
        <v>0</v>
      </c>
      <c r="H82" s="39" t="n">
        <f aca="false">IF(AND(H80=1,I82=1),1,0)</f>
        <v>0</v>
      </c>
      <c r="I82" s="39" t="n">
        <f aca="false">IF(AND(I80=1,J82=1),1,0)</f>
        <v>0</v>
      </c>
      <c r="J82" s="39" t="n">
        <f aca="false">IF(AND(J80=1,K82=1),1,0)</f>
        <v>0</v>
      </c>
      <c r="K82" s="39" t="n">
        <f aca="false">IF(AND(K80=1,L82=1),1,0)</f>
        <v>0</v>
      </c>
      <c r="L82" s="39" t="n">
        <f aca="false">IF(AND(L80=1,M82=1),1,0)</f>
        <v>0</v>
      </c>
      <c r="M82" s="39" t="n">
        <f aca="false">IF(AND(M80=1,N82=1),1,0)</f>
        <v>0</v>
      </c>
      <c r="N82" s="39" t="n">
        <f aca="false">IF(AND(N80=1,O82=1),1,0)</f>
        <v>0</v>
      </c>
      <c r="O82" s="39" t="n">
        <f aca="false">IF(AND(O80=1,P82=1),1,0)</f>
        <v>0</v>
      </c>
      <c r="P82" s="39" t="n">
        <f aca="false">IF(AND(P80=1,Q82=1),1,0)</f>
        <v>0</v>
      </c>
      <c r="Q82" s="39" t="n">
        <f aca="false">IF(AND(Q80=1,R82=1),1,0)</f>
        <v>0</v>
      </c>
      <c r="R82" s="39" t="n">
        <f aca="false">IF(AND(R80=1,S82=1),1,0)</f>
        <v>0</v>
      </c>
      <c r="S82" s="39" t="n">
        <f aca="false">IF(AND(S80=1,T82=1),1,0)</f>
        <v>0</v>
      </c>
      <c r="T82" s="39" t="n">
        <f aca="false">IF(AND(T80=1,U82=1),1,0)</f>
        <v>0</v>
      </c>
      <c r="U82" s="39" t="n">
        <f aca="false">IF(AND(U80=1,V82=1),1,0)</f>
        <v>0</v>
      </c>
      <c r="V82" s="39" t="n">
        <f aca="false">IF(AND(V80=1,W82=1),1,0)</f>
        <v>0</v>
      </c>
      <c r="W82" s="39" t="n">
        <f aca="false">IF(AND(W80=1,X82=1),1,0)</f>
        <v>0</v>
      </c>
      <c r="X82" s="39" t="n">
        <f aca="false">IF(AND(X80=1,Y82=1),1,0)</f>
        <v>0</v>
      </c>
      <c r="Y82" s="39" t="n">
        <f aca="false">IF(AND(Y80=1,Z82=1),1,0)</f>
        <v>0</v>
      </c>
      <c r="Z82" s="39" t="n">
        <f aca="false">IF(AND(Z80=1,AA82=1),1,0)</f>
        <v>0</v>
      </c>
      <c r="AA82" s="39" t="n">
        <f aca="false">IF(AND(AA80=1,AB82=1),1,0)</f>
        <v>0</v>
      </c>
      <c r="AB82" s="39" t="n">
        <f aca="false">IF(AND(AB80=1,AC82=1),1,0)</f>
        <v>0</v>
      </c>
      <c r="AC82" s="39" t="n">
        <f aca="false">IF(AND(AC80=1,AD82=1),1,0)</f>
        <v>0</v>
      </c>
      <c r="AD82" s="39" t="n">
        <f aca="false">IF(AND(AD80=1,AE82=1),1,0)</f>
        <v>0</v>
      </c>
      <c r="AE82" s="39" t="n">
        <f aca="false">IF(AND(AE80=1,AF82=1),1,0)</f>
        <v>0</v>
      </c>
      <c r="AF82" s="39" t="n">
        <f aca="false">IF(AND(AF80=1,AG82=1),1,0)</f>
        <v>0</v>
      </c>
      <c r="AG82" s="39" t="n">
        <f aca="false">IF(AND(AG80=1,AH82=1),1,0)</f>
        <v>0</v>
      </c>
      <c r="AH82" s="39" t="n">
        <f aca="false">IF(AND(AH80=1,AI82=1),1,0)</f>
        <v>0</v>
      </c>
      <c r="AI82" s="39" t="n">
        <f aca="false">IF(AND(AI80=1,AJ82=1),1,0)</f>
        <v>0</v>
      </c>
      <c r="AJ82" s="39" t="n">
        <f aca="false">IF(AND(AJ80=1,AK82=1),1,0)</f>
        <v>0</v>
      </c>
      <c r="AK82" s="39" t="n">
        <f aca="false">IF(AND(AK80=1,AL82=1),1,0)</f>
        <v>0</v>
      </c>
      <c r="AL82" s="39" t="n">
        <f aca="false">IF(AND(AL80=1,AM82=1),1,0)</f>
        <v>0</v>
      </c>
      <c r="AM82" s="39" t="n">
        <f aca="false">IF(AND(AM80=1,AN82=1),1,0)</f>
        <v>0</v>
      </c>
      <c r="AN82" s="39" t="n">
        <f aca="false">IF(AND(AN80=1,AO82=1),1,0)</f>
        <v>0</v>
      </c>
      <c r="AO82" s="39" t="n">
        <f aca="false">IF(AND(AO80=1,AP82=1),1,0)</f>
        <v>0</v>
      </c>
      <c r="AP82" s="39" t="n">
        <f aca="false">IF(AND(AP80=1,AQ82=1),1,0)</f>
        <v>0</v>
      </c>
      <c r="AQ82" s="39" t="n">
        <f aca="false">IF(AND(AQ80=1,AR82=1),1,0)</f>
        <v>0</v>
      </c>
      <c r="AR82" s="39" t="n">
        <f aca="false">IF(AND(AR80=1,AS82=1),1,0)</f>
        <v>0</v>
      </c>
      <c r="AS82" s="39" t="n">
        <f aca="false">IF(AND(AS80=1,AT82=1),1,0)</f>
        <v>0</v>
      </c>
      <c r="AT82" s="39" t="n">
        <f aca="false">IF(AND(AT80=1,AU82=1),1,0)</f>
        <v>0</v>
      </c>
      <c r="AU82" s="39" t="n">
        <f aca="false">IF(AND(AU80=1,AV82=1),1,0)</f>
        <v>0</v>
      </c>
      <c r="AV82" s="39" t="n">
        <f aca="false">IF(AND(AV80=1,AW82=1),1,0)</f>
        <v>0</v>
      </c>
      <c r="AW82" s="39" t="n">
        <f aca="false">IF(AND(AW80=1,AX82=1),1,0)</f>
        <v>0</v>
      </c>
      <c r="AX82" s="39" t="n">
        <f aca="false">IF(AND(AX80=1,AY82=1),1,0)</f>
        <v>0</v>
      </c>
      <c r="AY82" s="39" t="n">
        <f aca="false">IF(AND(AY80=1,AZ82=1),1,0)</f>
        <v>0</v>
      </c>
      <c r="AZ82" s="39" t="n">
        <f aca="false">IF(AND(AZ80=1,BA82=1),1,0)</f>
        <v>0</v>
      </c>
      <c r="BA82" s="39" t="n">
        <f aca="false">IF(AND(BA80=1,BB82=1),1,0)</f>
        <v>0</v>
      </c>
      <c r="BB82" s="39" t="n">
        <f aca="false">IF(AND(BB80=1,BC82=1),1,0)</f>
        <v>0</v>
      </c>
      <c r="BC82" s="39" t="n">
        <f aca="false">IF(AND(BC80=1,BD82=1),1,0)</f>
        <v>0</v>
      </c>
      <c r="BD82" s="39" t="n">
        <f aca="false">IF(AND(BD80=1,BE82=1),1,0)</f>
        <v>0</v>
      </c>
      <c r="BE82" s="39" t="n">
        <f aca="false">IF(AND(BE80=1,BF82=1),1,0)</f>
        <v>0</v>
      </c>
      <c r="BF82" s="39" t="n">
        <f aca="false">IF(AND(BF80=1,BG82=1),1,0)</f>
        <v>0</v>
      </c>
      <c r="BG82" s="39" t="n">
        <f aca="false">IF(AND(BG80=1,BH82=1),1,0)</f>
        <v>0</v>
      </c>
      <c r="BH82" s="39" t="n">
        <f aca="false">IF(AND(BH80=1,BI82=1),1,0)</f>
        <v>0</v>
      </c>
      <c r="BI82" s="39" t="n">
        <f aca="false">IF(AND(BI80=1,BJ82=1),1,0)</f>
        <v>0</v>
      </c>
      <c r="BJ82" s="39" t="n">
        <f aca="false">IF(AND(BJ80=1,BK82=1),1,0)</f>
        <v>0</v>
      </c>
      <c r="BK82" s="39" t="n">
        <f aca="false">BK80</f>
        <v>0</v>
      </c>
    </row>
    <row r="84" customFormat="false" ht="17.35" hidden="false" customHeight="false" outlineLevel="0" collapsed="false">
      <c r="B84" s="1" t="s">
        <v>674</v>
      </c>
    </row>
    <row r="85" customFormat="false" ht="15" hidden="false" customHeight="false" outlineLevel="0" collapsed="false">
      <c r="B85" s="5" t="s">
        <v>675</v>
      </c>
      <c r="C85" s="52" t="str">
        <f aca="false">IFERROR(MATCH(1,D81:AM81,0),"none")</f>
        <v>none</v>
      </c>
    </row>
    <row r="86" customFormat="false" ht="15" hidden="false" customHeight="false" outlineLevel="0" collapsed="false">
      <c r="B86" s="5" t="s">
        <v>676</v>
      </c>
      <c r="C86" s="52" t="str">
        <f aca="false">IFERROR(MATCH(1,D82:BK82,0),"none")</f>
        <v>none</v>
      </c>
    </row>
    <row r="87" customFormat="false" ht="15" hidden="false" customHeight="false" outlineLevel="0" collapsed="false">
      <c r="B87" s="5" t="s">
        <v>677</v>
      </c>
      <c r="C87" s="52" t="str">
        <f aca="false">IFERROR(MATCH(1,D80:AM80,0),"none")</f>
        <v>none</v>
      </c>
    </row>
    <row r="88" customFormat="false" ht="15" hidden="false" customHeight="false" outlineLevel="0" collapsed="false">
      <c r="B88" s="5" t="s">
        <v>486</v>
      </c>
      <c r="C88" s="53" t="n">
        <f aca="false">-MIN(0,MIN(D77:AM77))</f>
        <v>297612.539848851</v>
      </c>
    </row>
    <row r="89" customFormat="false" ht="15" hidden="false" customHeight="false" outlineLevel="0" collapsed="false">
      <c r="B89" s="5" t="s">
        <v>678</v>
      </c>
      <c r="C89" s="52" t="n">
        <f aca="false">MATCH(MIN(D77:AM77),D77:AM77,0)</f>
        <v>36</v>
      </c>
    </row>
    <row r="90" customFormat="false" ht="15" hidden="false" customHeight="false" outlineLevel="0" collapsed="false">
      <c r="B90" s="5" t="s">
        <v>679</v>
      </c>
      <c r="C90" s="53" t="n">
        <f aca="false">-MIN(0,MIN(D77:BK77))</f>
        <v>516374.868884205</v>
      </c>
    </row>
    <row r="91" customFormat="false" ht="15" hidden="false" customHeight="false" outlineLevel="0" collapsed="false">
      <c r="B91" s="5" t="s">
        <v>489</v>
      </c>
      <c r="C91" s="52" t="str">
        <f aca="false">IFERROR(MATCH(1,D16:AM16,0),"none")</f>
        <v>none</v>
      </c>
    </row>
    <row r="92" customFormat="false" ht="15" hidden="false" customHeight="false" outlineLevel="0" collapsed="false">
      <c r="B92" s="5" t="s">
        <v>490</v>
      </c>
      <c r="C92" s="52" t="str">
        <f aca="false">IFERROR(MATCH(1,D17:AM17,0),"none")</f>
        <v>none</v>
      </c>
    </row>
    <row r="93" customFormat="false" ht="15" hidden="false" customHeight="false" outlineLevel="0" collapsed="false">
      <c r="B93" s="5" t="s">
        <v>680</v>
      </c>
      <c r="C93" s="52" t="n">
        <f aca="false">IFERROR(MATCH(1,D18:AM18,0),"none")</f>
        <v>32</v>
      </c>
    </row>
    <row r="94" customFormat="false" ht="15" hidden="false" customHeight="false" outlineLevel="0" collapsed="false">
      <c r="B94" s="5" t="s">
        <v>492</v>
      </c>
      <c r="C94" s="52" t="str">
        <f aca="false">IFERROR(MATCH(1,D19:AM19,0),"none")</f>
        <v>none</v>
      </c>
    </row>
    <row r="95" customFormat="false" ht="15" hidden="false" customHeight="false" outlineLevel="0" collapsed="false">
      <c r="B95" s="5" t="s">
        <v>493</v>
      </c>
      <c r="C95" s="54" t="n">
        <f aca="false">AM13</f>
        <v>132.276445079573</v>
      </c>
    </row>
    <row r="96" customFormat="false" ht="15" hidden="false" customHeight="false" outlineLevel="0" collapsed="false">
      <c r="B96" s="5" t="s">
        <v>494</v>
      </c>
      <c r="C96" s="54" t="n">
        <f aca="false">AM32</f>
        <v>0</v>
      </c>
    </row>
    <row r="97" customFormat="false" ht="15" hidden="false" customHeight="false" outlineLevel="0" collapsed="false">
      <c r="B97" s="5" t="s">
        <v>495</v>
      </c>
      <c r="C97" s="54" t="n">
        <f aca="false">AM24</f>
        <v>4285.30614615474</v>
      </c>
    </row>
    <row r="98" customFormat="false" ht="15" hidden="false" customHeight="false" outlineLevel="0" collapsed="false">
      <c r="B98" s="5" t="s">
        <v>496</v>
      </c>
      <c r="C98" s="53" t="n">
        <f aca="false">AM46</f>
        <v>1312.5</v>
      </c>
    </row>
    <row r="99" customFormat="false" ht="15" hidden="false" customHeight="false" outlineLevel="0" collapsed="false">
      <c r="B99" s="5" t="s">
        <v>497</v>
      </c>
      <c r="C99" s="53" t="n">
        <f aca="false">AM76</f>
        <v>-10215.7217501954</v>
      </c>
    </row>
    <row r="100" customFormat="false" ht="15" hidden="false" customHeight="false" outlineLevel="0" collapsed="false">
      <c r="B100" s="5" t="s">
        <v>498</v>
      </c>
      <c r="C100" s="53" t="n">
        <f aca="false">SUM(D46:O46)</f>
        <v>0</v>
      </c>
    </row>
    <row r="101" customFormat="false" ht="15" hidden="false" customHeight="false" outlineLevel="0" collapsed="false">
      <c r="B101" s="5" t="s">
        <v>499</v>
      </c>
      <c r="C101" s="53" t="n">
        <f aca="false">SUM(P46:AA46)</f>
        <v>0</v>
      </c>
    </row>
    <row r="102" customFormat="false" ht="15" hidden="false" customHeight="false" outlineLevel="0" collapsed="false">
      <c r="B102" s="5" t="s">
        <v>500</v>
      </c>
      <c r="C102" s="53" t="n">
        <f aca="false">SUM(AB46:AM46)</f>
        <v>5625</v>
      </c>
    </row>
    <row r="103" customFormat="false" ht="15" hidden="false" customHeight="false" outlineLevel="0" collapsed="false">
      <c r="B103" s="5" t="s">
        <v>501</v>
      </c>
      <c r="C103" s="53" t="n">
        <f aca="false">SUM(D76:O76)</f>
        <v>-78226.0225619652</v>
      </c>
    </row>
    <row r="104" customFormat="false" ht="15" hidden="false" customHeight="false" outlineLevel="0" collapsed="false">
      <c r="B104" s="5" t="s">
        <v>502</v>
      </c>
      <c r="C104" s="53" t="n">
        <f aca="false">SUM(P76:AA76)</f>
        <v>-96777.4129391878</v>
      </c>
    </row>
    <row r="105" customFormat="false" ht="15" hidden="false" customHeight="false" outlineLevel="0" collapsed="false">
      <c r="B105" s="5" t="s">
        <v>503</v>
      </c>
      <c r="C105" s="53" t="n">
        <f aca="false">SUM(AB76:AM76)</f>
        <v>-122609.104347698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6"/>
    <col collapsed="false" customWidth="true" hidden="false" outlineLevel="0" max="63" min="3" style="0" width="11"/>
  </cols>
  <sheetData>
    <row r="1" customFormat="false" ht="17.35" hidden="false" customHeight="false" outlineLevel="0" collapsed="false">
      <c r="A1" s="1" t="s">
        <v>683</v>
      </c>
    </row>
    <row r="2" customFormat="false" ht="15" hidden="false" customHeight="false" outlineLevel="0" collapsed="false">
      <c r="A2" s="3" t="s">
        <v>684</v>
      </c>
    </row>
    <row r="4" customFormat="false" ht="15" hidden="false" customHeight="false" outlineLevel="0" collapsed="false">
      <c r="B4" s="5" t="s">
        <v>532</v>
      </c>
      <c r="C4" s="4" t="n">
        <v>0</v>
      </c>
      <c r="D4" s="4" t="n">
        <v>1</v>
      </c>
      <c r="E4" s="4" t="n">
        <v>2</v>
      </c>
      <c r="F4" s="4" t="n">
        <v>3</v>
      </c>
      <c r="G4" s="4" t="n">
        <v>4</v>
      </c>
      <c r="H4" s="4" t="n">
        <v>5</v>
      </c>
      <c r="I4" s="4" t="n">
        <v>6</v>
      </c>
      <c r="J4" s="4" t="n">
        <v>7</v>
      </c>
      <c r="K4" s="4" t="n">
        <v>8</v>
      </c>
      <c r="L4" s="4" t="n">
        <v>9</v>
      </c>
      <c r="M4" s="4" t="n">
        <v>10</v>
      </c>
      <c r="N4" s="4" t="n">
        <v>11</v>
      </c>
      <c r="O4" s="4" t="n">
        <v>12</v>
      </c>
      <c r="P4" s="4" t="n">
        <v>13</v>
      </c>
      <c r="Q4" s="4" t="n">
        <v>14</v>
      </c>
      <c r="R4" s="4" t="n">
        <v>15</v>
      </c>
      <c r="S4" s="4" t="n">
        <v>16</v>
      </c>
      <c r="T4" s="4" t="n">
        <v>17</v>
      </c>
      <c r="U4" s="4" t="n">
        <v>18</v>
      </c>
      <c r="V4" s="4" t="n">
        <v>19</v>
      </c>
      <c r="W4" s="4" t="n">
        <v>20</v>
      </c>
      <c r="X4" s="4" t="n">
        <v>21</v>
      </c>
      <c r="Y4" s="4" t="n">
        <v>22</v>
      </c>
      <c r="Z4" s="4" t="n">
        <v>23</v>
      </c>
      <c r="AA4" s="4" t="n">
        <v>24</v>
      </c>
      <c r="AB4" s="4" t="n">
        <v>25</v>
      </c>
      <c r="AC4" s="4" t="n">
        <v>26</v>
      </c>
      <c r="AD4" s="4" t="n">
        <v>27</v>
      </c>
      <c r="AE4" s="4" t="n">
        <v>28</v>
      </c>
      <c r="AF4" s="4" t="n">
        <v>29</v>
      </c>
      <c r="AG4" s="4" t="n">
        <v>30</v>
      </c>
      <c r="AH4" s="4" t="n">
        <v>31</v>
      </c>
      <c r="AI4" s="4" t="n">
        <v>32</v>
      </c>
      <c r="AJ4" s="4" t="n">
        <v>33</v>
      </c>
      <c r="AK4" s="4" t="n">
        <v>34</v>
      </c>
      <c r="AL4" s="4" t="n">
        <v>35</v>
      </c>
      <c r="AM4" s="4" t="n">
        <v>36</v>
      </c>
      <c r="AN4" s="19" t="n">
        <v>37</v>
      </c>
      <c r="AO4" s="19" t="n">
        <v>38</v>
      </c>
      <c r="AP4" s="19" t="n">
        <v>39</v>
      </c>
      <c r="AQ4" s="19" t="n">
        <v>40</v>
      </c>
      <c r="AR4" s="19" t="n">
        <v>41</v>
      </c>
      <c r="AS4" s="19" t="n">
        <v>42</v>
      </c>
      <c r="AT4" s="19" t="n">
        <v>43</v>
      </c>
      <c r="AU4" s="19" t="n">
        <v>44</v>
      </c>
      <c r="AV4" s="19" t="n">
        <v>45</v>
      </c>
      <c r="AW4" s="19" t="n">
        <v>46</v>
      </c>
      <c r="AX4" s="19" t="n">
        <v>47</v>
      </c>
      <c r="AY4" s="19" t="n">
        <v>48</v>
      </c>
      <c r="AZ4" s="19" t="n">
        <v>49</v>
      </c>
      <c r="BA4" s="19" t="n">
        <v>50</v>
      </c>
      <c r="BB4" s="19" t="n">
        <v>51</v>
      </c>
      <c r="BC4" s="19" t="n">
        <v>52</v>
      </c>
      <c r="BD4" s="19" t="n">
        <v>53</v>
      </c>
      <c r="BE4" s="19" t="n">
        <v>54</v>
      </c>
      <c r="BF4" s="19" t="n">
        <v>55</v>
      </c>
      <c r="BG4" s="19" t="n">
        <v>56</v>
      </c>
      <c r="BH4" s="19" t="n">
        <v>57</v>
      </c>
      <c r="BI4" s="19" t="n">
        <v>58</v>
      </c>
      <c r="BJ4" s="19" t="n">
        <v>59</v>
      </c>
      <c r="BK4" s="19" t="n">
        <v>60</v>
      </c>
    </row>
    <row r="5" customFormat="false" ht="15" hidden="false" customHeight="false" outlineLevel="0" collapsed="false">
      <c r="B5" s="5" t="s">
        <v>403</v>
      </c>
      <c r="C5" s="5" t="s">
        <v>533</v>
      </c>
      <c r="D5" s="5" t="s">
        <v>404</v>
      </c>
      <c r="E5" s="5" t="s">
        <v>405</v>
      </c>
      <c r="F5" s="5" t="s">
        <v>406</v>
      </c>
      <c r="G5" s="5" t="s">
        <v>407</v>
      </c>
      <c r="H5" s="5" t="s">
        <v>408</v>
      </c>
      <c r="I5" s="5" t="s">
        <v>409</v>
      </c>
      <c r="J5" s="5" t="s">
        <v>410</v>
      </c>
      <c r="K5" s="5" t="s">
        <v>411</v>
      </c>
      <c r="L5" s="5" t="s">
        <v>412</v>
      </c>
      <c r="M5" s="5" t="s">
        <v>413</v>
      </c>
      <c r="N5" s="5" t="s">
        <v>414</v>
      </c>
      <c r="O5" s="5" t="s">
        <v>415</v>
      </c>
      <c r="P5" s="5" t="s">
        <v>416</v>
      </c>
      <c r="Q5" s="5" t="s">
        <v>417</v>
      </c>
      <c r="R5" s="5" t="s">
        <v>418</v>
      </c>
      <c r="S5" s="5" t="s">
        <v>419</v>
      </c>
      <c r="T5" s="5" t="s">
        <v>420</v>
      </c>
      <c r="U5" s="5" t="s">
        <v>421</v>
      </c>
      <c r="V5" s="5" t="s">
        <v>422</v>
      </c>
      <c r="W5" s="5" t="s">
        <v>423</v>
      </c>
      <c r="X5" s="5" t="s">
        <v>424</v>
      </c>
      <c r="Y5" s="5" t="s">
        <v>425</v>
      </c>
      <c r="Z5" s="5" t="s">
        <v>426</v>
      </c>
      <c r="AA5" s="5" t="s">
        <v>427</v>
      </c>
      <c r="AB5" s="5" t="s">
        <v>428</v>
      </c>
      <c r="AC5" s="5" t="s">
        <v>429</v>
      </c>
      <c r="AD5" s="5" t="s">
        <v>430</v>
      </c>
      <c r="AE5" s="5" t="s">
        <v>431</v>
      </c>
      <c r="AF5" s="5" t="s">
        <v>432</v>
      </c>
      <c r="AG5" s="5" t="s">
        <v>433</v>
      </c>
      <c r="AH5" s="5" t="s">
        <v>434</v>
      </c>
      <c r="AI5" s="5" t="s">
        <v>435</v>
      </c>
      <c r="AJ5" s="5" t="s">
        <v>436</v>
      </c>
      <c r="AK5" s="5" t="s">
        <v>437</v>
      </c>
      <c r="AL5" s="5" t="s">
        <v>438</v>
      </c>
      <c r="AM5" s="5" t="s">
        <v>439</v>
      </c>
      <c r="AN5" s="5" t="s">
        <v>440</v>
      </c>
      <c r="AO5" s="5" t="s">
        <v>441</v>
      </c>
      <c r="AP5" s="5" t="s">
        <v>442</v>
      </c>
      <c r="AQ5" s="5" t="s">
        <v>443</v>
      </c>
      <c r="AR5" s="5" t="s">
        <v>444</v>
      </c>
      <c r="AS5" s="5" t="s">
        <v>445</v>
      </c>
      <c r="AT5" s="5" t="s">
        <v>446</v>
      </c>
      <c r="AU5" s="5" t="s">
        <v>447</v>
      </c>
      <c r="AV5" s="5" t="s">
        <v>448</v>
      </c>
      <c r="AW5" s="5" t="s">
        <v>449</v>
      </c>
      <c r="AX5" s="5" t="s">
        <v>450</v>
      </c>
      <c r="AY5" s="5" t="s">
        <v>451</v>
      </c>
      <c r="AZ5" s="5" t="s">
        <v>452</v>
      </c>
      <c r="BA5" s="5" t="s">
        <v>453</v>
      </c>
      <c r="BB5" s="5" t="s">
        <v>454</v>
      </c>
      <c r="BC5" s="5" t="s">
        <v>455</v>
      </c>
      <c r="BD5" s="5" t="s">
        <v>456</v>
      </c>
      <c r="BE5" s="5" t="s">
        <v>457</v>
      </c>
      <c r="BF5" s="5" t="s">
        <v>458</v>
      </c>
      <c r="BG5" s="5" t="s">
        <v>459</v>
      </c>
      <c r="BH5" s="5" t="s">
        <v>460</v>
      </c>
      <c r="BI5" s="5" t="s">
        <v>461</v>
      </c>
      <c r="BJ5" s="5" t="s">
        <v>462</v>
      </c>
      <c r="BK5" s="5" t="s">
        <v>463</v>
      </c>
    </row>
    <row r="6" customFormat="false" ht="15" hidden="false" customHeight="false" outlineLevel="0" collapsed="false">
      <c r="B6" s="5" t="s">
        <v>534</v>
      </c>
    </row>
    <row r="7" customFormat="false" ht="15" hidden="false" customHeight="false" outlineLevel="0" collapsed="false">
      <c r="A7" s="28" t="s">
        <v>535</v>
      </c>
      <c r="B7" s="6" t="s">
        <v>532</v>
      </c>
      <c r="C7" s="29" t="n">
        <v>0</v>
      </c>
      <c r="D7" s="30" t="n">
        <v>1</v>
      </c>
      <c r="E7" s="30" t="n">
        <v>2</v>
      </c>
      <c r="F7" s="30" t="n">
        <v>3</v>
      </c>
      <c r="G7" s="30" t="n">
        <v>4</v>
      </c>
      <c r="H7" s="30" t="n">
        <v>5</v>
      </c>
      <c r="I7" s="30" t="n">
        <v>6</v>
      </c>
      <c r="J7" s="30" t="n">
        <v>7</v>
      </c>
      <c r="K7" s="30" t="n">
        <v>8</v>
      </c>
      <c r="L7" s="30" t="n">
        <v>9</v>
      </c>
      <c r="M7" s="30" t="n">
        <v>10</v>
      </c>
      <c r="N7" s="30" t="n">
        <v>11</v>
      </c>
      <c r="O7" s="30" t="n">
        <v>12</v>
      </c>
      <c r="P7" s="30" t="n">
        <v>13</v>
      </c>
      <c r="Q7" s="30" t="n">
        <v>14</v>
      </c>
      <c r="R7" s="30" t="n">
        <v>15</v>
      </c>
      <c r="S7" s="30" t="n">
        <v>16</v>
      </c>
      <c r="T7" s="30" t="n">
        <v>17</v>
      </c>
      <c r="U7" s="30" t="n">
        <v>18</v>
      </c>
      <c r="V7" s="30" t="n">
        <v>19</v>
      </c>
      <c r="W7" s="30" t="n">
        <v>20</v>
      </c>
      <c r="X7" s="30" t="n">
        <v>21</v>
      </c>
      <c r="Y7" s="30" t="n">
        <v>22</v>
      </c>
      <c r="Z7" s="30" t="n">
        <v>23</v>
      </c>
      <c r="AA7" s="30" t="n">
        <v>24</v>
      </c>
      <c r="AB7" s="30" t="n">
        <v>25</v>
      </c>
      <c r="AC7" s="30" t="n">
        <v>26</v>
      </c>
      <c r="AD7" s="30" t="n">
        <v>27</v>
      </c>
      <c r="AE7" s="30" t="n">
        <v>28</v>
      </c>
      <c r="AF7" s="30" t="n">
        <v>29</v>
      </c>
      <c r="AG7" s="30" t="n">
        <v>30</v>
      </c>
      <c r="AH7" s="30" t="n">
        <v>31</v>
      </c>
      <c r="AI7" s="30" t="n">
        <v>32</v>
      </c>
      <c r="AJ7" s="30" t="n">
        <v>33</v>
      </c>
      <c r="AK7" s="30" t="n">
        <v>34</v>
      </c>
      <c r="AL7" s="30" t="n">
        <v>35</v>
      </c>
      <c r="AM7" s="30" t="n">
        <v>36</v>
      </c>
      <c r="AN7" s="31" t="n">
        <v>37</v>
      </c>
      <c r="AO7" s="31" t="n">
        <v>38</v>
      </c>
      <c r="AP7" s="31" t="n">
        <v>39</v>
      </c>
      <c r="AQ7" s="31" t="n">
        <v>40</v>
      </c>
      <c r="AR7" s="31" t="n">
        <v>41</v>
      </c>
      <c r="AS7" s="31" t="n">
        <v>42</v>
      </c>
      <c r="AT7" s="31" t="n">
        <v>43</v>
      </c>
      <c r="AU7" s="31" t="n">
        <v>44</v>
      </c>
      <c r="AV7" s="31" t="n">
        <v>45</v>
      </c>
      <c r="AW7" s="31" t="n">
        <v>46</v>
      </c>
      <c r="AX7" s="31" t="n">
        <v>47</v>
      </c>
      <c r="AY7" s="31" t="n">
        <v>48</v>
      </c>
      <c r="AZ7" s="31" t="n">
        <v>49</v>
      </c>
      <c r="BA7" s="31" t="n">
        <v>50</v>
      </c>
      <c r="BB7" s="31" t="n">
        <v>51</v>
      </c>
      <c r="BC7" s="31" t="n">
        <v>52</v>
      </c>
      <c r="BD7" s="31" t="n">
        <v>53</v>
      </c>
      <c r="BE7" s="31" t="n">
        <v>54</v>
      </c>
      <c r="BF7" s="31" t="n">
        <v>55</v>
      </c>
      <c r="BG7" s="31" t="n">
        <v>56</v>
      </c>
      <c r="BH7" s="31" t="n">
        <v>57</v>
      </c>
      <c r="BI7" s="31" t="n">
        <v>58</v>
      </c>
      <c r="BJ7" s="31" t="n">
        <v>59</v>
      </c>
      <c r="BK7" s="31" t="n">
        <v>60</v>
      </c>
    </row>
    <row r="8" customFormat="false" ht="15" hidden="false" customHeight="false" outlineLevel="0" collapsed="false">
      <c r="A8" s="28" t="s">
        <v>536</v>
      </c>
      <c r="B8" s="6" t="s">
        <v>537</v>
      </c>
      <c r="C8" s="32" t="n">
        <v>0</v>
      </c>
      <c r="D8" s="23" t="n">
        <f aca="false">Assumptions!C$141</f>
        <v>0</v>
      </c>
      <c r="E8" s="23" t="n">
        <f aca="false">Assumptions!D$141</f>
        <v>0</v>
      </c>
      <c r="F8" s="23" t="n">
        <f aca="false">Assumptions!E$141</f>
        <v>0</v>
      </c>
      <c r="G8" s="23" t="n">
        <f aca="false">Assumptions!F$141</f>
        <v>0</v>
      </c>
      <c r="H8" s="23" t="n">
        <f aca="false">Assumptions!G$141</f>
        <v>1</v>
      </c>
      <c r="I8" s="23" t="n">
        <f aca="false">Assumptions!H$141</f>
        <v>0</v>
      </c>
      <c r="J8" s="23" t="n">
        <f aca="false">Assumptions!I$141</f>
        <v>0</v>
      </c>
      <c r="K8" s="23" t="n">
        <f aca="false">Assumptions!J$141</f>
        <v>1</v>
      </c>
      <c r="L8" s="23" t="n">
        <f aca="false">Assumptions!K$141</f>
        <v>0</v>
      </c>
      <c r="M8" s="23" t="n">
        <f aca="false">Assumptions!L$141</f>
        <v>0</v>
      </c>
      <c r="N8" s="23" t="n">
        <f aca="false">Assumptions!M$141</f>
        <v>1</v>
      </c>
      <c r="O8" s="23" t="n">
        <f aca="false">Assumptions!N$141</f>
        <v>1</v>
      </c>
      <c r="P8" s="23" t="n">
        <f aca="false">Assumptions!O$141</f>
        <v>0</v>
      </c>
      <c r="Q8" s="23" t="n">
        <f aca="false">Assumptions!P$141</f>
        <v>1</v>
      </c>
      <c r="R8" s="23" t="n">
        <f aca="false">Assumptions!Q$141</f>
        <v>1</v>
      </c>
      <c r="S8" s="23" t="n">
        <f aca="false">Assumptions!R$141</f>
        <v>0</v>
      </c>
      <c r="T8" s="23" t="n">
        <f aca="false">Assumptions!S$141</f>
        <v>1</v>
      </c>
      <c r="U8" s="23" t="n">
        <f aca="false">Assumptions!T$141</f>
        <v>1</v>
      </c>
      <c r="V8" s="23" t="n">
        <f aca="false">Assumptions!U$141</f>
        <v>1</v>
      </c>
      <c r="W8" s="23" t="n">
        <f aca="false">Assumptions!V$141</f>
        <v>1</v>
      </c>
      <c r="X8" s="23" t="n">
        <f aca="false">Assumptions!W$141</f>
        <v>1</v>
      </c>
      <c r="Y8" s="23" t="n">
        <f aca="false">Assumptions!X$141</f>
        <v>1</v>
      </c>
      <c r="Z8" s="23" t="n">
        <f aca="false">Assumptions!Y$141</f>
        <v>1</v>
      </c>
      <c r="AA8" s="23" t="n">
        <f aca="false">Assumptions!Z$141</f>
        <v>1</v>
      </c>
      <c r="AB8" s="23" t="n">
        <f aca="false">Assumptions!AA$141</f>
        <v>1</v>
      </c>
      <c r="AC8" s="23" t="n">
        <f aca="false">Assumptions!AB$141</f>
        <v>1</v>
      </c>
      <c r="AD8" s="23" t="n">
        <f aca="false">Assumptions!AC$141</f>
        <v>1</v>
      </c>
      <c r="AE8" s="23" t="n">
        <f aca="false">Assumptions!AD$141</f>
        <v>1</v>
      </c>
      <c r="AF8" s="23" t="n">
        <f aca="false">Assumptions!AE$141</f>
        <v>2</v>
      </c>
      <c r="AG8" s="23" t="n">
        <f aca="false">Assumptions!AF$141</f>
        <v>1</v>
      </c>
      <c r="AH8" s="23" t="n">
        <f aca="false">Assumptions!AG$141</f>
        <v>1</v>
      </c>
      <c r="AI8" s="23" t="n">
        <f aca="false">Assumptions!AH$141</f>
        <v>2</v>
      </c>
      <c r="AJ8" s="23" t="n">
        <f aca="false">Assumptions!AI$141</f>
        <v>1</v>
      </c>
      <c r="AK8" s="23" t="n">
        <f aca="false">Assumptions!AJ$141</f>
        <v>1</v>
      </c>
      <c r="AL8" s="23" t="n">
        <f aca="false">Assumptions!AK$141</f>
        <v>2</v>
      </c>
      <c r="AM8" s="23" t="n">
        <f aca="false">Assumptions!AL$141</f>
        <v>1</v>
      </c>
      <c r="AN8" s="33" t="n">
        <f aca="false">Assumptions!AM$141</f>
        <v>1</v>
      </c>
      <c r="AO8" s="33" t="n">
        <f aca="false">Assumptions!AN$141</f>
        <v>2</v>
      </c>
      <c r="AP8" s="33" t="n">
        <f aca="false">Assumptions!AO$141</f>
        <v>1</v>
      </c>
      <c r="AQ8" s="33" t="n">
        <f aca="false">Assumptions!AP$141</f>
        <v>1</v>
      </c>
      <c r="AR8" s="33" t="n">
        <f aca="false">Assumptions!AQ$141</f>
        <v>2</v>
      </c>
      <c r="AS8" s="33" t="n">
        <f aca="false">Assumptions!AR$141</f>
        <v>1</v>
      </c>
      <c r="AT8" s="33" t="n">
        <f aca="false">Assumptions!AS$141</f>
        <v>1</v>
      </c>
      <c r="AU8" s="33" t="n">
        <f aca="false">Assumptions!AT$141</f>
        <v>2</v>
      </c>
      <c r="AV8" s="33" t="n">
        <f aca="false">Assumptions!AU$141</f>
        <v>1</v>
      </c>
      <c r="AW8" s="33" t="n">
        <f aca="false">Assumptions!AV$141</f>
        <v>1</v>
      </c>
      <c r="AX8" s="33" t="n">
        <f aca="false">Assumptions!AW$141</f>
        <v>2</v>
      </c>
      <c r="AY8" s="33" t="n">
        <f aca="false">Assumptions!AX$141</f>
        <v>1</v>
      </c>
      <c r="AZ8" s="33" t="n">
        <f aca="false">Assumptions!AY$141</f>
        <v>1</v>
      </c>
      <c r="BA8" s="33" t="n">
        <f aca="false">Assumptions!AZ$141</f>
        <v>2</v>
      </c>
      <c r="BB8" s="33" t="n">
        <f aca="false">Assumptions!BA$141</f>
        <v>1</v>
      </c>
      <c r="BC8" s="33" t="n">
        <f aca="false">Assumptions!BB$141</f>
        <v>1</v>
      </c>
      <c r="BD8" s="33" t="n">
        <f aca="false">Assumptions!BC$141</f>
        <v>2</v>
      </c>
      <c r="BE8" s="33" t="n">
        <f aca="false">Assumptions!BD$141</f>
        <v>1</v>
      </c>
      <c r="BF8" s="33" t="n">
        <f aca="false">Assumptions!BE$141</f>
        <v>1</v>
      </c>
      <c r="BG8" s="33" t="n">
        <f aca="false">Assumptions!BF$141</f>
        <v>2</v>
      </c>
      <c r="BH8" s="33" t="n">
        <f aca="false">Assumptions!BG$141</f>
        <v>1</v>
      </c>
      <c r="BI8" s="33" t="n">
        <f aca="false">Assumptions!BH$141</f>
        <v>1</v>
      </c>
      <c r="BJ8" s="33" t="n">
        <f aca="false">Assumptions!BI$141</f>
        <v>2</v>
      </c>
      <c r="BK8" s="33" t="n">
        <f aca="false">Assumptions!BJ$141</f>
        <v>1</v>
      </c>
    </row>
    <row r="9" customFormat="false" ht="15" hidden="false" customHeight="false" outlineLevel="0" collapsed="false">
      <c r="A9" s="28" t="s">
        <v>538</v>
      </c>
      <c r="B9" s="6" t="s">
        <v>539</v>
      </c>
      <c r="C9" s="32" t="n">
        <v>0</v>
      </c>
      <c r="D9" s="34" t="n">
        <f aca="false">C9+D8</f>
        <v>0</v>
      </c>
      <c r="E9" s="34" t="n">
        <f aca="false">D9+E8</f>
        <v>0</v>
      </c>
      <c r="F9" s="34" t="n">
        <f aca="false">E9+F8</f>
        <v>0</v>
      </c>
      <c r="G9" s="34" t="n">
        <f aca="false">F9+G8</f>
        <v>0</v>
      </c>
      <c r="H9" s="34" t="n">
        <f aca="false">G9+H8</f>
        <v>1</v>
      </c>
      <c r="I9" s="34" t="n">
        <f aca="false">H9+I8</f>
        <v>1</v>
      </c>
      <c r="J9" s="34" t="n">
        <f aca="false">I9+J8</f>
        <v>1</v>
      </c>
      <c r="K9" s="34" t="n">
        <f aca="false">J9+K8</f>
        <v>2</v>
      </c>
      <c r="L9" s="34" t="n">
        <f aca="false">K9+L8</f>
        <v>2</v>
      </c>
      <c r="M9" s="34" t="n">
        <f aca="false">L9+M8</f>
        <v>2</v>
      </c>
      <c r="N9" s="34" t="n">
        <f aca="false">M9+N8</f>
        <v>3</v>
      </c>
      <c r="O9" s="34" t="n">
        <f aca="false">N9+O8</f>
        <v>4</v>
      </c>
      <c r="P9" s="34" t="n">
        <f aca="false">O9+P8</f>
        <v>4</v>
      </c>
      <c r="Q9" s="34" t="n">
        <f aca="false">P9+Q8</f>
        <v>5</v>
      </c>
      <c r="R9" s="34" t="n">
        <f aca="false">Q9+R8</f>
        <v>6</v>
      </c>
      <c r="S9" s="34" t="n">
        <f aca="false">R9+S8</f>
        <v>6</v>
      </c>
      <c r="T9" s="34" t="n">
        <f aca="false">S9+T8</f>
        <v>7</v>
      </c>
      <c r="U9" s="34" t="n">
        <f aca="false">T9+U8</f>
        <v>8</v>
      </c>
      <c r="V9" s="34" t="n">
        <f aca="false">U9+V8</f>
        <v>9</v>
      </c>
      <c r="W9" s="34" t="n">
        <f aca="false">V9+W8</f>
        <v>10</v>
      </c>
      <c r="X9" s="34" t="n">
        <f aca="false">W9+X8</f>
        <v>11</v>
      </c>
      <c r="Y9" s="34" t="n">
        <f aca="false">X9+Y8</f>
        <v>12</v>
      </c>
      <c r="Z9" s="34" t="n">
        <f aca="false">Y9+Z8</f>
        <v>13</v>
      </c>
      <c r="AA9" s="34" t="n">
        <f aca="false">Z9+AA8</f>
        <v>14</v>
      </c>
      <c r="AB9" s="34" t="n">
        <f aca="false">AA9+AB8</f>
        <v>15</v>
      </c>
      <c r="AC9" s="34" t="n">
        <f aca="false">AB9+AC8</f>
        <v>16</v>
      </c>
      <c r="AD9" s="34" t="n">
        <f aca="false">AC9+AD8</f>
        <v>17</v>
      </c>
      <c r="AE9" s="34" t="n">
        <f aca="false">AD9+AE8</f>
        <v>18</v>
      </c>
      <c r="AF9" s="34" t="n">
        <f aca="false">AE9+AF8</f>
        <v>20</v>
      </c>
      <c r="AG9" s="34" t="n">
        <f aca="false">AF9+AG8</f>
        <v>21</v>
      </c>
      <c r="AH9" s="34" t="n">
        <f aca="false">AG9+AH8</f>
        <v>22</v>
      </c>
      <c r="AI9" s="34" t="n">
        <f aca="false">AH9+AI8</f>
        <v>24</v>
      </c>
      <c r="AJ9" s="34" t="n">
        <f aca="false">AI9+AJ8</f>
        <v>25</v>
      </c>
      <c r="AK9" s="34" t="n">
        <f aca="false">AJ9+AK8</f>
        <v>26</v>
      </c>
      <c r="AL9" s="34" t="n">
        <f aca="false">AK9+AL8</f>
        <v>28</v>
      </c>
      <c r="AM9" s="34" t="n">
        <f aca="false">AL9+AM8</f>
        <v>29</v>
      </c>
      <c r="AN9" s="35" t="n">
        <f aca="false">AM9+AN8</f>
        <v>30</v>
      </c>
      <c r="AO9" s="35" t="n">
        <f aca="false">AN9+AO8</f>
        <v>32</v>
      </c>
      <c r="AP9" s="35" t="n">
        <f aca="false">AO9+AP8</f>
        <v>33</v>
      </c>
      <c r="AQ9" s="35" t="n">
        <f aca="false">AP9+AQ8</f>
        <v>34</v>
      </c>
      <c r="AR9" s="35" t="n">
        <f aca="false">AQ9+AR8</f>
        <v>36</v>
      </c>
      <c r="AS9" s="35" t="n">
        <f aca="false">AR9+AS8</f>
        <v>37</v>
      </c>
      <c r="AT9" s="35" t="n">
        <f aca="false">AS9+AT8</f>
        <v>38</v>
      </c>
      <c r="AU9" s="35" t="n">
        <f aca="false">AT9+AU8</f>
        <v>40</v>
      </c>
      <c r="AV9" s="35" t="n">
        <f aca="false">AU9+AV8</f>
        <v>41</v>
      </c>
      <c r="AW9" s="35" t="n">
        <f aca="false">AV9+AW8</f>
        <v>42</v>
      </c>
      <c r="AX9" s="35" t="n">
        <f aca="false">AW9+AX8</f>
        <v>44</v>
      </c>
      <c r="AY9" s="35" t="n">
        <f aca="false">AX9+AY8</f>
        <v>45</v>
      </c>
      <c r="AZ9" s="35" t="n">
        <f aca="false">AY9+AZ8</f>
        <v>46</v>
      </c>
      <c r="BA9" s="35" t="n">
        <f aca="false">AZ9+BA8</f>
        <v>48</v>
      </c>
      <c r="BB9" s="35" t="n">
        <f aca="false">BA9+BB8</f>
        <v>49</v>
      </c>
      <c r="BC9" s="35" t="n">
        <f aca="false">BB9+BC8</f>
        <v>50</v>
      </c>
      <c r="BD9" s="35" t="n">
        <f aca="false">BC9+BD8</f>
        <v>52</v>
      </c>
      <c r="BE9" s="35" t="n">
        <f aca="false">BD9+BE8</f>
        <v>53</v>
      </c>
      <c r="BF9" s="35" t="n">
        <f aca="false">BE9+BF8</f>
        <v>54</v>
      </c>
      <c r="BG9" s="35" t="n">
        <f aca="false">BF9+BG8</f>
        <v>56</v>
      </c>
      <c r="BH9" s="35" t="n">
        <f aca="false">BG9+BH8</f>
        <v>57</v>
      </c>
      <c r="BI9" s="35" t="n">
        <f aca="false">BH9+BI8</f>
        <v>58</v>
      </c>
      <c r="BJ9" s="35" t="n">
        <f aca="false">BI9+BJ8</f>
        <v>60</v>
      </c>
      <c r="BK9" s="35" t="n">
        <f aca="false">BJ9+BK8</f>
        <v>61</v>
      </c>
    </row>
    <row r="10" customFormat="false" ht="15" hidden="false" customHeight="false" outlineLevel="0" collapsed="false">
      <c r="A10" s="28" t="s">
        <v>540</v>
      </c>
      <c r="B10" s="6" t="s">
        <v>541</v>
      </c>
      <c r="C10" s="32" t="n">
        <v>0</v>
      </c>
      <c r="D10" s="34" t="n">
        <f aca="false">IF(D7&gt;Assumptions!$E$79,INDEX($D$9:$BK$9,D7-Assumptions!$E$79),0)</f>
        <v>0</v>
      </c>
      <c r="E10" s="34" t="n">
        <f aca="false">IF(E7&gt;Assumptions!$E$79,INDEX($D$9:$BK$9,E7-Assumptions!$E$79),0)</f>
        <v>0</v>
      </c>
      <c r="F10" s="34" t="n">
        <f aca="false">IF(F7&gt;Assumptions!$E$79,INDEX($D$9:$BK$9,F7-Assumptions!$E$79),0)</f>
        <v>0</v>
      </c>
      <c r="G10" s="34" t="n">
        <f aca="false">IF(G7&gt;Assumptions!$E$79,INDEX($D$9:$BK$9,G7-Assumptions!$E$79),0)</f>
        <v>0</v>
      </c>
      <c r="H10" s="34" t="n">
        <f aca="false">IF(H7&gt;Assumptions!$E$79,INDEX($D$9:$BK$9,H7-Assumptions!$E$79),0)</f>
        <v>0</v>
      </c>
      <c r="I10" s="34" t="n">
        <f aca="false">IF(I7&gt;Assumptions!$E$79,INDEX($D$9:$BK$9,I7-Assumptions!$E$79),0)</f>
        <v>0</v>
      </c>
      <c r="J10" s="34" t="n">
        <f aca="false">IF(J7&gt;Assumptions!$E$79,INDEX($D$9:$BK$9,J7-Assumptions!$E$79),0)</f>
        <v>0</v>
      </c>
      <c r="K10" s="34" t="n">
        <f aca="false">IF(K7&gt;Assumptions!$E$79,INDEX($D$9:$BK$9,K7-Assumptions!$E$79),0)</f>
        <v>0</v>
      </c>
      <c r="L10" s="34" t="n">
        <f aca="false">IF(L7&gt;Assumptions!$E$79,INDEX($D$9:$BK$9,L7-Assumptions!$E$79),0)</f>
        <v>0</v>
      </c>
      <c r="M10" s="34" t="n">
        <f aca="false">IF(M7&gt;Assumptions!$E$79,INDEX($D$9:$BK$9,M7-Assumptions!$E$79),0)</f>
        <v>0</v>
      </c>
      <c r="N10" s="34" t="n">
        <f aca="false">IF(N7&gt;Assumptions!$E$79,INDEX($D$9:$BK$9,N7-Assumptions!$E$79),0)</f>
        <v>1</v>
      </c>
      <c r="O10" s="34" t="n">
        <f aca="false">IF(O7&gt;Assumptions!$E$79,INDEX($D$9:$BK$9,O7-Assumptions!$E$79),0)</f>
        <v>1</v>
      </c>
      <c r="P10" s="34" t="n">
        <f aca="false">IF(P7&gt;Assumptions!$E$79,INDEX($D$9:$BK$9,P7-Assumptions!$E$79),0)</f>
        <v>1</v>
      </c>
      <c r="Q10" s="34" t="n">
        <f aca="false">IF(Q7&gt;Assumptions!$E$79,INDEX($D$9:$BK$9,Q7-Assumptions!$E$79),0)</f>
        <v>2</v>
      </c>
      <c r="R10" s="34" t="n">
        <f aca="false">IF(R7&gt;Assumptions!$E$79,INDEX($D$9:$BK$9,R7-Assumptions!$E$79),0)</f>
        <v>2</v>
      </c>
      <c r="S10" s="34" t="n">
        <f aca="false">IF(S7&gt;Assumptions!$E$79,INDEX($D$9:$BK$9,S7-Assumptions!$E$79),0)</f>
        <v>2</v>
      </c>
      <c r="T10" s="34" t="n">
        <f aca="false">IF(T7&gt;Assumptions!$E$79,INDEX($D$9:$BK$9,T7-Assumptions!$E$79),0)</f>
        <v>3</v>
      </c>
      <c r="U10" s="34" t="n">
        <f aca="false">IF(U7&gt;Assumptions!$E$79,INDEX($D$9:$BK$9,U7-Assumptions!$E$79),0)</f>
        <v>4</v>
      </c>
      <c r="V10" s="34" t="n">
        <f aca="false">IF(V7&gt;Assumptions!$E$79,INDEX($D$9:$BK$9,V7-Assumptions!$E$79),0)</f>
        <v>4</v>
      </c>
      <c r="W10" s="34" t="n">
        <f aca="false">IF(W7&gt;Assumptions!$E$79,INDEX($D$9:$BK$9,W7-Assumptions!$E$79),0)</f>
        <v>5</v>
      </c>
      <c r="X10" s="34" t="n">
        <f aca="false">IF(X7&gt;Assumptions!$E$79,INDEX($D$9:$BK$9,X7-Assumptions!$E$79),0)</f>
        <v>6</v>
      </c>
      <c r="Y10" s="34" t="n">
        <f aca="false">IF(Y7&gt;Assumptions!$E$79,INDEX($D$9:$BK$9,Y7-Assumptions!$E$79),0)</f>
        <v>6</v>
      </c>
      <c r="Z10" s="34" t="n">
        <f aca="false">IF(Z7&gt;Assumptions!$E$79,INDEX($D$9:$BK$9,Z7-Assumptions!$E$79),0)</f>
        <v>7</v>
      </c>
      <c r="AA10" s="34" t="n">
        <f aca="false">IF(AA7&gt;Assumptions!$E$79,INDEX($D$9:$BK$9,AA7-Assumptions!$E$79),0)</f>
        <v>8</v>
      </c>
      <c r="AB10" s="34" t="n">
        <f aca="false">IF(AB7&gt;Assumptions!$E$79,INDEX($D$9:$BK$9,AB7-Assumptions!$E$79),0)</f>
        <v>9</v>
      </c>
      <c r="AC10" s="34" t="n">
        <f aca="false">IF(AC7&gt;Assumptions!$E$79,INDEX($D$9:$BK$9,AC7-Assumptions!$E$79),0)</f>
        <v>10</v>
      </c>
      <c r="AD10" s="34" t="n">
        <f aca="false">IF(AD7&gt;Assumptions!$E$79,INDEX($D$9:$BK$9,AD7-Assumptions!$E$79),0)</f>
        <v>11</v>
      </c>
      <c r="AE10" s="34" t="n">
        <f aca="false">IF(AE7&gt;Assumptions!$E$79,INDEX($D$9:$BK$9,AE7-Assumptions!$E$79),0)</f>
        <v>12</v>
      </c>
      <c r="AF10" s="34" t="n">
        <f aca="false">IF(AF7&gt;Assumptions!$E$79,INDEX($D$9:$BK$9,AF7-Assumptions!$E$79),0)</f>
        <v>13</v>
      </c>
      <c r="AG10" s="34" t="n">
        <f aca="false">IF(AG7&gt;Assumptions!$E$79,INDEX($D$9:$BK$9,AG7-Assumptions!$E$79),0)</f>
        <v>14</v>
      </c>
      <c r="AH10" s="34" t="n">
        <f aca="false">IF(AH7&gt;Assumptions!$E$79,INDEX($D$9:$BK$9,AH7-Assumptions!$E$79),0)</f>
        <v>15</v>
      </c>
      <c r="AI10" s="34" t="n">
        <f aca="false">IF(AI7&gt;Assumptions!$E$79,INDEX($D$9:$BK$9,AI7-Assumptions!$E$79),0)</f>
        <v>16</v>
      </c>
      <c r="AJ10" s="34" t="n">
        <f aca="false">IF(AJ7&gt;Assumptions!$E$79,INDEX($D$9:$BK$9,AJ7-Assumptions!$E$79),0)</f>
        <v>17</v>
      </c>
      <c r="AK10" s="34" t="n">
        <f aca="false">IF(AK7&gt;Assumptions!$E$79,INDEX($D$9:$BK$9,AK7-Assumptions!$E$79),0)</f>
        <v>18</v>
      </c>
      <c r="AL10" s="34" t="n">
        <f aca="false">IF(AL7&gt;Assumptions!$E$79,INDEX($D$9:$BK$9,AL7-Assumptions!$E$79),0)</f>
        <v>20</v>
      </c>
      <c r="AM10" s="34" t="n">
        <f aca="false">IF(AM7&gt;Assumptions!$E$79,INDEX($D$9:$BK$9,AM7-Assumptions!$E$79),0)</f>
        <v>21</v>
      </c>
      <c r="AN10" s="35" t="n">
        <f aca="false">IF(AN7&gt;Assumptions!$E$79,INDEX($D$9:$BK$9,AN7-Assumptions!$E$79),0)</f>
        <v>22</v>
      </c>
      <c r="AO10" s="35" t="n">
        <f aca="false">IF(AO7&gt;Assumptions!$E$79,INDEX($D$9:$BK$9,AO7-Assumptions!$E$79),0)</f>
        <v>24</v>
      </c>
      <c r="AP10" s="35" t="n">
        <f aca="false">IF(AP7&gt;Assumptions!$E$79,INDEX($D$9:$BK$9,AP7-Assumptions!$E$79),0)</f>
        <v>25</v>
      </c>
      <c r="AQ10" s="35" t="n">
        <f aca="false">IF(AQ7&gt;Assumptions!$E$79,INDEX($D$9:$BK$9,AQ7-Assumptions!$E$79),0)</f>
        <v>26</v>
      </c>
      <c r="AR10" s="35" t="n">
        <f aca="false">IF(AR7&gt;Assumptions!$E$79,INDEX($D$9:$BK$9,AR7-Assumptions!$E$79),0)</f>
        <v>28</v>
      </c>
      <c r="AS10" s="35" t="n">
        <f aca="false">IF(AS7&gt;Assumptions!$E$79,INDEX($D$9:$BK$9,AS7-Assumptions!$E$79),0)</f>
        <v>29</v>
      </c>
      <c r="AT10" s="35" t="n">
        <f aca="false">IF(AT7&gt;Assumptions!$E$79,INDEX($D$9:$BK$9,AT7-Assumptions!$E$79),0)</f>
        <v>30</v>
      </c>
      <c r="AU10" s="35" t="n">
        <f aca="false">IF(AU7&gt;Assumptions!$E$79,INDEX($D$9:$BK$9,AU7-Assumptions!$E$79),0)</f>
        <v>32</v>
      </c>
      <c r="AV10" s="35" t="n">
        <f aca="false">IF(AV7&gt;Assumptions!$E$79,INDEX($D$9:$BK$9,AV7-Assumptions!$E$79),0)</f>
        <v>33</v>
      </c>
      <c r="AW10" s="35" t="n">
        <f aca="false">IF(AW7&gt;Assumptions!$E$79,INDEX($D$9:$BK$9,AW7-Assumptions!$E$79),0)</f>
        <v>34</v>
      </c>
      <c r="AX10" s="35" t="n">
        <f aca="false">IF(AX7&gt;Assumptions!$E$79,INDEX($D$9:$BK$9,AX7-Assumptions!$E$79),0)</f>
        <v>36</v>
      </c>
      <c r="AY10" s="35" t="n">
        <f aca="false">IF(AY7&gt;Assumptions!$E$79,INDEX($D$9:$BK$9,AY7-Assumptions!$E$79),0)</f>
        <v>37</v>
      </c>
      <c r="AZ10" s="35" t="n">
        <f aca="false">IF(AZ7&gt;Assumptions!$E$79,INDEX($D$9:$BK$9,AZ7-Assumptions!$E$79),0)</f>
        <v>38</v>
      </c>
      <c r="BA10" s="35" t="n">
        <f aca="false">IF(BA7&gt;Assumptions!$E$79,INDEX($D$9:$BK$9,BA7-Assumptions!$E$79),0)</f>
        <v>40</v>
      </c>
      <c r="BB10" s="35" t="n">
        <f aca="false">IF(BB7&gt;Assumptions!$E$79,INDEX($D$9:$BK$9,BB7-Assumptions!$E$79),0)</f>
        <v>41</v>
      </c>
      <c r="BC10" s="35" t="n">
        <f aca="false">IF(BC7&gt;Assumptions!$E$79,INDEX($D$9:$BK$9,BC7-Assumptions!$E$79),0)</f>
        <v>42</v>
      </c>
      <c r="BD10" s="35" t="n">
        <f aca="false">IF(BD7&gt;Assumptions!$E$79,INDEX($D$9:$BK$9,BD7-Assumptions!$E$79),0)</f>
        <v>44</v>
      </c>
      <c r="BE10" s="35" t="n">
        <f aca="false">IF(BE7&gt;Assumptions!$E$79,INDEX($D$9:$BK$9,BE7-Assumptions!$E$79),0)</f>
        <v>45</v>
      </c>
      <c r="BF10" s="35" t="n">
        <f aca="false">IF(BF7&gt;Assumptions!$E$79,INDEX($D$9:$BK$9,BF7-Assumptions!$E$79),0)</f>
        <v>46</v>
      </c>
      <c r="BG10" s="35" t="n">
        <f aca="false">IF(BG7&gt;Assumptions!$E$79,INDEX($D$9:$BK$9,BG7-Assumptions!$E$79),0)</f>
        <v>48</v>
      </c>
      <c r="BH10" s="35" t="n">
        <f aca="false">IF(BH7&gt;Assumptions!$E$79,INDEX($D$9:$BK$9,BH7-Assumptions!$E$79),0)</f>
        <v>49</v>
      </c>
      <c r="BI10" s="35" t="n">
        <f aca="false">IF(BI7&gt;Assumptions!$E$79,INDEX($D$9:$BK$9,BI7-Assumptions!$E$79),0)</f>
        <v>50</v>
      </c>
      <c r="BJ10" s="35" t="n">
        <f aca="false">IF(BJ7&gt;Assumptions!$E$79,INDEX($D$9:$BK$9,BJ7-Assumptions!$E$79),0)</f>
        <v>52</v>
      </c>
      <c r="BK10" s="35" t="n">
        <f aca="false">IF(BK7&gt;Assumptions!$E$79,INDEX($D$9:$BK$9,BK7-Assumptions!$E$79),0)</f>
        <v>53</v>
      </c>
    </row>
    <row r="11" customFormat="false" ht="15" hidden="false" customHeight="false" outlineLevel="0" collapsed="false">
      <c r="A11" s="28" t="s">
        <v>542</v>
      </c>
      <c r="B11" s="6" t="s">
        <v>543</v>
      </c>
      <c r="C11" s="36" t="n">
        <v>0</v>
      </c>
      <c r="D11" s="26" t="n">
        <f aca="false">Assumptions!$E$10*(D8*Assumptions!$E$111)</f>
        <v>0</v>
      </c>
      <c r="E11" s="26" t="n">
        <f aca="false">Assumptions!$E$10*(E8*Assumptions!$E$111+D8*Assumptions!$E$112)</f>
        <v>0</v>
      </c>
      <c r="F11" s="26" t="n">
        <f aca="false">Assumptions!$E$10*(F8*Assumptions!$E$111+E8*Assumptions!$E$112+D8*Assumptions!$E$113)</f>
        <v>0</v>
      </c>
      <c r="G11" s="26" t="n">
        <f aca="false">Assumptions!$E$10*(G8*Assumptions!$E$111+F8*Assumptions!$E$112+E8*Assumptions!$E$113+D8*Assumptions!$E$114)</f>
        <v>0</v>
      </c>
      <c r="H11" s="26" t="n">
        <f aca="false">Assumptions!$E$10*(H8*Assumptions!$E$111+G8*Assumptions!$E$112+F8*Assumptions!$E$113+E8*Assumptions!$E$114+D8*Assumptions!$E$115)</f>
        <v>6.8</v>
      </c>
      <c r="I11" s="26" t="n">
        <f aca="false">Assumptions!$E$10*(I8*Assumptions!$E$111+H8*Assumptions!$E$112+G8*Assumptions!$E$113+F8*Assumptions!$E$114+E8*Assumptions!$E$115+D8*Assumptions!$E$116)</f>
        <v>5.984</v>
      </c>
      <c r="J11" s="26" t="n">
        <f aca="false">Assumptions!$E$10*(J8*Assumptions!$E$111+I8*Assumptions!$E$112+H8*Assumptions!$E$113+G8*Assumptions!$E$114+F8*Assumptions!$E$115+E8*Assumptions!$E$116+D8*Assumptions!$E$117)</f>
        <v>4.08</v>
      </c>
      <c r="K11" s="26" t="n">
        <f aca="false">Assumptions!$E$10*(K8*Assumptions!$E$111+J8*Assumptions!$E$112+I8*Assumptions!$E$113+H8*Assumptions!$E$114+G8*Assumptions!$E$115+F8*Assumptions!$E$116+E8*Assumptions!$E$117+D8*Assumptions!$E$118)</f>
        <v>9.52</v>
      </c>
      <c r="L11" s="26" t="n">
        <f aca="false">Assumptions!$E$10*(L8*Assumptions!$E$111+K8*Assumptions!$E$112+J8*Assumptions!$E$113+I8*Assumptions!$E$114+H8*Assumptions!$E$115+G8*Assumptions!$E$116+F8*Assumptions!$E$117+E8*Assumptions!$E$118+D8*Assumptions!$E$119)</f>
        <v>7.616</v>
      </c>
      <c r="M11" s="26" t="n">
        <f aca="false">Assumptions!$E$10*(M8*Assumptions!$E$111+L8*Assumptions!$E$112+K8*Assumptions!$E$113+J8*Assumptions!$E$114+I8*Assumptions!$E$115+H8*Assumptions!$E$116+G8*Assumptions!$E$117+F8*Assumptions!$E$118+E8*Assumptions!$E$119+D8*Assumptions!$E$120)</f>
        <v>5.44</v>
      </c>
      <c r="N11" s="26" t="n">
        <f aca="false">Assumptions!$E$10*(N8*Assumptions!$E$111+M8*Assumptions!$E$112+L8*Assumptions!$E$113+K8*Assumptions!$E$114+J8*Assumptions!$E$115+I8*Assumptions!$E$116+H8*Assumptions!$E$117+G8*Assumptions!$E$118+F8*Assumptions!$E$119+E8*Assumptions!$E$120+D8*Assumptions!$E$121)</f>
        <v>9.792</v>
      </c>
      <c r="O11" s="26" t="n">
        <f aca="false">Assumptions!$E$10*(O8*Assumptions!$E$111+N8*Assumptions!$E$112+M8*Assumptions!$E$113+L8*Assumptions!$E$114+K8*Assumptions!$E$115+J8*Assumptions!$E$116+I8*Assumptions!$E$117+H8*Assumptions!$E$118+G8*Assumptions!$E$119+F8*Assumptions!$E$120+E8*Assumptions!$E$121+D8*Assumptions!$E$122)</f>
        <v>14.688</v>
      </c>
      <c r="P11" s="26" t="n">
        <f aca="false">Assumptions!$E$10*(P8*Assumptions!$E$111+O8*Assumptions!$E$112+N8*Assumptions!$E$113+M8*Assumptions!$E$114+L8*Assumptions!$E$115+K8*Assumptions!$E$116+J8*Assumptions!$E$117+I8*Assumptions!$E$118+H8*Assumptions!$E$119+G8*Assumptions!$E$120+F8*Assumptions!$E$121+E8*Assumptions!$E$122+D8*Assumptions!$E$123)</f>
        <v>11.696</v>
      </c>
      <c r="Q11" s="26" t="n">
        <f aca="false">Assumptions!$E$10*(Q8*Assumptions!$E$111+P8*Assumptions!$E$112+O8*Assumptions!$E$113+N8*Assumptions!$E$114+M8*Assumptions!$E$115+L8*Assumptions!$E$116+K8*Assumptions!$E$117+J8*Assumptions!$E$118+I8*Assumptions!$E$119+H8*Assumptions!$E$120+G8*Assumptions!$E$121+F8*Assumptions!$E$122+E8*Assumptions!$E$123+D8*Assumptions!$E$124)</f>
        <v>14.144</v>
      </c>
      <c r="R11" s="26" t="n">
        <f aca="false">Assumptions!$E$10*(R8*Assumptions!$E$111+Q8*Assumptions!$E$112+P8*Assumptions!$E$113+O8*Assumptions!$E$114+N8*Assumptions!$E$115+M8*Assumptions!$E$116+L8*Assumptions!$E$117+K8*Assumptions!$E$118+J8*Assumptions!$E$119+I8*Assumptions!$E$120+H8*Assumptions!$E$121+G8*Assumptions!$E$122+F8*Assumptions!$E$123+E8*Assumptions!$E$124+D8*Assumptions!$E$125)</f>
        <v>17.68</v>
      </c>
      <c r="S11" s="26" t="n">
        <f aca="false">Assumptions!$E$10*(S8*Assumptions!$E$111+R8*Assumptions!$E$112+Q8*Assumptions!$E$113+P8*Assumptions!$E$114+O8*Assumptions!$E$115+N8*Assumptions!$E$116+M8*Assumptions!$E$117+L8*Assumptions!$E$118+K8*Assumptions!$E$119+J8*Assumptions!$E$120+I8*Assumptions!$E$121+H8*Assumptions!$E$122+G8*Assumptions!$E$123+F8*Assumptions!$E$124+E8*Assumptions!$E$125+D8*Assumptions!$E$126)</f>
        <v>13.6</v>
      </c>
      <c r="T11" s="26" t="n">
        <f aca="false">Assumptions!$E$10*(T8*Assumptions!$E$111+S8*Assumptions!$E$112+R8*Assumptions!$E$113+Q8*Assumptions!$E$114+P8*Assumptions!$E$115+O8*Assumptions!$E$116+N8*Assumptions!$E$117+M8*Assumptions!$E$118+L8*Assumptions!$E$119+K8*Assumptions!$E$120+J8*Assumptions!$E$121+I8*Assumptions!$E$122+H8*Assumptions!$E$123+G8*Assumptions!$E$124+F8*Assumptions!$E$125+E8*Assumptions!$E$126+D8*Assumptions!$E$127)</f>
        <v>15.776</v>
      </c>
      <c r="U11" s="26" t="n">
        <f aca="false">Assumptions!$E$10*(U8*Assumptions!$E$111+T8*Assumptions!$E$112+S8*Assumptions!$E$113+R8*Assumptions!$E$114+Q8*Assumptions!$E$115+P8*Assumptions!$E$116+O8*Assumptions!$E$117+N8*Assumptions!$E$118+M8*Assumptions!$E$119+L8*Assumptions!$E$120+K8*Assumptions!$E$121+J8*Assumptions!$E$122+I8*Assumptions!$E$123+H8*Assumptions!$E$124+G8*Assumptions!$E$125+F8*Assumptions!$E$126+E8*Assumptions!$E$127+D8*Assumptions!$E$128)</f>
        <v>18.224</v>
      </c>
      <c r="V11" s="26" t="n">
        <f aca="false">Assumptions!$E$10*(V8*Assumptions!$E$111+U8*Assumptions!$E$112+T8*Assumptions!$E$113+S8*Assumptions!$E$114+R8*Assumptions!$E$115+Q8*Assumptions!$E$116+P8*Assumptions!$E$117+O8*Assumptions!$E$118+N8*Assumptions!$E$119+M8*Assumptions!$E$120+L8*Assumptions!$E$121+K8*Assumptions!$E$122+J8*Assumptions!$E$123+I8*Assumptions!$E$124+H8*Assumptions!$E$125+G8*Assumptions!$E$126+F8*Assumptions!$E$127+E8*Assumptions!$E$128+D8*Assumptions!$E$129)</f>
        <v>20.944</v>
      </c>
      <c r="W11" s="26" t="n">
        <f aca="false">Assumptions!$E$10*(W8*Assumptions!$E$111+V8*Assumptions!$E$112+U8*Assumptions!$E$113+T8*Assumptions!$E$114+S8*Assumptions!$E$115+R8*Assumptions!$E$116+Q8*Assumptions!$E$117+P8*Assumptions!$E$118+O8*Assumptions!$E$119+N8*Assumptions!$E$120+M8*Assumptions!$E$121+L8*Assumptions!$E$122+K8*Assumptions!$E$123+J8*Assumptions!$E$124+I8*Assumptions!$E$125+H8*Assumptions!$E$126+G8*Assumptions!$E$127+F8*Assumptions!$E$128+E8*Assumptions!$E$129+D8*Assumptions!$E$130)</f>
        <v>22.304</v>
      </c>
      <c r="X11" s="26" t="n">
        <f aca="false">Assumptions!$E$10*(X8*Assumptions!$E$111+W8*Assumptions!$E$112+V8*Assumptions!$E$113+U8*Assumptions!$E$114+T8*Assumptions!$E$115+S8*Assumptions!$E$116+R8*Assumptions!$E$117+Q8*Assumptions!$E$118+P8*Assumptions!$E$119+O8*Assumptions!$E$120+N8*Assumptions!$E$121+M8*Assumptions!$E$122+L8*Assumptions!$E$123+K8*Assumptions!$E$124+J8*Assumptions!$E$125+I8*Assumptions!$E$126+H8*Assumptions!$E$127+G8*Assumptions!$E$128+F8*Assumptions!$E$129+E8*Assumptions!$E$130+D8*Assumptions!$E$131)</f>
        <v>22.848</v>
      </c>
      <c r="Y11" s="26" t="n">
        <f aca="false">Assumptions!$E$10*(Y8*Assumptions!$E$111+X8*Assumptions!$E$112+W8*Assumptions!$E$113+V8*Assumptions!$E$114+U8*Assumptions!$E$115+T8*Assumptions!$E$116+S8*Assumptions!$E$117+R8*Assumptions!$E$118+Q8*Assumptions!$E$119+P8*Assumptions!$E$120+O8*Assumptions!$E$121+N8*Assumptions!$E$122+M8*Assumptions!$E$123+L8*Assumptions!$E$124+K8*Assumptions!$E$125+J8*Assumptions!$E$126+I8*Assumptions!$E$127+H8*Assumptions!$E$128+G8*Assumptions!$E$129+F8*Assumptions!$E$130+E8*Assumptions!$E$131+D8*Assumptions!$E$132)</f>
        <v>24.208</v>
      </c>
      <c r="Z11" s="26" t="n">
        <f aca="false">Assumptions!$E$10*(Z8*Assumptions!$E$111+Y8*Assumptions!$E$112+X8*Assumptions!$E$113+W8*Assumptions!$E$114+V8*Assumptions!$E$115+U8*Assumptions!$E$116+T8*Assumptions!$E$117+S8*Assumptions!$E$118+R8*Assumptions!$E$119+Q8*Assumptions!$E$120+P8*Assumptions!$E$121+O8*Assumptions!$E$122+N8*Assumptions!$E$123+M8*Assumptions!$E$124+L8*Assumptions!$E$125+K8*Assumptions!$E$126+J8*Assumptions!$E$127+I8*Assumptions!$E$128+H8*Assumptions!$E$129+G8*Assumptions!$E$130+F8*Assumptions!$E$131+E8*Assumptions!$E$132+D8*Assumptions!$E$133)</f>
        <v>24.48</v>
      </c>
      <c r="AA11" s="26" t="n">
        <f aca="false">Assumptions!$E$10*(AA8*Assumptions!$E$111+Z8*Assumptions!$E$112+Y8*Assumptions!$E$113+X8*Assumptions!$E$114+W8*Assumptions!$E$115+V8*Assumptions!$E$116+U8*Assumptions!$E$117+T8*Assumptions!$E$118+S8*Assumptions!$E$119+R8*Assumptions!$E$120+Q8*Assumptions!$E$121+P8*Assumptions!$E$122+O8*Assumptions!$E$123+N8*Assumptions!$E$124+M8*Assumptions!$E$125+L8*Assumptions!$E$126+K8*Assumptions!$E$127+J8*Assumptions!$E$128+I8*Assumptions!$E$129+H8*Assumptions!$E$130+G8*Assumptions!$E$131+F8*Assumptions!$E$132+E8*Assumptions!$E$133)</f>
        <v>24.752</v>
      </c>
      <c r="AB11" s="26" t="n">
        <f aca="false">Assumptions!$E$10*(AB8*Assumptions!$E$111+AA8*Assumptions!$E$112+Z8*Assumptions!$E$113+Y8*Assumptions!$E$114+X8*Assumptions!$E$115+W8*Assumptions!$E$116+V8*Assumptions!$E$117+U8*Assumptions!$E$118+T8*Assumptions!$E$119+S8*Assumptions!$E$120+R8*Assumptions!$E$121+Q8*Assumptions!$E$122+P8*Assumptions!$E$123+O8*Assumptions!$E$124+N8*Assumptions!$E$125+M8*Assumptions!$E$126+L8*Assumptions!$E$127+K8*Assumptions!$E$128+J8*Assumptions!$E$129+I8*Assumptions!$E$130+H8*Assumptions!$E$131+G8*Assumptions!$E$132+F8*Assumptions!$E$133)</f>
        <v>25.024</v>
      </c>
      <c r="AC11" s="26" t="n">
        <f aca="false">Assumptions!$E$10*(AC8*Assumptions!$E$111+AB8*Assumptions!$E$112+AA8*Assumptions!$E$113+Z8*Assumptions!$E$114+Y8*Assumptions!$E$115+X8*Assumptions!$E$116+W8*Assumptions!$E$117+V8*Assumptions!$E$118+U8*Assumptions!$E$119+T8*Assumptions!$E$120+S8*Assumptions!$E$121+R8*Assumptions!$E$122+Q8*Assumptions!$E$123+P8*Assumptions!$E$124+O8*Assumptions!$E$125+N8*Assumptions!$E$126+M8*Assumptions!$E$127+L8*Assumptions!$E$128+K8*Assumptions!$E$129+J8*Assumptions!$E$130+I8*Assumptions!$E$131+H8*Assumptions!$E$132+G8*Assumptions!$E$133)</f>
        <v>25.296</v>
      </c>
      <c r="AD11" s="26" t="n">
        <f aca="false">Assumptions!$E$10*(AD8*Assumptions!$E$111+AC8*Assumptions!$E$112+AB8*Assumptions!$E$113+AA8*Assumptions!$E$114+Z8*Assumptions!$E$115+Y8*Assumptions!$E$116+X8*Assumptions!$E$117+W8*Assumptions!$E$118+V8*Assumptions!$E$119+U8*Assumptions!$E$120+T8*Assumptions!$E$121+S8*Assumptions!$E$122+R8*Assumptions!$E$123+Q8*Assumptions!$E$124+P8*Assumptions!$E$125+O8*Assumptions!$E$126+N8*Assumptions!$E$127+M8*Assumptions!$E$128+L8*Assumptions!$E$129+K8*Assumptions!$E$130+J8*Assumptions!$E$131+I8*Assumptions!$E$132+H8*Assumptions!$E$133)</f>
        <v>25.568</v>
      </c>
      <c r="AE11" s="26" t="n">
        <f aca="false">Assumptions!$E$10*(AE8*Assumptions!$E$111+AD8*Assumptions!$E$112+AC8*Assumptions!$E$113+AB8*Assumptions!$E$114+AA8*Assumptions!$E$115+Z8*Assumptions!$E$116+Y8*Assumptions!$E$117+X8*Assumptions!$E$118+W8*Assumptions!$E$119+V8*Assumptions!$E$120+U8*Assumptions!$E$121+T8*Assumptions!$E$122+S8*Assumptions!$E$123+R8*Assumptions!$E$124+Q8*Assumptions!$E$125+P8*Assumptions!$E$126+O8*Assumptions!$E$127+N8*Assumptions!$E$128+M8*Assumptions!$E$129+L8*Assumptions!$E$130+K8*Assumptions!$E$131+J8*Assumptions!$E$132+I8*Assumptions!$E$133)</f>
        <v>25.568</v>
      </c>
      <c r="AF11" s="26" t="n">
        <f aca="false">Assumptions!$E$10*(AF8*Assumptions!$E$111+AE8*Assumptions!$E$112+AD8*Assumptions!$E$113+AC8*Assumptions!$E$114+AB8*Assumptions!$E$115+AA8*Assumptions!$E$116+Z8*Assumptions!$E$117+Y8*Assumptions!$E$118+X8*Assumptions!$E$119+W8*Assumptions!$E$120+V8*Assumptions!$E$121+U8*Assumptions!$E$122+T8*Assumptions!$E$123+S8*Assumptions!$E$124+R8*Assumptions!$E$125+Q8*Assumptions!$E$126+P8*Assumptions!$E$127+O8*Assumptions!$E$128+N8*Assumptions!$E$129+M8*Assumptions!$E$130+L8*Assumptions!$E$131+K8*Assumptions!$E$132+J8*Assumptions!$E$133)</f>
        <v>32.64</v>
      </c>
      <c r="AG11" s="26" t="n">
        <f aca="false">Assumptions!$E$10*(AG8*Assumptions!$E$111+AF8*Assumptions!$E$112+AE8*Assumptions!$E$113+AD8*Assumptions!$E$114+AC8*Assumptions!$E$115+AB8*Assumptions!$E$116+AA8*Assumptions!$E$117+Z8*Assumptions!$E$118+Y8*Assumptions!$E$119+X8*Assumptions!$E$120+W8*Assumptions!$E$121+V8*Assumptions!$E$122+U8*Assumptions!$E$123+T8*Assumptions!$E$124+S8*Assumptions!$E$125+R8*Assumptions!$E$126+Q8*Assumptions!$E$127+P8*Assumptions!$E$128+O8*Assumptions!$E$129+N8*Assumptions!$E$130+M8*Assumptions!$E$131+L8*Assumptions!$E$132+K8*Assumptions!$E$133)</f>
        <v>32.096</v>
      </c>
      <c r="AH11" s="26" t="n">
        <f aca="false">Assumptions!$E$10*(AH8*Assumptions!$E$111+AG8*Assumptions!$E$112+AF8*Assumptions!$E$113+AE8*Assumptions!$E$114+AD8*Assumptions!$E$115+AC8*Assumptions!$E$116+AB8*Assumptions!$E$117+AA8*Assumptions!$E$118+Z8*Assumptions!$E$119+Y8*Assumptions!$E$120+X8*Assumptions!$E$121+W8*Assumptions!$E$122+V8*Assumptions!$E$123+U8*Assumptions!$E$124+T8*Assumptions!$E$125+S8*Assumptions!$E$126+R8*Assumptions!$E$127+Q8*Assumptions!$E$128+P8*Assumptions!$E$129+O8*Assumptions!$E$130+N8*Assumptions!$E$131+M8*Assumptions!$E$132+L8*Assumptions!$E$133)</f>
        <v>30.192</v>
      </c>
      <c r="AI11" s="26" t="n">
        <f aca="false">Assumptions!$E$10*(AI8*Assumptions!$E$111+AH8*Assumptions!$E$112+AG8*Assumptions!$E$113+AF8*Assumptions!$E$114+AE8*Assumptions!$E$115+AD8*Assumptions!$E$116+AC8*Assumptions!$E$117+AB8*Assumptions!$E$118+AA8*Assumptions!$E$119+Z8*Assumptions!$E$120+Y8*Assumptions!$E$121+X8*Assumptions!$E$122+W8*Assumptions!$E$123+V8*Assumptions!$E$124+U8*Assumptions!$E$125+T8*Assumptions!$E$126+S8*Assumptions!$E$127+R8*Assumptions!$E$128+Q8*Assumptions!$E$129+P8*Assumptions!$E$130+O8*Assumptions!$E$131+N8*Assumptions!$E$132+M8*Assumptions!$E$133)</f>
        <v>35.904</v>
      </c>
      <c r="AJ11" s="26" t="n">
        <f aca="false">Assumptions!$E$10*(AJ8*Assumptions!$E$111+AI8*Assumptions!$E$112+AH8*Assumptions!$E$113+AG8*Assumptions!$E$114+AF8*Assumptions!$E$115+AE8*Assumptions!$E$116+AD8*Assumptions!$E$117+AC8*Assumptions!$E$118+AB8*Assumptions!$E$119+AA8*Assumptions!$E$120+Z8*Assumptions!$E$121+Y8*Assumptions!$E$122+X8*Assumptions!$E$123+W8*Assumptions!$E$124+V8*Assumptions!$E$125+U8*Assumptions!$E$126+T8*Assumptions!$E$127+S8*Assumptions!$E$128+R8*Assumptions!$E$129+Q8*Assumptions!$E$130+P8*Assumptions!$E$131+O8*Assumptions!$E$132+N8*Assumptions!$E$133)</f>
        <v>34.272</v>
      </c>
      <c r="AK11" s="26" t="n">
        <f aca="false">Assumptions!$E$10*(AK8*Assumptions!$E$111+AJ8*Assumptions!$E$112+AI8*Assumptions!$E$113+AH8*Assumptions!$E$114+AG8*Assumptions!$E$115+AF8*Assumptions!$E$116+AE8*Assumptions!$E$117+AD8*Assumptions!$E$118+AC8*Assumptions!$E$119+AB8*Assumptions!$E$120+AA8*Assumptions!$E$121+Z8*Assumptions!$E$122+Y8*Assumptions!$E$123+X8*Assumptions!$E$124+W8*Assumptions!$E$125+V8*Assumptions!$E$126+U8*Assumptions!$E$127+T8*Assumptions!$E$128+S8*Assumptions!$E$129+R8*Assumptions!$E$130+Q8*Assumptions!$E$131+P8*Assumptions!$E$132+O8*Assumptions!$E$133)</f>
        <v>32.096</v>
      </c>
      <c r="AL11" s="26" t="n">
        <f aca="false">Assumptions!$E$10*(AL8*Assumptions!$E$111+AK8*Assumptions!$E$112+AJ8*Assumptions!$E$113+AI8*Assumptions!$E$114+AH8*Assumptions!$E$115+AG8*Assumptions!$E$116+AF8*Assumptions!$E$117+AE8*Assumptions!$E$118+AD8*Assumptions!$E$119+AC8*Assumptions!$E$120+AB8*Assumptions!$E$121+AA8*Assumptions!$E$122+Z8*Assumptions!$E$123+Y8*Assumptions!$E$124+X8*Assumptions!$E$125+W8*Assumptions!$E$126+V8*Assumptions!$E$127+U8*Assumptions!$E$128+T8*Assumptions!$E$129+S8*Assumptions!$E$130+R8*Assumptions!$E$131+Q8*Assumptions!$E$132+P8*Assumptions!$E$133)</f>
        <v>36.448</v>
      </c>
      <c r="AM11" s="26" t="n">
        <f aca="false">Assumptions!$E$10*(AM8*Assumptions!$E$111+AL8*Assumptions!$E$112+AK8*Assumptions!$E$113+AJ8*Assumptions!$E$114+AI8*Assumptions!$E$115+AH8*Assumptions!$E$116+AG8*Assumptions!$E$117+AF8*Assumptions!$E$118+AE8*Assumptions!$E$119+AD8*Assumptions!$E$120+AC8*Assumptions!$E$121+AB8*Assumptions!$E$122+AA8*Assumptions!$E$123+Z8*Assumptions!$E$124+Y8*Assumptions!$E$125+X8*Assumptions!$E$126+W8*Assumptions!$E$127+V8*Assumptions!$E$128+U8*Assumptions!$E$129+T8*Assumptions!$E$130+S8*Assumptions!$E$131+R8*Assumptions!$E$132+Q8*Assumptions!$E$133)</f>
        <v>34.816</v>
      </c>
      <c r="AN11" s="37" t="n">
        <f aca="false">Assumptions!$E$10*(AN8*Assumptions!$E$111+AM8*Assumptions!$E$112+AL8*Assumptions!$E$113+AK8*Assumptions!$E$114+AJ8*Assumptions!$E$115+AI8*Assumptions!$E$116+AH8*Assumptions!$E$117+AG8*Assumptions!$E$118+AF8*Assumptions!$E$119+AE8*Assumptions!$E$120+AD8*Assumptions!$E$121+AC8*Assumptions!$E$122+AB8*Assumptions!$E$123+AA8*Assumptions!$E$124+Z8*Assumptions!$E$125+Y8*Assumptions!$E$126+X8*Assumptions!$E$127+W8*Assumptions!$E$128+V8*Assumptions!$E$129+U8*Assumptions!$E$130+T8*Assumptions!$E$131+S8*Assumptions!$E$132+R8*Assumptions!$E$133)</f>
        <v>32.64</v>
      </c>
      <c r="AO11" s="37" t="n">
        <f aca="false">Assumptions!$E$10*(AO8*Assumptions!$E$111+AN8*Assumptions!$E$112+AM8*Assumptions!$E$113+AL8*Assumptions!$E$114+AK8*Assumptions!$E$115+AJ8*Assumptions!$E$116+AI8*Assumptions!$E$117+AH8*Assumptions!$E$118+AG8*Assumptions!$E$119+AF8*Assumptions!$E$120+AE8*Assumptions!$E$121+AD8*Assumptions!$E$122+AC8*Assumptions!$E$123+AB8*Assumptions!$E$124+AA8*Assumptions!$E$125+Z8*Assumptions!$E$126+Y8*Assumptions!$E$127+X8*Assumptions!$E$128+W8*Assumptions!$E$129+V8*Assumptions!$E$130+U8*Assumptions!$E$131+T8*Assumptions!$E$132+S8*Assumptions!$E$133)</f>
        <v>36.992</v>
      </c>
      <c r="AP11" s="37" t="n">
        <f aca="false">Assumptions!$E$10*(AP8*Assumptions!$E$111+AO8*Assumptions!$E$112+AN8*Assumptions!$E$113+AM8*Assumptions!$E$114+AL8*Assumptions!$E$115+AK8*Assumptions!$E$116+AJ8*Assumptions!$E$117+AI8*Assumptions!$E$118+AH8*Assumptions!$E$119+AG8*Assumptions!$E$120+AF8*Assumptions!$E$121+AE8*Assumptions!$E$122+AD8*Assumptions!$E$123+AC8*Assumptions!$E$124+AB8*Assumptions!$E$125+AA8*Assumptions!$E$126+Z8*Assumptions!$E$127+Y8*Assumptions!$E$128+X8*Assumptions!$E$129+W8*Assumptions!$E$130+V8*Assumptions!$E$131+U8*Assumptions!$E$132+T8*Assumptions!$E$133)</f>
        <v>35.36</v>
      </c>
      <c r="AQ11" s="37" t="n">
        <f aca="false">Assumptions!$E$10*(AQ8*Assumptions!$E$111+AP8*Assumptions!$E$112+AO8*Assumptions!$E$113+AN8*Assumptions!$E$114+AM8*Assumptions!$E$115+AL8*Assumptions!$E$116+AK8*Assumptions!$E$117+AJ8*Assumptions!$E$118+AI8*Assumptions!$E$119+AH8*Assumptions!$E$120+AG8*Assumptions!$E$121+AF8*Assumptions!$E$122+AE8*Assumptions!$E$123+AD8*Assumptions!$E$124+AC8*Assumptions!$E$125+AB8*Assumptions!$E$126+AA8*Assumptions!$E$127+Z8*Assumptions!$E$128+Y8*Assumptions!$E$129+X8*Assumptions!$E$130+W8*Assumptions!$E$131+V8*Assumptions!$E$132+U8*Assumptions!$E$133)</f>
        <v>33.184</v>
      </c>
      <c r="AR11" s="37" t="n">
        <f aca="false">Assumptions!$E$10*(AR8*Assumptions!$E$111+AQ8*Assumptions!$E$112+AP8*Assumptions!$E$113+AO8*Assumptions!$E$114+AN8*Assumptions!$E$115+AM8*Assumptions!$E$116+AL8*Assumptions!$E$117+AK8*Assumptions!$E$118+AJ8*Assumptions!$E$119+AI8*Assumptions!$E$120+AH8*Assumptions!$E$121+AG8*Assumptions!$E$122+AF8*Assumptions!$E$123+AE8*Assumptions!$E$124+AD8*Assumptions!$E$125+AC8*Assumptions!$E$126+AB8*Assumptions!$E$127+AA8*Assumptions!$E$128+Z8*Assumptions!$E$129+Y8*Assumptions!$E$130+X8*Assumptions!$E$131+W8*Assumptions!$E$132+V8*Assumptions!$E$133)</f>
        <v>37.536</v>
      </c>
      <c r="AS11" s="37" t="n">
        <f aca="false">Assumptions!$E$10*(AS8*Assumptions!$E$111+AR8*Assumptions!$E$112+AQ8*Assumptions!$E$113+AP8*Assumptions!$E$114+AO8*Assumptions!$E$115+AN8*Assumptions!$E$116+AM8*Assumptions!$E$117+AL8*Assumptions!$E$118+AK8*Assumptions!$E$119+AJ8*Assumptions!$E$120+AI8*Assumptions!$E$121+AH8*Assumptions!$E$122+AG8*Assumptions!$E$123+AF8*Assumptions!$E$124+AE8*Assumptions!$E$125+AD8*Assumptions!$E$126+AC8*Assumptions!$E$127+AB8*Assumptions!$E$128+AA8*Assumptions!$E$129+Z8*Assumptions!$E$130+Y8*Assumptions!$E$131+X8*Assumptions!$E$132+W8*Assumptions!$E$133)</f>
        <v>35.632</v>
      </c>
      <c r="AT11" s="37" t="n">
        <f aca="false">Assumptions!$E$10*(AT8*Assumptions!$E$111+AS8*Assumptions!$E$112+AR8*Assumptions!$E$113+AQ8*Assumptions!$E$114+AP8*Assumptions!$E$115+AO8*Assumptions!$E$116+AN8*Assumptions!$E$117+AM8*Assumptions!$E$118+AL8*Assumptions!$E$119+AK8*Assumptions!$E$120+AJ8*Assumptions!$E$121+AI8*Assumptions!$E$122+AH8*Assumptions!$E$123+AG8*Assumptions!$E$124+AF8*Assumptions!$E$125+AE8*Assumptions!$E$126+AD8*Assumptions!$E$127+AC8*Assumptions!$E$128+AB8*Assumptions!$E$129+AA8*Assumptions!$E$130+Z8*Assumptions!$E$131+Y8*Assumptions!$E$132+X8*Assumptions!$E$133)</f>
        <v>33.456</v>
      </c>
      <c r="AU11" s="37" t="n">
        <f aca="false">Assumptions!$E$10*(AU8*Assumptions!$E$111+AT8*Assumptions!$E$112+AS8*Assumptions!$E$113+AR8*Assumptions!$E$114+AQ8*Assumptions!$E$115+AP8*Assumptions!$E$116+AO8*Assumptions!$E$117+AN8*Assumptions!$E$118+AM8*Assumptions!$E$119+AL8*Assumptions!$E$120+AK8*Assumptions!$E$121+AJ8*Assumptions!$E$122+AI8*Assumptions!$E$123+AH8*Assumptions!$E$124+AG8*Assumptions!$E$125+AF8*Assumptions!$E$126+AE8*Assumptions!$E$127+AD8*Assumptions!$E$128+AC8*Assumptions!$E$129+AB8*Assumptions!$E$130+AA8*Assumptions!$E$131+Z8*Assumptions!$E$132+Y8*Assumptions!$E$133)</f>
        <v>37.808</v>
      </c>
      <c r="AV11" s="37" t="n">
        <f aca="false">Assumptions!$E$10*(AV8*Assumptions!$E$111+AU8*Assumptions!$E$112+AT8*Assumptions!$E$113+AS8*Assumptions!$E$114+AR8*Assumptions!$E$115+AQ8*Assumptions!$E$116+AP8*Assumptions!$E$117+AO8*Assumptions!$E$118+AN8*Assumptions!$E$119+AM8*Assumptions!$E$120+AL8*Assumptions!$E$121+AK8*Assumptions!$E$122+AJ8*Assumptions!$E$123+AI8*Assumptions!$E$124+AH8*Assumptions!$E$125+AG8*Assumptions!$E$126+AF8*Assumptions!$E$127+AE8*Assumptions!$E$128+AD8*Assumptions!$E$129+AC8*Assumptions!$E$130+AB8*Assumptions!$E$131+AA8*Assumptions!$E$132+Z8*Assumptions!$E$133)</f>
        <v>35.904</v>
      </c>
      <c r="AW11" s="37" t="n">
        <f aca="false">Assumptions!$E$10*(AW8*Assumptions!$E$111+AV8*Assumptions!$E$112+AU8*Assumptions!$E$113+AT8*Assumptions!$E$114+AS8*Assumptions!$E$115+AR8*Assumptions!$E$116+AQ8*Assumptions!$E$117+AP8*Assumptions!$E$118+AO8*Assumptions!$E$119+AN8*Assumptions!$E$120+AM8*Assumptions!$E$121+AL8*Assumptions!$E$122+AK8*Assumptions!$E$123+AJ8*Assumptions!$E$124+AI8*Assumptions!$E$125+AH8*Assumptions!$E$126+AG8*Assumptions!$E$127+AF8*Assumptions!$E$128+AE8*Assumptions!$E$129+AD8*Assumptions!$E$130+AC8*Assumptions!$E$131+AB8*Assumptions!$E$132+AA8*Assumptions!$E$133)</f>
        <v>33.728</v>
      </c>
      <c r="AX11" s="37" t="n">
        <f aca="false">Assumptions!$E$10*(AX8*Assumptions!$E$111+AW8*Assumptions!$E$112+AV8*Assumptions!$E$113+AU8*Assumptions!$E$114+AT8*Assumptions!$E$115+AS8*Assumptions!$E$116+AR8*Assumptions!$E$117+AQ8*Assumptions!$E$118+AP8*Assumptions!$E$119+AO8*Assumptions!$E$120+AN8*Assumptions!$E$121+AM8*Assumptions!$E$122+AL8*Assumptions!$E$123+AK8*Assumptions!$E$124+AJ8*Assumptions!$E$125+AI8*Assumptions!$E$126+AH8*Assumptions!$E$127+AG8*Assumptions!$E$128+AF8*Assumptions!$E$129+AE8*Assumptions!$E$130+AD8*Assumptions!$E$131+AC8*Assumptions!$E$132+AB8*Assumptions!$E$133)</f>
        <v>38.08</v>
      </c>
      <c r="AY11" s="37" t="n">
        <f aca="false">Assumptions!$E$10*(AY8*Assumptions!$E$111+AX8*Assumptions!$E$112+AW8*Assumptions!$E$113+AV8*Assumptions!$E$114+AU8*Assumptions!$E$115+AT8*Assumptions!$E$116+AS8*Assumptions!$E$117+AR8*Assumptions!$E$118+AQ8*Assumptions!$E$119+AP8*Assumptions!$E$120+AO8*Assumptions!$E$121+AN8*Assumptions!$E$122+AM8*Assumptions!$E$123+AL8*Assumptions!$E$124+AK8*Assumptions!$E$125+AJ8*Assumptions!$E$126+AI8*Assumptions!$E$127+AH8*Assumptions!$E$128+AG8*Assumptions!$E$129+AF8*Assumptions!$E$130+AE8*Assumptions!$E$131+AD8*Assumptions!$E$132+AC8*Assumptions!$E$133)</f>
        <v>36.176</v>
      </c>
      <c r="AZ11" s="37" t="n">
        <f aca="false">Assumptions!$E$10*(AZ8*Assumptions!$E$111+AY8*Assumptions!$E$112+AX8*Assumptions!$E$113+AW8*Assumptions!$E$114+AV8*Assumptions!$E$115+AU8*Assumptions!$E$116+AT8*Assumptions!$E$117+AS8*Assumptions!$E$118+AR8*Assumptions!$E$119+AQ8*Assumptions!$E$120+AP8*Assumptions!$E$121+AO8*Assumptions!$E$122+AN8*Assumptions!$E$123+AM8*Assumptions!$E$124+AL8*Assumptions!$E$125+AK8*Assumptions!$E$126+AJ8*Assumptions!$E$127+AI8*Assumptions!$E$128+AH8*Assumptions!$E$129+AG8*Assumptions!$E$130+AF8*Assumptions!$E$131+AE8*Assumptions!$E$132+AD8*Assumptions!$E$133)</f>
        <v>34</v>
      </c>
      <c r="BA11" s="37" t="n">
        <f aca="false">Assumptions!$E$10*(BA8*Assumptions!$E$111+AZ8*Assumptions!$E$112+AY8*Assumptions!$E$113+AX8*Assumptions!$E$114+AW8*Assumptions!$E$115+AV8*Assumptions!$E$116+AU8*Assumptions!$E$117+AT8*Assumptions!$E$118+AS8*Assumptions!$E$119+AR8*Assumptions!$E$120+AQ8*Assumptions!$E$121+AP8*Assumptions!$E$122+AO8*Assumptions!$E$123+AN8*Assumptions!$E$124+AM8*Assumptions!$E$125+AL8*Assumptions!$E$126+AK8*Assumptions!$E$127+AJ8*Assumptions!$E$128+AI8*Assumptions!$E$129+AH8*Assumptions!$E$130+AG8*Assumptions!$E$131+AF8*Assumptions!$E$132+AE8*Assumptions!$E$133)</f>
        <v>38.352</v>
      </c>
      <c r="BB11" s="37" t="n">
        <f aca="false">Assumptions!$E$10*(BB8*Assumptions!$E$111+BA8*Assumptions!$E$112+AZ8*Assumptions!$E$113+AY8*Assumptions!$E$114+AX8*Assumptions!$E$115+AW8*Assumptions!$E$116+AV8*Assumptions!$E$117+AU8*Assumptions!$E$118+AT8*Assumptions!$E$119+AS8*Assumptions!$E$120+AR8*Assumptions!$E$121+AQ8*Assumptions!$E$122+AP8*Assumptions!$E$123+AO8*Assumptions!$E$124+AN8*Assumptions!$E$125+AM8*Assumptions!$E$126+AL8*Assumptions!$E$127+AK8*Assumptions!$E$128+AJ8*Assumptions!$E$129+AI8*Assumptions!$E$130+AH8*Assumptions!$E$131+AG8*Assumptions!$E$132+AF8*Assumptions!$E$133)</f>
        <v>36.448</v>
      </c>
      <c r="BC11" s="37" t="n">
        <f aca="false">Assumptions!$E$10*(BC8*Assumptions!$E$111+BB8*Assumptions!$E$112+BA8*Assumptions!$E$113+AZ8*Assumptions!$E$114+AY8*Assumptions!$E$115+AX8*Assumptions!$E$116+AW8*Assumptions!$E$117+AV8*Assumptions!$E$118+AU8*Assumptions!$E$119+AT8*Assumptions!$E$120+AS8*Assumptions!$E$121+AR8*Assumptions!$E$122+AQ8*Assumptions!$E$123+AP8*Assumptions!$E$124+AO8*Assumptions!$E$125+AN8*Assumptions!$E$126+AM8*Assumptions!$E$127+AL8*Assumptions!$E$128+AK8*Assumptions!$E$129+AJ8*Assumptions!$E$130+AI8*Assumptions!$E$131+AH8*Assumptions!$E$132+AG8*Assumptions!$E$133)</f>
        <v>34</v>
      </c>
      <c r="BD11" s="37" t="n">
        <f aca="false">Assumptions!$E$10*(BD8*Assumptions!$E$111+BC8*Assumptions!$E$112+BB8*Assumptions!$E$113+BA8*Assumptions!$E$114+AZ8*Assumptions!$E$115+AY8*Assumptions!$E$116+AX8*Assumptions!$E$117+AW8*Assumptions!$E$118+AV8*Assumptions!$E$119+AU8*Assumptions!$E$120+AT8*Assumptions!$E$121+AS8*Assumptions!$E$122+AR8*Assumptions!$E$123+AQ8*Assumptions!$E$124+AP8*Assumptions!$E$125+AO8*Assumptions!$E$126+AN8*Assumptions!$E$127+AM8*Assumptions!$E$128+AL8*Assumptions!$E$129+AK8*Assumptions!$E$130+AJ8*Assumptions!$E$131+AI8*Assumptions!$E$132+AH8*Assumptions!$E$133)</f>
        <v>38.352</v>
      </c>
      <c r="BE11" s="37" t="n">
        <f aca="false">Assumptions!$E$10*(BE8*Assumptions!$E$111+BD8*Assumptions!$E$112+BC8*Assumptions!$E$113+BB8*Assumptions!$E$114+BA8*Assumptions!$E$115+AZ8*Assumptions!$E$116+AY8*Assumptions!$E$117+AX8*Assumptions!$E$118+AW8*Assumptions!$E$119+AV8*Assumptions!$E$120+AU8*Assumptions!$E$121+AT8*Assumptions!$E$122+AS8*Assumptions!$E$123+AR8*Assumptions!$E$124+AQ8*Assumptions!$E$125+AP8*Assumptions!$E$126+AO8*Assumptions!$E$127+AN8*Assumptions!$E$128+AM8*Assumptions!$E$129+AL8*Assumptions!$E$130+AK8*Assumptions!$E$131+AJ8*Assumptions!$E$132+AI8*Assumptions!$E$133)</f>
        <v>36.448</v>
      </c>
      <c r="BF11" s="37" t="n">
        <f aca="false">Assumptions!$E$10*(BF8*Assumptions!$E$111+BE8*Assumptions!$E$112+BD8*Assumptions!$E$113+BC8*Assumptions!$E$114+BB8*Assumptions!$E$115+BA8*Assumptions!$E$116+AZ8*Assumptions!$E$117+AY8*Assumptions!$E$118+AX8*Assumptions!$E$119+AW8*Assumptions!$E$120+AV8*Assumptions!$E$121+AU8*Assumptions!$E$122+AT8*Assumptions!$E$123+AS8*Assumptions!$E$124+AR8*Assumptions!$E$125+AQ8*Assumptions!$E$126+AP8*Assumptions!$E$127+AO8*Assumptions!$E$128+AN8*Assumptions!$E$129+AM8*Assumptions!$E$130+AL8*Assumptions!$E$131+AK8*Assumptions!$E$132+AJ8*Assumptions!$E$133)</f>
        <v>34</v>
      </c>
      <c r="BG11" s="37" t="n">
        <f aca="false">Assumptions!$E$10*(BG8*Assumptions!$E$111+BF8*Assumptions!$E$112+BE8*Assumptions!$E$113+BD8*Assumptions!$E$114+BC8*Assumptions!$E$115+BB8*Assumptions!$E$116+BA8*Assumptions!$E$117+AZ8*Assumptions!$E$118+AY8*Assumptions!$E$119+AX8*Assumptions!$E$120+AW8*Assumptions!$E$121+AV8*Assumptions!$E$122+AU8*Assumptions!$E$123+AT8*Assumptions!$E$124+AS8*Assumptions!$E$125+AR8*Assumptions!$E$126+AQ8*Assumptions!$E$127+AP8*Assumptions!$E$128+AO8*Assumptions!$E$129+AN8*Assumptions!$E$130+AM8*Assumptions!$E$131+AL8*Assumptions!$E$132+AK8*Assumptions!$E$133)</f>
        <v>38.352</v>
      </c>
      <c r="BH11" s="37" t="n">
        <f aca="false">Assumptions!$E$10*(BH8*Assumptions!$E$111+BG8*Assumptions!$E$112+BF8*Assumptions!$E$113+BE8*Assumptions!$E$114+BD8*Assumptions!$E$115+BC8*Assumptions!$E$116+BB8*Assumptions!$E$117+BA8*Assumptions!$E$118+AZ8*Assumptions!$E$119+AY8*Assumptions!$E$120+AX8*Assumptions!$E$121+AW8*Assumptions!$E$122+AV8*Assumptions!$E$123+AU8*Assumptions!$E$124+AT8*Assumptions!$E$125+AS8*Assumptions!$E$126+AR8*Assumptions!$E$127+AQ8*Assumptions!$E$128+AP8*Assumptions!$E$129+AO8*Assumptions!$E$130+AN8*Assumptions!$E$131+AM8*Assumptions!$E$132+AL8*Assumptions!$E$133)</f>
        <v>36.448</v>
      </c>
      <c r="BI11" s="37" t="n">
        <f aca="false">Assumptions!$E$10*(BI8*Assumptions!$E$111+BH8*Assumptions!$E$112+BG8*Assumptions!$E$113+BF8*Assumptions!$E$114+BE8*Assumptions!$E$115+BD8*Assumptions!$E$116+BC8*Assumptions!$E$117+BB8*Assumptions!$E$118+BA8*Assumptions!$E$119+AZ8*Assumptions!$E$120+AY8*Assumptions!$E$121+AX8*Assumptions!$E$122+AW8*Assumptions!$E$123+AV8*Assumptions!$E$124+AU8*Assumptions!$E$125+AT8*Assumptions!$E$126+AS8*Assumptions!$E$127+AR8*Assumptions!$E$128+AQ8*Assumptions!$E$129+AP8*Assumptions!$E$130+AO8*Assumptions!$E$131+AN8*Assumptions!$E$132+AM8*Assumptions!$E$133)</f>
        <v>34</v>
      </c>
      <c r="BJ11" s="37" t="n">
        <f aca="false">Assumptions!$E$10*(BJ8*Assumptions!$E$111+BI8*Assumptions!$E$112+BH8*Assumptions!$E$113+BG8*Assumptions!$E$114+BF8*Assumptions!$E$115+BE8*Assumptions!$E$116+BD8*Assumptions!$E$117+BC8*Assumptions!$E$118+BB8*Assumptions!$E$119+BA8*Assumptions!$E$120+AZ8*Assumptions!$E$121+AY8*Assumptions!$E$122+AX8*Assumptions!$E$123+AW8*Assumptions!$E$124+AV8*Assumptions!$E$125+AU8*Assumptions!$E$126+AT8*Assumptions!$E$127+AS8*Assumptions!$E$128+AR8*Assumptions!$E$129+AQ8*Assumptions!$E$130+AP8*Assumptions!$E$131+AO8*Assumptions!$E$132+AN8*Assumptions!$E$133)</f>
        <v>38.352</v>
      </c>
      <c r="BK11" s="37" t="n">
        <f aca="false">Assumptions!$E$10*(BK8*Assumptions!$E$111+BJ8*Assumptions!$E$112+BI8*Assumptions!$E$113+BH8*Assumptions!$E$114+BG8*Assumptions!$E$115+BF8*Assumptions!$E$116+BE8*Assumptions!$E$117+BD8*Assumptions!$E$118+BC8*Assumptions!$E$119+BB8*Assumptions!$E$120+BA8*Assumptions!$E$121+AZ8*Assumptions!$E$122+AY8*Assumptions!$E$123+AX8*Assumptions!$E$124+AW8*Assumptions!$E$125+AV8*Assumptions!$E$126+AU8*Assumptions!$E$127+AT8*Assumptions!$E$128+AS8*Assumptions!$E$129+AR8*Assumptions!$E$130+AQ8*Assumptions!$E$131+AP8*Assumptions!$E$132+AO8*Assumptions!$E$133)</f>
        <v>36.448</v>
      </c>
    </row>
    <row r="12" customFormat="false" ht="15" hidden="false" customHeight="false" outlineLevel="0" collapsed="false">
      <c r="A12" s="28" t="s">
        <v>544</v>
      </c>
      <c r="B12" s="6" t="s">
        <v>545</v>
      </c>
      <c r="C12" s="36" t="n">
        <v>0</v>
      </c>
      <c r="D12" s="26" t="n">
        <f aca="false">C12*(1-Assumptions!$E$12)+D11</f>
        <v>0</v>
      </c>
      <c r="E12" s="26" t="n">
        <f aca="false">D12*(1-Assumptions!$E$12)+E11</f>
        <v>0</v>
      </c>
      <c r="F12" s="26" t="n">
        <f aca="false">E12*(1-Assumptions!$E$12)+F11</f>
        <v>0</v>
      </c>
      <c r="G12" s="26" t="n">
        <f aca="false">F12*(1-Assumptions!$E$12)+G11</f>
        <v>0</v>
      </c>
      <c r="H12" s="26" t="n">
        <f aca="false">G12*(1-Assumptions!$E$12)+H11</f>
        <v>6.8</v>
      </c>
      <c r="I12" s="26" t="n">
        <f aca="false">H12*(1-Assumptions!$E$12)+I11</f>
        <v>12.682</v>
      </c>
      <c r="J12" s="26" t="n">
        <f aca="false">I12*(1-Assumptions!$E$12)+J11</f>
        <v>16.57177</v>
      </c>
      <c r="K12" s="26" t="n">
        <f aca="false">J12*(1-Assumptions!$E$12)+K11</f>
        <v>25.84319345</v>
      </c>
      <c r="L12" s="26" t="n">
        <f aca="false">K12*(1-Assumptions!$E$12)+L11</f>
        <v>33.07154554825</v>
      </c>
      <c r="M12" s="26" t="n">
        <f aca="false">L12*(1-Assumptions!$E$12)+M11</f>
        <v>38.0154723650263</v>
      </c>
      <c r="N12" s="26" t="n">
        <f aca="false">M12*(1-Assumptions!$E$12)+N11</f>
        <v>47.2372402795509</v>
      </c>
      <c r="O12" s="26" t="n">
        <f aca="false">N12*(1-Assumptions!$E$12)+O11</f>
        <v>61.2166816753576</v>
      </c>
      <c r="P12" s="26" t="n">
        <f aca="false">O12*(1-Assumptions!$E$12)+P11</f>
        <v>71.9944314502272</v>
      </c>
      <c r="Q12" s="26" t="n">
        <f aca="false">P12*(1-Assumptions!$E$12)+Q11</f>
        <v>85.0585149784738</v>
      </c>
      <c r="R12" s="26" t="n">
        <f aca="false">Q12*(1-Assumptions!$E$12)+R11</f>
        <v>101.462637253797</v>
      </c>
      <c r="S12" s="26" t="n">
        <f aca="false">R12*(1-Assumptions!$E$12)+S11</f>
        <v>113.54069769499</v>
      </c>
      <c r="T12" s="26" t="n">
        <f aca="false">S12*(1-Assumptions!$E$12)+T11</f>
        <v>127.613587229565</v>
      </c>
      <c r="U12" s="26" t="n">
        <f aca="false">T12*(1-Assumptions!$E$12)+U11</f>
        <v>143.923383421121</v>
      </c>
      <c r="V12" s="26" t="n">
        <f aca="false">U12*(1-Assumptions!$E$12)+V11</f>
        <v>162.708532669805</v>
      </c>
      <c r="W12" s="26" t="n">
        <f aca="false">V12*(1-Assumptions!$E$12)+W11</f>
        <v>182.571904679758</v>
      </c>
      <c r="X12" s="26" t="n">
        <f aca="false">W12*(1-Assumptions!$E$12)+X11</f>
        <v>202.681326109561</v>
      </c>
      <c r="Y12" s="26" t="n">
        <f aca="false">X12*(1-Assumptions!$E$12)+Y11</f>
        <v>223.849106217918</v>
      </c>
      <c r="Z12" s="26" t="n">
        <f aca="false">Y12*(1-Assumptions!$E$12)+Z11</f>
        <v>244.971369624649</v>
      </c>
      <c r="AA12" s="26" t="n">
        <f aca="false">Z12*(1-Assumptions!$E$12)+AA11</f>
        <v>266.048799080279</v>
      </c>
      <c r="AB12" s="26" t="n">
        <f aca="false">AA12*(1-Assumptions!$E$12)+AB11</f>
        <v>287.082067094075</v>
      </c>
      <c r="AC12" s="26" t="n">
        <f aca="false">AB12*(1-Assumptions!$E$12)+AC11</f>
        <v>308.071836087664</v>
      </c>
      <c r="AD12" s="26" t="n">
        <f aca="false">AC12*(1-Assumptions!$E$12)+AD11</f>
        <v>329.018758546349</v>
      </c>
      <c r="AE12" s="26" t="n">
        <f aca="false">AD12*(1-Assumptions!$E$12)+AE11</f>
        <v>349.651477168154</v>
      </c>
      <c r="AF12" s="26" t="n">
        <f aca="false">AE12*(1-Assumptions!$E$12)+AF11</f>
        <v>377.046705010631</v>
      </c>
      <c r="AG12" s="26" t="n">
        <f aca="false">AF12*(1-Assumptions!$E$12)+AG11</f>
        <v>403.487004435472</v>
      </c>
      <c r="AH12" s="26" t="n">
        <f aca="false">AG12*(1-Assumptions!$E$12)+AH11</f>
        <v>427.62669936894</v>
      </c>
      <c r="AI12" s="26" t="n">
        <f aca="false">AH12*(1-Assumptions!$E$12)+AI11</f>
        <v>457.116298878406</v>
      </c>
      <c r="AJ12" s="26" t="n">
        <f aca="false">AI12*(1-Assumptions!$E$12)+AJ11</f>
        <v>484.53155439523</v>
      </c>
      <c r="AK12" s="26" t="n">
        <f aca="false">AJ12*(1-Assumptions!$E$12)+AK11</f>
        <v>509.359581079301</v>
      </c>
      <c r="AL12" s="26" t="n">
        <f aca="false">AK12*(1-Assumptions!$E$12)+AL11</f>
        <v>538.167187363112</v>
      </c>
      <c r="AM12" s="26" t="n">
        <f aca="false">AL12*(1-Assumptions!$E$12)+AM11</f>
        <v>564.910679552665</v>
      </c>
      <c r="AN12" s="37" t="n">
        <f aca="false">AM12*(1-Assumptions!$E$12)+AN11</f>
        <v>589.077019359375</v>
      </c>
      <c r="AO12" s="37" t="n">
        <f aca="false">AN12*(1-Assumptions!$E$12)+AO11</f>
        <v>617.232864068984</v>
      </c>
      <c r="AP12" s="37" t="n">
        <f aca="false">AO12*(1-Assumptions!$E$12)+AP11</f>
        <v>643.33437110795</v>
      </c>
      <c r="AQ12" s="37" t="n">
        <f aca="false">AP12*(1-Assumptions!$E$12)+AQ11</f>
        <v>666.86835554133</v>
      </c>
      <c r="AR12" s="37" t="n">
        <f aca="false">AQ12*(1-Assumptions!$E$12)+AR11</f>
        <v>694.40133020821</v>
      </c>
      <c r="AS12" s="37" t="n">
        <f aca="false">AR12*(1-Assumptions!$E$12)+AS11</f>
        <v>719.617310255087</v>
      </c>
      <c r="AT12" s="37" t="n">
        <f aca="false">AS12*(1-Assumptions!$E$12)+AT11</f>
        <v>742.279050601261</v>
      </c>
      <c r="AU12" s="37" t="n">
        <f aca="false">AT12*(1-Assumptions!$E$12)+AU11</f>
        <v>768.952864842242</v>
      </c>
      <c r="AV12" s="37" t="n">
        <f aca="false">AU12*(1-Assumptions!$E$12)+AV11</f>
        <v>793.322571869608</v>
      </c>
      <c r="AW12" s="37" t="n">
        <f aca="false">AV12*(1-Assumptions!$E$12)+AW11</f>
        <v>815.150733291564</v>
      </c>
      <c r="AX12" s="37" t="n">
        <f aca="false">AW12*(1-Assumptions!$E$12)+AX11</f>
        <v>841.003472292191</v>
      </c>
      <c r="AY12" s="37" t="n">
        <f aca="false">AX12*(1-Assumptions!$E$12)+AY11</f>
        <v>864.564420207808</v>
      </c>
      <c r="AZ12" s="37" t="n">
        <f aca="false">AY12*(1-Assumptions!$E$12)+AZ11</f>
        <v>885.595953904691</v>
      </c>
      <c r="BA12" s="37" t="n">
        <f aca="false">AZ12*(1-Assumptions!$E$12)+BA11</f>
        <v>910.66401459612</v>
      </c>
      <c r="BB12" s="37" t="n">
        <f aca="false">BA12*(1-Assumptions!$E$12)+BB11</f>
        <v>933.452054377179</v>
      </c>
      <c r="BC12" s="37" t="n">
        <f aca="false">BB12*(1-Assumptions!$E$12)+BC11</f>
        <v>953.450273561521</v>
      </c>
      <c r="BD12" s="37" t="n">
        <f aca="false">BC12*(1-Assumptions!$E$12)+BD11</f>
        <v>977.500519458098</v>
      </c>
      <c r="BE12" s="37" t="n">
        <f aca="false">BD12*(1-Assumptions!$E$12)+BE11</f>
        <v>999.286011666227</v>
      </c>
      <c r="BF12" s="37" t="n">
        <f aca="false">BE12*(1-Assumptions!$E$12)+BF11</f>
        <v>1018.29672149123</v>
      </c>
      <c r="BG12" s="37" t="n">
        <f aca="false">BF12*(1-Assumptions!$E$12)+BG11</f>
        <v>1041.37427066886</v>
      </c>
      <c r="BH12" s="37" t="n">
        <f aca="false">BG12*(1-Assumptions!$E$12)+BH11</f>
        <v>1062.20165660883</v>
      </c>
      <c r="BI12" s="37" t="n">
        <f aca="false">BH12*(1-Assumptions!$E$12)+BI11</f>
        <v>1080.2686317597</v>
      </c>
      <c r="BJ12" s="37" t="n">
        <f aca="false">BI12*(1-Assumptions!$E$12)+BJ11</f>
        <v>1102.4166022833</v>
      </c>
      <c r="BK12" s="37" t="n">
        <f aca="false">BJ12*(1-Assumptions!$E$12)+BK11</f>
        <v>1122.32835324905</v>
      </c>
    </row>
    <row r="13" customFormat="false" ht="15" hidden="false" customHeight="false" outlineLevel="0" collapsed="false">
      <c r="A13" s="28" t="s">
        <v>546</v>
      </c>
      <c r="B13" s="6" t="s">
        <v>547</v>
      </c>
      <c r="C13" s="36" t="n">
        <v>0</v>
      </c>
      <c r="D13" s="26" t="n">
        <f aca="false">D12*Assumptions!$E$11</f>
        <v>0</v>
      </c>
      <c r="E13" s="26" t="n">
        <f aca="false">E12*Assumptions!$E$11</f>
        <v>0</v>
      </c>
      <c r="F13" s="26" t="n">
        <f aca="false">F12*Assumptions!$E$11</f>
        <v>0</v>
      </c>
      <c r="G13" s="26" t="n">
        <f aca="false">G12*Assumptions!$E$11</f>
        <v>0</v>
      </c>
      <c r="H13" s="26" t="n">
        <f aca="false">H12*Assumptions!$E$11</f>
        <v>4.08</v>
      </c>
      <c r="I13" s="26" t="n">
        <f aca="false">I12*Assumptions!$E$11</f>
        <v>7.6092</v>
      </c>
      <c r="J13" s="26" t="n">
        <f aca="false">J12*Assumptions!$E$11</f>
        <v>9.943062</v>
      </c>
      <c r="K13" s="26" t="n">
        <f aca="false">K12*Assumptions!$E$11</f>
        <v>15.50591607</v>
      </c>
      <c r="L13" s="26" t="n">
        <f aca="false">L12*Assumptions!$E$11</f>
        <v>19.84292732895</v>
      </c>
      <c r="M13" s="26" t="n">
        <f aca="false">M12*Assumptions!$E$11</f>
        <v>22.8092834190158</v>
      </c>
      <c r="N13" s="26" t="n">
        <f aca="false">N12*Assumptions!$E$11</f>
        <v>28.3423441677305</v>
      </c>
      <c r="O13" s="26" t="n">
        <f aca="false">O12*Assumptions!$E$11</f>
        <v>36.7300090052146</v>
      </c>
      <c r="P13" s="26" t="n">
        <f aca="false">P12*Assumptions!$E$11</f>
        <v>43.1966588701363</v>
      </c>
      <c r="Q13" s="26" t="n">
        <f aca="false">Q12*Assumptions!$E$11</f>
        <v>51.0351089870843</v>
      </c>
      <c r="R13" s="26" t="n">
        <f aca="false">R12*Assumptions!$E$11</f>
        <v>60.877582352278</v>
      </c>
      <c r="S13" s="26" t="n">
        <f aca="false">S12*Assumptions!$E$11</f>
        <v>68.1244186169939</v>
      </c>
      <c r="T13" s="26" t="n">
        <f aca="false">T12*Assumptions!$E$11</f>
        <v>76.568152337739</v>
      </c>
      <c r="U13" s="26" t="n">
        <f aca="false">U12*Assumptions!$E$11</f>
        <v>86.3540300526729</v>
      </c>
      <c r="V13" s="26" t="n">
        <f aca="false">V12*Assumptions!$E$11</f>
        <v>97.6251196018827</v>
      </c>
      <c r="W13" s="26" t="n">
        <f aca="false">W12*Assumptions!$E$11</f>
        <v>109.543142807855</v>
      </c>
      <c r="X13" s="26" t="n">
        <f aca="false">X12*Assumptions!$E$11</f>
        <v>121.608795665737</v>
      </c>
      <c r="Y13" s="26" t="n">
        <f aca="false">Y12*Assumptions!$E$11</f>
        <v>134.309463730751</v>
      </c>
      <c r="Z13" s="26" t="n">
        <f aca="false">Z12*Assumptions!$E$11</f>
        <v>146.982821774789</v>
      </c>
      <c r="AA13" s="26" t="n">
        <f aca="false">AA12*Assumptions!$E$11</f>
        <v>159.629279448168</v>
      </c>
      <c r="AB13" s="26" t="n">
        <f aca="false">AB12*Assumptions!$E$11</f>
        <v>172.249240256445</v>
      </c>
      <c r="AC13" s="26" t="n">
        <f aca="false">AC12*Assumptions!$E$11</f>
        <v>184.843101652598</v>
      </c>
      <c r="AD13" s="26" t="n">
        <f aca="false">AD12*Assumptions!$E$11</f>
        <v>197.411255127809</v>
      </c>
      <c r="AE13" s="26" t="n">
        <f aca="false">AE12*Assumptions!$E$11</f>
        <v>209.790886300892</v>
      </c>
      <c r="AF13" s="26" t="n">
        <f aca="false">AF12*Assumptions!$E$11</f>
        <v>226.228023006379</v>
      </c>
      <c r="AG13" s="26" t="n">
        <f aca="false">AG12*Assumptions!$E$11</f>
        <v>242.092202661283</v>
      </c>
      <c r="AH13" s="26" t="n">
        <f aca="false">AH12*Assumptions!$E$11</f>
        <v>256.576019621364</v>
      </c>
      <c r="AI13" s="26" t="n">
        <f aca="false">AI12*Assumptions!$E$11</f>
        <v>274.269779327043</v>
      </c>
      <c r="AJ13" s="26" t="n">
        <f aca="false">AJ12*Assumptions!$E$11</f>
        <v>290.718932637138</v>
      </c>
      <c r="AK13" s="26" t="n">
        <f aca="false">AK12*Assumptions!$E$11</f>
        <v>305.615748647581</v>
      </c>
      <c r="AL13" s="26" t="n">
        <f aca="false">AL12*Assumptions!$E$11</f>
        <v>322.900312417867</v>
      </c>
      <c r="AM13" s="26" t="n">
        <f aca="false">AM12*Assumptions!$E$11</f>
        <v>338.946407731599</v>
      </c>
      <c r="AN13" s="37" t="n">
        <f aca="false">AN12*Assumptions!$E$11</f>
        <v>353.446211615625</v>
      </c>
      <c r="AO13" s="37" t="n">
        <f aca="false">AO12*Assumptions!$E$11</f>
        <v>370.339718441391</v>
      </c>
      <c r="AP13" s="37" t="n">
        <f aca="false">AP12*Assumptions!$E$11</f>
        <v>386.00062266477</v>
      </c>
      <c r="AQ13" s="37" t="n">
        <f aca="false">AQ12*Assumptions!$E$11</f>
        <v>400.121013324798</v>
      </c>
      <c r="AR13" s="37" t="n">
        <f aca="false">AR12*Assumptions!$E$11</f>
        <v>416.640798124926</v>
      </c>
      <c r="AS13" s="37" t="n">
        <f aca="false">AS12*Assumptions!$E$11</f>
        <v>431.770386153052</v>
      </c>
      <c r="AT13" s="37" t="n">
        <f aca="false">AT12*Assumptions!$E$11</f>
        <v>445.367430360757</v>
      </c>
      <c r="AU13" s="37" t="n">
        <f aca="false">AU12*Assumptions!$E$11</f>
        <v>461.371718905345</v>
      </c>
      <c r="AV13" s="37" t="n">
        <f aca="false">AV12*Assumptions!$E$11</f>
        <v>475.993543121765</v>
      </c>
      <c r="AW13" s="37" t="n">
        <f aca="false">AW12*Assumptions!$E$11</f>
        <v>489.090439974938</v>
      </c>
      <c r="AX13" s="37" t="n">
        <f aca="false">AX12*Assumptions!$E$11</f>
        <v>504.602083375314</v>
      </c>
      <c r="AY13" s="37" t="n">
        <f aca="false">AY12*Assumptions!$E$11</f>
        <v>518.738652124685</v>
      </c>
      <c r="AZ13" s="37" t="n">
        <f aca="false">AZ12*Assumptions!$E$11</f>
        <v>531.357572342814</v>
      </c>
      <c r="BA13" s="37" t="n">
        <f aca="false">BA12*Assumptions!$E$11</f>
        <v>546.398408757672</v>
      </c>
      <c r="BB13" s="37" t="n">
        <f aca="false">BB12*Assumptions!$E$11</f>
        <v>560.071232626307</v>
      </c>
      <c r="BC13" s="37" t="n">
        <f aca="false">BC12*Assumptions!$E$11</f>
        <v>572.070164136913</v>
      </c>
      <c r="BD13" s="37" t="n">
        <f aca="false">BD12*Assumptions!$E$11</f>
        <v>586.500311674859</v>
      </c>
      <c r="BE13" s="37" t="n">
        <f aca="false">BE12*Assumptions!$E$11</f>
        <v>599.571606999736</v>
      </c>
      <c r="BF13" s="37" t="n">
        <f aca="false">BF12*Assumptions!$E$11</f>
        <v>610.97803289474</v>
      </c>
      <c r="BG13" s="37" t="n">
        <f aca="false">BG12*Assumptions!$E$11</f>
        <v>624.824562401319</v>
      </c>
      <c r="BH13" s="37" t="n">
        <f aca="false">BH12*Assumptions!$E$11</f>
        <v>637.320993965299</v>
      </c>
      <c r="BI13" s="37" t="n">
        <f aca="false">BI12*Assumptions!$E$11</f>
        <v>648.16117905582</v>
      </c>
      <c r="BJ13" s="37" t="n">
        <f aca="false">BJ12*Assumptions!$E$11</f>
        <v>661.449961369982</v>
      </c>
      <c r="BK13" s="37" t="n">
        <f aca="false">BK12*Assumptions!$E$11</f>
        <v>673.397011949433</v>
      </c>
    </row>
    <row r="14" customFormat="false" ht="15" hidden="false" customHeight="false" outlineLevel="0" collapsed="false">
      <c r="A14" s="28" t="s">
        <v>548</v>
      </c>
      <c r="B14" s="6" t="s">
        <v>549</v>
      </c>
      <c r="C14" s="36" t="n">
        <v>0</v>
      </c>
      <c r="D14" s="26" t="n">
        <f aca="false">D11*Assumptions!$E$11</f>
        <v>0</v>
      </c>
      <c r="E14" s="26" t="n">
        <f aca="false">E11*Assumptions!$E$11</f>
        <v>0</v>
      </c>
      <c r="F14" s="26" t="n">
        <f aca="false">F11*Assumptions!$E$11</f>
        <v>0</v>
      </c>
      <c r="G14" s="26" t="n">
        <f aca="false">G11*Assumptions!$E$11</f>
        <v>0</v>
      </c>
      <c r="H14" s="26" t="n">
        <f aca="false">H11*Assumptions!$E$11</f>
        <v>4.08</v>
      </c>
      <c r="I14" s="26" t="n">
        <f aca="false">I11*Assumptions!$E$11</f>
        <v>3.5904</v>
      </c>
      <c r="J14" s="26" t="n">
        <f aca="false">J11*Assumptions!$E$11</f>
        <v>2.448</v>
      </c>
      <c r="K14" s="26" t="n">
        <f aca="false">K11*Assumptions!$E$11</f>
        <v>5.712</v>
      </c>
      <c r="L14" s="26" t="n">
        <f aca="false">L11*Assumptions!$E$11</f>
        <v>4.5696</v>
      </c>
      <c r="M14" s="26" t="n">
        <f aca="false">M11*Assumptions!$E$11</f>
        <v>3.264</v>
      </c>
      <c r="N14" s="26" t="n">
        <f aca="false">N11*Assumptions!$E$11</f>
        <v>5.8752</v>
      </c>
      <c r="O14" s="26" t="n">
        <f aca="false">O11*Assumptions!$E$11</f>
        <v>8.8128</v>
      </c>
      <c r="P14" s="26" t="n">
        <f aca="false">P11*Assumptions!$E$11</f>
        <v>7.0176</v>
      </c>
      <c r="Q14" s="26" t="n">
        <f aca="false">Q11*Assumptions!$E$11</f>
        <v>8.4864</v>
      </c>
      <c r="R14" s="26" t="n">
        <f aca="false">R11*Assumptions!$E$11</f>
        <v>10.608</v>
      </c>
      <c r="S14" s="26" t="n">
        <f aca="false">S11*Assumptions!$E$11</f>
        <v>8.16</v>
      </c>
      <c r="T14" s="26" t="n">
        <f aca="false">T11*Assumptions!$E$11</f>
        <v>9.4656</v>
      </c>
      <c r="U14" s="26" t="n">
        <f aca="false">U11*Assumptions!$E$11</f>
        <v>10.9344</v>
      </c>
      <c r="V14" s="26" t="n">
        <f aca="false">V11*Assumptions!$E$11</f>
        <v>12.5664</v>
      </c>
      <c r="W14" s="26" t="n">
        <f aca="false">W11*Assumptions!$E$11</f>
        <v>13.3824</v>
      </c>
      <c r="X14" s="26" t="n">
        <f aca="false">X11*Assumptions!$E$11</f>
        <v>13.7088</v>
      </c>
      <c r="Y14" s="26" t="n">
        <f aca="false">Y11*Assumptions!$E$11</f>
        <v>14.5248</v>
      </c>
      <c r="Z14" s="26" t="n">
        <f aca="false">Z11*Assumptions!$E$11</f>
        <v>14.688</v>
      </c>
      <c r="AA14" s="26" t="n">
        <f aca="false">AA11*Assumptions!$E$11</f>
        <v>14.8512</v>
      </c>
      <c r="AB14" s="26" t="n">
        <f aca="false">AB11*Assumptions!$E$11</f>
        <v>15.0144</v>
      </c>
      <c r="AC14" s="26" t="n">
        <f aca="false">AC11*Assumptions!$E$11</f>
        <v>15.1776</v>
      </c>
      <c r="AD14" s="26" t="n">
        <f aca="false">AD11*Assumptions!$E$11</f>
        <v>15.3408</v>
      </c>
      <c r="AE14" s="26" t="n">
        <f aca="false">AE11*Assumptions!$E$11</f>
        <v>15.3408</v>
      </c>
      <c r="AF14" s="26" t="n">
        <f aca="false">AF11*Assumptions!$E$11</f>
        <v>19.584</v>
      </c>
      <c r="AG14" s="26" t="n">
        <f aca="false">AG11*Assumptions!$E$11</f>
        <v>19.2576</v>
      </c>
      <c r="AH14" s="26" t="n">
        <f aca="false">AH11*Assumptions!$E$11</f>
        <v>18.1152</v>
      </c>
      <c r="AI14" s="26" t="n">
        <f aca="false">AI11*Assumptions!$E$11</f>
        <v>21.5424</v>
      </c>
      <c r="AJ14" s="26" t="n">
        <f aca="false">AJ11*Assumptions!$E$11</f>
        <v>20.5632</v>
      </c>
      <c r="AK14" s="26" t="n">
        <f aca="false">AK11*Assumptions!$E$11</f>
        <v>19.2576</v>
      </c>
      <c r="AL14" s="26" t="n">
        <f aca="false">AL11*Assumptions!$E$11</f>
        <v>21.8688</v>
      </c>
      <c r="AM14" s="26" t="n">
        <f aca="false">AM11*Assumptions!$E$11</f>
        <v>20.8896</v>
      </c>
      <c r="AN14" s="37" t="n">
        <f aca="false">AN11*Assumptions!$E$11</f>
        <v>19.584</v>
      </c>
      <c r="AO14" s="37" t="n">
        <f aca="false">AO11*Assumptions!$E$11</f>
        <v>22.1952</v>
      </c>
      <c r="AP14" s="37" t="n">
        <f aca="false">AP11*Assumptions!$E$11</f>
        <v>21.216</v>
      </c>
      <c r="AQ14" s="37" t="n">
        <f aca="false">AQ11*Assumptions!$E$11</f>
        <v>19.9104</v>
      </c>
      <c r="AR14" s="37" t="n">
        <f aca="false">AR11*Assumptions!$E$11</f>
        <v>22.5216</v>
      </c>
      <c r="AS14" s="37" t="n">
        <f aca="false">AS11*Assumptions!$E$11</f>
        <v>21.3792</v>
      </c>
      <c r="AT14" s="37" t="n">
        <f aca="false">AT11*Assumptions!$E$11</f>
        <v>20.0736</v>
      </c>
      <c r="AU14" s="37" t="n">
        <f aca="false">AU11*Assumptions!$E$11</f>
        <v>22.6848</v>
      </c>
      <c r="AV14" s="37" t="n">
        <f aca="false">AV11*Assumptions!$E$11</f>
        <v>21.5424</v>
      </c>
      <c r="AW14" s="37" t="n">
        <f aca="false">AW11*Assumptions!$E$11</f>
        <v>20.2368</v>
      </c>
      <c r="AX14" s="37" t="n">
        <f aca="false">AX11*Assumptions!$E$11</f>
        <v>22.848</v>
      </c>
      <c r="AY14" s="37" t="n">
        <f aca="false">AY11*Assumptions!$E$11</f>
        <v>21.7056</v>
      </c>
      <c r="AZ14" s="37" t="n">
        <f aca="false">AZ11*Assumptions!$E$11</f>
        <v>20.4</v>
      </c>
      <c r="BA14" s="37" t="n">
        <f aca="false">BA11*Assumptions!$E$11</f>
        <v>23.0112</v>
      </c>
      <c r="BB14" s="37" t="n">
        <f aca="false">BB11*Assumptions!$E$11</f>
        <v>21.8688</v>
      </c>
      <c r="BC14" s="37" t="n">
        <f aca="false">BC11*Assumptions!$E$11</f>
        <v>20.4</v>
      </c>
      <c r="BD14" s="37" t="n">
        <f aca="false">BD11*Assumptions!$E$11</f>
        <v>23.0112</v>
      </c>
      <c r="BE14" s="37" t="n">
        <f aca="false">BE11*Assumptions!$E$11</f>
        <v>21.8688</v>
      </c>
      <c r="BF14" s="37" t="n">
        <f aca="false">BF11*Assumptions!$E$11</f>
        <v>20.4</v>
      </c>
      <c r="BG14" s="37" t="n">
        <f aca="false">BG11*Assumptions!$E$11</f>
        <v>23.0112</v>
      </c>
      <c r="BH14" s="37" t="n">
        <f aca="false">BH11*Assumptions!$E$11</f>
        <v>21.8688</v>
      </c>
      <c r="BI14" s="37" t="n">
        <f aca="false">BI11*Assumptions!$E$11</f>
        <v>20.4</v>
      </c>
      <c r="BJ14" s="37" t="n">
        <f aca="false">BJ11*Assumptions!$E$11</f>
        <v>23.0112</v>
      </c>
      <c r="BK14" s="37" t="n">
        <f aca="false">BK11*Assumptions!$E$11</f>
        <v>21.8688</v>
      </c>
    </row>
    <row r="15" customFormat="false" ht="15" hidden="false" customHeight="false" outlineLevel="0" collapsed="false">
      <c r="B15" s="5" t="s">
        <v>550</v>
      </c>
    </row>
    <row r="16" customFormat="false" ht="15" hidden="false" customHeight="false" outlineLevel="0" collapsed="false">
      <c r="A16" s="28" t="s">
        <v>551</v>
      </c>
      <c r="B16" s="6" t="s">
        <v>552</v>
      </c>
      <c r="C16" s="38" t="n">
        <v>0</v>
      </c>
      <c r="D16" s="39" t="n">
        <f aca="false">IF(OR(C16=1,AND(D13&gt;=Assumptions!$E$18,D7&gt;=Assumptions!$E$19)),1,0)</f>
        <v>0</v>
      </c>
      <c r="E16" s="39" t="n">
        <f aca="false">IF(OR(D16=1,AND(E13&gt;=Assumptions!$E$18,E7&gt;=Assumptions!$E$19)),1,0)</f>
        <v>0</v>
      </c>
      <c r="F16" s="39" t="n">
        <f aca="false">IF(OR(E16=1,AND(F13&gt;=Assumptions!$E$18,F7&gt;=Assumptions!$E$19)),1,0)</f>
        <v>0</v>
      </c>
      <c r="G16" s="39" t="n">
        <f aca="false">IF(OR(F16=1,AND(G13&gt;=Assumptions!$E$18,G7&gt;=Assumptions!$E$19)),1,0)</f>
        <v>0</v>
      </c>
      <c r="H16" s="39" t="n">
        <f aca="false">IF(OR(G16=1,AND(H13&gt;=Assumptions!$E$18,H7&gt;=Assumptions!$E$19)),1,0)</f>
        <v>0</v>
      </c>
      <c r="I16" s="39" t="n">
        <f aca="false">IF(OR(H16=1,AND(I13&gt;=Assumptions!$E$18,I7&gt;=Assumptions!$E$19)),1,0)</f>
        <v>0</v>
      </c>
      <c r="J16" s="39" t="n">
        <f aca="false">IF(OR(I16=1,AND(J13&gt;=Assumptions!$E$18,J7&gt;=Assumptions!$E$19)),1,0)</f>
        <v>0</v>
      </c>
      <c r="K16" s="39" t="n">
        <f aca="false">IF(OR(J16=1,AND(K13&gt;=Assumptions!$E$18,K7&gt;=Assumptions!$E$19)),1,0)</f>
        <v>0</v>
      </c>
      <c r="L16" s="39" t="n">
        <f aca="false">IF(OR(K16=1,AND(L13&gt;=Assumptions!$E$18,L7&gt;=Assumptions!$E$19)),1,0)</f>
        <v>0</v>
      </c>
      <c r="M16" s="39" t="n">
        <f aca="false">IF(OR(L16=1,AND(M13&gt;=Assumptions!$E$18,M7&gt;=Assumptions!$E$19)),1,0)</f>
        <v>0</v>
      </c>
      <c r="N16" s="39" t="n">
        <f aca="false">IF(OR(M16=1,AND(N13&gt;=Assumptions!$E$18,N7&gt;=Assumptions!$E$19)),1,0)</f>
        <v>0</v>
      </c>
      <c r="O16" s="39" t="n">
        <f aca="false">IF(OR(N16=1,AND(O13&gt;=Assumptions!$E$18,O7&gt;=Assumptions!$E$19)),1,0)</f>
        <v>0</v>
      </c>
      <c r="P16" s="39" t="n">
        <f aca="false">IF(OR(O16=1,AND(P13&gt;=Assumptions!$E$18,P7&gt;=Assumptions!$E$19)),1,0)</f>
        <v>0</v>
      </c>
      <c r="Q16" s="39" t="n">
        <f aca="false">IF(OR(P16=1,AND(Q13&gt;=Assumptions!$E$18,Q7&gt;=Assumptions!$E$19)),1,0)</f>
        <v>0</v>
      </c>
      <c r="R16" s="39" t="n">
        <f aca="false">IF(OR(Q16=1,AND(R13&gt;=Assumptions!$E$18,R7&gt;=Assumptions!$E$19)),1,0)</f>
        <v>0</v>
      </c>
      <c r="S16" s="39" t="n">
        <f aca="false">IF(OR(R16=1,AND(S13&gt;=Assumptions!$E$18,S7&gt;=Assumptions!$E$19)),1,0)</f>
        <v>0</v>
      </c>
      <c r="T16" s="39" t="n">
        <f aca="false">IF(OR(S16=1,AND(T13&gt;=Assumptions!$E$18,T7&gt;=Assumptions!$E$19)),1,0)</f>
        <v>0</v>
      </c>
      <c r="U16" s="39" t="n">
        <f aca="false">IF(OR(T16=1,AND(U13&gt;=Assumptions!$E$18,U7&gt;=Assumptions!$E$19)),1,0)</f>
        <v>0</v>
      </c>
      <c r="V16" s="39" t="n">
        <f aca="false">IF(OR(U16=1,AND(V13&gt;=Assumptions!$E$18,V7&gt;=Assumptions!$E$19)),1,0)</f>
        <v>0</v>
      </c>
      <c r="W16" s="39" t="n">
        <f aca="false">IF(OR(V16=1,AND(W13&gt;=Assumptions!$E$18,W7&gt;=Assumptions!$E$19)),1,0)</f>
        <v>1</v>
      </c>
      <c r="X16" s="39" t="n">
        <f aca="false">IF(OR(W16=1,AND(X13&gt;=Assumptions!$E$18,X7&gt;=Assumptions!$E$19)),1,0)</f>
        <v>1</v>
      </c>
      <c r="Y16" s="39" t="n">
        <f aca="false">IF(OR(X16=1,AND(Y13&gt;=Assumptions!$E$18,Y7&gt;=Assumptions!$E$19)),1,0)</f>
        <v>1</v>
      </c>
      <c r="Z16" s="39" t="n">
        <f aca="false">IF(OR(Y16=1,AND(Z13&gt;=Assumptions!$E$18,Z7&gt;=Assumptions!$E$19)),1,0)</f>
        <v>1</v>
      </c>
      <c r="AA16" s="39" t="n">
        <f aca="false">IF(OR(Z16=1,AND(AA13&gt;=Assumptions!$E$18,AA7&gt;=Assumptions!$E$19)),1,0)</f>
        <v>1</v>
      </c>
      <c r="AB16" s="39" t="n">
        <f aca="false">IF(OR(AA16=1,AND(AB13&gt;=Assumptions!$E$18,AB7&gt;=Assumptions!$E$19)),1,0)</f>
        <v>1</v>
      </c>
      <c r="AC16" s="39" t="n">
        <f aca="false">IF(OR(AB16=1,AND(AC13&gt;=Assumptions!$E$18,AC7&gt;=Assumptions!$E$19)),1,0)</f>
        <v>1</v>
      </c>
      <c r="AD16" s="39" t="n">
        <f aca="false">IF(OR(AC16=1,AND(AD13&gt;=Assumptions!$E$18,AD7&gt;=Assumptions!$E$19)),1,0)</f>
        <v>1</v>
      </c>
      <c r="AE16" s="39" t="n">
        <f aca="false">IF(OR(AD16=1,AND(AE13&gt;=Assumptions!$E$18,AE7&gt;=Assumptions!$E$19)),1,0)</f>
        <v>1</v>
      </c>
      <c r="AF16" s="39" t="n">
        <f aca="false">IF(OR(AE16=1,AND(AF13&gt;=Assumptions!$E$18,AF7&gt;=Assumptions!$E$19)),1,0)</f>
        <v>1</v>
      </c>
      <c r="AG16" s="39" t="n">
        <f aca="false">IF(OR(AF16=1,AND(AG13&gt;=Assumptions!$E$18,AG7&gt;=Assumptions!$E$19)),1,0)</f>
        <v>1</v>
      </c>
      <c r="AH16" s="39" t="n">
        <f aca="false">IF(OR(AG16=1,AND(AH13&gt;=Assumptions!$E$18,AH7&gt;=Assumptions!$E$19)),1,0)</f>
        <v>1</v>
      </c>
      <c r="AI16" s="39" t="n">
        <f aca="false">IF(OR(AH16=1,AND(AI13&gt;=Assumptions!$E$18,AI7&gt;=Assumptions!$E$19)),1,0)</f>
        <v>1</v>
      </c>
      <c r="AJ16" s="39" t="n">
        <f aca="false">IF(OR(AI16=1,AND(AJ13&gt;=Assumptions!$E$18,AJ7&gt;=Assumptions!$E$19)),1,0)</f>
        <v>1</v>
      </c>
      <c r="AK16" s="39" t="n">
        <f aca="false">IF(OR(AJ16=1,AND(AK13&gt;=Assumptions!$E$18,AK7&gt;=Assumptions!$E$19)),1,0)</f>
        <v>1</v>
      </c>
      <c r="AL16" s="39" t="n">
        <f aca="false">IF(OR(AK16=1,AND(AL13&gt;=Assumptions!$E$18,AL7&gt;=Assumptions!$E$19)),1,0)</f>
        <v>1</v>
      </c>
      <c r="AM16" s="39" t="n">
        <f aca="false">IF(OR(AL16=1,AND(AM13&gt;=Assumptions!$E$18,AM7&gt;=Assumptions!$E$19)),1,0)</f>
        <v>1</v>
      </c>
      <c r="AN16" s="40" t="n">
        <f aca="false">IF(OR(AM16=1,AND(AN13&gt;=Assumptions!$E$18,AN7&gt;=Assumptions!$E$19)),1,0)</f>
        <v>1</v>
      </c>
      <c r="AO16" s="40" t="n">
        <f aca="false">IF(OR(AN16=1,AND(AO13&gt;=Assumptions!$E$18,AO7&gt;=Assumptions!$E$19)),1,0)</f>
        <v>1</v>
      </c>
      <c r="AP16" s="40" t="n">
        <f aca="false">IF(OR(AO16=1,AND(AP13&gt;=Assumptions!$E$18,AP7&gt;=Assumptions!$E$19)),1,0)</f>
        <v>1</v>
      </c>
      <c r="AQ16" s="40" t="n">
        <f aca="false">IF(OR(AP16=1,AND(AQ13&gt;=Assumptions!$E$18,AQ7&gt;=Assumptions!$E$19)),1,0)</f>
        <v>1</v>
      </c>
      <c r="AR16" s="40" t="n">
        <f aca="false">IF(OR(AQ16=1,AND(AR13&gt;=Assumptions!$E$18,AR7&gt;=Assumptions!$E$19)),1,0)</f>
        <v>1</v>
      </c>
      <c r="AS16" s="40" t="n">
        <f aca="false">IF(OR(AR16=1,AND(AS13&gt;=Assumptions!$E$18,AS7&gt;=Assumptions!$E$19)),1,0)</f>
        <v>1</v>
      </c>
      <c r="AT16" s="40" t="n">
        <f aca="false">IF(OR(AS16=1,AND(AT13&gt;=Assumptions!$E$18,AT7&gt;=Assumptions!$E$19)),1,0)</f>
        <v>1</v>
      </c>
      <c r="AU16" s="40" t="n">
        <f aca="false">IF(OR(AT16=1,AND(AU13&gt;=Assumptions!$E$18,AU7&gt;=Assumptions!$E$19)),1,0)</f>
        <v>1</v>
      </c>
      <c r="AV16" s="40" t="n">
        <f aca="false">IF(OR(AU16=1,AND(AV13&gt;=Assumptions!$E$18,AV7&gt;=Assumptions!$E$19)),1,0)</f>
        <v>1</v>
      </c>
      <c r="AW16" s="40" t="n">
        <f aca="false">IF(OR(AV16=1,AND(AW13&gt;=Assumptions!$E$18,AW7&gt;=Assumptions!$E$19)),1,0)</f>
        <v>1</v>
      </c>
      <c r="AX16" s="40" t="n">
        <f aca="false">IF(OR(AW16=1,AND(AX13&gt;=Assumptions!$E$18,AX7&gt;=Assumptions!$E$19)),1,0)</f>
        <v>1</v>
      </c>
      <c r="AY16" s="40" t="n">
        <f aca="false">IF(OR(AX16=1,AND(AY13&gt;=Assumptions!$E$18,AY7&gt;=Assumptions!$E$19)),1,0)</f>
        <v>1</v>
      </c>
      <c r="AZ16" s="40" t="n">
        <f aca="false">IF(OR(AY16=1,AND(AZ13&gt;=Assumptions!$E$18,AZ7&gt;=Assumptions!$E$19)),1,0)</f>
        <v>1</v>
      </c>
      <c r="BA16" s="40" t="n">
        <f aca="false">IF(OR(AZ16=1,AND(BA13&gt;=Assumptions!$E$18,BA7&gt;=Assumptions!$E$19)),1,0)</f>
        <v>1</v>
      </c>
      <c r="BB16" s="40" t="n">
        <f aca="false">IF(OR(BA16=1,AND(BB13&gt;=Assumptions!$E$18,BB7&gt;=Assumptions!$E$19)),1,0)</f>
        <v>1</v>
      </c>
      <c r="BC16" s="40" t="n">
        <f aca="false">IF(OR(BB16=1,AND(BC13&gt;=Assumptions!$E$18,BC7&gt;=Assumptions!$E$19)),1,0)</f>
        <v>1</v>
      </c>
      <c r="BD16" s="40" t="n">
        <f aca="false">IF(OR(BC16=1,AND(BD13&gt;=Assumptions!$E$18,BD7&gt;=Assumptions!$E$19)),1,0)</f>
        <v>1</v>
      </c>
      <c r="BE16" s="40" t="n">
        <f aca="false">IF(OR(BD16=1,AND(BE13&gt;=Assumptions!$E$18,BE7&gt;=Assumptions!$E$19)),1,0)</f>
        <v>1</v>
      </c>
      <c r="BF16" s="40" t="n">
        <f aca="false">IF(OR(BE16=1,AND(BF13&gt;=Assumptions!$E$18,BF7&gt;=Assumptions!$E$19)),1,0)</f>
        <v>1</v>
      </c>
      <c r="BG16" s="40" t="n">
        <f aca="false">IF(OR(BF16=1,AND(BG13&gt;=Assumptions!$E$18,BG7&gt;=Assumptions!$E$19)),1,0)</f>
        <v>1</v>
      </c>
      <c r="BH16" s="40" t="n">
        <f aca="false">IF(OR(BG16=1,AND(BH13&gt;=Assumptions!$E$18,BH7&gt;=Assumptions!$E$19)),1,0)</f>
        <v>1</v>
      </c>
      <c r="BI16" s="40" t="n">
        <f aca="false">IF(OR(BH16=1,AND(BI13&gt;=Assumptions!$E$18,BI7&gt;=Assumptions!$E$19)),1,0)</f>
        <v>1</v>
      </c>
      <c r="BJ16" s="40" t="n">
        <f aca="false">IF(OR(BI16=1,AND(BJ13&gt;=Assumptions!$E$18,BJ7&gt;=Assumptions!$E$19)),1,0)</f>
        <v>1</v>
      </c>
      <c r="BK16" s="40" t="n">
        <f aca="false">IF(OR(BJ16=1,AND(BK13&gt;=Assumptions!$E$18,BK7&gt;=Assumptions!$E$19)),1,0)</f>
        <v>1</v>
      </c>
    </row>
    <row r="17" customFormat="false" ht="15" hidden="false" customHeight="false" outlineLevel="0" collapsed="false">
      <c r="A17" s="28" t="s">
        <v>553</v>
      </c>
      <c r="B17" s="6" t="s">
        <v>554</v>
      </c>
      <c r="C17" s="38" t="n">
        <v>0</v>
      </c>
      <c r="D17" s="39" t="n">
        <f aca="false">IF(OR(C17=1,AND(D13&gt;=Assumptions!$E$20,D7&gt;=Assumptions!$E$21)),1,0)</f>
        <v>0</v>
      </c>
      <c r="E17" s="39" t="n">
        <f aca="false">IF(OR(D17=1,AND(E13&gt;=Assumptions!$E$20,E7&gt;=Assumptions!$E$21)),1,0)</f>
        <v>0</v>
      </c>
      <c r="F17" s="39" t="n">
        <f aca="false">IF(OR(E17=1,AND(F13&gt;=Assumptions!$E$20,F7&gt;=Assumptions!$E$21)),1,0)</f>
        <v>0</v>
      </c>
      <c r="G17" s="39" t="n">
        <f aca="false">IF(OR(F17=1,AND(G13&gt;=Assumptions!$E$20,G7&gt;=Assumptions!$E$21)),1,0)</f>
        <v>0</v>
      </c>
      <c r="H17" s="39" t="n">
        <f aca="false">IF(OR(G17=1,AND(H13&gt;=Assumptions!$E$20,H7&gt;=Assumptions!$E$21)),1,0)</f>
        <v>0</v>
      </c>
      <c r="I17" s="39" t="n">
        <f aca="false">IF(OR(H17=1,AND(I13&gt;=Assumptions!$E$20,I7&gt;=Assumptions!$E$21)),1,0)</f>
        <v>0</v>
      </c>
      <c r="J17" s="39" t="n">
        <f aca="false">IF(OR(I17=1,AND(J13&gt;=Assumptions!$E$20,J7&gt;=Assumptions!$E$21)),1,0)</f>
        <v>0</v>
      </c>
      <c r="K17" s="39" t="n">
        <f aca="false">IF(OR(J17=1,AND(K13&gt;=Assumptions!$E$20,K7&gt;=Assumptions!$E$21)),1,0)</f>
        <v>0</v>
      </c>
      <c r="L17" s="39" t="n">
        <f aca="false">IF(OR(K17=1,AND(L13&gt;=Assumptions!$E$20,L7&gt;=Assumptions!$E$21)),1,0)</f>
        <v>0</v>
      </c>
      <c r="M17" s="39" t="n">
        <f aca="false">IF(OR(L17=1,AND(M13&gt;=Assumptions!$E$20,M7&gt;=Assumptions!$E$21)),1,0)</f>
        <v>0</v>
      </c>
      <c r="N17" s="39" t="n">
        <f aca="false">IF(OR(M17=1,AND(N13&gt;=Assumptions!$E$20,N7&gt;=Assumptions!$E$21)),1,0)</f>
        <v>0</v>
      </c>
      <c r="O17" s="39" t="n">
        <f aca="false">IF(OR(N17=1,AND(O13&gt;=Assumptions!$E$20,O7&gt;=Assumptions!$E$21)),1,0)</f>
        <v>0</v>
      </c>
      <c r="P17" s="39" t="n">
        <f aca="false">IF(OR(O17=1,AND(P13&gt;=Assumptions!$E$20,P7&gt;=Assumptions!$E$21)),1,0)</f>
        <v>1</v>
      </c>
      <c r="Q17" s="39" t="n">
        <f aca="false">IF(OR(P17=1,AND(Q13&gt;=Assumptions!$E$20,Q7&gt;=Assumptions!$E$21)),1,0)</f>
        <v>1</v>
      </c>
      <c r="R17" s="39" t="n">
        <f aca="false">IF(OR(Q17=1,AND(R13&gt;=Assumptions!$E$20,R7&gt;=Assumptions!$E$21)),1,0)</f>
        <v>1</v>
      </c>
      <c r="S17" s="39" t="n">
        <f aca="false">IF(OR(R17=1,AND(S13&gt;=Assumptions!$E$20,S7&gt;=Assumptions!$E$21)),1,0)</f>
        <v>1</v>
      </c>
      <c r="T17" s="39" t="n">
        <f aca="false">IF(OR(S17=1,AND(T13&gt;=Assumptions!$E$20,T7&gt;=Assumptions!$E$21)),1,0)</f>
        <v>1</v>
      </c>
      <c r="U17" s="39" t="n">
        <f aca="false">IF(OR(T17=1,AND(U13&gt;=Assumptions!$E$20,U7&gt;=Assumptions!$E$21)),1,0)</f>
        <v>1</v>
      </c>
      <c r="V17" s="39" t="n">
        <f aca="false">IF(OR(U17=1,AND(V13&gt;=Assumptions!$E$20,V7&gt;=Assumptions!$E$21)),1,0)</f>
        <v>1</v>
      </c>
      <c r="W17" s="39" t="n">
        <f aca="false">IF(OR(V17=1,AND(W13&gt;=Assumptions!$E$20,W7&gt;=Assumptions!$E$21)),1,0)</f>
        <v>1</v>
      </c>
      <c r="X17" s="39" t="n">
        <f aca="false">IF(OR(W17=1,AND(X13&gt;=Assumptions!$E$20,X7&gt;=Assumptions!$E$21)),1,0)</f>
        <v>1</v>
      </c>
      <c r="Y17" s="39" t="n">
        <f aca="false">IF(OR(X17=1,AND(Y13&gt;=Assumptions!$E$20,Y7&gt;=Assumptions!$E$21)),1,0)</f>
        <v>1</v>
      </c>
      <c r="Z17" s="39" t="n">
        <f aca="false">IF(OR(Y17=1,AND(Z13&gt;=Assumptions!$E$20,Z7&gt;=Assumptions!$E$21)),1,0)</f>
        <v>1</v>
      </c>
      <c r="AA17" s="39" t="n">
        <f aca="false">IF(OR(Z17=1,AND(AA13&gt;=Assumptions!$E$20,AA7&gt;=Assumptions!$E$21)),1,0)</f>
        <v>1</v>
      </c>
      <c r="AB17" s="39" t="n">
        <f aca="false">IF(OR(AA17=1,AND(AB13&gt;=Assumptions!$E$20,AB7&gt;=Assumptions!$E$21)),1,0)</f>
        <v>1</v>
      </c>
      <c r="AC17" s="39" t="n">
        <f aca="false">IF(OR(AB17=1,AND(AC13&gt;=Assumptions!$E$20,AC7&gt;=Assumptions!$E$21)),1,0)</f>
        <v>1</v>
      </c>
      <c r="AD17" s="39" t="n">
        <f aca="false">IF(OR(AC17=1,AND(AD13&gt;=Assumptions!$E$20,AD7&gt;=Assumptions!$E$21)),1,0)</f>
        <v>1</v>
      </c>
      <c r="AE17" s="39" t="n">
        <f aca="false">IF(OR(AD17=1,AND(AE13&gt;=Assumptions!$E$20,AE7&gt;=Assumptions!$E$21)),1,0)</f>
        <v>1</v>
      </c>
      <c r="AF17" s="39" t="n">
        <f aca="false">IF(OR(AE17=1,AND(AF13&gt;=Assumptions!$E$20,AF7&gt;=Assumptions!$E$21)),1,0)</f>
        <v>1</v>
      </c>
      <c r="AG17" s="39" t="n">
        <f aca="false">IF(OR(AF17=1,AND(AG13&gt;=Assumptions!$E$20,AG7&gt;=Assumptions!$E$21)),1,0)</f>
        <v>1</v>
      </c>
      <c r="AH17" s="39" t="n">
        <f aca="false">IF(OR(AG17=1,AND(AH13&gt;=Assumptions!$E$20,AH7&gt;=Assumptions!$E$21)),1,0)</f>
        <v>1</v>
      </c>
      <c r="AI17" s="39" t="n">
        <f aca="false">IF(OR(AH17=1,AND(AI13&gt;=Assumptions!$E$20,AI7&gt;=Assumptions!$E$21)),1,0)</f>
        <v>1</v>
      </c>
      <c r="AJ17" s="39" t="n">
        <f aca="false">IF(OR(AI17=1,AND(AJ13&gt;=Assumptions!$E$20,AJ7&gt;=Assumptions!$E$21)),1,0)</f>
        <v>1</v>
      </c>
      <c r="AK17" s="39" t="n">
        <f aca="false">IF(OR(AJ17=1,AND(AK13&gt;=Assumptions!$E$20,AK7&gt;=Assumptions!$E$21)),1,0)</f>
        <v>1</v>
      </c>
      <c r="AL17" s="39" t="n">
        <f aca="false">IF(OR(AK17=1,AND(AL13&gt;=Assumptions!$E$20,AL7&gt;=Assumptions!$E$21)),1,0)</f>
        <v>1</v>
      </c>
      <c r="AM17" s="39" t="n">
        <f aca="false">IF(OR(AL17=1,AND(AM13&gt;=Assumptions!$E$20,AM7&gt;=Assumptions!$E$21)),1,0)</f>
        <v>1</v>
      </c>
      <c r="AN17" s="40" t="n">
        <f aca="false">IF(OR(AM17=1,AND(AN13&gt;=Assumptions!$E$20,AN7&gt;=Assumptions!$E$21)),1,0)</f>
        <v>1</v>
      </c>
      <c r="AO17" s="40" t="n">
        <f aca="false">IF(OR(AN17=1,AND(AO13&gt;=Assumptions!$E$20,AO7&gt;=Assumptions!$E$21)),1,0)</f>
        <v>1</v>
      </c>
      <c r="AP17" s="40" t="n">
        <f aca="false">IF(OR(AO17=1,AND(AP13&gt;=Assumptions!$E$20,AP7&gt;=Assumptions!$E$21)),1,0)</f>
        <v>1</v>
      </c>
      <c r="AQ17" s="40" t="n">
        <f aca="false">IF(OR(AP17=1,AND(AQ13&gt;=Assumptions!$E$20,AQ7&gt;=Assumptions!$E$21)),1,0)</f>
        <v>1</v>
      </c>
      <c r="AR17" s="40" t="n">
        <f aca="false">IF(OR(AQ17=1,AND(AR13&gt;=Assumptions!$E$20,AR7&gt;=Assumptions!$E$21)),1,0)</f>
        <v>1</v>
      </c>
      <c r="AS17" s="40" t="n">
        <f aca="false">IF(OR(AR17=1,AND(AS13&gt;=Assumptions!$E$20,AS7&gt;=Assumptions!$E$21)),1,0)</f>
        <v>1</v>
      </c>
      <c r="AT17" s="40" t="n">
        <f aca="false">IF(OR(AS17=1,AND(AT13&gt;=Assumptions!$E$20,AT7&gt;=Assumptions!$E$21)),1,0)</f>
        <v>1</v>
      </c>
      <c r="AU17" s="40" t="n">
        <f aca="false">IF(OR(AT17=1,AND(AU13&gt;=Assumptions!$E$20,AU7&gt;=Assumptions!$E$21)),1,0)</f>
        <v>1</v>
      </c>
      <c r="AV17" s="40" t="n">
        <f aca="false">IF(OR(AU17=1,AND(AV13&gt;=Assumptions!$E$20,AV7&gt;=Assumptions!$E$21)),1,0)</f>
        <v>1</v>
      </c>
      <c r="AW17" s="40" t="n">
        <f aca="false">IF(OR(AV17=1,AND(AW13&gt;=Assumptions!$E$20,AW7&gt;=Assumptions!$E$21)),1,0)</f>
        <v>1</v>
      </c>
      <c r="AX17" s="40" t="n">
        <f aca="false">IF(OR(AW17=1,AND(AX13&gt;=Assumptions!$E$20,AX7&gt;=Assumptions!$E$21)),1,0)</f>
        <v>1</v>
      </c>
      <c r="AY17" s="40" t="n">
        <f aca="false">IF(OR(AX17=1,AND(AY13&gt;=Assumptions!$E$20,AY7&gt;=Assumptions!$E$21)),1,0)</f>
        <v>1</v>
      </c>
      <c r="AZ17" s="40" t="n">
        <f aca="false">IF(OR(AY17=1,AND(AZ13&gt;=Assumptions!$E$20,AZ7&gt;=Assumptions!$E$21)),1,0)</f>
        <v>1</v>
      </c>
      <c r="BA17" s="40" t="n">
        <f aca="false">IF(OR(AZ17=1,AND(BA13&gt;=Assumptions!$E$20,BA7&gt;=Assumptions!$E$21)),1,0)</f>
        <v>1</v>
      </c>
      <c r="BB17" s="40" t="n">
        <f aca="false">IF(OR(BA17=1,AND(BB13&gt;=Assumptions!$E$20,BB7&gt;=Assumptions!$E$21)),1,0)</f>
        <v>1</v>
      </c>
      <c r="BC17" s="40" t="n">
        <f aca="false">IF(OR(BB17=1,AND(BC13&gt;=Assumptions!$E$20,BC7&gt;=Assumptions!$E$21)),1,0)</f>
        <v>1</v>
      </c>
      <c r="BD17" s="40" t="n">
        <f aca="false">IF(OR(BC17=1,AND(BD13&gt;=Assumptions!$E$20,BD7&gt;=Assumptions!$E$21)),1,0)</f>
        <v>1</v>
      </c>
      <c r="BE17" s="40" t="n">
        <f aca="false">IF(OR(BD17=1,AND(BE13&gt;=Assumptions!$E$20,BE7&gt;=Assumptions!$E$21)),1,0)</f>
        <v>1</v>
      </c>
      <c r="BF17" s="40" t="n">
        <f aca="false">IF(OR(BE17=1,AND(BF13&gt;=Assumptions!$E$20,BF7&gt;=Assumptions!$E$21)),1,0)</f>
        <v>1</v>
      </c>
      <c r="BG17" s="40" t="n">
        <f aca="false">IF(OR(BF17=1,AND(BG13&gt;=Assumptions!$E$20,BG7&gt;=Assumptions!$E$21)),1,0)</f>
        <v>1</v>
      </c>
      <c r="BH17" s="40" t="n">
        <f aca="false">IF(OR(BG17=1,AND(BH13&gt;=Assumptions!$E$20,BH7&gt;=Assumptions!$E$21)),1,0)</f>
        <v>1</v>
      </c>
      <c r="BI17" s="40" t="n">
        <f aca="false">IF(OR(BH17=1,AND(BI13&gt;=Assumptions!$E$20,BI7&gt;=Assumptions!$E$21)),1,0)</f>
        <v>1</v>
      </c>
      <c r="BJ17" s="40" t="n">
        <f aca="false">IF(OR(BI17=1,AND(BJ13&gt;=Assumptions!$E$20,BJ7&gt;=Assumptions!$E$21)),1,0)</f>
        <v>1</v>
      </c>
      <c r="BK17" s="40" t="n">
        <f aca="false">IF(OR(BJ17=1,AND(BK13&gt;=Assumptions!$E$20,BK7&gt;=Assumptions!$E$21)),1,0)</f>
        <v>1</v>
      </c>
    </row>
    <row r="18" customFormat="false" ht="15" hidden="false" customHeight="false" outlineLevel="0" collapsed="false">
      <c r="A18" s="28" t="s">
        <v>555</v>
      </c>
      <c r="B18" s="6" t="s">
        <v>556</v>
      </c>
      <c r="C18" s="38" t="n">
        <v>0</v>
      </c>
      <c r="D18" s="39" t="n">
        <f aca="false">IF(OR(C18=1,D13&gt;=Assumptions!$E$22),1,0)</f>
        <v>0</v>
      </c>
      <c r="E18" s="39" t="n">
        <f aca="false">IF(OR(D18=1,E13&gt;=Assumptions!$E$22),1,0)</f>
        <v>0</v>
      </c>
      <c r="F18" s="39" t="n">
        <f aca="false">IF(OR(E18=1,F13&gt;=Assumptions!$E$22),1,0)</f>
        <v>0</v>
      </c>
      <c r="G18" s="39" t="n">
        <f aca="false">IF(OR(F18=1,G13&gt;=Assumptions!$E$22),1,0)</f>
        <v>0</v>
      </c>
      <c r="H18" s="39" t="n">
        <f aca="false">IF(OR(G18=1,H13&gt;=Assumptions!$E$22),1,0)</f>
        <v>0</v>
      </c>
      <c r="I18" s="39" t="n">
        <f aca="false">IF(OR(H18=1,I13&gt;=Assumptions!$E$22),1,0)</f>
        <v>0</v>
      </c>
      <c r="J18" s="39" t="n">
        <f aca="false">IF(OR(I18=1,J13&gt;=Assumptions!$E$22),1,0)</f>
        <v>0</v>
      </c>
      <c r="K18" s="39" t="n">
        <f aca="false">IF(OR(J18=1,K13&gt;=Assumptions!$E$22),1,0)</f>
        <v>0</v>
      </c>
      <c r="L18" s="39" t="n">
        <f aca="false">IF(OR(K18=1,L13&gt;=Assumptions!$E$22),1,0)</f>
        <v>0</v>
      </c>
      <c r="M18" s="39" t="n">
        <f aca="false">IF(OR(L18=1,M13&gt;=Assumptions!$E$22),1,0)</f>
        <v>0</v>
      </c>
      <c r="N18" s="39" t="n">
        <f aca="false">IF(OR(M18=1,N13&gt;=Assumptions!$E$22),1,0)</f>
        <v>0</v>
      </c>
      <c r="O18" s="39" t="n">
        <f aca="false">IF(OR(N18=1,O13&gt;=Assumptions!$E$22),1,0)</f>
        <v>0</v>
      </c>
      <c r="P18" s="39" t="n">
        <f aca="false">IF(OR(O18=1,P13&gt;=Assumptions!$E$22),1,0)</f>
        <v>0</v>
      </c>
      <c r="Q18" s="39" t="n">
        <f aca="false">IF(OR(P18=1,Q13&gt;=Assumptions!$E$22),1,0)</f>
        <v>0</v>
      </c>
      <c r="R18" s="39" t="n">
        <f aca="false">IF(OR(Q18=1,R13&gt;=Assumptions!$E$22),1,0)</f>
        <v>0</v>
      </c>
      <c r="S18" s="39" t="n">
        <f aca="false">IF(OR(R18=1,S13&gt;=Assumptions!$E$22),1,0)</f>
        <v>0</v>
      </c>
      <c r="T18" s="39" t="n">
        <f aca="false">IF(OR(S18=1,T13&gt;=Assumptions!$E$22),1,0)</f>
        <v>0</v>
      </c>
      <c r="U18" s="39" t="n">
        <f aca="false">IF(OR(T18=1,U13&gt;=Assumptions!$E$22),1,0)</f>
        <v>0</v>
      </c>
      <c r="V18" s="39" t="n">
        <f aca="false">IF(OR(U18=1,V13&gt;=Assumptions!$E$22),1,0)</f>
        <v>0</v>
      </c>
      <c r="W18" s="39" t="n">
        <f aca="false">IF(OR(V18=1,W13&gt;=Assumptions!$E$22),1,0)</f>
        <v>1</v>
      </c>
      <c r="X18" s="39" t="n">
        <f aca="false">IF(OR(W18=1,X13&gt;=Assumptions!$E$22),1,0)</f>
        <v>1</v>
      </c>
      <c r="Y18" s="39" t="n">
        <f aca="false">IF(OR(X18=1,Y13&gt;=Assumptions!$E$22),1,0)</f>
        <v>1</v>
      </c>
      <c r="Z18" s="39" t="n">
        <f aca="false">IF(OR(Y18=1,Z13&gt;=Assumptions!$E$22),1,0)</f>
        <v>1</v>
      </c>
      <c r="AA18" s="39" t="n">
        <f aca="false">IF(OR(Z18=1,AA13&gt;=Assumptions!$E$22),1,0)</f>
        <v>1</v>
      </c>
      <c r="AB18" s="39" t="n">
        <f aca="false">IF(OR(AA18=1,AB13&gt;=Assumptions!$E$22),1,0)</f>
        <v>1</v>
      </c>
      <c r="AC18" s="39" t="n">
        <f aca="false">IF(OR(AB18=1,AC13&gt;=Assumptions!$E$22),1,0)</f>
        <v>1</v>
      </c>
      <c r="AD18" s="39" t="n">
        <f aca="false">IF(OR(AC18=1,AD13&gt;=Assumptions!$E$22),1,0)</f>
        <v>1</v>
      </c>
      <c r="AE18" s="39" t="n">
        <f aca="false">IF(OR(AD18=1,AE13&gt;=Assumptions!$E$22),1,0)</f>
        <v>1</v>
      </c>
      <c r="AF18" s="39" t="n">
        <f aca="false">IF(OR(AE18=1,AF13&gt;=Assumptions!$E$22),1,0)</f>
        <v>1</v>
      </c>
      <c r="AG18" s="39" t="n">
        <f aca="false">IF(OR(AF18=1,AG13&gt;=Assumptions!$E$22),1,0)</f>
        <v>1</v>
      </c>
      <c r="AH18" s="39" t="n">
        <f aca="false">IF(OR(AG18=1,AH13&gt;=Assumptions!$E$22),1,0)</f>
        <v>1</v>
      </c>
      <c r="AI18" s="39" t="n">
        <f aca="false">IF(OR(AH18=1,AI13&gt;=Assumptions!$E$22),1,0)</f>
        <v>1</v>
      </c>
      <c r="AJ18" s="39" t="n">
        <f aca="false">IF(OR(AI18=1,AJ13&gt;=Assumptions!$E$22),1,0)</f>
        <v>1</v>
      </c>
      <c r="AK18" s="39" t="n">
        <f aca="false">IF(OR(AJ18=1,AK13&gt;=Assumptions!$E$22),1,0)</f>
        <v>1</v>
      </c>
      <c r="AL18" s="39" t="n">
        <f aca="false">IF(OR(AK18=1,AL13&gt;=Assumptions!$E$22),1,0)</f>
        <v>1</v>
      </c>
      <c r="AM18" s="39" t="n">
        <f aca="false">IF(OR(AL18=1,AM13&gt;=Assumptions!$E$22),1,0)</f>
        <v>1</v>
      </c>
      <c r="AN18" s="40" t="n">
        <f aca="false">IF(OR(AM18=1,AN13&gt;=Assumptions!$E$22),1,0)</f>
        <v>1</v>
      </c>
      <c r="AO18" s="40" t="n">
        <f aca="false">IF(OR(AN18=1,AO13&gt;=Assumptions!$E$22),1,0)</f>
        <v>1</v>
      </c>
      <c r="AP18" s="40" t="n">
        <f aca="false">IF(OR(AO18=1,AP13&gt;=Assumptions!$E$22),1,0)</f>
        <v>1</v>
      </c>
      <c r="AQ18" s="40" t="n">
        <f aca="false">IF(OR(AP18=1,AQ13&gt;=Assumptions!$E$22),1,0)</f>
        <v>1</v>
      </c>
      <c r="AR18" s="40" t="n">
        <f aca="false">IF(OR(AQ18=1,AR13&gt;=Assumptions!$E$22),1,0)</f>
        <v>1</v>
      </c>
      <c r="AS18" s="40" t="n">
        <f aca="false">IF(OR(AR18=1,AS13&gt;=Assumptions!$E$22),1,0)</f>
        <v>1</v>
      </c>
      <c r="AT18" s="40" t="n">
        <f aca="false">IF(OR(AS18=1,AT13&gt;=Assumptions!$E$22),1,0)</f>
        <v>1</v>
      </c>
      <c r="AU18" s="40" t="n">
        <f aca="false">IF(OR(AT18=1,AU13&gt;=Assumptions!$E$22),1,0)</f>
        <v>1</v>
      </c>
      <c r="AV18" s="40" t="n">
        <f aca="false">IF(OR(AU18=1,AV13&gt;=Assumptions!$E$22),1,0)</f>
        <v>1</v>
      </c>
      <c r="AW18" s="40" t="n">
        <f aca="false">IF(OR(AV18=1,AW13&gt;=Assumptions!$E$22),1,0)</f>
        <v>1</v>
      </c>
      <c r="AX18" s="40" t="n">
        <f aca="false">IF(OR(AW18=1,AX13&gt;=Assumptions!$E$22),1,0)</f>
        <v>1</v>
      </c>
      <c r="AY18" s="40" t="n">
        <f aca="false">IF(OR(AX18=1,AY13&gt;=Assumptions!$E$22),1,0)</f>
        <v>1</v>
      </c>
      <c r="AZ18" s="40" t="n">
        <f aca="false">IF(OR(AY18=1,AZ13&gt;=Assumptions!$E$22),1,0)</f>
        <v>1</v>
      </c>
      <c r="BA18" s="40" t="n">
        <f aca="false">IF(OR(AZ18=1,BA13&gt;=Assumptions!$E$22),1,0)</f>
        <v>1</v>
      </c>
      <c r="BB18" s="40" t="n">
        <f aca="false">IF(OR(BA18=1,BB13&gt;=Assumptions!$E$22),1,0)</f>
        <v>1</v>
      </c>
      <c r="BC18" s="40" t="n">
        <f aca="false">IF(OR(BB18=1,BC13&gt;=Assumptions!$E$22),1,0)</f>
        <v>1</v>
      </c>
      <c r="BD18" s="40" t="n">
        <f aca="false">IF(OR(BC18=1,BD13&gt;=Assumptions!$E$22),1,0)</f>
        <v>1</v>
      </c>
      <c r="BE18" s="40" t="n">
        <f aca="false">IF(OR(BD18=1,BE13&gt;=Assumptions!$E$22),1,0)</f>
        <v>1</v>
      </c>
      <c r="BF18" s="40" t="n">
        <f aca="false">IF(OR(BE18=1,BF13&gt;=Assumptions!$E$22),1,0)</f>
        <v>1</v>
      </c>
      <c r="BG18" s="40" t="n">
        <f aca="false">IF(OR(BF18=1,BG13&gt;=Assumptions!$E$22),1,0)</f>
        <v>1</v>
      </c>
      <c r="BH18" s="40" t="n">
        <f aca="false">IF(OR(BG18=1,BH13&gt;=Assumptions!$E$22),1,0)</f>
        <v>1</v>
      </c>
      <c r="BI18" s="40" t="n">
        <f aca="false">IF(OR(BH18=1,BI13&gt;=Assumptions!$E$22),1,0)</f>
        <v>1</v>
      </c>
      <c r="BJ18" s="40" t="n">
        <f aca="false">IF(OR(BI18=1,BJ13&gt;=Assumptions!$E$22),1,0)</f>
        <v>1</v>
      </c>
      <c r="BK18" s="40" t="n">
        <f aca="false">IF(OR(BJ18=1,BK13&gt;=Assumptions!$E$22),1,0)</f>
        <v>1</v>
      </c>
    </row>
    <row r="19" customFormat="false" ht="15" hidden="false" customHeight="false" outlineLevel="0" collapsed="false">
      <c r="A19" s="28" t="s">
        <v>557</v>
      </c>
      <c r="B19" s="6" t="s">
        <v>558</v>
      </c>
      <c r="C19" s="38" t="n">
        <v>0</v>
      </c>
      <c r="D19" s="39" t="n">
        <f aca="false">IF(OR(C19=1,AND(D13&gt;=Assumptions!$E$23,D7&gt;=Assumptions!$E$24)),1,0)</f>
        <v>0</v>
      </c>
      <c r="E19" s="39" t="n">
        <f aca="false">IF(OR(D19=1,AND(E13&gt;=Assumptions!$E$23,E7&gt;=Assumptions!$E$24)),1,0)</f>
        <v>0</v>
      </c>
      <c r="F19" s="39" t="n">
        <f aca="false">IF(OR(E19=1,AND(F13&gt;=Assumptions!$E$23,F7&gt;=Assumptions!$E$24)),1,0)</f>
        <v>0</v>
      </c>
      <c r="G19" s="39" t="n">
        <f aca="false">IF(OR(F19=1,AND(G13&gt;=Assumptions!$E$23,G7&gt;=Assumptions!$E$24)),1,0)</f>
        <v>0</v>
      </c>
      <c r="H19" s="39" t="n">
        <f aca="false">IF(OR(G19=1,AND(H13&gt;=Assumptions!$E$23,H7&gt;=Assumptions!$E$24)),1,0)</f>
        <v>0</v>
      </c>
      <c r="I19" s="39" t="n">
        <f aca="false">IF(OR(H19=1,AND(I13&gt;=Assumptions!$E$23,I7&gt;=Assumptions!$E$24)),1,0)</f>
        <v>0</v>
      </c>
      <c r="J19" s="39" t="n">
        <f aca="false">IF(OR(I19=1,AND(J13&gt;=Assumptions!$E$23,J7&gt;=Assumptions!$E$24)),1,0)</f>
        <v>0</v>
      </c>
      <c r="K19" s="39" t="n">
        <f aca="false">IF(OR(J19=1,AND(K13&gt;=Assumptions!$E$23,K7&gt;=Assumptions!$E$24)),1,0)</f>
        <v>0</v>
      </c>
      <c r="L19" s="39" t="n">
        <f aca="false">IF(OR(K19=1,AND(L13&gt;=Assumptions!$E$23,L7&gt;=Assumptions!$E$24)),1,0)</f>
        <v>0</v>
      </c>
      <c r="M19" s="39" t="n">
        <f aca="false">IF(OR(L19=1,AND(M13&gt;=Assumptions!$E$23,M7&gt;=Assumptions!$E$24)),1,0)</f>
        <v>0</v>
      </c>
      <c r="N19" s="39" t="n">
        <f aca="false">IF(OR(M19=1,AND(N13&gt;=Assumptions!$E$23,N7&gt;=Assumptions!$E$24)),1,0)</f>
        <v>0</v>
      </c>
      <c r="O19" s="39" t="n">
        <f aca="false">IF(OR(N19=1,AND(O13&gt;=Assumptions!$E$23,O7&gt;=Assumptions!$E$24)),1,0)</f>
        <v>0</v>
      </c>
      <c r="P19" s="39" t="n">
        <f aca="false">IF(OR(O19=1,AND(P13&gt;=Assumptions!$E$23,P7&gt;=Assumptions!$E$24)),1,0)</f>
        <v>0</v>
      </c>
      <c r="Q19" s="39" t="n">
        <f aca="false">IF(OR(P19=1,AND(Q13&gt;=Assumptions!$E$23,Q7&gt;=Assumptions!$E$24)),1,0)</f>
        <v>0</v>
      </c>
      <c r="R19" s="39" t="n">
        <f aca="false">IF(OR(Q19=1,AND(R13&gt;=Assumptions!$E$23,R7&gt;=Assumptions!$E$24)),1,0)</f>
        <v>0</v>
      </c>
      <c r="S19" s="39" t="n">
        <f aca="false">IF(OR(R19=1,AND(S13&gt;=Assumptions!$E$23,S7&gt;=Assumptions!$E$24)),1,0)</f>
        <v>0</v>
      </c>
      <c r="T19" s="39" t="n">
        <f aca="false">IF(OR(S19=1,AND(T13&gt;=Assumptions!$E$23,T7&gt;=Assumptions!$E$24)),1,0)</f>
        <v>0</v>
      </c>
      <c r="U19" s="39" t="n">
        <f aca="false">IF(OR(T19=1,AND(U13&gt;=Assumptions!$E$23,U7&gt;=Assumptions!$E$24)),1,0)</f>
        <v>0</v>
      </c>
      <c r="V19" s="39" t="n">
        <f aca="false">IF(OR(U19=1,AND(V13&gt;=Assumptions!$E$23,V7&gt;=Assumptions!$E$24)),1,0)</f>
        <v>0</v>
      </c>
      <c r="W19" s="39" t="n">
        <f aca="false">IF(OR(V19=1,AND(W13&gt;=Assumptions!$E$23,W7&gt;=Assumptions!$E$24)),1,0)</f>
        <v>0</v>
      </c>
      <c r="X19" s="39" t="n">
        <f aca="false">IF(OR(W19=1,AND(X13&gt;=Assumptions!$E$23,X7&gt;=Assumptions!$E$24)),1,0)</f>
        <v>0</v>
      </c>
      <c r="Y19" s="39" t="n">
        <f aca="false">IF(OR(X19=1,AND(Y13&gt;=Assumptions!$E$23,Y7&gt;=Assumptions!$E$24)),1,0)</f>
        <v>0</v>
      </c>
      <c r="Z19" s="39" t="n">
        <f aca="false">IF(OR(Y19=1,AND(Z13&gt;=Assumptions!$E$23,Z7&gt;=Assumptions!$E$24)),1,0)</f>
        <v>0</v>
      </c>
      <c r="AA19" s="39" t="n">
        <f aca="false">IF(OR(Z19=1,AND(AA13&gt;=Assumptions!$E$23,AA7&gt;=Assumptions!$E$24)),1,0)</f>
        <v>0</v>
      </c>
      <c r="AB19" s="39" t="n">
        <f aca="false">IF(OR(AA19=1,AND(AB13&gt;=Assumptions!$E$23,AB7&gt;=Assumptions!$E$24)),1,0)</f>
        <v>0</v>
      </c>
      <c r="AC19" s="39" t="n">
        <f aca="false">IF(OR(AB19=1,AND(AC13&gt;=Assumptions!$E$23,AC7&gt;=Assumptions!$E$24)),1,0)</f>
        <v>0</v>
      </c>
      <c r="AD19" s="39" t="n">
        <f aca="false">IF(OR(AC19=1,AND(AD13&gt;=Assumptions!$E$23,AD7&gt;=Assumptions!$E$24)),1,0)</f>
        <v>0</v>
      </c>
      <c r="AE19" s="39" t="n">
        <f aca="false">IF(OR(AD19=1,AND(AE13&gt;=Assumptions!$E$23,AE7&gt;=Assumptions!$E$24)),1,0)</f>
        <v>0</v>
      </c>
      <c r="AF19" s="39" t="n">
        <f aca="false">IF(OR(AE19=1,AND(AF13&gt;=Assumptions!$E$23,AF7&gt;=Assumptions!$E$24)),1,0)</f>
        <v>0</v>
      </c>
      <c r="AG19" s="39" t="n">
        <f aca="false">IF(OR(AF19=1,AND(AG13&gt;=Assumptions!$E$23,AG7&gt;=Assumptions!$E$24)),1,0)</f>
        <v>0</v>
      </c>
      <c r="AH19" s="39" t="n">
        <f aca="false">IF(OR(AG19=1,AND(AH13&gt;=Assumptions!$E$23,AH7&gt;=Assumptions!$E$24)),1,0)</f>
        <v>0</v>
      </c>
      <c r="AI19" s="39" t="n">
        <f aca="false">IF(OR(AH19=1,AND(AI13&gt;=Assumptions!$E$23,AI7&gt;=Assumptions!$E$24)),1,0)</f>
        <v>0</v>
      </c>
      <c r="AJ19" s="39" t="n">
        <f aca="false">IF(OR(AI19=1,AND(AJ13&gt;=Assumptions!$E$23,AJ7&gt;=Assumptions!$E$24)),1,0)</f>
        <v>0</v>
      </c>
      <c r="AK19" s="39" t="n">
        <f aca="false">IF(OR(AJ19=1,AND(AK13&gt;=Assumptions!$E$23,AK7&gt;=Assumptions!$E$24)),1,0)</f>
        <v>1</v>
      </c>
      <c r="AL19" s="39" t="n">
        <f aca="false">IF(OR(AK19=1,AND(AL13&gt;=Assumptions!$E$23,AL7&gt;=Assumptions!$E$24)),1,0)</f>
        <v>1</v>
      </c>
      <c r="AM19" s="39" t="n">
        <f aca="false">IF(OR(AL19=1,AND(AM13&gt;=Assumptions!$E$23,AM7&gt;=Assumptions!$E$24)),1,0)</f>
        <v>1</v>
      </c>
      <c r="AN19" s="40" t="n">
        <f aca="false">IF(OR(AM19=1,AND(AN13&gt;=Assumptions!$E$23,AN7&gt;=Assumptions!$E$24)),1,0)</f>
        <v>1</v>
      </c>
      <c r="AO19" s="40" t="n">
        <f aca="false">IF(OR(AN19=1,AND(AO13&gt;=Assumptions!$E$23,AO7&gt;=Assumptions!$E$24)),1,0)</f>
        <v>1</v>
      </c>
      <c r="AP19" s="40" t="n">
        <f aca="false">IF(OR(AO19=1,AND(AP13&gt;=Assumptions!$E$23,AP7&gt;=Assumptions!$E$24)),1,0)</f>
        <v>1</v>
      </c>
      <c r="AQ19" s="40" t="n">
        <f aca="false">IF(OR(AP19=1,AND(AQ13&gt;=Assumptions!$E$23,AQ7&gt;=Assumptions!$E$24)),1,0)</f>
        <v>1</v>
      </c>
      <c r="AR19" s="40" t="n">
        <f aca="false">IF(OR(AQ19=1,AND(AR13&gt;=Assumptions!$E$23,AR7&gt;=Assumptions!$E$24)),1,0)</f>
        <v>1</v>
      </c>
      <c r="AS19" s="40" t="n">
        <f aca="false">IF(OR(AR19=1,AND(AS13&gt;=Assumptions!$E$23,AS7&gt;=Assumptions!$E$24)),1,0)</f>
        <v>1</v>
      </c>
      <c r="AT19" s="40" t="n">
        <f aca="false">IF(OR(AS19=1,AND(AT13&gt;=Assumptions!$E$23,AT7&gt;=Assumptions!$E$24)),1,0)</f>
        <v>1</v>
      </c>
      <c r="AU19" s="40" t="n">
        <f aca="false">IF(OR(AT19=1,AND(AU13&gt;=Assumptions!$E$23,AU7&gt;=Assumptions!$E$24)),1,0)</f>
        <v>1</v>
      </c>
      <c r="AV19" s="40" t="n">
        <f aca="false">IF(OR(AU19=1,AND(AV13&gt;=Assumptions!$E$23,AV7&gt;=Assumptions!$E$24)),1,0)</f>
        <v>1</v>
      </c>
      <c r="AW19" s="40" t="n">
        <f aca="false">IF(OR(AV19=1,AND(AW13&gt;=Assumptions!$E$23,AW7&gt;=Assumptions!$E$24)),1,0)</f>
        <v>1</v>
      </c>
      <c r="AX19" s="40" t="n">
        <f aca="false">IF(OR(AW19=1,AND(AX13&gt;=Assumptions!$E$23,AX7&gt;=Assumptions!$E$24)),1,0)</f>
        <v>1</v>
      </c>
      <c r="AY19" s="40" t="n">
        <f aca="false">IF(OR(AX19=1,AND(AY13&gt;=Assumptions!$E$23,AY7&gt;=Assumptions!$E$24)),1,0)</f>
        <v>1</v>
      </c>
      <c r="AZ19" s="40" t="n">
        <f aca="false">IF(OR(AY19=1,AND(AZ13&gt;=Assumptions!$E$23,AZ7&gt;=Assumptions!$E$24)),1,0)</f>
        <v>1</v>
      </c>
      <c r="BA19" s="40" t="n">
        <f aca="false">IF(OR(AZ19=1,AND(BA13&gt;=Assumptions!$E$23,BA7&gt;=Assumptions!$E$24)),1,0)</f>
        <v>1</v>
      </c>
      <c r="BB19" s="40" t="n">
        <f aca="false">IF(OR(BA19=1,AND(BB13&gt;=Assumptions!$E$23,BB7&gt;=Assumptions!$E$24)),1,0)</f>
        <v>1</v>
      </c>
      <c r="BC19" s="40" t="n">
        <f aca="false">IF(OR(BB19=1,AND(BC13&gt;=Assumptions!$E$23,BC7&gt;=Assumptions!$E$24)),1,0)</f>
        <v>1</v>
      </c>
      <c r="BD19" s="40" t="n">
        <f aca="false">IF(OR(BC19=1,AND(BD13&gt;=Assumptions!$E$23,BD7&gt;=Assumptions!$E$24)),1,0)</f>
        <v>1</v>
      </c>
      <c r="BE19" s="40" t="n">
        <f aca="false">IF(OR(BD19=1,AND(BE13&gt;=Assumptions!$E$23,BE7&gt;=Assumptions!$E$24)),1,0)</f>
        <v>1</v>
      </c>
      <c r="BF19" s="40" t="n">
        <f aca="false">IF(OR(BE19=1,AND(BF13&gt;=Assumptions!$E$23,BF7&gt;=Assumptions!$E$24)),1,0)</f>
        <v>1</v>
      </c>
      <c r="BG19" s="40" t="n">
        <f aca="false">IF(OR(BF19=1,AND(BG13&gt;=Assumptions!$E$23,BG7&gt;=Assumptions!$E$24)),1,0)</f>
        <v>1</v>
      </c>
      <c r="BH19" s="40" t="n">
        <f aca="false">IF(OR(BG19=1,AND(BH13&gt;=Assumptions!$E$23,BH7&gt;=Assumptions!$E$24)),1,0)</f>
        <v>1</v>
      </c>
      <c r="BI19" s="40" t="n">
        <f aca="false">IF(OR(BH19=1,AND(BI13&gt;=Assumptions!$E$23,BI7&gt;=Assumptions!$E$24)),1,0)</f>
        <v>1</v>
      </c>
      <c r="BJ19" s="40" t="n">
        <f aca="false">IF(OR(BI19=1,AND(BJ13&gt;=Assumptions!$E$23,BJ7&gt;=Assumptions!$E$24)),1,0)</f>
        <v>1</v>
      </c>
      <c r="BK19" s="40" t="n">
        <f aca="false">IF(OR(BJ19=1,AND(BK13&gt;=Assumptions!$E$23,BK7&gt;=Assumptions!$E$24)),1,0)</f>
        <v>1</v>
      </c>
    </row>
    <row r="20" customFormat="false" ht="15" hidden="false" customHeight="false" outlineLevel="0" collapsed="false">
      <c r="A20" s="28" t="s">
        <v>559</v>
      </c>
      <c r="B20" s="6" t="s">
        <v>560</v>
      </c>
      <c r="C20" s="32" t="n">
        <v>0</v>
      </c>
      <c r="D20" s="34" t="n">
        <f aca="false">IF(D19=1,C20+1,0)</f>
        <v>0</v>
      </c>
      <c r="E20" s="34" t="n">
        <f aca="false">IF(E19=1,D20+1,0)</f>
        <v>0</v>
      </c>
      <c r="F20" s="34" t="n">
        <f aca="false">IF(F19=1,E20+1,0)</f>
        <v>0</v>
      </c>
      <c r="G20" s="34" t="n">
        <f aca="false">IF(G19=1,F20+1,0)</f>
        <v>0</v>
      </c>
      <c r="H20" s="34" t="n">
        <f aca="false">IF(H19=1,G20+1,0)</f>
        <v>0</v>
      </c>
      <c r="I20" s="34" t="n">
        <f aca="false">IF(I19=1,H20+1,0)</f>
        <v>0</v>
      </c>
      <c r="J20" s="34" t="n">
        <f aca="false">IF(J19=1,I20+1,0)</f>
        <v>0</v>
      </c>
      <c r="K20" s="34" t="n">
        <f aca="false">IF(K19=1,J20+1,0)</f>
        <v>0</v>
      </c>
      <c r="L20" s="34" t="n">
        <f aca="false">IF(L19=1,K20+1,0)</f>
        <v>0</v>
      </c>
      <c r="M20" s="34" t="n">
        <f aca="false">IF(M19=1,L20+1,0)</f>
        <v>0</v>
      </c>
      <c r="N20" s="34" t="n">
        <f aca="false">IF(N19=1,M20+1,0)</f>
        <v>0</v>
      </c>
      <c r="O20" s="34" t="n">
        <f aca="false">IF(O19=1,N20+1,0)</f>
        <v>0</v>
      </c>
      <c r="P20" s="34" t="n">
        <f aca="false">IF(P19=1,O20+1,0)</f>
        <v>0</v>
      </c>
      <c r="Q20" s="34" t="n">
        <f aca="false">IF(Q19=1,P20+1,0)</f>
        <v>0</v>
      </c>
      <c r="R20" s="34" t="n">
        <f aca="false">IF(R19=1,Q20+1,0)</f>
        <v>0</v>
      </c>
      <c r="S20" s="34" t="n">
        <f aca="false">IF(S19=1,R20+1,0)</f>
        <v>0</v>
      </c>
      <c r="T20" s="34" t="n">
        <f aca="false">IF(T19=1,S20+1,0)</f>
        <v>0</v>
      </c>
      <c r="U20" s="34" t="n">
        <f aca="false">IF(U19=1,T20+1,0)</f>
        <v>0</v>
      </c>
      <c r="V20" s="34" t="n">
        <f aca="false">IF(V19=1,U20+1,0)</f>
        <v>0</v>
      </c>
      <c r="W20" s="34" t="n">
        <f aca="false">IF(W19=1,V20+1,0)</f>
        <v>0</v>
      </c>
      <c r="X20" s="34" t="n">
        <f aca="false">IF(X19=1,W20+1,0)</f>
        <v>0</v>
      </c>
      <c r="Y20" s="34" t="n">
        <f aca="false">IF(Y19=1,X20+1,0)</f>
        <v>0</v>
      </c>
      <c r="Z20" s="34" t="n">
        <f aca="false">IF(Z19=1,Y20+1,0)</f>
        <v>0</v>
      </c>
      <c r="AA20" s="34" t="n">
        <f aca="false">IF(AA19=1,Z20+1,0)</f>
        <v>0</v>
      </c>
      <c r="AB20" s="34" t="n">
        <f aca="false">IF(AB19=1,AA20+1,0)</f>
        <v>0</v>
      </c>
      <c r="AC20" s="34" t="n">
        <f aca="false">IF(AC19=1,AB20+1,0)</f>
        <v>0</v>
      </c>
      <c r="AD20" s="34" t="n">
        <f aca="false">IF(AD19=1,AC20+1,0)</f>
        <v>0</v>
      </c>
      <c r="AE20" s="34" t="n">
        <f aca="false">IF(AE19=1,AD20+1,0)</f>
        <v>0</v>
      </c>
      <c r="AF20" s="34" t="n">
        <f aca="false">IF(AF19=1,AE20+1,0)</f>
        <v>0</v>
      </c>
      <c r="AG20" s="34" t="n">
        <f aca="false">IF(AG19=1,AF20+1,0)</f>
        <v>0</v>
      </c>
      <c r="AH20" s="34" t="n">
        <f aca="false">IF(AH19=1,AG20+1,0)</f>
        <v>0</v>
      </c>
      <c r="AI20" s="34" t="n">
        <f aca="false">IF(AI19=1,AH20+1,0)</f>
        <v>0</v>
      </c>
      <c r="AJ20" s="34" t="n">
        <f aca="false">IF(AJ19=1,AI20+1,0)</f>
        <v>0</v>
      </c>
      <c r="AK20" s="34" t="n">
        <f aca="false">IF(AK19=1,AJ20+1,0)</f>
        <v>1</v>
      </c>
      <c r="AL20" s="34" t="n">
        <f aca="false">IF(AL19=1,AK20+1,0)</f>
        <v>2</v>
      </c>
      <c r="AM20" s="34" t="n">
        <f aca="false">IF(AM19=1,AL20+1,0)</f>
        <v>3</v>
      </c>
      <c r="AN20" s="35" t="n">
        <f aca="false">IF(AN19=1,AM20+1,0)</f>
        <v>4</v>
      </c>
      <c r="AO20" s="35" t="n">
        <f aca="false">IF(AO19=1,AN20+1,0)</f>
        <v>5</v>
      </c>
      <c r="AP20" s="35" t="n">
        <f aca="false">IF(AP19=1,AO20+1,0)</f>
        <v>6</v>
      </c>
      <c r="AQ20" s="35" t="n">
        <f aca="false">IF(AQ19=1,AP20+1,0)</f>
        <v>7</v>
      </c>
      <c r="AR20" s="35" t="n">
        <f aca="false">IF(AR19=1,AQ20+1,0)</f>
        <v>8</v>
      </c>
      <c r="AS20" s="35" t="n">
        <f aca="false">IF(AS19=1,AR20+1,0)</f>
        <v>9</v>
      </c>
      <c r="AT20" s="35" t="n">
        <f aca="false">IF(AT19=1,AS20+1,0)</f>
        <v>10</v>
      </c>
      <c r="AU20" s="35" t="n">
        <f aca="false">IF(AU19=1,AT20+1,0)</f>
        <v>11</v>
      </c>
      <c r="AV20" s="35" t="n">
        <f aca="false">IF(AV19=1,AU20+1,0)</f>
        <v>12</v>
      </c>
      <c r="AW20" s="35" t="n">
        <f aca="false">IF(AW19=1,AV20+1,0)</f>
        <v>13</v>
      </c>
      <c r="AX20" s="35" t="n">
        <f aca="false">IF(AX19=1,AW20+1,0)</f>
        <v>14</v>
      </c>
      <c r="AY20" s="35" t="n">
        <f aca="false">IF(AY19=1,AX20+1,0)</f>
        <v>15</v>
      </c>
      <c r="AZ20" s="35" t="n">
        <f aca="false">IF(AZ19=1,AY20+1,0)</f>
        <v>16</v>
      </c>
      <c r="BA20" s="35" t="n">
        <f aca="false">IF(BA19=1,AZ20+1,0)</f>
        <v>17</v>
      </c>
      <c r="BB20" s="35" t="n">
        <f aca="false">IF(BB19=1,BA20+1,0)</f>
        <v>18</v>
      </c>
      <c r="BC20" s="35" t="n">
        <f aca="false">IF(BC19=1,BB20+1,0)</f>
        <v>19</v>
      </c>
      <c r="BD20" s="35" t="n">
        <f aca="false">IF(BD19=1,BC20+1,0)</f>
        <v>20</v>
      </c>
      <c r="BE20" s="35" t="n">
        <f aca="false">IF(BE19=1,BD20+1,0)</f>
        <v>21</v>
      </c>
      <c r="BF20" s="35" t="n">
        <f aca="false">IF(BF19=1,BE20+1,0)</f>
        <v>22</v>
      </c>
      <c r="BG20" s="35" t="n">
        <f aca="false">IF(BG19=1,BF20+1,0)</f>
        <v>23</v>
      </c>
      <c r="BH20" s="35" t="n">
        <f aca="false">IF(BH19=1,BG20+1,0)</f>
        <v>24</v>
      </c>
      <c r="BI20" s="35" t="n">
        <f aca="false">IF(BI19=1,BH20+1,0)</f>
        <v>25</v>
      </c>
      <c r="BJ20" s="35" t="n">
        <f aca="false">IF(BJ19=1,BI20+1,0)</f>
        <v>26</v>
      </c>
      <c r="BK20" s="35" t="n">
        <f aca="false">IF(BK19=1,BJ20+1,0)</f>
        <v>27</v>
      </c>
    </row>
    <row r="21" customFormat="false" ht="15" hidden="false" customHeight="false" outlineLevel="0" collapsed="false">
      <c r="A21" s="28" t="s">
        <v>561</v>
      </c>
      <c r="B21" s="6" t="s">
        <v>562</v>
      </c>
      <c r="C21" s="18" t="n">
        <v>0</v>
      </c>
      <c r="D21" s="13" t="n">
        <f aca="false">MIN(1,D20/Assumptions!$E$77)</f>
        <v>0</v>
      </c>
      <c r="E21" s="13" t="n">
        <f aca="false">MIN(1,E20/Assumptions!$E$77)</f>
        <v>0</v>
      </c>
      <c r="F21" s="13" t="n">
        <f aca="false">MIN(1,F20/Assumptions!$E$77)</f>
        <v>0</v>
      </c>
      <c r="G21" s="13" t="n">
        <f aca="false">MIN(1,G20/Assumptions!$E$77)</f>
        <v>0</v>
      </c>
      <c r="H21" s="13" t="n">
        <f aca="false">MIN(1,H20/Assumptions!$E$77)</f>
        <v>0</v>
      </c>
      <c r="I21" s="13" t="n">
        <f aca="false">MIN(1,I20/Assumptions!$E$77)</f>
        <v>0</v>
      </c>
      <c r="J21" s="13" t="n">
        <f aca="false">MIN(1,J20/Assumptions!$E$77)</f>
        <v>0</v>
      </c>
      <c r="K21" s="13" t="n">
        <f aca="false">MIN(1,K20/Assumptions!$E$77)</f>
        <v>0</v>
      </c>
      <c r="L21" s="13" t="n">
        <f aca="false">MIN(1,L20/Assumptions!$E$77)</f>
        <v>0</v>
      </c>
      <c r="M21" s="13" t="n">
        <f aca="false">MIN(1,M20/Assumptions!$E$77)</f>
        <v>0</v>
      </c>
      <c r="N21" s="13" t="n">
        <f aca="false">MIN(1,N20/Assumptions!$E$77)</f>
        <v>0</v>
      </c>
      <c r="O21" s="13" t="n">
        <f aca="false">MIN(1,O20/Assumptions!$E$77)</f>
        <v>0</v>
      </c>
      <c r="P21" s="13" t="n">
        <f aca="false">MIN(1,P20/Assumptions!$E$77)</f>
        <v>0</v>
      </c>
      <c r="Q21" s="13" t="n">
        <f aca="false">MIN(1,Q20/Assumptions!$E$77)</f>
        <v>0</v>
      </c>
      <c r="R21" s="13" t="n">
        <f aca="false">MIN(1,R20/Assumptions!$E$77)</f>
        <v>0</v>
      </c>
      <c r="S21" s="13" t="n">
        <f aca="false">MIN(1,S20/Assumptions!$E$77)</f>
        <v>0</v>
      </c>
      <c r="T21" s="13" t="n">
        <f aca="false">MIN(1,T20/Assumptions!$E$77)</f>
        <v>0</v>
      </c>
      <c r="U21" s="13" t="n">
        <f aca="false">MIN(1,U20/Assumptions!$E$77)</f>
        <v>0</v>
      </c>
      <c r="V21" s="13" t="n">
        <f aca="false">MIN(1,V20/Assumptions!$E$77)</f>
        <v>0</v>
      </c>
      <c r="W21" s="13" t="n">
        <f aca="false">MIN(1,W20/Assumptions!$E$77)</f>
        <v>0</v>
      </c>
      <c r="X21" s="13" t="n">
        <f aca="false">MIN(1,X20/Assumptions!$E$77)</f>
        <v>0</v>
      </c>
      <c r="Y21" s="13" t="n">
        <f aca="false">MIN(1,Y20/Assumptions!$E$77)</f>
        <v>0</v>
      </c>
      <c r="Z21" s="13" t="n">
        <f aca="false">MIN(1,Z20/Assumptions!$E$77)</f>
        <v>0</v>
      </c>
      <c r="AA21" s="13" t="n">
        <f aca="false">MIN(1,AA20/Assumptions!$E$77)</f>
        <v>0</v>
      </c>
      <c r="AB21" s="13" t="n">
        <f aca="false">MIN(1,AB20/Assumptions!$E$77)</f>
        <v>0</v>
      </c>
      <c r="AC21" s="13" t="n">
        <f aca="false">MIN(1,AC20/Assumptions!$E$77)</f>
        <v>0</v>
      </c>
      <c r="AD21" s="13" t="n">
        <f aca="false">MIN(1,AD20/Assumptions!$E$77)</f>
        <v>0</v>
      </c>
      <c r="AE21" s="13" t="n">
        <f aca="false">MIN(1,AE20/Assumptions!$E$77)</f>
        <v>0</v>
      </c>
      <c r="AF21" s="13" t="n">
        <f aca="false">MIN(1,AF20/Assumptions!$E$77)</f>
        <v>0</v>
      </c>
      <c r="AG21" s="13" t="n">
        <f aca="false">MIN(1,AG20/Assumptions!$E$77)</f>
        <v>0</v>
      </c>
      <c r="AH21" s="13" t="n">
        <f aca="false">MIN(1,AH20/Assumptions!$E$77)</f>
        <v>0</v>
      </c>
      <c r="AI21" s="13" t="n">
        <f aca="false">MIN(1,AI20/Assumptions!$E$77)</f>
        <v>0</v>
      </c>
      <c r="AJ21" s="13" t="n">
        <f aca="false">MIN(1,AJ20/Assumptions!$E$77)</f>
        <v>0</v>
      </c>
      <c r="AK21" s="13" t="n">
        <f aca="false">MIN(1,AK20/Assumptions!$E$77)</f>
        <v>0.166666666666667</v>
      </c>
      <c r="AL21" s="13" t="n">
        <f aca="false">MIN(1,AL20/Assumptions!$E$77)</f>
        <v>0.333333333333333</v>
      </c>
      <c r="AM21" s="13" t="n">
        <f aca="false">MIN(1,AM20/Assumptions!$E$77)</f>
        <v>0.5</v>
      </c>
      <c r="AN21" s="41" t="n">
        <f aca="false">MIN(1,AN20/Assumptions!$E$77)</f>
        <v>0.666666666666667</v>
      </c>
      <c r="AO21" s="41" t="n">
        <f aca="false">MIN(1,AO20/Assumptions!$E$77)</f>
        <v>0.833333333333333</v>
      </c>
      <c r="AP21" s="41" t="n">
        <f aca="false">MIN(1,AP20/Assumptions!$E$77)</f>
        <v>1</v>
      </c>
      <c r="AQ21" s="41" t="n">
        <f aca="false">MIN(1,AQ20/Assumptions!$E$77)</f>
        <v>1</v>
      </c>
      <c r="AR21" s="41" t="n">
        <f aca="false">MIN(1,AR20/Assumptions!$E$77)</f>
        <v>1</v>
      </c>
      <c r="AS21" s="41" t="n">
        <f aca="false">MIN(1,AS20/Assumptions!$E$77)</f>
        <v>1</v>
      </c>
      <c r="AT21" s="41" t="n">
        <f aca="false">MIN(1,AT20/Assumptions!$E$77)</f>
        <v>1</v>
      </c>
      <c r="AU21" s="41" t="n">
        <f aca="false">MIN(1,AU20/Assumptions!$E$77)</f>
        <v>1</v>
      </c>
      <c r="AV21" s="41" t="n">
        <f aca="false">MIN(1,AV20/Assumptions!$E$77)</f>
        <v>1</v>
      </c>
      <c r="AW21" s="41" t="n">
        <f aca="false">MIN(1,AW20/Assumptions!$E$77)</f>
        <v>1</v>
      </c>
      <c r="AX21" s="41" t="n">
        <f aca="false">MIN(1,AX20/Assumptions!$E$77)</f>
        <v>1</v>
      </c>
      <c r="AY21" s="41" t="n">
        <f aca="false">MIN(1,AY20/Assumptions!$E$77)</f>
        <v>1</v>
      </c>
      <c r="AZ21" s="41" t="n">
        <f aca="false">MIN(1,AZ20/Assumptions!$E$77)</f>
        <v>1</v>
      </c>
      <c r="BA21" s="41" t="n">
        <f aca="false">MIN(1,BA20/Assumptions!$E$77)</f>
        <v>1</v>
      </c>
      <c r="BB21" s="41" t="n">
        <f aca="false">MIN(1,BB20/Assumptions!$E$77)</f>
        <v>1</v>
      </c>
      <c r="BC21" s="41" t="n">
        <f aca="false">MIN(1,BC20/Assumptions!$E$77)</f>
        <v>1</v>
      </c>
      <c r="BD21" s="41" t="n">
        <f aca="false">MIN(1,BD20/Assumptions!$E$77)</f>
        <v>1</v>
      </c>
      <c r="BE21" s="41" t="n">
        <f aca="false">MIN(1,BE20/Assumptions!$E$77)</f>
        <v>1</v>
      </c>
      <c r="BF21" s="41" t="n">
        <f aca="false">MIN(1,BF20/Assumptions!$E$77)</f>
        <v>1</v>
      </c>
      <c r="BG21" s="41" t="n">
        <f aca="false">MIN(1,BG20/Assumptions!$E$77)</f>
        <v>1</v>
      </c>
      <c r="BH21" s="41" t="n">
        <f aca="false">MIN(1,BH20/Assumptions!$E$77)</f>
        <v>1</v>
      </c>
      <c r="BI21" s="41" t="n">
        <f aca="false">MIN(1,BI20/Assumptions!$E$77)</f>
        <v>1</v>
      </c>
      <c r="BJ21" s="41" t="n">
        <f aca="false">MIN(1,BJ20/Assumptions!$E$77)</f>
        <v>1</v>
      </c>
      <c r="BK21" s="41" t="n">
        <f aca="false">MIN(1,BK20/Assumptions!$E$77)</f>
        <v>1</v>
      </c>
    </row>
    <row r="22" customFormat="false" ht="15" hidden="false" customHeight="false" outlineLevel="0" collapsed="false">
      <c r="B22" s="5" t="s">
        <v>563</v>
      </c>
    </row>
    <row r="23" customFormat="false" ht="15" hidden="false" customHeight="false" outlineLevel="0" collapsed="false">
      <c r="A23" s="28" t="s">
        <v>564</v>
      </c>
      <c r="B23" s="6" t="s">
        <v>565</v>
      </c>
      <c r="C23" s="32" t="n">
        <v>0</v>
      </c>
      <c r="D23" s="34" t="n">
        <f aca="false">C23+(D13*Assumptions!$E$13-C23)*Assumptions!$E$14</f>
        <v>0</v>
      </c>
      <c r="E23" s="34" t="n">
        <f aca="false">D23+(E13*Assumptions!$E$13-D23)*Assumptions!$E$14</f>
        <v>0</v>
      </c>
      <c r="F23" s="34" t="n">
        <f aca="false">E23+(F13*Assumptions!$E$13-E23)*Assumptions!$E$14</f>
        <v>0</v>
      </c>
      <c r="G23" s="34" t="n">
        <f aca="false">F23+(G13*Assumptions!$E$13-F23)*Assumptions!$E$14</f>
        <v>0</v>
      </c>
      <c r="H23" s="34" t="n">
        <f aca="false">G23+(H13*Assumptions!$E$13-G23)*Assumptions!$E$14</f>
        <v>107.1</v>
      </c>
      <c r="I23" s="34" t="n">
        <f aca="false">H23+(I13*Assumptions!$E$13-H23)*Assumptions!$E$14</f>
        <v>269.3565</v>
      </c>
      <c r="J23" s="34" t="n">
        <f aca="false">I23+(J13*Assumptions!$E$13-I23)*Assumptions!$E$14</f>
        <v>436.0871025</v>
      </c>
      <c r="K23" s="34" t="n">
        <f aca="false">J23+(K13*Assumptions!$E$13-J23)*Assumptions!$E$14</f>
        <v>690.4869134625</v>
      </c>
      <c r="L23" s="34" t="n">
        <f aca="false">K23+(L13*Assumptions!$E$13-K23)*Assumptions!$E$14</f>
        <v>969.693336135563</v>
      </c>
      <c r="M23" s="34" t="n">
        <f aca="false">L23+(M13*Assumptions!$E$13-L23)*Assumptions!$E$14</f>
        <v>1229.04435823728</v>
      </c>
      <c r="N23" s="34" t="n">
        <f aca="false">M23+(N13*Assumptions!$E$13-M23)*Assumptions!$E$14</f>
        <v>1542.86536725716</v>
      </c>
      <c r="O23" s="34" t="n">
        <f aca="false">N23+(O13*Assumptions!$E$13-N23)*Assumptions!$E$14</f>
        <v>1967.02522510403</v>
      </c>
      <c r="P23" s="34" t="n">
        <f aca="false">O23+(P13*Assumptions!$E$13-O23)*Assumptions!$E$14</f>
        <v>2412.4786916587</v>
      </c>
      <c r="Q23" s="34" t="n">
        <f aca="false">P23+(Q13*Assumptions!$E$13-P23)*Assumptions!$E$14</f>
        <v>2907.78276048912</v>
      </c>
      <c r="R23" s="34" t="n">
        <f aca="false">Q23+(R13*Assumptions!$E$13-Q23)*Assumptions!$E$14</f>
        <v>3488.09533106523</v>
      </c>
      <c r="S23" s="34" t="n">
        <f aca="false">R23+(S13*Assumptions!$E$13-R23)*Assumptions!$E$14</f>
        <v>4055.52795388848</v>
      </c>
      <c r="T23" s="34" t="n">
        <f aca="false">S23+(T13*Assumptions!$E$13-S23)*Assumptions!$E$14</f>
        <v>4646.00716889316</v>
      </c>
      <c r="U23" s="34" t="n">
        <f aca="false">T23+(U13*Assumptions!$E$13-T23)*Assumptions!$E$14</f>
        <v>5286.69794866322</v>
      </c>
      <c r="V23" s="34" t="n">
        <f aca="false">U23+(V13*Assumptions!$E$13-U23)*Assumptions!$E$14</f>
        <v>5999.01305618051</v>
      </c>
      <c r="W23" s="34" t="n">
        <f aca="false">V23+(W13*Assumptions!$E$13-V23)*Assumptions!$E$14</f>
        <v>6774.86598522351</v>
      </c>
      <c r="X23" s="34" t="n">
        <f aca="false">W23+(X13*Assumptions!$E$13-W23)*Assumptions!$E$14</f>
        <v>7595.89377662087</v>
      </c>
      <c r="Y23" s="34" t="n">
        <f aca="false">X23+(Y13*Assumptions!$E$13-X23)*Assumptions!$E$14</f>
        <v>8462.95437773577</v>
      </c>
      <c r="Z23" s="34" t="n">
        <f aca="false">Y23+(Z13*Assumptions!$E$13-Y23)*Assumptions!$E$14</f>
        <v>9359.21941711647</v>
      </c>
      <c r="AA23" s="34" t="n">
        <f aca="false">Z23+(AA13*Assumptions!$E$13-Z23)*Assumptions!$E$14</f>
        <v>10273.7612066401</v>
      </c>
      <c r="AB23" s="34" t="n">
        <f aca="false">AA23+(AB13*Assumptions!$E$13-AA23)*Assumptions!$E$14</f>
        <v>11199.4873410478</v>
      </c>
      <c r="AC23" s="34" t="n">
        <f aca="false">AB23+(AC13*Assumptions!$E$13-AB23)*Assumptions!$E$14</f>
        <v>12131.7981900617</v>
      </c>
      <c r="AD23" s="34" t="n">
        <f aca="false">AC23+(AD13*Assumptions!$E$13-AC23)*Assumptions!$E$14</f>
        <v>13067.7142706451</v>
      </c>
      <c r="AE23" s="34" t="n">
        <f aca="false">AD23+(AE13*Assumptions!$E$13-AD23)*Assumptions!$E$14</f>
        <v>14001.0250413178</v>
      </c>
      <c r="AF23" s="34" t="n">
        <f aca="false">AE23+(AF13*Assumptions!$E$13-AE23)*Assumptions!$E$14</f>
        <v>15039.151880774</v>
      </c>
      <c r="AG23" s="34" t="n">
        <f aca="false">AF23+(AG13*Assumptions!$E$13-AF23)*Assumptions!$E$14</f>
        <v>16130.3690423618</v>
      </c>
      <c r="AH23" s="34" t="n">
        <f aca="false">AG23+(AH13*Assumptions!$E$13-AG23)*Assumptions!$E$14</f>
        <v>17219.860392596</v>
      </c>
      <c r="AI23" s="34" t="n">
        <f aca="false">AH23+(AI13*Assumptions!$E$13-AH23)*Assumptions!$E$14</f>
        <v>18392.4909625223</v>
      </c>
      <c r="AJ23" s="34" t="n">
        <f aca="false">AI23+(AJ13*Assumptions!$E$13-AI23)*Assumptions!$E$14</f>
        <v>19586.4911073643</v>
      </c>
      <c r="AK23" s="34" t="n">
        <f aca="false">AJ23+(AK13*Assumptions!$E$13-AJ23)*Assumptions!$E$14</f>
        <v>20753.6326217858</v>
      </c>
      <c r="AL23" s="34" t="n">
        <f aca="false">AK23+(AL13*Assumptions!$E$13-AK23)*Assumptions!$E$14</f>
        <v>21965.9944051298</v>
      </c>
      <c r="AM23" s="34" t="n">
        <f aca="false">AL23+(AM13*Assumptions!$E$13-AL23)*Assumptions!$E$14</f>
        <v>23175.2395662888</v>
      </c>
      <c r="AN23" s="35" t="n">
        <f aca="false">AM23+(AN13*Assumptions!$E$13-AM23)*Assumptions!$E$14</f>
        <v>24341.8687729979</v>
      </c>
      <c r="AO23" s="35" t="n">
        <f aca="false">AN23+(AO13*Assumptions!$E$13-AN23)*Assumptions!$E$14</f>
        <v>25543.6323115351</v>
      </c>
      <c r="AP23" s="35" t="n">
        <f aca="false">AO23+(AP13*Assumptions!$E$13-AO23)*Assumptions!$E$14</f>
        <v>26735.877347448</v>
      </c>
      <c r="AQ23" s="35" t="n">
        <f aca="false">AP23+(AQ13*Assumptions!$E$13-AP23)*Assumptions!$E$14</f>
        <v>27881.4968756172</v>
      </c>
      <c r="AR23" s="35" t="n">
        <f aca="false">AQ23+(AR13*Assumptions!$E$13-AQ23)*Assumptions!$E$14</f>
        <v>29059.7939199305</v>
      </c>
      <c r="AS23" s="35" t="n">
        <f aca="false">AR23+(AS13*Assumptions!$E$13-AR23)*Assumptions!$E$14</f>
        <v>30222.8386844724</v>
      </c>
      <c r="AT23" s="35" t="n">
        <f aca="false">AS23+(AT13*Assumptions!$E$13-AS23)*Assumptions!$E$14</f>
        <v>31335.7401918769</v>
      </c>
      <c r="AU23" s="35" t="n">
        <f aca="false">AT23+(AU13*Assumptions!$E$13-AT23)*Assumptions!$E$14</f>
        <v>32479.2387459853</v>
      </c>
      <c r="AV23" s="35" t="n">
        <f aca="false">AU23+(AV13*Assumptions!$E$13-AU23)*Assumptions!$E$14</f>
        <v>33606.3356918368</v>
      </c>
      <c r="AW23" s="35" t="n">
        <f aca="false">AV23+(AW13*Assumptions!$E$13-AV23)*Assumptions!$E$14</f>
        <v>34682.7422490361</v>
      </c>
      <c r="AX23" s="35" t="n">
        <f aca="false">AW23+(AX13*Assumptions!$E$13-AW23)*Assumptions!$E$14</f>
        <v>35789.5871504754</v>
      </c>
      <c r="AY23" s="35" t="n">
        <f aca="false">AX23+(AY13*Assumptions!$E$13-AX23)*Assumptions!$E$14</f>
        <v>36880.121266082</v>
      </c>
      <c r="AZ23" s="35" t="n">
        <f aca="false">AY23+(AZ13*Assumptions!$E$13-AY23)*Assumptions!$E$14</f>
        <v>37920.2150969522</v>
      </c>
      <c r="BA23" s="35" t="n">
        <f aca="false">AZ23+(BA13*Assumptions!$E$13-AZ23)*Assumptions!$E$14</f>
        <v>38991.0980429078</v>
      </c>
      <c r="BB23" s="35" t="n">
        <f aca="false">BA23+(BB13*Assumptions!$E$13-BA23)*Assumptions!$E$14</f>
        <v>40046.0835843306</v>
      </c>
      <c r="BC23" s="35" t="n">
        <f aca="false">BB23+(BC13*Assumptions!$E$13-BB23)*Assumptions!$E$14</f>
        <v>41046.7961384089</v>
      </c>
      <c r="BD23" s="35" t="n">
        <f aca="false">BC23+(BD13*Assumptions!$E$13-BC23)*Assumptions!$E$14</f>
        <v>42076.0506714308</v>
      </c>
      <c r="BE23" s="35" t="n">
        <f aca="false">BD23+(BE13*Assumptions!$E$13-BD23)*Assumptions!$E$14</f>
        <v>43088.1876201731</v>
      </c>
      <c r="BF23" s="35" t="n">
        <f aca="false">BE23+(BF13*Assumptions!$E$13-BE23)*Assumptions!$E$14</f>
        <v>44045.4953165994</v>
      </c>
      <c r="BG23" s="35" t="n">
        <f aca="false">BF23+(BG13*Assumptions!$E$13-BF23)*Assumptions!$E$14</f>
        <v>45031.2167188242</v>
      </c>
      <c r="BH23" s="35" t="n">
        <f aca="false">BG23+(BH13*Assumptions!$E$13-BG23)*Assumptions!$E$14</f>
        <v>45999.9669588249</v>
      </c>
      <c r="BI23" s="35" t="n">
        <f aca="false">BH23+(BI13*Assumptions!$E$13-BH23)*Assumptions!$E$14</f>
        <v>46914.2094734514</v>
      </c>
      <c r="BJ23" s="35" t="n">
        <f aca="false">BI23+(BJ13*Assumptions!$E$13-BI23)*Assumptions!$E$14</f>
        <v>47857.2976437055</v>
      </c>
      <c r="BK23" s="35" t="n">
        <f aca="false">BJ23+(BK13*Assumptions!$E$13-BJ23)*Assumptions!$E$14</f>
        <v>48783.9150320812</v>
      </c>
    </row>
    <row r="24" customFormat="false" ht="15" hidden="false" customHeight="false" outlineLevel="0" collapsed="false">
      <c r="A24" s="28" t="s">
        <v>566</v>
      </c>
      <c r="B24" s="6" t="s">
        <v>567</v>
      </c>
      <c r="C24" s="32" t="n">
        <v>0</v>
      </c>
      <c r="D24" s="34" t="n">
        <f aca="false">D23/Assumptions!$E$15</f>
        <v>0</v>
      </c>
      <c r="E24" s="34" t="n">
        <f aca="false">E23/Assumptions!$E$15</f>
        <v>0</v>
      </c>
      <c r="F24" s="34" t="n">
        <f aca="false">F23/Assumptions!$E$15</f>
        <v>0</v>
      </c>
      <c r="G24" s="34" t="n">
        <f aca="false">G23/Assumptions!$E$15</f>
        <v>0</v>
      </c>
      <c r="H24" s="34" t="n">
        <f aca="false">H23/Assumptions!$E$15</f>
        <v>76.5</v>
      </c>
      <c r="I24" s="34" t="n">
        <f aca="false">I23/Assumptions!$E$15</f>
        <v>192.3975</v>
      </c>
      <c r="J24" s="34" t="n">
        <f aca="false">J23/Assumptions!$E$15</f>
        <v>311.4907875</v>
      </c>
      <c r="K24" s="34" t="n">
        <f aca="false">K23/Assumptions!$E$15</f>
        <v>493.2049381875</v>
      </c>
      <c r="L24" s="34" t="n">
        <f aca="false">L23/Assumptions!$E$15</f>
        <v>692.638097239688</v>
      </c>
      <c r="M24" s="34" t="n">
        <f aca="false">M23/Assumptions!$E$15</f>
        <v>877.888827312342</v>
      </c>
      <c r="N24" s="34" t="n">
        <f aca="false">N23/Assumptions!$E$15</f>
        <v>1102.04669089797</v>
      </c>
      <c r="O24" s="34" t="n">
        <f aca="false">O23/Assumptions!$E$15</f>
        <v>1405.01801793145</v>
      </c>
      <c r="P24" s="34" t="n">
        <f aca="false">P23/Assumptions!$E$15</f>
        <v>1723.1990654705</v>
      </c>
      <c r="Q24" s="34" t="n">
        <f aca="false">Q23/Assumptions!$E$15</f>
        <v>2076.98768606366</v>
      </c>
      <c r="R24" s="34" t="n">
        <f aca="false">R23/Assumptions!$E$15</f>
        <v>2491.49666504659</v>
      </c>
      <c r="S24" s="34" t="n">
        <f aca="false">S23/Assumptions!$E$15</f>
        <v>2896.80568134892</v>
      </c>
      <c r="T24" s="34" t="n">
        <f aca="false">T23/Assumptions!$E$15</f>
        <v>3318.5765492094</v>
      </c>
      <c r="U24" s="34" t="n">
        <f aca="false">U23/Assumptions!$E$15</f>
        <v>3776.21282047373</v>
      </c>
      <c r="V24" s="34" t="n">
        <f aca="false">V23/Assumptions!$E$15</f>
        <v>4285.00932584322</v>
      </c>
      <c r="W24" s="34" t="n">
        <f aca="false">W23/Assumptions!$E$15</f>
        <v>4839.18998944537</v>
      </c>
      <c r="X24" s="34" t="n">
        <f aca="false">X23/Assumptions!$E$15</f>
        <v>5425.63841187205</v>
      </c>
      <c r="Y24" s="34" t="n">
        <f aca="false">Y23/Assumptions!$E$15</f>
        <v>6044.96741266841</v>
      </c>
      <c r="Z24" s="34" t="n">
        <f aca="false">Z23/Assumptions!$E$15</f>
        <v>6685.15672651177</v>
      </c>
      <c r="AA24" s="34" t="n">
        <f aca="false">AA23/Assumptions!$E$15</f>
        <v>7338.40086188579</v>
      </c>
      <c r="AB24" s="34" t="n">
        <f aca="false">AB23/Assumptions!$E$15</f>
        <v>7999.63381503411</v>
      </c>
      <c r="AC24" s="34" t="n">
        <f aca="false">AC23/Assumptions!$E$15</f>
        <v>8665.57013575839</v>
      </c>
      <c r="AD24" s="34" t="n">
        <f aca="false">AD23/Assumptions!$E$15</f>
        <v>9334.08162188938</v>
      </c>
      <c r="AE24" s="34" t="n">
        <f aca="false">AE23/Assumptions!$E$15</f>
        <v>10000.7321723698</v>
      </c>
      <c r="AF24" s="34" t="n">
        <f aca="false">AF23/Assumptions!$E$15</f>
        <v>10742.25134341</v>
      </c>
      <c r="AG24" s="34" t="n">
        <f aca="false">AG23/Assumptions!$E$15</f>
        <v>11521.6921731156</v>
      </c>
      <c r="AH24" s="34" t="n">
        <f aca="false">AH23/Assumptions!$E$15</f>
        <v>12299.9002804257</v>
      </c>
      <c r="AI24" s="34" t="n">
        <f aca="false">AI23/Assumptions!$E$15</f>
        <v>13137.4935446588</v>
      </c>
      <c r="AJ24" s="34" t="n">
        <f aca="false">AJ23/Assumptions!$E$15</f>
        <v>13990.3507909745</v>
      </c>
      <c r="AK24" s="34" t="n">
        <f aca="false">AK23/Assumptions!$E$15</f>
        <v>14824.0233012756</v>
      </c>
      <c r="AL24" s="34" t="n">
        <f aca="false">AL23/Assumptions!$E$15</f>
        <v>15689.9960036641</v>
      </c>
      <c r="AM24" s="34" t="n">
        <f aca="false">AM23/Assumptions!$E$15</f>
        <v>16553.7425473492</v>
      </c>
      <c r="AN24" s="35" t="n">
        <f aca="false">AN23/Assumptions!$E$15</f>
        <v>17387.0491235699</v>
      </c>
      <c r="AO24" s="35" t="n">
        <f aca="false">AO23/Assumptions!$E$15</f>
        <v>18245.4516510965</v>
      </c>
      <c r="AP24" s="35" t="n">
        <f aca="false">AP23/Assumptions!$E$15</f>
        <v>19097.0552481772</v>
      </c>
      <c r="AQ24" s="35" t="n">
        <f aca="false">AQ23/Assumptions!$E$15</f>
        <v>19915.3549111551</v>
      </c>
      <c r="AR24" s="35" t="n">
        <f aca="false">AR23/Assumptions!$E$15</f>
        <v>20756.9956570932</v>
      </c>
      <c r="AS24" s="35" t="n">
        <f aca="false">AS23/Assumptions!$E$15</f>
        <v>21587.7419174803</v>
      </c>
      <c r="AT24" s="35" t="n">
        <f aca="false">AT23/Assumptions!$E$15</f>
        <v>22382.6715656264</v>
      </c>
      <c r="AU24" s="35" t="n">
        <f aca="false">AU23/Assumptions!$E$15</f>
        <v>23199.4562471324</v>
      </c>
      <c r="AV24" s="35" t="n">
        <f aca="false">AV23/Assumptions!$E$15</f>
        <v>24004.5254941691</v>
      </c>
      <c r="AW24" s="35" t="n">
        <f aca="false">AW23/Assumptions!$E$15</f>
        <v>24773.38732074</v>
      </c>
      <c r="AX24" s="35" t="n">
        <f aca="false">AX23/Assumptions!$E$15</f>
        <v>25563.9908217682</v>
      </c>
      <c r="AY24" s="35" t="n">
        <f aca="false">AY23/Assumptions!$E$15</f>
        <v>26342.9437614871</v>
      </c>
      <c r="AZ24" s="35" t="n">
        <f aca="false">AZ23/Assumptions!$E$15</f>
        <v>27085.8679263944</v>
      </c>
      <c r="BA24" s="35" t="n">
        <f aca="false">BA23/Assumptions!$E$15</f>
        <v>27850.7843163627</v>
      </c>
      <c r="BB24" s="35" t="n">
        <f aca="false">BB23/Assumptions!$E$15</f>
        <v>28604.345417379</v>
      </c>
      <c r="BC24" s="35" t="n">
        <f aca="false">BC23/Assumptions!$E$15</f>
        <v>29319.1400988635</v>
      </c>
      <c r="BD24" s="35" t="n">
        <f aca="false">BD23/Assumptions!$E$15</f>
        <v>30054.3219081649</v>
      </c>
      <c r="BE24" s="35" t="n">
        <f aca="false">BE23/Assumptions!$E$15</f>
        <v>30777.2768715522</v>
      </c>
      <c r="BF24" s="35" t="n">
        <f aca="false">BF23/Assumptions!$E$15</f>
        <v>31461.0680832853</v>
      </c>
      <c r="BG24" s="35" t="n">
        <f aca="false">BG23/Assumptions!$E$15</f>
        <v>32165.1547991602</v>
      </c>
      <c r="BH24" s="35" t="n">
        <f aca="false">BH23/Assumptions!$E$15</f>
        <v>32857.1192563035</v>
      </c>
      <c r="BI24" s="35" t="n">
        <f aca="false">BI23/Assumptions!$E$15</f>
        <v>33510.1496238939</v>
      </c>
      <c r="BJ24" s="35" t="n">
        <f aca="false">BJ23/Assumptions!$E$15</f>
        <v>34183.7840312182</v>
      </c>
      <c r="BK24" s="35" t="n">
        <f aca="false">BK23/Assumptions!$E$15</f>
        <v>34845.6535943437</v>
      </c>
    </row>
    <row r="25" customFormat="false" ht="15" hidden="false" customHeight="false" outlineLevel="0" collapsed="false">
      <c r="A25" s="28" t="s">
        <v>568</v>
      </c>
      <c r="B25" s="6" t="s">
        <v>569</v>
      </c>
      <c r="C25" s="32" t="n">
        <v>0</v>
      </c>
      <c r="D25" s="34" t="n">
        <f aca="false">MAX(0,D24-C24)+C24*Assumptions!$E$16</f>
        <v>0</v>
      </c>
      <c r="E25" s="34" t="n">
        <f aca="false">MAX(0,E24-D24)+D24*Assumptions!$E$16</f>
        <v>0</v>
      </c>
      <c r="F25" s="34" t="n">
        <f aca="false">MAX(0,F24-E24)+E24*Assumptions!$E$16</f>
        <v>0</v>
      </c>
      <c r="G25" s="34" t="n">
        <f aca="false">MAX(0,G24-F24)+F24*Assumptions!$E$16</f>
        <v>0</v>
      </c>
      <c r="H25" s="34" t="n">
        <f aca="false">MAX(0,H24-G24)+G24*Assumptions!$E$16</f>
        <v>76.5</v>
      </c>
      <c r="I25" s="34" t="n">
        <f aca="false">MAX(0,I24-H24)+H24*Assumptions!$E$16</f>
        <v>118.9575</v>
      </c>
      <c r="J25" s="34" t="n">
        <f aca="false">MAX(0,J24-I24)+I24*Assumptions!$E$16</f>
        <v>126.7891875</v>
      </c>
      <c r="K25" s="34" t="n">
        <f aca="false">MAX(0,K24-J24)+J24*Assumptions!$E$16</f>
        <v>194.1737821875</v>
      </c>
      <c r="L25" s="34" t="n">
        <f aca="false">MAX(0,L24-K24)+K24*Assumptions!$E$16</f>
        <v>219.161356579688</v>
      </c>
      <c r="M25" s="34" t="n">
        <f aca="false">MAX(0,M24-L24)+L24*Assumptions!$E$16</f>
        <v>212.956253962242</v>
      </c>
      <c r="N25" s="34" t="n">
        <f aca="false">MAX(0,N24-M24)+M24*Assumptions!$E$16</f>
        <v>259.273416678121</v>
      </c>
      <c r="O25" s="34" t="n">
        <f aca="false">MAX(0,O24-N24)+N24*Assumptions!$E$16</f>
        <v>347.053194669403</v>
      </c>
      <c r="P25" s="34" t="n">
        <f aca="false">MAX(0,P24-O24)+O24*Assumptions!$E$16</f>
        <v>374.381768256306</v>
      </c>
      <c r="Q25" s="34" t="n">
        <f aca="false">MAX(0,Q24-P24)+P24*Assumptions!$E$16</f>
        <v>422.716583211975</v>
      </c>
      <c r="R25" s="34" t="n">
        <f aca="false">MAX(0,R24-Q24)+Q24*Assumptions!$E$16</f>
        <v>497.58848642548</v>
      </c>
      <c r="S25" s="34" t="n">
        <f aca="false">MAX(0,S24-R24)+R24*Assumptions!$E$16</f>
        <v>504.968882904192</v>
      </c>
      <c r="T25" s="34" t="n">
        <f aca="false">MAX(0,T24-S24)+S24*Assumptions!$E$16</f>
        <v>537.64309511444</v>
      </c>
      <c r="U25" s="34" t="n">
        <f aca="false">MAX(0,U24-T24)+T24*Assumptions!$E$16</f>
        <v>590.379333232702</v>
      </c>
      <c r="V25" s="34" t="n">
        <f aca="false">MAX(0,V24-U24)+U24*Assumptions!$E$16</f>
        <v>659.845018188447</v>
      </c>
      <c r="W25" s="34" t="n">
        <f aca="false">MAX(0,W24-V24)+V24*Assumptions!$E$16</f>
        <v>725.581036635872</v>
      </c>
      <c r="X25" s="34" t="n">
        <f aca="false">MAX(0,X24-W24)+W24*Assumptions!$E$16</f>
        <v>780.0160220045</v>
      </c>
      <c r="Y25" s="34" t="n">
        <f aca="false">MAX(0,Y24-X24)+X24*Assumptions!$E$16</f>
        <v>836.354537271239</v>
      </c>
      <c r="Z25" s="34" t="n">
        <f aca="false">MAX(0,Z24-Y24)+Y24*Assumptions!$E$16</f>
        <v>881.988010350093</v>
      </c>
      <c r="AA25" s="34" t="n">
        <f aca="false">MAX(0,AA24-Z24)+Z24*Assumptions!$E$16</f>
        <v>920.650404434494</v>
      </c>
      <c r="AB25" s="34" t="n">
        <f aca="false">MAX(0,AB24-AA24)+AA24*Assumptions!$E$16</f>
        <v>954.76898762375</v>
      </c>
      <c r="AC25" s="34" t="n">
        <f aca="false">MAX(0,AC24-AB24)+AB24*Assumptions!$E$16</f>
        <v>985.921673325646</v>
      </c>
      <c r="AD25" s="34" t="n">
        <f aca="false">MAX(0,AD24-AC24)+AC24*Assumptions!$E$16</f>
        <v>1015.13429156132</v>
      </c>
      <c r="AE25" s="34" t="n">
        <f aca="false">MAX(0,AE24-AD24)+AD24*Assumptions!$E$16</f>
        <v>1040.01381535602</v>
      </c>
      <c r="AF25" s="34" t="n">
        <f aca="false">MAX(0,AF24-AE24)+AE24*Assumptions!$E$16</f>
        <v>1141.54845793496</v>
      </c>
      <c r="AG25" s="34" t="n">
        <f aca="false">MAX(0,AG24-AF24)+AF24*Assumptions!$E$16</f>
        <v>1209.13088344196</v>
      </c>
      <c r="AH25" s="34" t="n">
        <f aca="false">MAX(0,AH24-AG24)+AG24*Assumptions!$E$16</f>
        <v>1239.07579423475</v>
      </c>
      <c r="AI25" s="34" t="n">
        <f aca="false">MAX(0,AI24-AH24)+AH24*Assumptions!$E$16</f>
        <v>1329.5892754501</v>
      </c>
      <c r="AJ25" s="34" t="n">
        <f aca="false">MAX(0,AJ24-AI24)+AI24*Assumptions!$E$16</f>
        <v>1378.35698810212</v>
      </c>
      <c r="AK25" s="34" t="n">
        <f aca="false">MAX(0,AK24-AJ24)+AJ24*Assumptions!$E$16</f>
        <v>1393.28654194004</v>
      </c>
      <c r="AL25" s="34" t="n">
        <f aca="false">MAX(0,AL24-AK24)+AK24*Assumptions!$E$16</f>
        <v>1458.93363443958</v>
      </c>
      <c r="AM25" s="34" t="n">
        <f aca="false">MAX(0,AM24-AL24)+AL24*Assumptions!$E$16</f>
        <v>1491.3463838316</v>
      </c>
      <c r="AN25" s="35" t="n">
        <f aca="false">MAX(0,AN24-AM24)+AM24*Assumptions!$E$16</f>
        <v>1495.45627811473</v>
      </c>
      <c r="AO25" s="35" t="n">
        <f aca="false">MAX(0,AO24-AN24)+AN24*Assumptions!$E$16</f>
        <v>1553.88449246939</v>
      </c>
      <c r="AP25" s="35" t="n">
        <f aca="false">MAX(0,AP24-AO24)+AO24*Assumptions!$E$16</f>
        <v>1581.42166312451</v>
      </c>
      <c r="AQ25" s="35" t="n">
        <f aca="false">MAX(0,AQ24-AP24)+AP24*Assumptions!$E$16</f>
        <v>1582.18187290504</v>
      </c>
      <c r="AR25" s="35" t="n">
        <f aca="false">MAX(0,AR24-AQ24)+AQ24*Assumptions!$E$16</f>
        <v>1638.25494238428</v>
      </c>
      <c r="AS25" s="35" t="n">
        <f aca="false">MAX(0,AS24-AR24)+AR24*Assumptions!$E$16</f>
        <v>1661.02608667084</v>
      </c>
      <c r="AT25" s="35" t="n">
        <f aca="false">MAX(0,AT24-AS24)+AS24*Assumptions!$E$16</f>
        <v>1658.43932484529</v>
      </c>
      <c r="AU25" s="35" t="n">
        <f aca="false">MAX(0,AU24-AT24)+AT24*Assumptions!$E$16</f>
        <v>1712.09154413104</v>
      </c>
      <c r="AV25" s="35" t="n">
        <f aca="false">MAX(0,AV24-AU24)+AU24*Assumptions!$E$16</f>
        <v>1733.04749692206</v>
      </c>
      <c r="AW25" s="35" t="n">
        <f aca="false">MAX(0,AW24-AV24)+AV24*Assumptions!$E$16</f>
        <v>1729.04284633766</v>
      </c>
      <c r="AX25" s="35" t="n">
        <f aca="false">MAX(0,AX24-AW24)+AW24*Assumptions!$E$16</f>
        <v>1781.53899385773</v>
      </c>
      <c r="AY25" s="35" t="n">
        <f aca="false">MAX(0,AY24-AX24)+AX24*Assumptions!$E$16</f>
        <v>1801.51257258971</v>
      </c>
      <c r="AZ25" s="35" t="n">
        <f aca="false">MAX(0,AZ24-AY24)+AY24*Assumptions!$E$16</f>
        <v>1796.64191536675</v>
      </c>
      <c r="BA25" s="35" t="n">
        <f aca="false">MAX(0,BA24-AZ24)+AZ24*Assumptions!$E$16</f>
        <v>1848.35110702409</v>
      </c>
      <c r="BB25" s="35" t="n">
        <f aca="false">MAX(0,BB24-BA24)+BA24*Assumptions!$E$16</f>
        <v>1867.59247367081</v>
      </c>
      <c r="BC25" s="35" t="n">
        <f aca="false">MAX(0,BC24-BB24)+BB24*Assumptions!$E$16</f>
        <v>1858.96849817961</v>
      </c>
      <c r="BD25" s="35" t="n">
        <f aca="false">MAX(0,BD24-BC24)+BC24*Assumptions!$E$16</f>
        <v>1907.94741325592</v>
      </c>
      <c r="BE25" s="35" t="n">
        <f aca="false">MAX(0,BE24-BD24)+BD24*Assumptions!$E$16</f>
        <v>1925.12783971394</v>
      </c>
      <c r="BF25" s="35" t="n">
        <f aca="false">MAX(0,BF24-BE24)+BE24*Assumptions!$E$16</f>
        <v>1914.88228659519</v>
      </c>
      <c r="BG25" s="35" t="n">
        <f aca="false">MAX(0,BG24-BF24)+BF24*Assumptions!$E$16</f>
        <v>1962.52943920628</v>
      </c>
      <c r="BH25" s="35" t="n">
        <f aca="false">MAX(0,BH24-BG24)+BG24*Assumptions!$E$16</f>
        <v>1978.5706491097</v>
      </c>
      <c r="BI25" s="35" t="n">
        <f aca="false">MAX(0,BI24-BH24)+BH24*Assumptions!$E$16</f>
        <v>1967.31513784255</v>
      </c>
      <c r="BJ25" s="35" t="n">
        <f aca="false">MAX(0,BJ24-BI24)+BI24*Assumptions!$E$16</f>
        <v>2014.04039228006</v>
      </c>
      <c r="BK25" s="35" t="n">
        <f aca="false">MAX(0,BK24-BJ24)+BJ24*Assumptions!$E$16</f>
        <v>2029.22092437423</v>
      </c>
    </row>
    <row r="26" customFormat="false" ht="15" hidden="false" customHeight="false" outlineLevel="0" collapsed="false">
      <c r="B26" s="5" t="s">
        <v>570</v>
      </c>
    </row>
    <row r="27" customFormat="false" ht="15" hidden="false" customHeight="false" outlineLevel="0" collapsed="false">
      <c r="A27" s="28" t="s">
        <v>571</v>
      </c>
      <c r="B27" s="6" t="s">
        <v>572</v>
      </c>
      <c r="C27" s="36" t="n">
        <v>0</v>
      </c>
      <c r="D27" s="26" t="n">
        <f aca="false">C27*(1-Assumptions!$E$41)+D16*((1-(1-Assumptions!$E$30)^(1/12))*Assumptions!$E$40)*MAX(0,D13*Assumptions!$E$25-C27)</f>
        <v>0</v>
      </c>
      <c r="E27" s="26" t="n">
        <f aca="false">D27*(1-Assumptions!$E$41)+E16*((1-(1-Assumptions!$E$30)^(1/12))*Assumptions!$E$40)*MAX(0,E13*Assumptions!$E$25-D27)</f>
        <v>0</v>
      </c>
      <c r="F27" s="26" t="n">
        <f aca="false">E27*(1-Assumptions!$E$41)+F16*((1-(1-Assumptions!$E$30)^(1/12))*Assumptions!$E$40)*MAX(0,F13*Assumptions!$E$25-E27)</f>
        <v>0</v>
      </c>
      <c r="G27" s="26" t="n">
        <f aca="false">F27*(1-Assumptions!$E$41)+G16*((1-(1-Assumptions!$E$30)^(1/12))*Assumptions!$E$40)*MAX(0,G13*Assumptions!$E$25-F27)</f>
        <v>0</v>
      </c>
      <c r="H27" s="26" t="n">
        <f aca="false">G27*(1-Assumptions!$E$41)+H16*((1-(1-Assumptions!$E$30)^(1/12))*Assumptions!$E$40)*MAX(0,H13*Assumptions!$E$25-G27)</f>
        <v>0</v>
      </c>
      <c r="I27" s="26" t="n">
        <f aca="false">H27*(1-Assumptions!$E$41)+I16*((1-(1-Assumptions!$E$30)^(1/12))*Assumptions!$E$40)*MAX(0,I13*Assumptions!$E$25-H27)</f>
        <v>0</v>
      </c>
      <c r="J27" s="26" t="n">
        <f aca="false">I27*(1-Assumptions!$E$41)+J16*((1-(1-Assumptions!$E$30)^(1/12))*Assumptions!$E$40)*MAX(0,J13*Assumptions!$E$25-I27)</f>
        <v>0</v>
      </c>
      <c r="K27" s="26" t="n">
        <f aca="false">J27*(1-Assumptions!$E$41)+K16*((1-(1-Assumptions!$E$30)^(1/12))*Assumptions!$E$40)*MAX(0,K13*Assumptions!$E$25-J27)</f>
        <v>0</v>
      </c>
      <c r="L27" s="26" t="n">
        <f aca="false">K27*(1-Assumptions!$E$41)+L16*((1-(1-Assumptions!$E$30)^(1/12))*Assumptions!$E$40)*MAX(0,L13*Assumptions!$E$25-K27)</f>
        <v>0</v>
      </c>
      <c r="M27" s="26" t="n">
        <f aca="false">L27*(1-Assumptions!$E$41)+M16*((1-(1-Assumptions!$E$30)^(1/12))*Assumptions!$E$40)*MAX(0,M13*Assumptions!$E$25-L27)</f>
        <v>0</v>
      </c>
      <c r="N27" s="26" t="n">
        <f aca="false">M27*(1-Assumptions!$E$41)+N16*((1-(1-Assumptions!$E$30)^(1/12))*Assumptions!$E$40)*MAX(0,N13*Assumptions!$E$25-M27)</f>
        <v>0</v>
      </c>
      <c r="O27" s="26" t="n">
        <f aca="false">N27*(1-Assumptions!$E$41)+O16*((1-(1-Assumptions!$E$30)^(1/12))*Assumptions!$E$40)*MAX(0,O13*Assumptions!$E$25-N27)</f>
        <v>0</v>
      </c>
      <c r="P27" s="26" t="n">
        <f aca="false">O27*(1-Assumptions!$E$41)+P16*((1-(1-Assumptions!$E$30)^(1/12))*Assumptions!$E$40)*MAX(0,P13*Assumptions!$E$25-O27)</f>
        <v>0</v>
      </c>
      <c r="Q27" s="26" t="n">
        <f aca="false">P27*(1-Assumptions!$E$41)+Q16*((1-(1-Assumptions!$E$30)^(1/12))*Assumptions!$E$40)*MAX(0,Q13*Assumptions!$E$25-P27)</f>
        <v>0</v>
      </c>
      <c r="R27" s="26" t="n">
        <f aca="false">Q27*(1-Assumptions!$E$41)+R16*((1-(1-Assumptions!$E$30)^(1/12))*Assumptions!$E$40)*MAX(0,R13*Assumptions!$E$25-Q27)</f>
        <v>0</v>
      </c>
      <c r="S27" s="26" t="n">
        <f aca="false">R27*(1-Assumptions!$E$41)+S16*((1-(1-Assumptions!$E$30)^(1/12))*Assumptions!$E$40)*MAX(0,S13*Assumptions!$E$25-R27)</f>
        <v>0</v>
      </c>
      <c r="T27" s="26" t="n">
        <f aca="false">S27*(1-Assumptions!$E$41)+T16*((1-(1-Assumptions!$E$30)^(1/12))*Assumptions!$E$40)*MAX(0,T13*Assumptions!$E$25-S27)</f>
        <v>0</v>
      </c>
      <c r="U27" s="26" t="n">
        <f aca="false">T27*(1-Assumptions!$E$41)+U16*((1-(1-Assumptions!$E$30)^(1/12))*Assumptions!$E$40)*MAX(0,U13*Assumptions!$E$25-T27)</f>
        <v>0</v>
      </c>
      <c r="V27" s="26" t="n">
        <f aca="false">U27*(1-Assumptions!$E$41)+V16*((1-(1-Assumptions!$E$30)^(1/12))*Assumptions!$E$40)*MAX(0,V13*Assumptions!$E$25-U27)</f>
        <v>0</v>
      </c>
      <c r="W27" s="26" t="n">
        <f aca="false">V27*(1-Assumptions!$E$41)+W16*((1-(1-Assumptions!$E$30)^(1/12))*Assumptions!$E$40)*MAX(0,W13*Assumptions!$E$25-V27)</f>
        <v>1.75455918327927</v>
      </c>
      <c r="X27" s="26" t="n">
        <f aca="false">W27*(1-Assumptions!$E$41)+X16*((1-(1-Assumptions!$E$30)^(1/12))*Assumptions!$E$40)*MAX(0,X13*Assumptions!$E$25-W27)</f>
        <v>3.56944394073423</v>
      </c>
      <c r="Y27" s="26" t="n">
        <f aca="false">X27*(1-Assumptions!$E$41)+Y16*((1-(1-Assumptions!$E$30)^(1/12))*Assumptions!$E$40)*MAX(0,Y13*Assumptions!$E$25-X27)</f>
        <v>5.45025490122856</v>
      </c>
      <c r="Z27" s="26" t="n">
        <f aca="false">Y27*(1-Assumptions!$E$41)+Z16*((1-(1-Assumptions!$E$30)^(1/12))*Assumptions!$E$40)*MAX(0,Z13*Assumptions!$E$25-Y27)</f>
        <v>7.39155986953142</v>
      </c>
      <c r="AA27" s="26" t="n">
        <f aca="false">Z27*(1-Assumptions!$E$41)+AA16*((1-(1-Assumptions!$E$30)^(1/12))*Assumptions!$E$40)*MAX(0,AA13*Assumptions!$E$25-Z27)</f>
        <v>9.38834477138156</v>
      </c>
      <c r="AB27" s="26" t="n">
        <f aca="false">AA27*(1-Assumptions!$E$41)+AB16*((1-(1-Assumptions!$E$30)^(1/12))*Assumptions!$E$40)*MAX(0,AB13*Assumptions!$E$25-AA27)</f>
        <v>11.4359818769544</v>
      </c>
      <c r="AC27" s="26" t="n">
        <f aca="false">AB27*(1-Assumptions!$E$41)+AC16*((1-(1-Assumptions!$E$30)^(1/12))*Assumptions!$E$40)*MAX(0,AC13*Assumptions!$E$25-AB27)</f>
        <v>13.530200433292</v>
      </c>
      <c r="AD27" s="26" t="n">
        <f aca="false">AC27*(1-Assumptions!$E$41)+AD16*((1-(1-Assumptions!$E$30)^(1/12))*Assumptions!$E$40)*MAX(0,AD13*Assumptions!$E$25-AC27)</f>
        <v>15.667059523163</v>
      </c>
      <c r="AE27" s="26" t="n">
        <f aca="false">AD27*(1-Assumptions!$E$41)+AE16*((1-(1-Assumptions!$E$30)^(1/12))*Assumptions!$E$40)*MAX(0,AE13*Assumptions!$E$25-AD27)</f>
        <v>17.840308997321</v>
      </c>
      <c r="AF27" s="26" t="n">
        <f aca="false">AE27*(1-Assumptions!$E$41)+AF16*((1-(1-Assumptions!$E$30)^(1/12))*Assumptions!$E$40)*MAX(0,AF13*Assumptions!$E$25-AE27)</f>
        <v>20.1121811229368</v>
      </c>
      <c r="AG27" s="26" t="n">
        <f aca="false">AF27*(1-Assumptions!$E$41)+AG16*((1-(1-Assumptions!$E$30)^(1/12))*Assumptions!$E$40)*MAX(0,AG13*Assumptions!$E$25-AF27)</f>
        <v>22.4660268610733</v>
      </c>
      <c r="AH27" s="26" t="n">
        <f aca="false">AG27*(1-Assumptions!$E$41)+AH16*((1-(1-Assumptions!$E$30)^(1/12))*Assumptions!$E$40)*MAX(0,AH13*Assumptions!$E$25-AG27)</f>
        <v>24.8735262891171</v>
      </c>
      <c r="AI27" s="26" t="n">
        <f aca="false">AH27*(1-Assumptions!$E$41)+AI16*((1-(1-Assumptions!$E$30)^(1/12))*Assumptions!$E$40)*MAX(0,AI13*Assumptions!$E$25-AH27)</f>
        <v>27.3820282891563</v>
      </c>
      <c r="AJ27" s="26" t="n">
        <f aca="false">AI27*(1-Assumptions!$E$41)+AJ16*((1-(1-Assumptions!$E$30)^(1/12))*Assumptions!$E$40)*MAX(0,AJ13*Assumptions!$E$25-AI27)</f>
        <v>29.963945663836</v>
      </c>
      <c r="AK27" s="26" t="n">
        <f aca="false">AJ27*(1-Assumptions!$E$41)+AK16*((1-(1-Assumptions!$E$30)^(1/12))*Assumptions!$E$40)*MAX(0,AK13*Assumptions!$E$25-AJ27)</f>
        <v>32.5888523608759</v>
      </c>
      <c r="AL27" s="26" t="n">
        <f aca="false">AK27*(1-Assumptions!$E$41)+AL16*((1-(1-Assumptions!$E$30)^(1/12))*Assumptions!$E$40)*MAX(0,AL13*Assumptions!$E$25-AK27)</f>
        <v>35.291736080061</v>
      </c>
      <c r="AM27" s="26" t="n">
        <f aca="false">AL27*(1-Assumptions!$E$41)+AM16*((1-(1-Assumptions!$E$30)^(1/12))*Assumptions!$E$40)*MAX(0,AM13*Assumptions!$E$25-AL27)</f>
        <v>38.0468524212262</v>
      </c>
      <c r="AN27" s="37" t="n">
        <f aca="false">AM27*(1-Assumptions!$E$41)+AN16*((1-(1-Assumptions!$E$30)^(1/12))*Assumptions!$E$40)*MAX(0,AN13*Assumptions!$E$25-AM27)</f>
        <v>40.8254770387037</v>
      </c>
      <c r="AO27" s="37" t="n">
        <f aca="false">AN27*(1-Assumptions!$E$41)+AO16*((1-(1-Assumptions!$E$30)^(1/12))*Assumptions!$E$40)*MAX(0,AO13*Assumptions!$E$25-AN27)</f>
        <v>43.6641689598848</v>
      </c>
      <c r="AP27" s="37" t="n">
        <f aca="false">AO27*(1-Assumptions!$E$41)+AP16*((1-(1-Assumptions!$E$30)^(1/12))*Assumptions!$E$40)*MAX(0,AP13*Assumptions!$E$25-AO27)</f>
        <v>46.5386346329005</v>
      </c>
      <c r="AQ27" s="37" t="n">
        <f aca="false">AP27*(1-Assumptions!$E$41)+AQ16*((1-(1-Assumptions!$E$30)^(1/12))*Assumptions!$E$40)*MAX(0,AQ13*Assumptions!$E$25-AP27)</f>
        <v>49.4214892304088</v>
      </c>
      <c r="AR27" s="37" t="n">
        <f aca="false">AQ27*(1-Assumptions!$E$41)+AR16*((1-(1-Assumptions!$E$30)^(1/12))*Assumptions!$E$40)*MAX(0,AR13*Assumptions!$E$25-AQ27)</f>
        <v>52.3505284239916</v>
      </c>
      <c r="AS27" s="37" t="n">
        <f aca="false">AR27*(1-Assumptions!$E$41)+AS16*((1-(1-Assumptions!$E$30)^(1/12))*Assumptions!$E$40)*MAX(0,AS13*Assumptions!$E$25-AR27)</f>
        <v>55.2999862623849</v>
      </c>
      <c r="AT27" s="37" t="n">
        <f aca="false">AS27*(1-Assumptions!$E$41)+AT16*((1-(1-Assumptions!$E$30)^(1/12))*Assumptions!$E$40)*MAX(0,AT13*Assumptions!$E$25-AS27)</f>
        <v>58.2437689195532</v>
      </c>
      <c r="AU27" s="37" t="n">
        <f aca="false">AT27*(1-Assumptions!$E$41)+AU16*((1-(1-Assumptions!$E$30)^(1/12))*Assumptions!$E$40)*MAX(0,AU13*Assumptions!$E$25-AT27)</f>
        <v>61.2208633434351</v>
      </c>
      <c r="AV27" s="37" t="n">
        <f aca="false">AU27*(1-Assumptions!$E$41)+AV16*((1-(1-Assumptions!$E$30)^(1/12))*Assumptions!$E$40)*MAX(0,AV13*Assumptions!$E$25-AU27)</f>
        <v>64.2066027183597</v>
      </c>
      <c r="AW27" s="37" t="n">
        <f aca="false">AV27*(1-Assumptions!$E$41)+AW16*((1-(1-Assumptions!$E$30)^(1/12))*Assumptions!$E$40)*MAX(0,AW13*Assumptions!$E$25-AV27)</f>
        <v>67.1759072222752</v>
      </c>
      <c r="AX27" s="37" t="n">
        <f aca="false">AW27*(1-Assumptions!$E$41)+AX16*((1-(1-Assumptions!$E$30)^(1/12))*Assumptions!$E$40)*MAX(0,AX13*Assumptions!$E$25-AW27)</f>
        <v>70.1686991531897</v>
      </c>
      <c r="AY27" s="37" t="n">
        <f aca="false">AX27*(1-Assumptions!$E$41)+AY16*((1-(1-Assumptions!$E$30)^(1/12))*Assumptions!$E$40)*MAX(0,AY13*Assumptions!$E$25-AX27)</f>
        <v>73.1611743780951</v>
      </c>
      <c r="AZ27" s="37" t="n">
        <f aca="false">AY27*(1-Assumptions!$E$41)+AZ16*((1-(1-Assumptions!$E$30)^(1/12))*Assumptions!$E$40)*MAX(0,AZ13*Assumptions!$E$25-AY27)</f>
        <v>76.1290486227357</v>
      </c>
      <c r="BA27" s="37" t="n">
        <f aca="false">AZ27*(1-Assumptions!$E$41)+BA16*((1-(1-Assumptions!$E$30)^(1/12))*Assumptions!$E$40)*MAX(0,BA13*Assumptions!$E$25-AZ27)</f>
        <v>79.1129777110207</v>
      </c>
      <c r="BB27" s="37" t="n">
        <f aca="false">BA27*(1-Assumptions!$E$41)+BB16*((1-(1-Assumptions!$E$30)^(1/12))*Assumptions!$E$40)*MAX(0,BB13*Assumptions!$E$25-BA27)</f>
        <v>82.089833739147</v>
      </c>
      <c r="BC27" s="37" t="n">
        <f aca="false">BB27*(1-Assumptions!$E$41)+BC16*((1-(1-Assumptions!$E$30)^(1/12))*Assumptions!$E$40)*MAX(0,BC13*Assumptions!$E$25-BB27)</f>
        <v>85.0333417478476</v>
      </c>
      <c r="BD27" s="37" t="n">
        <f aca="false">BC27*(1-Assumptions!$E$41)+BD16*((1-(1-Assumptions!$E$30)^(1/12))*Assumptions!$E$40)*MAX(0,BD13*Assumptions!$E$25-BC27)</f>
        <v>87.9849692191834</v>
      </c>
      <c r="BE27" s="37" t="n">
        <f aca="false">BD27*(1-Assumptions!$E$41)+BE16*((1-(1-Assumptions!$E$30)^(1/12))*Assumptions!$E$40)*MAX(0,BE13*Assumptions!$E$25-BD27)</f>
        <v>90.922336179482</v>
      </c>
      <c r="BF27" s="37" t="n">
        <f aca="false">BE27*(1-Assumptions!$E$41)+BF16*((1-(1-Assumptions!$E$30)^(1/12))*Assumptions!$E$40)*MAX(0,BF13*Assumptions!$E$25-BE27)</f>
        <v>93.8198567333292</v>
      </c>
      <c r="BG27" s="37" t="n">
        <f aca="false">BF27*(1-Assumptions!$E$41)+BG16*((1-(1-Assumptions!$E$30)^(1/12))*Assumptions!$E$40)*MAX(0,BG13*Assumptions!$E$25-BF27)</f>
        <v>96.7196330532609</v>
      </c>
      <c r="BH27" s="37" t="n">
        <f aca="false">BG27*(1-Assumptions!$E$41)+BH16*((1-(1-Assumptions!$E$30)^(1/12))*Assumptions!$E$40)*MAX(0,BH13*Assumptions!$E$25-BG27)</f>
        <v>99.5998696347109</v>
      </c>
      <c r="BI27" s="37" t="n">
        <f aca="false">BH27*(1-Assumptions!$E$41)+BI16*((1-(1-Assumptions!$E$30)^(1/12))*Assumptions!$E$40)*MAX(0,BI13*Assumptions!$E$25-BH27)</f>
        <v>102.435518666955</v>
      </c>
      <c r="BJ27" s="37" t="n">
        <f aca="false">BI27*(1-Assumptions!$E$41)+BJ16*((1-(1-Assumptions!$E$30)^(1/12))*Assumptions!$E$40)*MAX(0,BJ13*Assumptions!$E$25-BI27)</f>
        <v>105.269177568576</v>
      </c>
      <c r="BK27" s="37" t="n">
        <f aca="false">BJ27*(1-Assumptions!$E$41)+BK16*((1-(1-Assumptions!$E$30)^(1/12))*Assumptions!$E$40)*MAX(0,BK13*Assumptions!$E$25-BJ27)</f>
        <v>108.079506519071</v>
      </c>
    </row>
    <row r="28" customFormat="false" ht="15" hidden="false" customHeight="false" outlineLevel="0" collapsed="false">
      <c r="A28" s="28" t="s">
        <v>573</v>
      </c>
      <c r="B28" s="6" t="s">
        <v>574</v>
      </c>
      <c r="C28" s="36" t="n">
        <v>0</v>
      </c>
      <c r="D28" s="26" t="n">
        <f aca="false">C28*(1-Assumptions!$E$41)+D16*((1-(1-Assumptions!$E$31)^(1/12))*Assumptions!$E$40)*MAX(0,D13*Assumptions!$E$26-C28)</f>
        <v>0</v>
      </c>
      <c r="E28" s="26" t="n">
        <f aca="false">D28*(1-Assumptions!$E$41)+E16*((1-(1-Assumptions!$E$31)^(1/12))*Assumptions!$E$40)*MAX(0,E13*Assumptions!$E$26-D28)</f>
        <v>0</v>
      </c>
      <c r="F28" s="26" t="n">
        <f aca="false">E28*(1-Assumptions!$E$41)+F16*((1-(1-Assumptions!$E$31)^(1/12))*Assumptions!$E$40)*MAX(0,F13*Assumptions!$E$26-E28)</f>
        <v>0</v>
      </c>
      <c r="G28" s="26" t="n">
        <f aca="false">F28*(1-Assumptions!$E$41)+G16*((1-(1-Assumptions!$E$31)^(1/12))*Assumptions!$E$40)*MAX(0,G13*Assumptions!$E$26-F28)</f>
        <v>0</v>
      </c>
      <c r="H28" s="26" t="n">
        <f aca="false">G28*(1-Assumptions!$E$41)+H16*((1-(1-Assumptions!$E$31)^(1/12))*Assumptions!$E$40)*MAX(0,H13*Assumptions!$E$26-G28)</f>
        <v>0</v>
      </c>
      <c r="I28" s="26" t="n">
        <f aca="false">H28*(1-Assumptions!$E$41)+I16*((1-(1-Assumptions!$E$31)^(1/12))*Assumptions!$E$40)*MAX(0,I13*Assumptions!$E$26-H28)</f>
        <v>0</v>
      </c>
      <c r="J28" s="26" t="n">
        <f aca="false">I28*(1-Assumptions!$E$41)+J16*((1-(1-Assumptions!$E$31)^(1/12))*Assumptions!$E$40)*MAX(0,J13*Assumptions!$E$26-I28)</f>
        <v>0</v>
      </c>
      <c r="K28" s="26" t="n">
        <f aca="false">J28*(1-Assumptions!$E$41)+K16*((1-(1-Assumptions!$E$31)^(1/12))*Assumptions!$E$40)*MAX(0,K13*Assumptions!$E$26-J28)</f>
        <v>0</v>
      </c>
      <c r="L28" s="26" t="n">
        <f aca="false">K28*(1-Assumptions!$E$41)+L16*((1-(1-Assumptions!$E$31)^(1/12))*Assumptions!$E$40)*MAX(0,L13*Assumptions!$E$26-K28)</f>
        <v>0</v>
      </c>
      <c r="M28" s="26" t="n">
        <f aca="false">L28*(1-Assumptions!$E$41)+M16*((1-(1-Assumptions!$E$31)^(1/12))*Assumptions!$E$40)*MAX(0,M13*Assumptions!$E$26-L28)</f>
        <v>0</v>
      </c>
      <c r="N28" s="26" t="n">
        <f aca="false">M28*(1-Assumptions!$E$41)+N16*((1-(1-Assumptions!$E$31)^(1/12))*Assumptions!$E$40)*MAX(0,N13*Assumptions!$E$26-M28)</f>
        <v>0</v>
      </c>
      <c r="O28" s="26" t="n">
        <f aca="false">N28*(1-Assumptions!$E$41)+O16*((1-(1-Assumptions!$E$31)^(1/12))*Assumptions!$E$40)*MAX(0,O13*Assumptions!$E$26-N28)</f>
        <v>0</v>
      </c>
      <c r="P28" s="26" t="n">
        <f aca="false">O28*(1-Assumptions!$E$41)+P16*((1-(1-Assumptions!$E$31)^(1/12))*Assumptions!$E$40)*MAX(0,P13*Assumptions!$E$26-O28)</f>
        <v>0</v>
      </c>
      <c r="Q28" s="26" t="n">
        <f aca="false">P28*(1-Assumptions!$E$41)+Q16*((1-(1-Assumptions!$E$31)^(1/12))*Assumptions!$E$40)*MAX(0,Q13*Assumptions!$E$26-P28)</f>
        <v>0</v>
      </c>
      <c r="R28" s="26" t="n">
        <f aca="false">Q28*(1-Assumptions!$E$41)+R16*((1-(1-Assumptions!$E$31)^(1/12))*Assumptions!$E$40)*MAX(0,R13*Assumptions!$E$26-Q28)</f>
        <v>0</v>
      </c>
      <c r="S28" s="26" t="n">
        <f aca="false">R28*(1-Assumptions!$E$41)+S16*((1-(1-Assumptions!$E$31)^(1/12))*Assumptions!$E$40)*MAX(0,S13*Assumptions!$E$26-R28)</f>
        <v>0</v>
      </c>
      <c r="T28" s="26" t="n">
        <f aca="false">S28*(1-Assumptions!$E$41)+T16*((1-(1-Assumptions!$E$31)^(1/12))*Assumptions!$E$40)*MAX(0,T13*Assumptions!$E$26-S28)</f>
        <v>0</v>
      </c>
      <c r="U28" s="26" t="n">
        <f aca="false">T28*(1-Assumptions!$E$41)+U16*((1-(1-Assumptions!$E$31)^(1/12))*Assumptions!$E$40)*MAX(0,U13*Assumptions!$E$26-T28)</f>
        <v>0</v>
      </c>
      <c r="V28" s="26" t="n">
        <f aca="false">U28*(1-Assumptions!$E$41)+V16*((1-(1-Assumptions!$E$31)^(1/12))*Assumptions!$E$40)*MAX(0,V13*Assumptions!$E$26-U28)</f>
        <v>0</v>
      </c>
      <c r="W28" s="26" t="n">
        <f aca="false">V28*(1-Assumptions!$E$41)+W16*((1-(1-Assumptions!$E$31)^(1/12))*Assumptions!$E$40)*MAX(0,W13*Assumptions!$E$26-V28)</f>
        <v>0.678617063018612</v>
      </c>
      <c r="X28" s="26" t="n">
        <f aca="false">W28*(1-Assumptions!$E$41)+X16*((1-(1-Assumptions!$E$31)^(1/12))*Assumptions!$E$40)*MAX(0,X13*Assumptions!$E$26-W28)</f>
        <v>1.3948059717234</v>
      </c>
      <c r="Y28" s="26" t="n">
        <f aca="false">X28*(1-Assumptions!$E$41)+Y16*((1-(1-Assumptions!$E$31)^(1/12))*Assumptions!$E$40)*MAX(0,Y13*Assumptions!$E$26-X28)</f>
        <v>2.15044244763882</v>
      </c>
      <c r="Z28" s="26" t="n">
        <f aca="false">Y28*(1-Assumptions!$E$41)+Z16*((1-(1-Assumptions!$E$31)^(1/12))*Assumptions!$E$40)*MAX(0,Z13*Assumptions!$E$26-Y28)</f>
        <v>2.94319637202675</v>
      </c>
      <c r="AA28" s="26" t="n">
        <f aca="false">Z28*(1-Assumptions!$E$41)+AA16*((1-(1-Assumptions!$E$31)^(1/12))*Assumptions!$E$40)*MAX(0,AA13*Assumptions!$E$26-Z28)</f>
        <v>3.77086780759679</v>
      </c>
      <c r="AB28" s="26" t="n">
        <f aca="false">AA28*(1-Assumptions!$E$41)+AB16*((1-(1-Assumptions!$E$31)^(1/12))*Assumptions!$E$40)*MAX(0,AB13*Assumptions!$E$26-AA28)</f>
        <v>4.63137982911287</v>
      </c>
      <c r="AC28" s="26" t="n">
        <f aca="false">AB28*(1-Assumptions!$E$41)+AC16*((1-(1-Assumptions!$E$31)^(1/12))*Assumptions!$E$40)*MAX(0,AC13*Assumptions!$E$26-AB28)</f>
        <v>5.52277174730944</v>
      </c>
      <c r="AD28" s="26" t="n">
        <f aca="false">AC28*(1-Assumptions!$E$41)+AD16*((1-(1-Assumptions!$E$31)^(1/12))*Assumptions!$E$40)*MAX(0,AD13*Assumptions!$E$26-AC28)</f>
        <v>6.44319270456334</v>
      </c>
      <c r="AE28" s="26" t="n">
        <f aca="false">AD28*(1-Assumptions!$E$41)+AE16*((1-(1-Assumptions!$E$31)^(1/12))*Assumptions!$E$40)*MAX(0,AE13*Assumptions!$E$26-AD28)</f>
        <v>7.38988460198055</v>
      </c>
      <c r="AF28" s="26" t="n">
        <f aca="false">AE28*(1-Assumptions!$E$41)+AF16*((1-(1-Assumptions!$E$31)^(1/12))*Assumptions!$E$40)*MAX(0,AF13*Assumptions!$E$26-AE28)</f>
        <v>8.38654446657271</v>
      </c>
      <c r="AG28" s="26" t="n">
        <f aca="false">AF28*(1-Assumptions!$E$41)+AG16*((1-(1-Assumptions!$E$31)^(1/12))*Assumptions!$E$40)*MAX(0,AG13*Assumptions!$E$26-AF28)</f>
        <v>9.42688560326527</v>
      </c>
      <c r="AH28" s="26" t="n">
        <f aca="false">AG28*(1-Assumptions!$E$41)+AH16*((1-(1-Assumptions!$E$31)^(1/12))*Assumptions!$E$40)*MAX(0,AH13*Assumptions!$E$26-AG28)</f>
        <v>10.4999638435024</v>
      </c>
      <c r="AI28" s="26" t="n">
        <f aca="false">AH28*(1-Assumptions!$E$41)+AI16*((1-(1-Assumptions!$E$31)^(1/12))*Assumptions!$E$40)*MAX(0,AI13*Assumptions!$E$26-AH28)</f>
        <v>11.6238713679829</v>
      </c>
      <c r="AJ28" s="26" t="n">
        <f aca="false">AI28*(1-Assumptions!$E$41)+AJ16*((1-(1-Assumptions!$E$31)^(1/12))*Assumptions!$E$40)*MAX(0,AJ13*Assumptions!$E$26-AI28)</f>
        <v>12.7881134476714</v>
      </c>
      <c r="AK28" s="26" t="n">
        <f aca="false">AJ28*(1-Assumptions!$E$41)+AK16*((1-(1-Assumptions!$E$31)^(1/12))*Assumptions!$E$40)*MAX(0,AK13*Assumptions!$E$26-AJ28)</f>
        <v>13.9808638684054</v>
      </c>
      <c r="AL28" s="26" t="n">
        <f aca="false">AK28*(1-Assumptions!$E$41)+AL16*((1-(1-Assumptions!$E$31)^(1/12))*Assumptions!$E$40)*MAX(0,AL13*Assumptions!$E$26-AK28)</f>
        <v>15.2153529844537</v>
      </c>
      <c r="AM28" s="26" t="n">
        <f aca="false">AL28*(1-Assumptions!$E$41)+AM16*((1-(1-Assumptions!$E$31)^(1/12))*Assumptions!$E$40)*MAX(0,AM13*Assumptions!$E$26-AL28)</f>
        <v>16.4816220727251</v>
      </c>
      <c r="AN28" s="37" t="n">
        <f aca="false">AM28*(1-Assumptions!$E$41)+AN16*((1-(1-Assumptions!$E$31)^(1/12))*Assumptions!$E$40)*MAX(0,AN13*Assumptions!$E$26-AM28)</f>
        <v>17.768350992282</v>
      </c>
      <c r="AO28" s="37" t="n">
        <f aca="false">AN28*(1-Assumptions!$E$41)+AO16*((1-(1-Assumptions!$E$31)^(1/12))*Assumptions!$E$40)*MAX(0,AO13*Assumptions!$E$26-AN28)</f>
        <v>19.0892478861675</v>
      </c>
      <c r="AP28" s="37" t="n">
        <f aca="false">AO28*(1-Assumptions!$E$41)+AP16*((1-(1-Assumptions!$E$31)^(1/12))*Assumptions!$E$40)*MAX(0,AP13*Assumptions!$E$26-AO28)</f>
        <v>20.434805093459</v>
      </c>
      <c r="AQ28" s="37" t="n">
        <f aca="false">AP28*(1-Assumptions!$E$41)+AQ16*((1-(1-Assumptions!$E$31)^(1/12))*Assumptions!$E$40)*MAX(0,AQ13*Assumptions!$E$26-AP28)</f>
        <v>21.7941282811647</v>
      </c>
      <c r="AR28" s="37" t="n">
        <f aca="false">AQ28*(1-Assumptions!$E$41)+AR16*((1-(1-Assumptions!$E$31)^(1/12))*Assumptions!$E$40)*MAX(0,AR13*Assumptions!$E$26-AQ28)</f>
        <v>23.18132753765</v>
      </c>
      <c r="AS28" s="37" t="n">
        <f aca="false">AR28*(1-Assumptions!$E$41)+AS16*((1-(1-Assumptions!$E$31)^(1/12))*Assumptions!$E$40)*MAX(0,AS13*Assumptions!$E$26-AR28)</f>
        <v>24.5862635799697</v>
      </c>
      <c r="AT28" s="37" t="n">
        <f aca="false">AS28*(1-Assumptions!$E$41)+AT16*((1-(1-Assumptions!$E$31)^(1/12))*Assumptions!$E$40)*MAX(0,AT13*Assumptions!$E$26-AS28)</f>
        <v>25.9984707176487</v>
      </c>
      <c r="AU28" s="37" t="n">
        <f aca="false">AT28*(1-Assumptions!$E$41)+AU16*((1-(1-Assumptions!$E$31)^(1/12))*Assumptions!$E$40)*MAX(0,AU13*Assumptions!$E$26-AT28)</f>
        <v>27.4324634599886</v>
      </c>
      <c r="AV28" s="37" t="n">
        <f aca="false">AU28*(1-Assumptions!$E$41)+AV16*((1-(1-Assumptions!$E$31)^(1/12))*Assumptions!$E$40)*MAX(0,AV13*Assumptions!$E$26-AU28)</f>
        <v>28.8784840613654</v>
      </c>
      <c r="AW28" s="37" t="n">
        <f aca="false">AV28*(1-Assumptions!$E$41)+AW16*((1-(1-Assumptions!$E$31)^(1/12))*Assumptions!$E$40)*MAX(0,AW13*Assumptions!$E$26-AV28)</f>
        <v>30.3264267495136</v>
      </c>
      <c r="AX28" s="37" t="n">
        <f aca="false">AW28*(1-Assumptions!$E$41)+AX16*((1-(1-Assumptions!$E$31)^(1/12))*Assumptions!$E$40)*MAX(0,AX13*Assumptions!$E$26-AW28)</f>
        <v>31.7911455279043</v>
      </c>
      <c r="AY28" s="37" t="n">
        <f aca="false">AX28*(1-Assumptions!$E$41)+AY16*((1-(1-Assumptions!$E$31)^(1/12))*Assumptions!$E$40)*MAX(0,AY13*Assumptions!$E$26-AX28)</f>
        <v>33.2632028504855</v>
      </c>
      <c r="AZ28" s="37" t="n">
        <f aca="false">AY28*(1-Assumptions!$E$41)+AZ16*((1-(1-Assumptions!$E$31)^(1/12))*Assumptions!$E$40)*MAX(0,AZ13*Assumptions!$E$26-AY28)</f>
        <v>34.7327949173799</v>
      </c>
      <c r="BA28" s="37" t="n">
        <f aca="false">AZ28*(1-Assumptions!$E$41)+BA16*((1-(1-Assumptions!$E$31)^(1/12))*Assumptions!$E$40)*MAX(0,BA13*Assumptions!$E$26-AZ28)</f>
        <v>36.2150604860465</v>
      </c>
      <c r="BB28" s="37" t="n">
        <f aca="false">BA28*(1-Assumptions!$E$41)+BB16*((1-(1-Assumptions!$E$31)^(1/12))*Assumptions!$E$40)*MAX(0,BB13*Assumptions!$E$26-BA28)</f>
        <v>37.7008304993891</v>
      </c>
      <c r="BC28" s="37" t="n">
        <f aca="false">BB28*(1-Assumptions!$E$41)+BC16*((1-(1-Assumptions!$E$31)^(1/12))*Assumptions!$E$40)*MAX(0,BC13*Assumptions!$E$26-BB28)</f>
        <v>39.1795432624762</v>
      </c>
      <c r="BD28" s="37" t="n">
        <f aca="false">BC28*(1-Assumptions!$E$41)+BD16*((1-(1-Assumptions!$E$31)^(1/12))*Assumptions!$E$40)*MAX(0,BD13*Assumptions!$E$26-BC28)</f>
        <v>40.6666466939966</v>
      </c>
      <c r="BE28" s="37" t="n">
        <f aca="false">BD28*(1-Assumptions!$E$41)+BE16*((1-(1-Assumptions!$E$31)^(1/12))*Assumptions!$E$40)*MAX(0,BE13*Assumptions!$E$26-BD28)</f>
        <v>42.1532630980783</v>
      </c>
      <c r="BF28" s="37" t="n">
        <f aca="false">BE28*(1-Assumptions!$E$41)+BF16*((1-(1-Assumptions!$E$31)^(1/12))*Assumptions!$E$40)*MAX(0,BF13*Assumptions!$E$26-BE28)</f>
        <v>43.629105329055</v>
      </c>
      <c r="BG28" s="37" t="n">
        <f aca="false">BF28*(1-Assumptions!$E$41)+BG16*((1-(1-Assumptions!$E$31)^(1/12))*Assumptions!$E$40)*MAX(0,BG13*Assumptions!$E$26-BF28)</f>
        <v>45.1098799766464</v>
      </c>
      <c r="BH28" s="37" t="n">
        <f aca="false">BG28*(1-Assumptions!$E$41)+BH16*((1-(1-Assumptions!$E$31)^(1/12))*Assumptions!$E$40)*MAX(0,BH13*Assumptions!$E$26-BG28)</f>
        <v>46.5869530201626</v>
      </c>
      <c r="BI28" s="37" t="n">
        <f aca="false">BH28*(1-Assumptions!$E$41)+BI16*((1-(1-Assumptions!$E$31)^(1/12))*Assumptions!$E$40)*MAX(0,BI13*Assumptions!$E$26-BH28)</f>
        <v>48.0502668271298</v>
      </c>
      <c r="BJ28" s="37" t="n">
        <f aca="false">BI28*(1-Assumptions!$E$41)+BJ16*((1-(1-Assumptions!$E$31)^(1/12))*Assumptions!$E$40)*MAX(0,BJ13*Assumptions!$E$26-BI28)</f>
        <v>49.5157441264648</v>
      </c>
      <c r="BK28" s="37" t="n">
        <f aca="false">BJ28*(1-Assumptions!$E$41)+BK16*((1-(1-Assumptions!$E$31)^(1/12))*Assumptions!$E$40)*MAX(0,BK13*Assumptions!$E$26-BJ28)</f>
        <v>50.9749544073256</v>
      </c>
    </row>
    <row r="29" customFormat="false" ht="15" hidden="false" customHeight="false" outlineLevel="0" collapsed="false">
      <c r="A29" s="28" t="s">
        <v>575</v>
      </c>
      <c r="B29" s="6" t="s">
        <v>576</v>
      </c>
      <c r="C29" s="36" t="n">
        <v>0</v>
      </c>
      <c r="D29" s="26" t="n">
        <f aca="false">C29*(1-Assumptions!$E$41)+D17*((1-(1-Assumptions!$E$32)^(1/12))*Assumptions!$E$40)*MAX(0,D13*Assumptions!$E$27-C29)</f>
        <v>0</v>
      </c>
      <c r="E29" s="26" t="n">
        <f aca="false">D29*(1-Assumptions!$E$41)+E17*((1-(1-Assumptions!$E$32)^(1/12))*Assumptions!$E$40)*MAX(0,E13*Assumptions!$E$27-D29)</f>
        <v>0</v>
      </c>
      <c r="F29" s="26" t="n">
        <f aca="false">E29*(1-Assumptions!$E$41)+F17*((1-(1-Assumptions!$E$32)^(1/12))*Assumptions!$E$40)*MAX(0,F13*Assumptions!$E$27-E29)</f>
        <v>0</v>
      </c>
      <c r="G29" s="26" t="n">
        <f aca="false">F29*(1-Assumptions!$E$41)+G17*((1-(1-Assumptions!$E$32)^(1/12))*Assumptions!$E$40)*MAX(0,G13*Assumptions!$E$27-F29)</f>
        <v>0</v>
      </c>
      <c r="H29" s="26" t="n">
        <f aca="false">G29*(1-Assumptions!$E$41)+H17*((1-(1-Assumptions!$E$32)^(1/12))*Assumptions!$E$40)*MAX(0,H13*Assumptions!$E$27-G29)</f>
        <v>0</v>
      </c>
      <c r="I29" s="26" t="n">
        <f aca="false">H29*(1-Assumptions!$E$41)+I17*((1-(1-Assumptions!$E$32)^(1/12))*Assumptions!$E$40)*MAX(0,I13*Assumptions!$E$27-H29)</f>
        <v>0</v>
      </c>
      <c r="J29" s="26" t="n">
        <f aca="false">I29*(1-Assumptions!$E$41)+J17*((1-(1-Assumptions!$E$32)^(1/12))*Assumptions!$E$40)*MAX(0,J13*Assumptions!$E$27-I29)</f>
        <v>0</v>
      </c>
      <c r="K29" s="26" t="n">
        <f aca="false">J29*(1-Assumptions!$E$41)+K17*((1-(1-Assumptions!$E$32)^(1/12))*Assumptions!$E$40)*MAX(0,K13*Assumptions!$E$27-J29)</f>
        <v>0</v>
      </c>
      <c r="L29" s="26" t="n">
        <f aca="false">K29*(1-Assumptions!$E$41)+L17*((1-(1-Assumptions!$E$32)^(1/12))*Assumptions!$E$40)*MAX(0,L13*Assumptions!$E$27-K29)</f>
        <v>0</v>
      </c>
      <c r="M29" s="26" t="n">
        <f aca="false">L29*(1-Assumptions!$E$41)+M17*((1-(1-Assumptions!$E$32)^(1/12))*Assumptions!$E$40)*MAX(0,M13*Assumptions!$E$27-L29)</f>
        <v>0</v>
      </c>
      <c r="N29" s="26" t="n">
        <f aca="false">M29*(1-Assumptions!$E$41)+N17*((1-(1-Assumptions!$E$32)^(1/12))*Assumptions!$E$40)*MAX(0,N13*Assumptions!$E$27-M29)</f>
        <v>0</v>
      </c>
      <c r="O29" s="26" t="n">
        <f aca="false">N29*(1-Assumptions!$E$41)+O17*((1-(1-Assumptions!$E$32)^(1/12))*Assumptions!$E$40)*MAX(0,O13*Assumptions!$E$27-N29)</f>
        <v>0</v>
      </c>
      <c r="P29" s="26" t="n">
        <f aca="false">O29*(1-Assumptions!$E$41)+P17*((1-(1-Assumptions!$E$32)^(1/12))*Assumptions!$E$40)*MAX(0,P13*Assumptions!$E$27-O29)</f>
        <v>0.419863757473559</v>
      </c>
      <c r="Q29" s="26" t="n">
        <f aca="false">P29*(1-Assumptions!$E$41)+Q17*((1-(1-Assumptions!$E$32)^(1/12))*Assumptions!$E$40)*MAX(0,Q13*Assumptions!$E$27-P29)</f>
        <v>0.882914926852624</v>
      </c>
      <c r="R29" s="26" t="n">
        <f aca="false">Q29*(1-Assumptions!$E$41)+R17*((1-(1-Assumptions!$E$32)^(1/12))*Assumptions!$E$40)*MAX(0,R13*Assumptions!$E$27-Q29)</f>
        <v>1.4052377620371</v>
      </c>
      <c r="S29" s="26" t="n">
        <f aca="false">R29*(1-Assumptions!$E$41)+S17*((1-(1-Assumptions!$E$32)^(1/12))*Assumptions!$E$40)*MAX(0,S13*Assumptions!$E$27-R29)</f>
        <v>1.9569444374578</v>
      </c>
      <c r="T29" s="26" t="n">
        <f aca="false">S29*(1-Assumptions!$E$41)+T17*((1-(1-Assumptions!$E$32)^(1/12))*Assumptions!$E$40)*MAX(0,T13*Assumptions!$E$27-S29)</f>
        <v>2.54735903775904</v>
      </c>
      <c r="U29" s="26" t="n">
        <f aca="false">T29*(1-Assumptions!$E$41)+U17*((1-(1-Assumptions!$E$32)^(1/12))*Assumptions!$E$40)*MAX(0,U13*Assumptions!$E$27-T29)</f>
        <v>3.18648455315006</v>
      </c>
      <c r="V29" s="26" t="n">
        <f aca="false">U29*(1-Assumptions!$E$41)+V17*((1-(1-Assumptions!$E$32)^(1/12))*Assumptions!$E$40)*MAX(0,V13*Assumptions!$E$27-U29)</f>
        <v>3.88492834148443</v>
      </c>
      <c r="W29" s="26" t="n">
        <f aca="false">V29*(1-Assumptions!$E$41)+W17*((1-(1-Assumptions!$E$32)^(1/12))*Assumptions!$E$40)*MAX(0,W13*Assumptions!$E$27-V29)</f>
        <v>4.64431611866111</v>
      </c>
      <c r="X29" s="26" t="n">
        <f aca="false">W29*(1-Assumptions!$E$41)+X17*((1-(1-Assumptions!$E$32)^(1/12))*Assumptions!$E$40)*MAX(0,X13*Assumptions!$E$27-W29)</f>
        <v>5.46129267561842</v>
      </c>
      <c r="Y29" s="26" t="n">
        <f aca="false">X29*(1-Assumptions!$E$41)+Y17*((1-(1-Assumptions!$E$32)^(1/12))*Assumptions!$E$40)*MAX(0,Y13*Assumptions!$E$27-X29)</f>
        <v>6.33750381967565</v>
      </c>
      <c r="Z29" s="26" t="n">
        <f aca="false">Y29*(1-Assumptions!$E$41)+Z17*((1-(1-Assumptions!$E$32)^(1/12))*Assumptions!$E$40)*MAX(0,Z13*Assumptions!$E$27-Y29)</f>
        <v>7.26802831704497</v>
      </c>
      <c r="AA29" s="26" t="n">
        <f aca="false">Z29*(1-Assumptions!$E$41)+AA17*((1-(1-Assumptions!$E$32)^(1/12))*Assumptions!$E$40)*MAX(0,AA13*Assumptions!$E$27-Z29)</f>
        <v>8.24833572021753</v>
      </c>
      <c r="AB29" s="26" t="n">
        <f aca="false">AA29*(1-Assumptions!$E$41)+AB17*((1-(1-Assumptions!$E$32)^(1/12))*Assumptions!$E$40)*MAX(0,AB13*Assumptions!$E$27-AA29)</f>
        <v>9.27425559278729</v>
      </c>
      <c r="AC29" s="26" t="n">
        <f aca="false">AB29*(1-Assumptions!$E$41)+AC17*((1-(1-Assumptions!$E$32)^(1/12))*Assumptions!$E$40)*MAX(0,AC13*Assumptions!$E$27-AB29)</f>
        <v>10.341949154072</v>
      </c>
      <c r="AD29" s="26" t="n">
        <f aca="false">AC29*(1-Assumptions!$E$41)+AD17*((1-(1-Assumptions!$E$32)^(1/12))*Assumptions!$E$40)*MAX(0,AD13*Assumptions!$E$27-AC29)</f>
        <v>11.4478831533238</v>
      </c>
      <c r="AE29" s="26" t="n">
        <f aca="false">AD29*(1-Assumptions!$E$41)+AE17*((1-(1-Assumptions!$E$32)^(1/12))*Assumptions!$E$40)*MAX(0,AE13*Assumptions!$E$27-AD29)</f>
        <v>12.5872195236161</v>
      </c>
      <c r="AF29" s="26" t="n">
        <f aca="false">AE29*(1-Assumptions!$E$41)+AF17*((1-(1-Assumptions!$E$32)^(1/12))*Assumptions!$E$40)*MAX(0,AF13*Assumptions!$E$27-AE29)</f>
        <v>13.7967710928508</v>
      </c>
      <c r="AG29" s="26" t="n">
        <f aca="false">AF29*(1-Assumptions!$E$41)+AG17*((1-(1-Assumptions!$E$32)^(1/12))*Assumptions!$E$40)*MAX(0,AG13*Assumptions!$E$27-AF29)</f>
        <v>15.0654499700001</v>
      </c>
      <c r="AH29" s="26" t="n">
        <f aca="false">AG29*(1-Assumptions!$E$41)+AH17*((1-(1-Assumptions!$E$32)^(1/12))*Assumptions!$E$40)*MAX(0,AH13*Assumptions!$E$27-AG29)</f>
        <v>16.3751919246123</v>
      </c>
      <c r="AI29" s="26" t="n">
        <f aca="false">AH29*(1-Assumptions!$E$41)+AI17*((1-(1-Assumptions!$E$32)^(1/12))*Assumptions!$E$40)*MAX(0,AI13*Assumptions!$E$27-AH29)</f>
        <v>17.7539695020551</v>
      </c>
      <c r="AJ29" s="26" t="n">
        <f aca="false">AI29*(1-Assumptions!$E$41)+AJ17*((1-(1-Assumptions!$E$32)^(1/12))*Assumptions!$E$40)*MAX(0,AJ13*Assumptions!$E$27-AI29)</f>
        <v>19.1842592140516</v>
      </c>
      <c r="AK29" s="26" t="n">
        <f aca="false">AJ29*(1-Assumptions!$E$41)+AK17*((1-(1-Assumptions!$E$32)^(1/12))*Assumptions!$E$40)*MAX(0,AK13*Assumptions!$E$27-AJ29)</f>
        <v>20.6469238136923</v>
      </c>
      <c r="AL29" s="26" t="n">
        <f aca="false">AK29*(1-Assumptions!$E$41)+AL17*((1-(1-Assumptions!$E$32)^(1/12))*Assumptions!$E$40)*MAX(0,AL13*Assumptions!$E$27-AK29)</f>
        <v>22.1626271428229</v>
      </c>
      <c r="AM29" s="26" t="n">
        <f aca="false">AL29*(1-Assumptions!$E$41)+AM17*((1-(1-Assumptions!$E$32)^(1/12))*Assumptions!$E$40)*MAX(0,AM13*Assumptions!$E$27-AL29)</f>
        <v>23.7151627142656</v>
      </c>
      <c r="AN29" s="37" t="n">
        <f aca="false">AM29*(1-Assumptions!$E$41)+AN17*((1-(1-Assumptions!$E$32)^(1/12))*Assumptions!$E$40)*MAX(0,AN13*Assumptions!$E$27-AM29)</f>
        <v>25.2866058722127</v>
      </c>
      <c r="AO29" s="37" t="n">
        <f aca="false">AN29*(1-Assumptions!$E$41)+AO17*((1-(1-Assumptions!$E$32)^(1/12))*Assumptions!$E$40)*MAX(0,AO13*Assumptions!$E$27-AN29)</f>
        <v>26.8987368595697</v>
      </c>
      <c r="AP29" s="37" t="n">
        <f aca="false">AO29*(1-Assumptions!$E$41)+AP17*((1-(1-Assumptions!$E$32)^(1/12))*Assumptions!$E$40)*MAX(0,AP13*Assumptions!$E$27-AO29)</f>
        <v>28.5363769738495</v>
      </c>
      <c r="AQ29" s="37" t="n">
        <f aca="false">AP29*(1-Assumptions!$E$41)+AQ17*((1-(1-Assumptions!$E$32)^(1/12))*Assumptions!$E$40)*MAX(0,AQ13*Assumptions!$E$27-AP29)</f>
        <v>30.1825477057566</v>
      </c>
      <c r="AR29" s="37" t="n">
        <f aca="false">AQ29*(1-Assumptions!$E$41)+AR17*((1-(1-Assumptions!$E$32)^(1/12))*Assumptions!$E$40)*MAX(0,AR13*Assumptions!$E$27-AQ29)</f>
        <v>31.8599002360462</v>
      </c>
      <c r="AS29" s="37" t="n">
        <f aca="false">AR29*(1-Assumptions!$E$41)+AS17*((1-(1-Assumptions!$E$32)^(1/12))*Assumptions!$E$40)*MAX(0,AS13*Assumptions!$E$27-AR29)</f>
        <v>33.5524712407308</v>
      </c>
      <c r="AT29" s="37" t="n">
        <f aca="false">AS29*(1-Assumptions!$E$41)+AT17*((1-(1-Assumptions!$E$32)^(1/12))*Assumptions!$E$40)*MAX(0,AT13*Assumptions!$E$27-AS29)</f>
        <v>35.2441685110206</v>
      </c>
      <c r="AU29" s="37" t="n">
        <f aca="false">AT29*(1-Assumptions!$E$41)+AU17*((1-(1-Assumptions!$E$32)^(1/12))*Assumptions!$E$40)*MAX(0,AU13*Assumptions!$E$27-AT29)</f>
        <v>36.9584587037864</v>
      </c>
      <c r="AV29" s="37" t="n">
        <f aca="false">AU29*(1-Assumptions!$E$41)+AV17*((1-(1-Assumptions!$E$32)^(1/12))*Assumptions!$E$40)*MAX(0,AV13*Assumptions!$E$27-AU29)</f>
        <v>38.6801287309295</v>
      </c>
      <c r="AW29" s="37" t="n">
        <f aca="false">AV29*(1-Assumptions!$E$41)+AW17*((1-(1-Assumptions!$E$32)^(1/12))*Assumptions!$E$40)*MAX(0,AW13*Assumptions!$E$27-AV29)</f>
        <v>40.3937765243128</v>
      </c>
      <c r="AX29" s="37" t="n">
        <f aca="false">AW29*(1-Assumptions!$E$41)+AX17*((1-(1-Assumptions!$E$32)^(1/12))*Assumptions!$E$40)*MAX(0,AX13*Assumptions!$E$27-AW29)</f>
        <v>42.1235035265662</v>
      </c>
      <c r="AY29" s="37" t="n">
        <f aca="false">AX29*(1-Assumptions!$E$41)+AY17*((1-(1-Assumptions!$E$32)^(1/12))*Assumptions!$E$40)*MAX(0,AY13*Assumptions!$E$27-AX29)</f>
        <v>43.8546804479577</v>
      </c>
      <c r="AZ29" s="37" t="n">
        <f aca="false">AY29*(1-Assumptions!$E$41)+AZ17*((1-(1-Assumptions!$E$32)^(1/12))*Assumptions!$E$40)*MAX(0,AZ13*Assumptions!$E$27-AY29)</f>
        <v>45.5724420552957</v>
      </c>
      <c r="BA29" s="37" t="n">
        <f aca="false">AZ29*(1-Assumptions!$E$41)+BA17*((1-(1-Assumptions!$E$32)^(1/12))*Assumptions!$E$40)*MAX(0,BA13*Assumptions!$E$27-AZ29)</f>
        <v>47.3013833701769</v>
      </c>
      <c r="BB29" s="37" t="n">
        <f aca="false">BA29*(1-Assumptions!$E$41)+BB17*((1-(1-Assumptions!$E$32)^(1/12))*Assumptions!$E$40)*MAX(0,BB13*Assumptions!$E$27-BA29)</f>
        <v>49.0273288416578</v>
      </c>
      <c r="BC29" s="37" t="n">
        <f aca="false">BB29*(1-Assumptions!$E$41)+BC17*((1-(1-Assumptions!$E$32)^(1/12))*Assumptions!$E$40)*MAX(0,BC13*Assumptions!$E$27-BB29)</f>
        <v>50.7342440075817</v>
      </c>
      <c r="BD29" s="37" t="n">
        <f aca="false">BC29*(1-Assumptions!$E$41)+BD17*((1-(1-Assumptions!$E$32)^(1/12))*Assumptions!$E$40)*MAX(0,BD13*Assumptions!$E$27-BC29)</f>
        <v>52.447255615511</v>
      </c>
      <c r="BE29" s="37" t="n">
        <f aca="false">BD29*(1-Assumptions!$E$41)+BE17*((1-(1-Assumptions!$E$32)^(1/12))*Assumptions!$E$40)*MAX(0,BE13*Assumptions!$E$27-BD29)</f>
        <v>54.1526766913951</v>
      </c>
      <c r="BF29" s="37" t="n">
        <f aca="false">BE29*(1-Assumptions!$E$41)+BF17*((1-(1-Assumptions!$E$32)^(1/12))*Assumptions!$E$40)*MAX(0,BF13*Assumptions!$E$27-BE29)</f>
        <v>55.8349216127132</v>
      </c>
      <c r="BG29" s="37" t="n">
        <f aca="false">BF29*(1-Assumptions!$E$41)+BG17*((1-(1-Assumptions!$E$32)^(1/12))*Assumptions!$E$40)*MAX(0,BG13*Assumptions!$E$27-BF29)</f>
        <v>57.5195293727538</v>
      </c>
      <c r="BH29" s="37" t="n">
        <f aca="false">BG29*(1-Assumptions!$E$41)+BH17*((1-(1-Assumptions!$E$32)^(1/12))*Assumptions!$E$40)*MAX(0,BH13*Assumptions!$E$27-BG29)</f>
        <v>59.1931915452625</v>
      </c>
      <c r="BI29" s="37" t="n">
        <f aca="false">BH29*(1-Assumptions!$E$41)+BI17*((1-(1-Assumptions!$E$32)^(1/12))*Assumptions!$E$40)*MAX(0,BI13*Assumptions!$E$27-BH29)</f>
        <v>60.8406700256498</v>
      </c>
      <c r="BJ29" s="37" t="n">
        <f aca="false">BI29*(1-Assumptions!$E$41)+BJ17*((1-(1-Assumptions!$E$32)^(1/12))*Assumptions!$E$40)*MAX(0,BJ13*Assumptions!$E$27-BI29)</f>
        <v>62.4878227533341</v>
      </c>
      <c r="BK29" s="37" t="n">
        <f aca="false">BJ29*(1-Assumptions!$E$41)+BK17*((1-(1-Assumptions!$E$32)^(1/12))*Assumptions!$E$40)*MAX(0,BK13*Assumptions!$E$27-BJ29)</f>
        <v>64.1216339409666</v>
      </c>
    </row>
    <row r="30" customFormat="false" ht="15" hidden="false" customHeight="false" outlineLevel="0" collapsed="false">
      <c r="A30" s="28" t="s">
        <v>577</v>
      </c>
      <c r="B30" s="6" t="s">
        <v>578</v>
      </c>
      <c r="C30" s="36" t="n">
        <v>0</v>
      </c>
      <c r="D30" s="26" t="n">
        <f aca="false">C30*(1-Assumptions!$E$41)+D16*((1-(1-Assumptions!$E$33)^(1/12))*Assumptions!$E$40)*MAX(0,D13*Assumptions!$E$28-C30)</f>
        <v>0</v>
      </c>
      <c r="E30" s="26" t="n">
        <f aca="false">D30*(1-Assumptions!$E$41)+E16*((1-(1-Assumptions!$E$33)^(1/12))*Assumptions!$E$40)*MAX(0,E13*Assumptions!$E$28-D30)</f>
        <v>0</v>
      </c>
      <c r="F30" s="26" t="n">
        <f aca="false">E30*(1-Assumptions!$E$41)+F16*((1-(1-Assumptions!$E$33)^(1/12))*Assumptions!$E$40)*MAX(0,F13*Assumptions!$E$28-E30)</f>
        <v>0</v>
      </c>
      <c r="G30" s="26" t="n">
        <f aca="false">F30*(1-Assumptions!$E$41)+G16*((1-(1-Assumptions!$E$33)^(1/12))*Assumptions!$E$40)*MAX(0,G13*Assumptions!$E$28-F30)</f>
        <v>0</v>
      </c>
      <c r="H30" s="26" t="n">
        <f aca="false">G30*(1-Assumptions!$E$41)+H16*((1-(1-Assumptions!$E$33)^(1/12))*Assumptions!$E$40)*MAX(0,H13*Assumptions!$E$28-G30)</f>
        <v>0</v>
      </c>
      <c r="I30" s="26" t="n">
        <f aca="false">H30*(1-Assumptions!$E$41)+I16*((1-(1-Assumptions!$E$33)^(1/12))*Assumptions!$E$40)*MAX(0,I13*Assumptions!$E$28-H30)</f>
        <v>0</v>
      </c>
      <c r="J30" s="26" t="n">
        <f aca="false">I30*(1-Assumptions!$E$41)+J16*((1-(1-Assumptions!$E$33)^(1/12))*Assumptions!$E$40)*MAX(0,J13*Assumptions!$E$28-I30)</f>
        <v>0</v>
      </c>
      <c r="K30" s="26" t="n">
        <f aca="false">J30*(1-Assumptions!$E$41)+K16*((1-(1-Assumptions!$E$33)^(1/12))*Assumptions!$E$40)*MAX(0,K13*Assumptions!$E$28-J30)</f>
        <v>0</v>
      </c>
      <c r="L30" s="26" t="n">
        <f aca="false">K30*(1-Assumptions!$E$41)+L16*((1-(1-Assumptions!$E$33)^(1/12))*Assumptions!$E$40)*MAX(0,L13*Assumptions!$E$28-K30)</f>
        <v>0</v>
      </c>
      <c r="M30" s="26" t="n">
        <f aca="false">L30*(1-Assumptions!$E$41)+M16*((1-(1-Assumptions!$E$33)^(1/12))*Assumptions!$E$40)*MAX(0,M13*Assumptions!$E$28-L30)</f>
        <v>0</v>
      </c>
      <c r="N30" s="26" t="n">
        <f aca="false">M30*(1-Assumptions!$E$41)+N16*((1-(1-Assumptions!$E$33)^(1/12))*Assumptions!$E$40)*MAX(0,N13*Assumptions!$E$28-M30)</f>
        <v>0</v>
      </c>
      <c r="O30" s="26" t="n">
        <f aca="false">N30*(1-Assumptions!$E$41)+O16*((1-(1-Assumptions!$E$33)^(1/12))*Assumptions!$E$40)*MAX(0,O13*Assumptions!$E$28-N30)</f>
        <v>0</v>
      </c>
      <c r="P30" s="26" t="n">
        <f aca="false">O30*(1-Assumptions!$E$41)+P16*((1-(1-Assumptions!$E$33)^(1/12))*Assumptions!$E$40)*MAX(0,P13*Assumptions!$E$28-O30)</f>
        <v>0</v>
      </c>
      <c r="Q30" s="26" t="n">
        <f aca="false">P30*(1-Assumptions!$E$41)+Q16*((1-(1-Assumptions!$E$33)^(1/12))*Assumptions!$E$40)*MAX(0,Q13*Assumptions!$E$28-P30)</f>
        <v>0</v>
      </c>
      <c r="R30" s="26" t="n">
        <f aca="false">Q30*(1-Assumptions!$E$41)+R16*((1-(1-Assumptions!$E$33)^(1/12))*Assumptions!$E$40)*MAX(0,R13*Assumptions!$E$28-Q30)</f>
        <v>0</v>
      </c>
      <c r="S30" s="26" t="n">
        <f aca="false">R30*(1-Assumptions!$E$41)+S16*((1-(1-Assumptions!$E$33)^(1/12))*Assumptions!$E$40)*MAX(0,S13*Assumptions!$E$28-R30)</f>
        <v>0</v>
      </c>
      <c r="T30" s="26" t="n">
        <f aca="false">S30*(1-Assumptions!$E$41)+T16*((1-(1-Assumptions!$E$33)^(1/12))*Assumptions!$E$40)*MAX(0,T13*Assumptions!$E$28-S30)</f>
        <v>0</v>
      </c>
      <c r="U30" s="26" t="n">
        <f aca="false">T30*(1-Assumptions!$E$41)+U16*((1-(1-Assumptions!$E$33)^(1/12))*Assumptions!$E$40)*MAX(0,U13*Assumptions!$E$28-T30)</f>
        <v>0</v>
      </c>
      <c r="V30" s="26" t="n">
        <f aca="false">U30*(1-Assumptions!$E$41)+V16*((1-(1-Assumptions!$E$33)^(1/12))*Assumptions!$E$40)*MAX(0,V13*Assumptions!$E$28-U30)</f>
        <v>0</v>
      </c>
      <c r="W30" s="26" t="n">
        <f aca="false">V30*(1-Assumptions!$E$41)+W16*((1-(1-Assumptions!$E$33)^(1/12))*Assumptions!$E$40)*MAX(0,W13*Assumptions!$E$28-V30)</f>
        <v>0.415750215049626</v>
      </c>
      <c r="X30" s="26" t="n">
        <f aca="false">W30*(1-Assumptions!$E$41)+X16*((1-(1-Assumptions!$E$33)^(1/12))*Assumptions!$E$40)*MAX(0,X13*Assumptions!$E$28-W30)</f>
        <v>0.851671644356988</v>
      </c>
      <c r="Y30" s="26" t="n">
        <f aca="false">X30*(1-Assumptions!$E$41)+Y16*((1-(1-Assumptions!$E$33)^(1/12))*Assumptions!$E$40)*MAX(0,Y13*Assumptions!$E$28-X30)</f>
        <v>1.30893126442694</v>
      </c>
      <c r="Z30" s="26" t="n">
        <f aca="false">Y30*(1-Assumptions!$E$41)+Z16*((1-(1-Assumptions!$E$33)^(1/12))*Assumptions!$E$40)*MAX(0,Z13*Assumptions!$E$28-Y30)</f>
        <v>1.78611040407871</v>
      </c>
      <c r="AA30" s="26" t="n">
        <f aca="false">Z30*(1-Assumptions!$E$41)+AA16*((1-(1-Assumptions!$E$33)^(1/12))*Assumptions!$E$40)*MAX(0,AA13*Assumptions!$E$28-Z30)</f>
        <v>2.28187937616122</v>
      </c>
      <c r="AB30" s="26" t="n">
        <f aca="false">AA30*(1-Assumptions!$E$41)+AB16*((1-(1-Assumptions!$E$33)^(1/12))*Assumptions!$E$40)*MAX(0,AB13*Assumptions!$E$28-AA30)</f>
        <v>2.79499197036088</v>
      </c>
      <c r="AC30" s="26" t="n">
        <f aca="false">AB30*(1-Assumptions!$E$41)+AC16*((1-(1-Assumptions!$E$33)^(1/12))*Assumptions!$E$40)*MAX(0,AC13*Assumptions!$E$28-AB30)</f>
        <v>3.32428028575424</v>
      </c>
      <c r="AD30" s="26" t="n">
        <f aca="false">AC30*(1-Assumptions!$E$41)+AD16*((1-(1-Assumptions!$E$33)^(1/12))*Assumptions!$E$40)*MAX(0,AD13*Assumptions!$E$28-AC30)</f>
        <v>3.86864988216248</v>
      </c>
      <c r="AE30" s="26" t="n">
        <f aca="false">AD30*(1-Assumptions!$E$41)+AE16*((1-(1-Assumptions!$E$33)^(1/12))*Assumptions!$E$40)*MAX(0,AE13*Assumptions!$E$28-AD30)</f>
        <v>4.42645583601936</v>
      </c>
      <c r="AF30" s="26" t="n">
        <f aca="false">AE30*(1-Assumptions!$E$41)+AF16*((1-(1-Assumptions!$E$33)^(1/12))*Assumptions!$E$40)*MAX(0,AF13*Assumptions!$E$28-AE30)</f>
        <v>5.01226958947913</v>
      </c>
      <c r="AG30" s="26" t="n">
        <f aca="false">AF30*(1-Assumptions!$E$41)+AG16*((1-(1-Assumptions!$E$33)^(1/12))*Assumptions!$E$40)*MAX(0,AG13*Assumptions!$E$28-AF30)</f>
        <v>5.62219053969538</v>
      </c>
      <c r="AH30" s="26" t="n">
        <f aca="false">AG30*(1-Assumptions!$E$41)+AH16*((1-(1-Assumptions!$E$33)^(1/12))*Assumptions!$E$40)*MAX(0,AH13*Assumptions!$E$28-AG30)</f>
        <v>6.24949411362277</v>
      </c>
      <c r="AI30" s="26" t="n">
        <f aca="false">AH30*(1-Assumptions!$E$41)+AI16*((1-(1-Assumptions!$E$33)^(1/12))*Assumptions!$E$40)*MAX(0,AI13*Assumptions!$E$28-AH30)</f>
        <v>6.90529179080335</v>
      </c>
      <c r="AJ30" s="26" t="n">
        <f aca="false">AI30*(1-Assumptions!$E$41)+AJ16*((1-(1-Assumptions!$E$33)^(1/12))*Assumptions!$E$40)*MAX(0,AJ13*Assumptions!$E$28-AI30)</f>
        <v>7.58310388101307</v>
      </c>
      <c r="AK30" s="26" t="n">
        <f aca="false">AJ30*(1-Assumptions!$E$41)+AK16*((1-(1-Assumptions!$E$33)^(1/12))*Assumptions!$E$40)*MAX(0,AK13*Assumptions!$E$28-AJ30)</f>
        <v>8.27568208743078</v>
      </c>
      <c r="AL30" s="26" t="n">
        <f aca="false">AK30*(1-Assumptions!$E$41)+AL16*((1-(1-Assumptions!$E$33)^(1/12))*Assumptions!$E$40)*MAX(0,AL13*Assumptions!$E$28-AK30)</f>
        <v>8.99117865356418</v>
      </c>
      <c r="AM30" s="26" t="n">
        <f aca="false">AL30*(1-Assumptions!$E$41)+AM16*((1-(1-Assumptions!$E$33)^(1/12))*Assumptions!$E$40)*MAX(0,AM13*Assumptions!$E$28-AL30)</f>
        <v>9.72348080418437</v>
      </c>
      <c r="AN30" s="37" t="n">
        <f aca="false">AM30*(1-Assumptions!$E$41)+AN16*((1-(1-Assumptions!$E$33)^(1/12))*Assumptions!$E$40)*MAX(0,AN13*Assumptions!$E$28-AM30)</f>
        <v>10.4656841959493</v>
      </c>
      <c r="AO30" s="37" t="n">
        <f aca="false">AN30*(1-Assumptions!$E$41)+AO16*((1-(1-Assumptions!$E$33)^(1/12))*Assumptions!$E$40)*MAX(0,AO13*Assumptions!$E$28-AN30)</f>
        <v>11.2262634846342</v>
      </c>
      <c r="AP30" s="37" t="n">
        <f aca="false">AO30*(1-Assumptions!$E$41)+AP16*((1-(1-Assumptions!$E$33)^(1/12))*Assumptions!$E$40)*MAX(0,AP13*Assumptions!$E$28-AO30)</f>
        <v>11.9994080987613</v>
      </c>
      <c r="AQ30" s="37" t="n">
        <f aca="false">AP30*(1-Assumptions!$E$41)+AQ16*((1-(1-Assumptions!$E$33)^(1/12))*Assumptions!$E$40)*MAX(0,AQ13*Assumptions!$E$28-AP30)</f>
        <v>12.7784969407115</v>
      </c>
      <c r="AR30" s="37" t="n">
        <f aca="false">AQ30*(1-Assumptions!$E$41)+AR16*((1-(1-Assumptions!$E$33)^(1/12))*Assumptions!$E$40)*MAX(0,AR13*Assumptions!$E$28-AQ30)</f>
        <v>13.5722701273006</v>
      </c>
      <c r="AS30" s="37" t="n">
        <f aca="false">AR30*(1-Assumptions!$E$41)+AS16*((1-(1-Assumptions!$E$33)^(1/12))*Assumptions!$E$40)*MAX(0,AS13*Assumptions!$E$28-AR30)</f>
        <v>14.3745464697345</v>
      </c>
      <c r="AT30" s="37" t="n">
        <f aca="false">AS30*(1-Assumptions!$E$41)+AT16*((1-(1-Assumptions!$E$33)^(1/12))*Assumptions!$E$40)*MAX(0,AT13*Assumptions!$E$28-AS30)</f>
        <v>15.1789854597457</v>
      </c>
      <c r="AU30" s="37" t="n">
        <f aca="false">AT30*(1-Assumptions!$E$41)+AU16*((1-(1-Assumptions!$E$33)^(1/12))*Assumptions!$E$40)*MAX(0,AU13*Assumptions!$E$28-AT30)</f>
        <v>15.9945900577429</v>
      </c>
      <c r="AV30" s="37" t="n">
        <f aca="false">AU30*(1-Assumptions!$E$41)+AV16*((1-(1-Assumptions!$E$33)^(1/12))*Assumptions!$E$40)*MAX(0,AV13*Assumptions!$E$28-AU30)</f>
        <v>16.8154252731998</v>
      </c>
      <c r="AW30" s="37" t="n">
        <f aca="false">AV30*(1-Assumptions!$E$41)+AW16*((1-(1-Assumptions!$E$33)^(1/12))*Assumptions!$E$40)*MAX(0,AW13*Assumptions!$E$28-AV30)</f>
        <v>17.6353811833065</v>
      </c>
      <c r="AX30" s="37" t="n">
        <f aca="false">AW30*(1-Assumptions!$E$41)+AX16*((1-(1-Assumptions!$E$33)^(1/12))*Assumptions!$E$40)*MAX(0,AX13*Assumptions!$E$28-AW30)</f>
        <v>18.4636766899018</v>
      </c>
      <c r="AY30" s="37" t="n">
        <f aca="false">AX30*(1-Assumptions!$E$41)+AY16*((1-(1-Assumptions!$E$33)^(1/12))*Assumptions!$E$40)*MAX(0,AY13*Assumptions!$E$28-AX30)</f>
        <v>19.2945790088427</v>
      </c>
      <c r="AZ30" s="37" t="n">
        <f aca="false">AY30*(1-Assumptions!$E$41)+AZ16*((1-(1-Assumptions!$E$33)^(1/12))*Assumptions!$E$40)*MAX(0,AZ13*Assumptions!$E$28-AY30)</f>
        <v>20.1221675415192</v>
      </c>
      <c r="BA30" s="37" t="n">
        <f aca="false">AZ30*(1-Assumptions!$E$41)+BA16*((1-(1-Assumptions!$E$33)^(1/12))*Assumptions!$E$40)*MAX(0,BA13*Assumptions!$E$28-AZ30)</f>
        <v>20.9558384319957</v>
      </c>
      <c r="BB30" s="37" t="n">
        <f aca="false">BA30*(1-Assumptions!$E$41)+BB16*((1-(1-Assumptions!$E$33)^(1/12))*Assumptions!$E$40)*MAX(0,BB13*Assumptions!$E$28-BA30)</f>
        <v>21.7900248071784</v>
      </c>
      <c r="BC30" s="37" t="n">
        <f aca="false">BB30*(1-Assumptions!$E$41)+BC16*((1-(1-Assumptions!$E$33)^(1/12))*Assumptions!$E$40)*MAX(0,BC13*Assumptions!$E$28-BB30)</f>
        <v>22.6183419581299</v>
      </c>
      <c r="BD30" s="37" t="n">
        <f aca="false">BC30*(1-Assumptions!$E$41)+BD16*((1-(1-Assumptions!$E$33)^(1/12))*Assumptions!$E$40)*MAX(0,BD13*Assumptions!$E$28-BC30)</f>
        <v>23.4503788101291</v>
      </c>
      <c r="BE30" s="37" t="n">
        <f aca="false">BD30*(1-Assumptions!$E$41)+BE16*((1-(1-Assumptions!$E$33)^(1/12))*Assumptions!$E$40)*MAX(0,BE13*Assumptions!$E$28-BD30)</f>
        <v>24.28074886122</v>
      </c>
      <c r="BF30" s="37" t="n">
        <f aca="false">BE30*(1-Assumptions!$E$41)+BF16*((1-(1-Assumptions!$E$33)^(1/12))*Assumptions!$E$40)*MAX(0,BF13*Assumptions!$E$28-BE30)</f>
        <v>25.1032361362706</v>
      </c>
      <c r="BG30" s="37" t="n">
        <f aca="false">BF30*(1-Assumptions!$E$41)+BG16*((1-(1-Assumptions!$E$33)^(1/12))*Assumptions!$E$40)*MAX(0,BG13*Assumptions!$E$28-BF30)</f>
        <v>25.9275873820362</v>
      </c>
      <c r="BH30" s="37" t="n">
        <f aca="false">BG30*(1-Assumptions!$E$41)+BH16*((1-(1-Assumptions!$E$33)^(1/12))*Assumptions!$E$40)*MAX(0,BH13*Assumptions!$E$28-BG30)</f>
        <v>26.748563685913</v>
      </c>
      <c r="BI30" s="37" t="n">
        <f aca="false">BH30*(1-Assumptions!$E$41)+BI16*((1-(1-Assumptions!$E$33)^(1/12))*Assumptions!$E$40)*MAX(0,BI13*Assumptions!$E$28-BH30)</f>
        <v>27.5600870681688</v>
      </c>
      <c r="BJ30" s="37" t="n">
        <f aca="false">BI30*(1-Assumptions!$E$41)+BJ16*((1-(1-Assumptions!$E$33)^(1/12))*Assumptions!$E$40)*MAX(0,BJ13*Assumptions!$E$28-BI30)</f>
        <v>28.3720332757329</v>
      </c>
      <c r="BK30" s="37" t="n">
        <f aca="false">BJ30*(1-Assumptions!$E$41)+BK16*((1-(1-Assumptions!$E$33)^(1/12))*Assumptions!$E$40)*MAX(0,BK13*Assumptions!$E$28-BJ30)</f>
        <v>29.1792839626685</v>
      </c>
    </row>
    <row r="31" customFormat="false" ht="15" hidden="false" customHeight="false" outlineLevel="0" collapsed="false">
      <c r="A31" s="28" t="s">
        <v>579</v>
      </c>
      <c r="B31" s="6" t="s">
        <v>580</v>
      </c>
      <c r="C31" s="36" t="n">
        <v>0</v>
      </c>
      <c r="D31" s="26" t="n">
        <f aca="false">C31*(1-Assumptions!$E$41)+D16*((1-(1-Assumptions!$E$34)^(1/12))*Assumptions!$E$40)*MAX(0,D13*Assumptions!$E$29-C31)</f>
        <v>0</v>
      </c>
      <c r="E31" s="26" t="n">
        <f aca="false">D31*(1-Assumptions!$E$41)+E16*((1-(1-Assumptions!$E$34)^(1/12))*Assumptions!$E$40)*MAX(0,E13*Assumptions!$E$29-D31)</f>
        <v>0</v>
      </c>
      <c r="F31" s="26" t="n">
        <f aca="false">E31*(1-Assumptions!$E$41)+F16*((1-(1-Assumptions!$E$34)^(1/12))*Assumptions!$E$40)*MAX(0,F13*Assumptions!$E$29-E31)</f>
        <v>0</v>
      </c>
      <c r="G31" s="26" t="n">
        <f aca="false">F31*(1-Assumptions!$E$41)+G16*((1-(1-Assumptions!$E$34)^(1/12))*Assumptions!$E$40)*MAX(0,G13*Assumptions!$E$29-F31)</f>
        <v>0</v>
      </c>
      <c r="H31" s="26" t="n">
        <f aca="false">G31*(1-Assumptions!$E$41)+H16*((1-(1-Assumptions!$E$34)^(1/12))*Assumptions!$E$40)*MAX(0,H13*Assumptions!$E$29-G31)</f>
        <v>0</v>
      </c>
      <c r="I31" s="26" t="n">
        <f aca="false">H31*(1-Assumptions!$E$41)+I16*((1-(1-Assumptions!$E$34)^(1/12))*Assumptions!$E$40)*MAX(0,I13*Assumptions!$E$29-H31)</f>
        <v>0</v>
      </c>
      <c r="J31" s="26" t="n">
        <f aca="false">I31*(1-Assumptions!$E$41)+J16*((1-(1-Assumptions!$E$34)^(1/12))*Assumptions!$E$40)*MAX(0,J13*Assumptions!$E$29-I31)</f>
        <v>0</v>
      </c>
      <c r="K31" s="26" t="n">
        <f aca="false">J31*(1-Assumptions!$E$41)+K16*((1-(1-Assumptions!$E$34)^(1/12))*Assumptions!$E$40)*MAX(0,K13*Assumptions!$E$29-J31)</f>
        <v>0</v>
      </c>
      <c r="L31" s="26" t="n">
        <f aca="false">K31*(1-Assumptions!$E$41)+L16*((1-(1-Assumptions!$E$34)^(1/12))*Assumptions!$E$40)*MAX(0,L13*Assumptions!$E$29-K31)</f>
        <v>0</v>
      </c>
      <c r="M31" s="26" t="n">
        <f aca="false">L31*(1-Assumptions!$E$41)+M16*((1-(1-Assumptions!$E$34)^(1/12))*Assumptions!$E$40)*MAX(0,M13*Assumptions!$E$29-L31)</f>
        <v>0</v>
      </c>
      <c r="N31" s="26" t="n">
        <f aca="false">M31*(1-Assumptions!$E$41)+N16*((1-(1-Assumptions!$E$34)^(1/12))*Assumptions!$E$40)*MAX(0,N13*Assumptions!$E$29-M31)</f>
        <v>0</v>
      </c>
      <c r="O31" s="26" t="n">
        <f aca="false">N31*(1-Assumptions!$E$41)+O16*((1-(1-Assumptions!$E$34)^(1/12))*Assumptions!$E$40)*MAX(0,O13*Assumptions!$E$29-N31)</f>
        <v>0</v>
      </c>
      <c r="P31" s="26" t="n">
        <f aca="false">O31*(1-Assumptions!$E$41)+P16*((1-(1-Assumptions!$E$34)^(1/12))*Assumptions!$E$40)*MAX(0,P13*Assumptions!$E$29-O31)</f>
        <v>0</v>
      </c>
      <c r="Q31" s="26" t="n">
        <f aca="false">P31*(1-Assumptions!$E$41)+Q16*((1-(1-Assumptions!$E$34)^(1/12))*Assumptions!$E$40)*MAX(0,Q13*Assumptions!$E$29-P31)</f>
        <v>0</v>
      </c>
      <c r="R31" s="26" t="n">
        <f aca="false">Q31*(1-Assumptions!$E$41)+R16*((1-(1-Assumptions!$E$34)^(1/12))*Assumptions!$E$40)*MAX(0,R13*Assumptions!$E$29-Q31)</f>
        <v>0</v>
      </c>
      <c r="S31" s="26" t="n">
        <f aca="false">R31*(1-Assumptions!$E$41)+S16*((1-(1-Assumptions!$E$34)^(1/12))*Assumptions!$E$40)*MAX(0,S13*Assumptions!$E$29-R31)</f>
        <v>0</v>
      </c>
      <c r="T31" s="26" t="n">
        <f aca="false">S31*(1-Assumptions!$E$41)+T16*((1-(1-Assumptions!$E$34)^(1/12))*Assumptions!$E$40)*MAX(0,T13*Assumptions!$E$29-S31)</f>
        <v>0</v>
      </c>
      <c r="U31" s="26" t="n">
        <f aca="false">T31*(1-Assumptions!$E$41)+U16*((1-(1-Assumptions!$E$34)^(1/12))*Assumptions!$E$40)*MAX(0,U13*Assumptions!$E$29-T31)</f>
        <v>0</v>
      </c>
      <c r="V31" s="26" t="n">
        <f aca="false">U31*(1-Assumptions!$E$41)+V16*((1-(1-Assumptions!$E$34)^(1/12))*Assumptions!$E$40)*MAX(0,V13*Assumptions!$E$29-U31)</f>
        <v>0</v>
      </c>
      <c r="W31" s="26" t="n">
        <f aca="false">V31*(1-Assumptions!$E$41)+W16*((1-(1-Assumptions!$E$34)^(1/12))*Assumptions!$E$40)*MAX(0,W13*Assumptions!$E$29-V31)</f>
        <v>0.0766066829744839</v>
      </c>
      <c r="X31" s="26" t="n">
        <f aca="false">W31*(1-Assumptions!$E$41)+X16*((1-(1-Assumptions!$E$34)^(1/12))*Assumptions!$E$40)*MAX(0,X13*Assumptions!$E$29-W31)</f>
        <v>0.158683359096483</v>
      </c>
      <c r="Y31" s="26" t="n">
        <f aca="false">X31*(1-Assumptions!$E$41)+Y16*((1-(1-Assumptions!$E$34)^(1/12))*Assumptions!$E$40)*MAX(0,Y13*Assumptions!$E$29-X31)</f>
        <v>0.246462196490836</v>
      </c>
      <c r="Z31" s="26" t="n">
        <f aca="false">Y31*(1-Assumptions!$E$41)+Z16*((1-(1-Assumptions!$E$34)^(1/12))*Assumptions!$E$40)*MAX(0,Z13*Assumptions!$E$29-Y31)</f>
        <v>0.339703185557647</v>
      </c>
      <c r="AA31" s="26" t="n">
        <f aca="false">Z31*(1-Assumptions!$E$41)+AA16*((1-(1-Assumptions!$E$34)^(1/12))*Assumptions!$E$40)*MAX(0,AA13*Assumptions!$E$29-Z31)</f>
        <v>0.438175901535857</v>
      </c>
      <c r="AB31" s="26" t="n">
        <f aca="false">AA31*(1-Assumptions!$E$41)+AB16*((1-(1-Assumptions!$E$34)^(1/12))*Assumptions!$E$40)*MAX(0,AB13*Assumptions!$E$29-AA31)</f>
        <v>0.541659128873946</v>
      </c>
      <c r="AC31" s="26" t="n">
        <f aca="false">AB31*(1-Assumptions!$E$41)+AC16*((1-(1-Assumptions!$E$34)^(1/12))*Assumptions!$E$40)*MAX(0,AC13*Assumptions!$E$29-AB31)</f>
        <v>0.649940500217569</v>
      </c>
      <c r="AD31" s="26" t="n">
        <f aca="false">AC31*(1-Assumptions!$E$41)+AD16*((1-(1-Assumptions!$E$34)^(1/12))*Assumptions!$E$40)*MAX(0,AD13*Assumptions!$E$29-AC31)</f>
        <v>0.762816149446894</v>
      </c>
      <c r="AE31" s="26" t="n">
        <f aca="false">AD31*(1-Assumptions!$E$41)+AE16*((1-(1-Assumptions!$E$34)^(1/12))*Assumptions!$E$40)*MAX(0,AE13*Assumptions!$E$29-AD31)</f>
        <v>0.879976247745736</v>
      </c>
      <c r="AF31" s="26" t="n">
        <f aca="false">AE31*(1-Assumptions!$E$41)+AF16*((1-(1-Assumptions!$E$34)^(1/12))*Assumptions!$E$40)*MAX(0,AF13*Assumptions!$E$29-AE31)</f>
        <v>1.00409233943995</v>
      </c>
      <c r="AG31" s="26" t="n">
        <f aca="false">AF31*(1-Assumptions!$E$41)+AG16*((1-(1-Assumptions!$E$34)^(1/12))*Assumptions!$E$40)*MAX(0,AG13*Assumptions!$E$29-AF31)</f>
        <v>1.13449425272922</v>
      </c>
      <c r="AH31" s="26" t="n">
        <f aca="false">AG31*(1-Assumptions!$E$41)+AH16*((1-(1-Assumptions!$E$34)^(1/12))*Assumptions!$E$40)*MAX(0,AH13*Assumptions!$E$29-AG31)</f>
        <v>1.26997313726641</v>
      </c>
      <c r="AI31" s="26" t="n">
        <f aca="false">AH31*(1-Assumptions!$E$41)+AI16*((1-(1-Assumptions!$E$34)^(1/12))*Assumptions!$E$40)*MAX(0,AI13*Assumptions!$E$29-AH31)</f>
        <v>1.41257710866013</v>
      </c>
      <c r="AJ31" s="26" t="n">
        <f aca="false">AI31*(1-Assumptions!$E$41)+AJ16*((1-(1-Assumptions!$E$34)^(1/12))*Assumptions!$E$40)*MAX(0,AJ13*Assumptions!$E$29-AI31)</f>
        <v>1.56115974037519</v>
      </c>
      <c r="AK31" s="26" t="n">
        <f aca="false">AJ31*(1-Assumptions!$E$41)+AK16*((1-(1-Assumptions!$E$34)^(1/12))*Assumptions!$E$40)*MAX(0,AK13*Assumptions!$E$29-AJ31)</f>
        <v>1.71440381517988</v>
      </c>
      <c r="AL31" s="26" t="n">
        <f aca="false">AK31*(1-Assumptions!$E$41)+AL16*((1-(1-Assumptions!$E$34)^(1/12))*Assumptions!$E$40)*MAX(0,AL13*Assumptions!$E$29-AK31)</f>
        <v>1.87379856221749</v>
      </c>
      <c r="AM31" s="26" t="n">
        <f aca="false">AL31*(1-Assumptions!$E$41)+AM16*((1-(1-Assumptions!$E$34)^(1/12))*Assumptions!$E$40)*MAX(0,AM13*Assumptions!$E$29-AL31)</f>
        <v>2.03823959778313</v>
      </c>
      <c r="AN31" s="37" t="n">
        <f aca="false">AM31*(1-Assumptions!$E$41)+AN16*((1-(1-Assumptions!$E$34)^(1/12))*Assumptions!$E$40)*MAX(0,AN13*Assumptions!$E$29-AM31)</f>
        <v>2.20645005428177</v>
      </c>
      <c r="AO31" s="37" t="n">
        <f aca="false">AN31*(1-Assumptions!$E$41)+AO16*((1-(1-Assumptions!$E$34)^(1/12))*Assumptions!$E$40)*MAX(0,AO13*Assumptions!$E$29-AN31)</f>
        <v>2.37995788386274</v>
      </c>
      <c r="AP31" s="37" t="n">
        <f aca="false">AO31*(1-Assumptions!$E$41)+AP16*((1-(1-Assumptions!$E$34)^(1/12))*Assumptions!$E$40)*MAX(0,AP13*Assumptions!$E$29-AO31)</f>
        <v>2.55769586316606</v>
      </c>
      <c r="AQ31" s="37" t="n">
        <f aca="false">AP31*(1-Assumptions!$E$41)+AQ16*((1-(1-Assumptions!$E$34)^(1/12))*Assumptions!$E$40)*MAX(0,AQ13*Assumptions!$E$29-AP31)</f>
        <v>2.73842278375759</v>
      </c>
      <c r="AR31" s="37" t="n">
        <f aca="false">AQ31*(1-Assumptions!$E$41)+AR16*((1-(1-Assumptions!$E$34)^(1/12))*Assumptions!$E$40)*MAX(0,AR13*Assumptions!$E$29-AQ31)</f>
        <v>2.92370081484477</v>
      </c>
      <c r="AS31" s="37" t="n">
        <f aca="false">AR31*(1-Assumptions!$E$41)+AS16*((1-(1-Assumptions!$E$34)^(1/12))*Assumptions!$E$40)*MAX(0,AS13*Assumptions!$E$29-AR31)</f>
        <v>3.11238143432886</v>
      </c>
      <c r="AT31" s="37" t="n">
        <f aca="false">AS31*(1-Assumptions!$E$41)+AT16*((1-(1-Assumptions!$E$34)^(1/12))*Assumptions!$E$40)*MAX(0,AT13*Assumptions!$E$29-AS31)</f>
        <v>3.30326106830601</v>
      </c>
      <c r="AU31" s="37" t="n">
        <f aca="false">AT31*(1-Assumptions!$E$41)+AU16*((1-(1-Assumptions!$E$34)^(1/12))*Assumptions!$E$40)*MAX(0,AU13*Assumptions!$E$29-AT31)</f>
        <v>3.49793797888952</v>
      </c>
      <c r="AV31" s="37" t="n">
        <f aca="false">AU31*(1-Assumptions!$E$41)+AV16*((1-(1-Assumptions!$E$34)^(1/12))*Assumptions!$E$40)*MAX(0,AV13*Assumptions!$E$29-AU31)</f>
        <v>3.69529825624117</v>
      </c>
      <c r="AW31" s="37" t="n">
        <f aca="false">AV31*(1-Assumptions!$E$41)+AW16*((1-(1-Assumptions!$E$34)^(1/12))*Assumptions!$E$40)*MAX(0,AW13*Assumptions!$E$29-AV31)</f>
        <v>3.8941715166701</v>
      </c>
      <c r="AX31" s="37" t="n">
        <f aca="false">AW31*(1-Assumptions!$E$41)+AX16*((1-(1-Assumptions!$E$34)^(1/12))*Assumptions!$E$40)*MAX(0,AX13*Assumptions!$E$29-AW31)</f>
        <v>4.09618784676412</v>
      </c>
      <c r="AY31" s="37" t="n">
        <f aca="false">AX31*(1-Assumptions!$E$41)+AY16*((1-(1-Assumptions!$E$34)^(1/12))*Assumptions!$E$40)*MAX(0,AY13*Assumptions!$E$29-AX31)</f>
        <v>4.30026384953044</v>
      </c>
      <c r="AZ31" s="37" t="n">
        <f aca="false">AY31*(1-Assumptions!$E$41)+AZ16*((1-(1-Assumptions!$E$34)^(1/12))*Assumptions!$E$40)*MAX(0,AZ13*Assumptions!$E$29-AY31)</f>
        <v>4.50525839448963</v>
      </c>
      <c r="BA31" s="37" t="n">
        <f aca="false">AZ31*(1-Assumptions!$E$41)+BA16*((1-(1-Assumptions!$E$34)^(1/12))*Assumptions!$E$40)*MAX(0,BA13*Assumptions!$E$29-AZ31)</f>
        <v>4.71282961176993</v>
      </c>
      <c r="BB31" s="37" t="n">
        <f aca="false">BA31*(1-Assumptions!$E$41)+BB16*((1-(1-Assumptions!$E$34)^(1/12))*Assumptions!$E$40)*MAX(0,BB13*Assumptions!$E$29-BA31)</f>
        <v>4.92192098625789</v>
      </c>
      <c r="BC31" s="37" t="n">
        <f aca="false">BB31*(1-Assumptions!$E$41)+BC16*((1-(1-Assumptions!$E$34)^(1/12))*Assumptions!$E$40)*MAX(0,BC13*Assumptions!$E$29-BB31)</f>
        <v>5.13130302335248</v>
      </c>
      <c r="BD31" s="37" t="n">
        <f aca="false">BC31*(1-Assumptions!$E$41)+BD16*((1-(1-Assumptions!$E$34)^(1/12))*Assumptions!$E$40)*MAX(0,BD13*Assumptions!$E$29-BC31)</f>
        <v>5.3426646818887</v>
      </c>
      <c r="BE31" s="37" t="n">
        <f aca="false">BD31*(1-Assumptions!$E$41)+BE16*((1-(1-Assumptions!$E$34)^(1/12))*Assumptions!$E$40)*MAX(0,BE13*Assumptions!$E$29-BD31)</f>
        <v>5.55497898355149</v>
      </c>
      <c r="BF31" s="37" t="n">
        <f aca="false">BE31*(1-Assumptions!$E$41)+BF16*((1-(1-Assumptions!$E$34)^(1/12))*Assumptions!$E$40)*MAX(0,BF13*Assumptions!$E$29-BE31)</f>
        <v>5.76704473014376</v>
      </c>
      <c r="BG31" s="37" t="n">
        <f aca="false">BF31*(1-Assumptions!$E$41)+BG16*((1-(1-Assumptions!$E$34)^(1/12))*Assumptions!$E$40)*MAX(0,BG13*Assumptions!$E$29-BF31)</f>
        <v>5.98057798600627</v>
      </c>
      <c r="BH31" s="37" t="n">
        <f aca="false">BG31*(1-Assumptions!$E$41)+BH16*((1-(1-Assumptions!$E$34)^(1/12))*Assumptions!$E$40)*MAX(0,BH13*Assumptions!$E$29-BG31)</f>
        <v>6.19457773498861</v>
      </c>
      <c r="BI31" s="37" t="n">
        <f aca="false">BH31*(1-Assumptions!$E$41)+BI16*((1-(1-Assumptions!$E$34)^(1/12))*Assumptions!$E$40)*MAX(0,BI13*Assumptions!$E$29-BH31)</f>
        <v>6.40786764341054</v>
      </c>
      <c r="BJ31" s="37" t="n">
        <f aca="false">BI31*(1-Assumptions!$E$41)+BJ16*((1-(1-Assumptions!$E$34)^(1/12))*Assumptions!$E$40)*MAX(0,BJ13*Assumptions!$E$29-BI31)</f>
        <v>6.62218758638398</v>
      </c>
      <c r="BK31" s="37" t="n">
        <f aca="false">BJ31*(1-Assumptions!$E$41)+BK16*((1-(1-Assumptions!$E$34)^(1/12))*Assumptions!$E$40)*MAX(0,BK13*Assumptions!$E$29-BJ31)</f>
        <v>6.83655934696465</v>
      </c>
    </row>
    <row r="32" customFormat="false" ht="15" hidden="false" customHeight="false" outlineLevel="0" collapsed="false">
      <c r="A32" s="28" t="s">
        <v>581</v>
      </c>
      <c r="B32" s="6" t="s">
        <v>582</v>
      </c>
      <c r="C32" s="36" t="n">
        <v>0</v>
      </c>
      <c r="D32" s="26" t="n">
        <f aca="false">D27+D28+D29+D30+D31</f>
        <v>0</v>
      </c>
      <c r="E32" s="26" t="n">
        <f aca="false">E27+E28+E29+E30+E31</f>
        <v>0</v>
      </c>
      <c r="F32" s="26" t="n">
        <f aca="false">F27+F28+F29+F30+F31</f>
        <v>0</v>
      </c>
      <c r="G32" s="26" t="n">
        <f aca="false">G27+G28+G29+G30+G31</f>
        <v>0</v>
      </c>
      <c r="H32" s="26" t="n">
        <f aca="false">H27+H28+H29+H30+H31</f>
        <v>0</v>
      </c>
      <c r="I32" s="26" t="n">
        <f aca="false">I27+I28+I29+I30+I31</f>
        <v>0</v>
      </c>
      <c r="J32" s="26" t="n">
        <f aca="false">J27+J28+J29+J30+J31</f>
        <v>0</v>
      </c>
      <c r="K32" s="26" t="n">
        <f aca="false">K27+K28+K29+K30+K31</f>
        <v>0</v>
      </c>
      <c r="L32" s="26" t="n">
        <f aca="false">L27+L28+L29+L30+L31</f>
        <v>0</v>
      </c>
      <c r="M32" s="26" t="n">
        <f aca="false">M27+M28+M29+M30+M31</f>
        <v>0</v>
      </c>
      <c r="N32" s="26" t="n">
        <f aca="false">N27+N28+N29+N30+N31</f>
        <v>0</v>
      </c>
      <c r="O32" s="26" t="n">
        <f aca="false">O27+O28+O29+O30+O31</f>
        <v>0</v>
      </c>
      <c r="P32" s="26" t="n">
        <f aca="false">P27+P28+P29+P30+P31</f>
        <v>0.419863757473559</v>
      </c>
      <c r="Q32" s="26" t="n">
        <f aca="false">Q27+Q28+Q29+Q30+Q31</f>
        <v>0.882914926852624</v>
      </c>
      <c r="R32" s="26" t="n">
        <f aca="false">R27+R28+R29+R30+R31</f>
        <v>1.4052377620371</v>
      </c>
      <c r="S32" s="26" t="n">
        <f aca="false">S27+S28+S29+S30+S31</f>
        <v>1.9569444374578</v>
      </c>
      <c r="T32" s="26" t="n">
        <f aca="false">T27+T28+T29+T30+T31</f>
        <v>2.54735903775904</v>
      </c>
      <c r="U32" s="26" t="n">
        <f aca="false">U27+U28+U29+U30+U31</f>
        <v>3.18648455315006</v>
      </c>
      <c r="V32" s="26" t="n">
        <f aca="false">V27+V28+V29+V30+V31</f>
        <v>3.88492834148443</v>
      </c>
      <c r="W32" s="26" t="n">
        <f aca="false">W27+W28+W29+W30+W31</f>
        <v>7.56984926298309</v>
      </c>
      <c r="X32" s="26" t="n">
        <f aca="false">X27+X28+X29+X30+X31</f>
        <v>11.4358975915295</v>
      </c>
      <c r="Y32" s="26" t="n">
        <f aca="false">Y27+Y28+Y29+Y30+Y31</f>
        <v>15.4935946294608</v>
      </c>
      <c r="Z32" s="26" t="n">
        <f aca="false">Z27+Z28+Z29+Z30+Z31</f>
        <v>19.7285981482395</v>
      </c>
      <c r="AA32" s="26" t="n">
        <f aca="false">AA27+AA28+AA29+AA30+AA31</f>
        <v>24.127603576893</v>
      </c>
      <c r="AB32" s="26" t="n">
        <f aca="false">AB27+AB28+AB29+AB30+AB31</f>
        <v>28.6782683980894</v>
      </c>
      <c r="AC32" s="26" t="n">
        <f aca="false">AC27+AC28+AC29+AC30+AC31</f>
        <v>33.3691421206452</v>
      </c>
      <c r="AD32" s="26" t="n">
        <f aca="false">AD27+AD28+AD29+AD30+AD31</f>
        <v>38.1896014126595</v>
      </c>
      <c r="AE32" s="26" t="n">
        <f aca="false">AE27+AE28+AE29+AE30+AE31</f>
        <v>43.1238452066827</v>
      </c>
      <c r="AF32" s="26" t="n">
        <f aca="false">AF27+AF28+AF29+AF30+AF31</f>
        <v>48.3118586112794</v>
      </c>
      <c r="AG32" s="26" t="n">
        <f aca="false">AG27+AG28+AG29+AG30+AG31</f>
        <v>53.7150472267632</v>
      </c>
      <c r="AH32" s="26" t="n">
        <f aca="false">AH27+AH28+AH29+AH30+AH31</f>
        <v>59.268149308121</v>
      </c>
      <c r="AI32" s="26" t="n">
        <f aca="false">AI27+AI28+AI29+AI30+AI31</f>
        <v>65.0777380586576</v>
      </c>
      <c r="AJ32" s="26" t="n">
        <f aca="false">AJ27+AJ28+AJ29+AJ30+AJ31</f>
        <v>71.0805819469473</v>
      </c>
      <c r="AK32" s="26" t="n">
        <f aca="false">AK27+AK28+AK29+AK30+AK31</f>
        <v>77.2067259455842</v>
      </c>
      <c r="AL32" s="26" t="n">
        <f aca="false">AL27+AL28+AL29+AL30+AL31</f>
        <v>83.5346934231193</v>
      </c>
      <c r="AM32" s="26" t="n">
        <f aca="false">AM27+AM28+AM29+AM30+AM31</f>
        <v>90.0053576101844</v>
      </c>
      <c r="AN32" s="37" t="n">
        <f aca="false">AN27+AN28+AN29+AN30+AN31</f>
        <v>96.5525681534296</v>
      </c>
      <c r="AO32" s="37" t="n">
        <f aca="false">AO27+AO28+AO29+AO30+AO31</f>
        <v>103.258375074119</v>
      </c>
      <c r="AP32" s="37" t="n">
        <f aca="false">AP27+AP28+AP29+AP30+AP31</f>
        <v>110.066920662136</v>
      </c>
      <c r="AQ32" s="37" t="n">
        <f aca="false">AQ27+AQ28+AQ29+AQ30+AQ31</f>
        <v>116.915084941799</v>
      </c>
      <c r="AR32" s="37" t="n">
        <f aca="false">AR27+AR28+AR29+AR30+AR31</f>
        <v>123.887727139833</v>
      </c>
      <c r="AS32" s="37" t="n">
        <f aca="false">AS27+AS28+AS29+AS30+AS31</f>
        <v>130.925648987149</v>
      </c>
      <c r="AT32" s="37" t="n">
        <f aca="false">AT27+AT28+AT29+AT30+AT31</f>
        <v>137.968654676274</v>
      </c>
      <c r="AU32" s="37" t="n">
        <f aca="false">AU27+AU28+AU29+AU30+AU31</f>
        <v>145.104313543843</v>
      </c>
      <c r="AV32" s="37" t="n">
        <f aca="false">AV27+AV28+AV29+AV30+AV31</f>
        <v>152.275939040096</v>
      </c>
      <c r="AW32" s="37" t="n">
        <f aca="false">AW27+AW28+AW29+AW30+AW31</f>
        <v>159.425663196078</v>
      </c>
      <c r="AX32" s="37" t="n">
        <f aca="false">AX27+AX28+AX29+AX30+AX31</f>
        <v>166.643212744326</v>
      </c>
      <c r="AY32" s="37" t="n">
        <f aca="false">AY27+AY28+AY29+AY30+AY31</f>
        <v>173.873900534911</v>
      </c>
      <c r="AZ32" s="37" t="n">
        <f aca="false">AZ27+AZ28+AZ29+AZ30+AZ31</f>
        <v>181.06171153142</v>
      </c>
      <c r="BA32" s="37" t="n">
        <f aca="false">BA27+BA28+BA29+BA30+BA31</f>
        <v>188.29808961101</v>
      </c>
      <c r="BB32" s="37" t="n">
        <f aca="false">BB27+BB28+BB29+BB30+BB31</f>
        <v>195.52993887363</v>
      </c>
      <c r="BC32" s="37" t="n">
        <f aca="false">BC27+BC28+BC29+BC30+BC31</f>
        <v>202.696773999388</v>
      </c>
      <c r="BD32" s="37" t="n">
        <f aca="false">BD27+BD28+BD29+BD30+BD31</f>
        <v>209.891915020709</v>
      </c>
      <c r="BE32" s="37" t="n">
        <f aca="false">BE27+BE28+BE29+BE30+BE31</f>
        <v>217.064003813727</v>
      </c>
      <c r="BF32" s="37" t="n">
        <f aca="false">BF27+BF28+BF29+BF30+BF31</f>
        <v>224.154164541512</v>
      </c>
      <c r="BG32" s="37" t="n">
        <f aca="false">BG27+BG28+BG29+BG30+BG31</f>
        <v>231.257207770703</v>
      </c>
      <c r="BH32" s="37" t="n">
        <f aca="false">BH27+BH28+BH29+BH30+BH31</f>
        <v>238.323155621038</v>
      </c>
      <c r="BI32" s="37" t="n">
        <f aca="false">BI27+BI28+BI29+BI30+BI31</f>
        <v>245.294410231314</v>
      </c>
      <c r="BJ32" s="37" t="n">
        <f aca="false">BJ27+BJ28+BJ29+BJ30+BJ31</f>
        <v>252.266965310491</v>
      </c>
      <c r="BK32" s="37" t="n">
        <f aca="false">BK27+BK28+BK29+BK30+BK31</f>
        <v>259.191938176997</v>
      </c>
    </row>
    <row r="33" customFormat="false" ht="15" hidden="false" customHeight="false" outlineLevel="0" collapsed="false">
      <c r="A33" s="28" t="s">
        <v>583</v>
      </c>
      <c r="B33" s="6" t="s">
        <v>584</v>
      </c>
      <c r="C33" s="42"/>
      <c r="D33" s="26" t="n">
        <f aca="false">D27*(1-Assumptions!$E$35)+D28*(1-Assumptions!$E$36)+D29*(1-Assumptions!$E$37)+D30*(1-Assumptions!$E$38)+D31*(1-Assumptions!$E$39)</f>
        <v>0</v>
      </c>
      <c r="E33" s="26" t="n">
        <f aca="false">E27*(1-Assumptions!$E$35)+E28*(1-Assumptions!$E$36)+E29*(1-Assumptions!$E$37)+E30*(1-Assumptions!$E$38)+E31*(1-Assumptions!$E$39)</f>
        <v>0</v>
      </c>
      <c r="F33" s="26" t="n">
        <f aca="false">F27*(1-Assumptions!$E$35)+F28*(1-Assumptions!$E$36)+F29*(1-Assumptions!$E$37)+F30*(1-Assumptions!$E$38)+F31*(1-Assumptions!$E$39)</f>
        <v>0</v>
      </c>
      <c r="G33" s="26" t="n">
        <f aca="false">G27*(1-Assumptions!$E$35)+G28*(1-Assumptions!$E$36)+G29*(1-Assumptions!$E$37)+G30*(1-Assumptions!$E$38)+G31*(1-Assumptions!$E$39)</f>
        <v>0</v>
      </c>
      <c r="H33" s="26" t="n">
        <f aca="false">H27*(1-Assumptions!$E$35)+H28*(1-Assumptions!$E$36)+H29*(1-Assumptions!$E$37)+H30*(1-Assumptions!$E$38)+H31*(1-Assumptions!$E$39)</f>
        <v>0</v>
      </c>
      <c r="I33" s="26" t="n">
        <f aca="false">I27*(1-Assumptions!$E$35)+I28*(1-Assumptions!$E$36)+I29*(1-Assumptions!$E$37)+I30*(1-Assumptions!$E$38)+I31*(1-Assumptions!$E$39)</f>
        <v>0</v>
      </c>
      <c r="J33" s="26" t="n">
        <f aca="false">J27*(1-Assumptions!$E$35)+J28*(1-Assumptions!$E$36)+J29*(1-Assumptions!$E$37)+J30*(1-Assumptions!$E$38)+J31*(1-Assumptions!$E$39)</f>
        <v>0</v>
      </c>
      <c r="K33" s="26" t="n">
        <f aca="false">K27*(1-Assumptions!$E$35)+K28*(1-Assumptions!$E$36)+K29*(1-Assumptions!$E$37)+K30*(1-Assumptions!$E$38)+K31*(1-Assumptions!$E$39)</f>
        <v>0</v>
      </c>
      <c r="L33" s="26" t="n">
        <f aca="false">L27*(1-Assumptions!$E$35)+L28*(1-Assumptions!$E$36)+L29*(1-Assumptions!$E$37)+L30*(1-Assumptions!$E$38)+L31*(1-Assumptions!$E$39)</f>
        <v>0</v>
      </c>
      <c r="M33" s="26" t="n">
        <f aca="false">M27*(1-Assumptions!$E$35)+M28*(1-Assumptions!$E$36)+M29*(1-Assumptions!$E$37)+M30*(1-Assumptions!$E$38)+M31*(1-Assumptions!$E$39)</f>
        <v>0</v>
      </c>
      <c r="N33" s="26" t="n">
        <f aca="false">N27*(1-Assumptions!$E$35)+N28*(1-Assumptions!$E$36)+N29*(1-Assumptions!$E$37)+N30*(1-Assumptions!$E$38)+N31*(1-Assumptions!$E$39)</f>
        <v>0</v>
      </c>
      <c r="O33" s="26" t="n">
        <f aca="false">O27*(1-Assumptions!$E$35)+O28*(1-Assumptions!$E$36)+O29*(1-Assumptions!$E$37)+O30*(1-Assumptions!$E$38)+O31*(1-Assumptions!$E$39)</f>
        <v>0</v>
      </c>
      <c r="P33" s="26" t="n">
        <f aca="false">P27*(1-Assumptions!$E$35)+P28*(1-Assumptions!$E$36)+P29*(1-Assumptions!$E$37)+P30*(1-Assumptions!$E$38)+P31*(1-Assumptions!$E$39)</f>
        <v>0.0629795636210339</v>
      </c>
      <c r="Q33" s="26" t="n">
        <f aca="false">Q27*(1-Assumptions!$E$35)+Q28*(1-Assumptions!$E$36)+Q29*(1-Assumptions!$E$37)+Q30*(1-Assumptions!$E$38)+Q31*(1-Assumptions!$E$39)</f>
        <v>0.132437239027894</v>
      </c>
      <c r="R33" s="26" t="n">
        <f aca="false">R27*(1-Assumptions!$E$35)+R28*(1-Assumptions!$E$36)+R29*(1-Assumptions!$E$37)+R30*(1-Assumptions!$E$38)+R31*(1-Assumptions!$E$39)</f>
        <v>0.210785664305565</v>
      </c>
      <c r="S33" s="26" t="n">
        <f aca="false">S27*(1-Assumptions!$E$35)+S28*(1-Assumptions!$E$36)+S29*(1-Assumptions!$E$37)+S30*(1-Assumptions!$E$38)+S31*(1-Assumptions!$E$39)</f>
        <v>0.29354166561867</v>
      </c>
      <c r="T33" s="26" t="n">
        <f aca="false">T27*(1-Assumptions!$E$35)+T28*(1-Assumptions!$E$36)+T29*(1-Assumptions!$E$37)+T30*(1-Assumptions!$E$38)+T31*(1-Assumptions!$E$39)</f>
        <v>0.382103855663856</v>
      </c>
      <c r="U33" s="26" t="n">
        <f aca="false">U27*(1-Assumptions!$E$35)+U28*(1-Assumptions!$E$36)+U29*(1-Assumptions!$E$37)+U30*(1-Assumptions!$E$38)+U31*(1-Assumptions!$E$39)</f>
        <v>0.47797268297251</v>
      </c>
      <c r="V33" s="26" t="n">
        <f aca="false">V27*(1-Assumptions!$E$35)+V28*(1-Assumptions!$E$36)+V29*(1-Assumptions!$E$37)+V30*(1-Assumptions!$E$38)+V31*(1-Assumptions!$E$39)</f>
        <v>0.582739251222665</v>
      </c>
      <c r="W33" s="26" t="n">
        <f aca="false">W27*(1-Assumptions!$E$35)+W28*(1-Assumptions!$E$36)+W29*(1-Assumptions!$E$37)+W30*(1-Assumptions!$E$38)+W31*(1-Assumptions!$E$39)</f>
        <v>3.37579668529137</v>
      </c>
      <c r="X33" s="26" t="n">
        <f aca="false">X27*(1-Assumptions!$E$35)+X28*(1-Assumptions!$E$36)+X29*(1-Assumptions!$E$37)+X30*(1-Assumptions!$E$38)+X31*(1-Assumptions!$E$39)</f>
        <v>6.29008482832389</v>
      </c>
      <c r="Y33" s="26" t="n">
        <f aca="false">Y27*(1-Assumptions!$E$35)+Y28*(1-Assumptions!$E$36)+Y29*(1-Assumptions!$E$37)+Y30*(1-Assumptions!$E$38)+Y31*(1-Assumptions!$E$39)</f>
        <v>9.33400213596506</v>
      </c>
      <c r="Z33" s="26" t="n">
        <f aca="false">Z27*(1-Assumptions!$E$35)+Z28*(1-Assumptions!$E$36)+Z29*(1-Assumptions!$E$37)+Z30*(1-Assumptions!$E$38)+Z31*(1-Assumptions!$E$39)</f>
        <v>12.4982031454498</v>
      </c>
      <c r="AA33" s="26" t="n">
        <f aca="false">AA27*(1-Assumptions!$E$35)+AA28*(1-Assumptions!$E$36)+AA29*(1-Assumptions!$E$37)+AA30*(1-Assumptions!$E$38)+AA31*(1-Assumptions!$E$39)</f>
        <v>15.7739937729108</v>
      </c>
      <c r="AB33" s="26" t="n">
        <f aca="false">AB27*(1-Assumptions!$E$35)+AB28*(1-Assumptions!$E$36)+AB29*(1-Assumptions!$E$37)+AB30*(1-Assumptions!$E$38)+AB31*(1-Assumptions!$E$39)</f>
        <v>19.1532854678086</v>
      </c>
      <c r="AC33" s="26" t="n">
        <f aca="false">AC27*(1-Assumptions!$E$35)+AC28*(1-Assumptions!$E$36)+AC29*(1-Assumptions!$E$37)+AC30*(1-Assumptions!$E$38)+AC31*(1-Assumptions!$E$39)</f>
        <v>22.6285526449277</v>
      </c>
      <c r="AD33" s="26" t="n">
        <f aca="false">AD27*(1-Assumptions!$E$35)+AD28*(1-Assumptions!$E$36)+AD29*(1-Assumptions!$E$37)+AD30*(1-Assumptions!$E$38)+AD31*(1-Assumptions!$E$39)</f>
        <v>26.1927931562992</v>
      </c>
      <c r="AE33" s="26" t="n">
        <f aca="false">AE27*(1-Assumptions!$E$35)+AE28*(1-Assumptions!$E$36)+AE29*(1-Assumptions!$E$37)+AE30*(1-Assumptions!$E$38)+AE31*(1-Assumptions!$E$39)</f>
        <v>29.8352621808381</v>
      </c>
      <c r="AF33" s="26" t="n">
        <f aca="false">AF27*(1-Assumptions!$E$35)+AF28*(1-Assumptions!$E$36)+AF29*(1-Assumptions!$E$37)+AF30*(1-Assumptions!$E$38)+AF31*(1-Assumptions!$E$39)</f>
        <v>33.655986026037</v>
      </c>
      <c r="AG33" s="26" t="n">
        <f aca="false">AG27*(1-Assumptions!$E$35)+AG28*(1-Assumptions!$E$36)+AG29*(1-Assumptions!$E$37)+AG30*(1-Assumptions!$E$38)+AG31*(1-Assumptions!$E$39)</f>
        <v>37.6281119671376</v>
      </c>
      <c r="AH33" s="26" t="n">
        <f aca="false">AH27*(1-Assumptions!$E$35)+AH28*(1-Assumptions!$E$36)+AH29*(1-Assumptions!$E$37)+AH30*(1-Assumptions!$E$38)+AH31*(1-Assumptions!$E$39)</f>
        <v>41.7057134314827</v>
      </c>
      <c r="AI33" s="26" t="n">
        <f aca="false">AI27*(1-Assumptions!$E$35)+AI28*(1-Assumptions!$E$36)+AI29*(1-Assumptions!$E$37)+AI30*(1-Assumptions!$E$38)+AI31*(1-Assumptions!$E$39)</f>
        <v>45.9649814618129</v>
      </c>
      <c r="AJ33" s="26" t="n">
        <f aca="false">AJ27*(1-Assumptions!$E$35)+AJ28*(1-Assumptions!$E$36)+AJ29*(1-Assumptions!$E$37)+AJ30*(1-Assumptions!$E$38)+AJ31*(1-Assumptions!$E$39)</f>
        <v>50.3614274951242</v>
      </c>
      <c r="AK33" s="26" t="n">
        <f aca="false">AK27*(1-Assumptions!$E$35)+AK28*(1-Assumptions!$E$36)+AK29*(1-Assumptions!$E$37)+AK30*(1-Assumptions!$E$38)+AK31*(1-Assumptions!$E$39)</f>
        <v>54.8456502662525</v>
      </c>
      <c r="AL33" s="26" t="n">
        <f aca="false">AL27*(1-Assumptions!$E$35)+AL28*(1-Assumptions!$E$36)+AL29*(1-Assumptions!$E$37)+AL30*(1-Assumptions!$E$38)+AL31*(1-Assumptions!$E$39)</f>
        <v>59.4737523024248</v>
      </c>
      <c r="AM33" s="26" t="n">
        <f aca="false">AM27*(1-Assumptions!$E$35)+AM28*(1-Assumptions!$E$36)+AM29*(1-Assumptions!$E$37)+AM30*(1-Assumptions!$E$38)+AM31*(1-Assumptions!$E$39)</f>
        <v>64.2040013371057</v>
      </c>
      <c r="AN33" s="37" t="n">
        <f aca="false">AN27*(1-Assumptions!$E$35)+AN28*(1-Assumptions!$E$36)+AN29*(1-Assumptions!$E$37)+AN30*(1-Assumptions!$E$38)+AN31*(1-Assumptions!$E$39)</f>
        <v>68.9895565017147</v>
      </c>
      <c r="AO33" s="37" t="n">
        <f aca="false">AO27*(1-Assumptions!$E$35)+AO28*(1-Assumptions!$E$36)+AO29*(1-Assumptions!$E$37)+AO30*(1-Assumptions!$E$38)+AO31*(1-Assumptions!$E$39)</f>
        <v>73.8888988557918</v>
      </c>
      <c r="AP33" s="37" t="n">
        <f aca="false">AP27*(1-Assumptions!$E$35)+AP28*(1-Assumptions!$E$36)+AP29*(1-Assumptions!$E$37)+AP30*(1-Assumptions!$E$38)+AP31*(1-Assumptions!$E$39)</f>
        <v>78.8625058184179</v>
      </c>
      <c r="AQ33" s="37" t="n">
        <f aca="false">AQ27*(1-Assumptions!$E$35)+AQ28*(1-Assumptions!$E$36)+AQ29*(1-Assumptions!$E$37)+AQ30*(1-Assumptions!$E$38)+AQ31*(1-Assumptions!$E$39)</f>
        <v>83.865589434114</v>
      </c>
      <c r="AR33" s="37" t="n">
        <f aca="false">AR27*(1-Assumptions!$E$35)+AR28*(1-Assumptions!$E$36)+AR29*(1-Assumptions!$E$37)+AR30*(1-Assumptions!$E$38)+AR31*(1-Assumptions!$E$39)</f>
        <v>88.9585381029216</v>
      </c>
      <c r="AS33" s="37" t="n">
        <f aca="false">AS27*(1-Assumptions!$E$35)+AS28*(1-Assumptions!$E$36)+AS29*(1-Assumptions!$E$37)+AS30*(1-Assumptions!$E$38)+AS31*(1-Assumptions!$E$39)</f>
        <v>94.0993719994895</v>
      </c>
      <c r="AT33" s="37" t="n">
        <f aca="false">AT27*(1-Assumptions!$E$35)+AT28*(1-Assumptions!$E$36)+AT29*(1-Assumptions!$E$37)+AT30*(1-Assumptions!$E$38)+AT31*(1-Assumptions!$E$39)</f>
        <v>99.2453038221228</v>
      </c>
      <c r="AU33" s="37" t="n">
        <f aca="false">AU27*(1-Assumptions!$E$35)+AU28*(1-Assumptions!$E$36)+AU29*(1-Assumptions!$E$37)+AU30*(1-Assumptions!$E$38)+AU31*(1-Assumptions!$E$39)</f>
        <v>104.45858028813</v>
      </c>
      <c r="AV33" s="37" t="n">
        <f aca="false">AV27*(1-Assumptions!$E$35)+AV28*(1-Assumptions!$E$36)+AV29*(1-Assumptions!$E$37)+AV30*(1-Assumptions!$E$38)+AV31*(1-Assumptions!$E$39)</f>
        <v>109.698947697859</v>
      </c>
      <c r="AW33" s="37" t="n">
        <f aca="false">AW27*(1-Assumptions!$E$35)+AW28*(1-Assumptions!$E$36)+AW29*(1-Assumptions!$E$37)+AW30*(1-Assumptions!$E$38)+AW31*(1-Assumptions!$E$39)</f>
        <v>114.925222096831</v>
      </c>
      <c r="AX33" s="37" t="n">
        <f aca="false">AX27*(1-Assumptions!$E$35)+AX28*(1-Assumptions!$E$36)+AX29*(1-Assumptions!$E$37)+AX30*(1-Assumptions!$E$38)+AX31*(1-Assumptions!$E$39)</f>
        <v>120.20113950572</v>
      </c>
      <c r="AY33" s="37" t="n">
        <f aca="false">AY27*(1-Assumptions!$E$35)+AY28*(1-Assumptions!$E$36)+AY29*(1-Assumptions!$E$37)+AY30*(1-Assumptions!$E$38)+AY31*(1-Assumptions!$E$39)</f>
        <v>125.487829590066</v>
      </c>
      <c r="AZ33" s="37" t="n">
        <f aca="false">AZ27*(1-Assumptions!$E$35)+AZ28*(1-Assumptions!$E$36)+AZ29*(1-Assumptions!$E$37)+AZ30*(1-Assumptions!$E$38)+AZ31*(1-Assumptions!$E$39)</f>
        <v>130.745393344957</v>
      </c>
      <c r="BA33" s="37" t="n">
        <f aca="false">BA27*(1-Assumptions!$E$35)+BA28*(1-Assumptions!$E$36)+BA29*(1-Assumptions!$E$37)+BA30*(1-Assumptions!$E$38)+BA31*(1-Assumptions!$E$39)</f>
        <v>136.038760306907</v>
      </c>
      <c r="BB33" s="37" t="n">
        <f aca="false">BB27*(1-Assumptions!$E$35)+BB28*(1-Assumptions!$E$36)+BB29*(1-Assumptions!$E$37)+BB30*(1-Assumptions!$E$38)+BB31*(1-Assumptions!$E$39)</f>
        <v>141.330168704141</v>
      </c>
      <c r="BC33" s="37" t="n">
        <f aca="false">BC27*(1-Assumptions!$E$35)+BC28*(1-Assumptions!$E$36)+BC29*(1-Assumptions!$E$37)+BC30*(1-Assumptions!$E$38)+BC31*(1-Assumptions!$E$39)</f>
        <v>146.576519754988</v>
      </c>
      <c r="BD33" s="37" t="n">
        <f aca="false">BD27*(1-Assumptions!$E$35)+BD28*(1-Assumptions!$E$36)+BD29*(1-Assumptions!$E$37)+BD30*(1-Assumptions!$E$38)+BD31*(1-Assumptions!$E$39)</f>
        <v>151.844053308827</v>
      </c>
      <c r="BE33" s="37" t="n">
        <f aca="false">BE27*(1-Assumptions!$E$35)+BE28*(1-Assumptions!$E$36)+BE29*(1-Assumptions!$E$37)+BE30*(1-Assumptions!$E$38)+BE31*(1-Assumptions!$E$39)</f>
        <v>157.096224003797</v>
      </c>
      <c r="BF33" s="37" t="n">
        <f aca="false">BF27*(1-Assumptions!$E$35)+BF28*(1-Assumptions!$E$36)+BF29*(1-Assumptions!$E$37)+BF30*(1-Assumptions!$E$38)+BF31*(1-Assumptions!$E$39)</f>
        <v>162.291062226705</v>
      </c>
      <c r="BG33" s="37" t="n">
        <f aca="false">BG27*(1-Assumptions!$E$35)+BG28*(1-Assumptions!$E$36)+BG29*(1-Assumptions!$E$37)+BG30*(1-Assumptions!$E$38)+BG31*(1-Assumptions!$E$39)</f>
        <v>167.495855937757</v>
      </c>
      <c r="BH33" s="37" t="n">
        <f aca="false">BH27*(1-Assumptions!$E$35)+BH28*(1-Assumptions!$E$36)+BH29*(1-Assumptions!$E$37)+BH30*(1-Assumptions!$E$38)+BH31*(1-Assumptions!$E$39)</f>
        <v>172.675032569047</v>
      </c>
      <c r="BI33" s="37" t="n">
        <f aca="false">BI27*(1-Assumptions!$E$35)+BI28*(1-Assumptions!$E$36)+BI29*(1-Assumptions!$E$37)+BI30*(1-Assumptions!$E$38)+BI31*(1-Assumptions!$E$39)</f>
        <v>177.787525314357</v>
      </c>
      <c r="BJ33" s="37" t="n">
        <f aca="false">BJ27*(1-Assumptions!$E$35)+BJ28*(1-Assumptions!$E$36)+BJ29*(1-Assumptions!$E$37)+BJ30*(1-Assumptions!$E$38)+BJ31*(1-Assumptions!$E$39)</f>
        <v>182.901459902685</v>
      </c>
      <c r="BK33" s="37" t="n">
        <f aca="false">BK27*(1-Assumptions!$E$35)+BK28*(1-Assumptions!$E$36)+BK29*(1-Assumptions!$E$37)+BK30*(1-Assumptions!$E$38)+BK31*(1-Assumptions!$E$39)</f>
        <v>187.982041092055</v>
      </c>
    </row>
    <row r="34" customFormat="false" ht="15" hidden="false" customHeight="false" outlineLevel="0" collapsed="false">
      <c r="A34" s="28" t="s">
        <v>585</v>
      </c>
      <c r="B34" s="6" t="s">
        <v>586</v>
      </c>
      <c r="C34" s="42"/>
      <c r="D34" s="26" t="n">
        <f aca="false">D27*Assumptions!$E$35+D28*Assumptions!$E$36+D29*Assumptions!$E$37+D30*Assumptions!$E$38+D31*Assumptions!$E$39</f>
        <v>0</v>
      </c>
      <c r="E34" s="26" t="n">
        <f aca="false">E27*Assumptions!$E$35+E28*Assumptions!$E$36+E29*Assumptions!$E$37+E30*Assumptions!$E$38+E31*Assumptions!$E$39</f>
        <v>0</v>
      </c>
      <c r="F34" s="26" t="n">
        <f aca="false">F27*Assumptions!$E$35+F28*Assumptions!$E$36+F29*Assumptions!$E$37+F30*Assumptions!$E$38+F31*Assumptions!$E$39</f>
        <v>0</v>
      </c>
      <c r="G34" s="26" t="n">
        <f aca="false">G27*Assumptions!$E$35+G28*Assumptions!$E$36+G29*Assumptions!$E$37+G30*Assumptions!$E$38+G31*Assumptions!$E$39</f>
        <v>0</v>
      </c>
      <c r="H34" s="26" t="n">
        <f aca="false">H27*Assumptions!$E$35+H28*Assumptions!$E$36+H29*Assumptions!$E$37+H30*Assumptions!$E$38+H31*Assumptions!$E$39</f>
        <v>0</v>
      </c>
      <c r="I34" s="26" t="n">
        <f aca="false">I27*Assumptions!$E$35+I28*Assumptions!$E$36+I29*Assumptions!$E$37+I30*Assumptions!$E$38+I31*Assumptions!$E$39</f>
        <v>0</v>
      </c>
      <c r="J34" s="26" t="n">
        <f aca="false">J27*Assumptions!$E$35+J28*Assumptions!$E$36+J29*Assumptions!$E$37+J30*Assumptions!$E$38+J31*Assumptions!$E$39</f>
        <v>0</v>
      </c>
      <c r="K34" s="26" t="n">
        <f aca="false">K27*Assumptions!$E$35+K28*Assumptions!$E$36+K29*Assumptions!$E$37+K30*Assumptions!$E$38+K31*Assumptions!$E$39</f>
        <v>0</v>
      </c>
      <c r="L34" s="26" t="n">
        <f aca="false">L27*Assumptions!$E$35+L28*Assumptions!$E$36+L29*Assumptions!$E$37+L30*Assumptions!$E$38+L31*Assumptions!$E$39</f>
        <v>0</v>
      </c>
      <c r="M34" s="26" t="n">
        <f aca="false">M27*Assumptions!$E$35+M28*Assumptions!$E$36+M29*Assumptions!$E$37+M30*Assumptions!$E$38+M31*Assumptions!$E$39</f>
        <v>0</v>
      </c>
      <c r="N34" s="26" t="n">
        <f aca="false">N27*Assumptions!$E$35+N28*Assumptions!$E$36+N29*Assumptions!$E$37+N30*Assumptions!$E$38+N31*Assumptions!$E$39</f>
        <v>0</v>
      </c>
      <c r="O34" s="26" t="n">
        <f aca="false">O27*Assumptions!$E$35+O28*Assumptions!$E$36+O29*Assumptions!$E$37+O30*Assumptions!$E$38+O31*Assumptions!$E$39</f>
        <v>0</v>
      </c>
      <c r="P34" s="26" t="n">
        <f aca="false">P27*Assumptions!$E$35+P28*Assumptions!$E$36+P29*Assumptions!$E$37+P30*Assumptions!$E$38+P31*Assumptions!$E$39</f>
        <v>0.356884193852525</v>
      </c>
      <c r="Q34" s="26" t="n">
        <f aca="false">Q27*Assumptions!$E$35+Q28*Assumptions!$E$36+Q29*Assumptions!$E$37+Q30*Assumptions!$E$38+Q31*Assumptions!$E$39</f>
        <v>0.75047768782473</v>
      </c>
      <c r="R34" s="26" t="n">
        <f aca="false">R27*Assumptions!$E$35+R28*Assumptions!$E$36+R29*Assumptions!$E$37+R30*Assumptions!$E$38+R31*Assumptions!$E$39</f>
        <v>1.19445209773153</v>
      </c>
      <c r="S34" s="26" t="n">
        <f aca="false">S27*Assumptions!$E$35+S28*Assumptions!$E$36+S29*Assumptions!$E$37+S30*Assumptions!$E$38+S31*Assumptions!$E$39</f>
        <v>1.66340277183913</v>
      </c>
      <c r="T34" s="26" t="n">
        <f aca="false">T27*Assumptions!$E$35+T28*Assumptions!$E$36+T29*Assumptions!$E$37+T30*Assumptions!$E$38+T31*Assumptions!$E$39</f>
        <v>2.16525518209519</v>
      </c>
      <c r="U34" s="26" t="n">
        <f aca="false">U27*Assumptions!$E$35+U28*Assumptions!$E$36+U29*Assumptions!$E$37+U30*Assumptions!$E$38+U31*Assumptions!$E$39</f>
        <v>2.70851187017755</v>
      </c>
      <c r="V34" s="26" t="n">
        <f aca="false">V27*Assumptions!$E$35+V28*Assumptions!$E$36+V29*Assumptions!$E$37+V30*Assumptions!$E$38+V31*Assumptions!$E$39</f>
        <v>3.30218909026177</v>
      </c>
      <c r="W34" s="26" t="n">
        <f aca="false">W27*Assumptions!$E$35+W28*Assumptions!$E$36+W29*Assumptions!$E$37+W30*Assumptions!$E$38+W31*Assumptions!$E$39</f>
        <v>4.19405257769172</v>
      </c>
      <c r="X34" s="26" t="n">
        <f aca="false">X27*Assumptions!$E$35+X28*Assumptions!$E$36+X29*Assumptions!$E$37+X30*Assumptions!$E$38+X31*Assumptions!$E$39</f>
        <v>5.14581276320564</v>
      </c>
      <c r="Y34" s="26" t="n">
        <f aca="false">Y27*Assumptions!$E$35+Y28*Assumptions!$E$36+Y29*Assumptions!$E$37+Y30*Assumptions!$E$38+Y31*Assumptions!$E$39</f>
        <v>6.15959249349575</v>
      </c>
      <c r="Z34" s="26" t="n">
        <f aca="false">Z27*Assumptions!$E$35+Z28*Assumptions!$E$36+Z29*Assumptions!$E$37+Z30*Assumptions!$E$38+Z31*Assumptions!$E$39</f>
        <v>7.23039500278975</v>
      </c>
      <c r="AA34" s="26" t="n">
        <f aca="false">AA27*Assumptions!$E$35+AA28*Assumptions!$E$36+AA29*Assumptions!$E$37+AA30*Assumptions!$E$38+AA31*Assumptions!$E$39</f>
        <v>8.35360980398219</v>
      </c>
      <c r="AB34" s="26" t="n">
        <f aca="false">AB27*Assumptions!$E$35+AB28*Assumptions!$E$36+AB29*Assumptions!$E$37+AB30*Assumptions!$E$38+AB31*Assumptions!$E$39</f>
        <v>9.52498293028082</v>
      </c>
      <c r="AC34" s="26" t="n">
        <f aca="false">AC27*Assumptions!$E$35+AC28*Assumptions!$E$36+AC29*Assumptions!$E$37+AC30*Assumptions!$E$38+AC31*Assumptions!$E$39</f>
        <v>10.7405894757175</v>
      </c>
      <c r="AD34" s="26" t="n">
        <f aca="false">AD27*Assumptions!$E$35+AD28*Assumptions!$E$36+AD29*Assumptions!$E$37+AD30*Assumptions!$E$38+AD31*Assumptions!$E$39</f>
        <v>11.9968082563603</v>
      </c>
      <c r="AE34" s="26" t="n">
        <f aca="false">AE27*Assumptions!$E$35+AE28*Assumptions!$E$36+AE29*Assumptions!$E$37+AE30*Assumptions!$E$38+AE31*Assumptions!$E$39</f>
        <v>13.2885830258446</v>
      </c>
      <c r="AF34" s="26" t="n">
        <f aca="false">AF27*Assumptions!$E$35+AF28*Assumptions!$E$36+AF29*Assumptions!$E$37+AF30*Assumptions!$E$38+AF31*Assumptions!$E$39</f>
        <v>14.6558725852424</v>
      </c>
      <c r="AG34" s="26" t="n">
        <f aca="false">AG27*Assumptions!$E$35+AG28*Assumptions!$E$36+AG29*Assumptions!$E$37+AG30*Assumptions!$E$38+AG31*Assumptions!$E$39</f>
        <v>16.0869352596256</v>
      </c>
      <c r="AH34" s="26" t="n">
        <f aca="false">AH27*Assumptions!$E$35+AH28*Assumptions!$E$36+AH29*Assumptions!$E$37+AH30*Assumptions!$E$38+AH31*Assumptions!$E$39</f>
        <v>17.5624358766382</v>
      </c>
      <c r="AI34" s="26" t="n">
        <f aca="false">AI27*Assumptions!$E$35+AI28*Assumptions!$E$36+AI29*Assumptions!$E$37+AI30*Assumptions!$E$38+AI31*Assumptions!$E$39</f>
        <v>19.1127565968448</v>
      </c>
      <c r="AJ34" s="26" t="n">
        <f aca="false">AJ27*Assumptions!$E$35+AJ28*Assumptions!$E$36+AJ29*Assumptions!$E$37+AJ30*Assumptions!$E$38+AJ31*Assumptions!$E$39</f>
        <v>20.7191544518232</v>
      </c>
      <c r="AK34" s="26" t="n">
        <f aca="false">AK27*Assumptions!$E$35+AK28*Assumptions!$E$36+AK29*Assumptions!$E$37+AK30*Assumptions!$E$38+AK31*Assumptions!$E$39</f>
        <v>22.3610756793318</v>
      </c>
      <c r="AL34" s="26" t="n">
        <f aca="false">AL27*Assumptions!$E$35+AL28*Assumptions!$E$36+AL29*Assumptions!$E$37+AL30*Assumptions!$E$38+AL31*Assumptions!$E$39</f>
        <v>24.0609411206945</v>
      </c>
      <c r="AM34" s="26" t="n">
        <f aca="false">AM27*Assumptions!$E$35+AM28*Assumptions!$E$36+AM29*Assumptions!$E$37+AM30*Assumptions!$E$38+AM31*Assumptions!$E$39</f>
        <v>25.8013562730786</v>
      </c>
      <c r="AN34" s="37" t="n">
        <f aca="false">AN27*Assumptions!$E$35+AN28*Assumptions!$E$36+AN29*Assumptions!$E$37+AN30*Assumptions!$E$38+AN31*Assumptions!$E$39</f>
        <v>27.5630116517149</v>
      </c>
      <c r="AO34" s="37" t="n">
        <f aca="false">AO27*Assumptions!$E$35+AO28*Assumptions!$E$36+AO29*Assumptions!$E$37+AO30*Assumptions!$E$38+AO31*Assumptions!$E$39</f>
        <v>29.3694762183271</v>
      </c>
      <c r="AP34" s="37" t="n">
        <f aca="false">AP27*Assumptions!$E$35+AP28*Assumptions!$E$36+AP29*Assumptions!$E$37+AP30*Assumptions!$E$38+AP31*Assumptions!$E$39</f>
        <v>31.2044148437184</v>
      </c>
      <c r="AQ34" s="37" t="n">
        <f aca="false">AQ27*Assumptions!$E$35+AQ28*Assumptions!$E$36+AQ29*Assumptions!$E$37+AQ30*Assumptions!$E$38+AQ31*Assumptions!$E$39</f>
        <v>33.0494955076853</v>
      </c>
      <c r="AR34" s="37" t="n">
        <f aca="false">AR27*Assumptions!$E$35+AR28*Assumptions!$E$36+AR29*Assumptions!$E$37+AR30*Assumptions!$E$38+AR31*Assumptions!$E$39</f>
        <v>34.9291890369115</v>
      </c>
      <c r="AS34" s="37" t="n">
        <f aca="false">AS27*Assumptions!$E$35+AS28*Assumptions!$E$36+AS29*Assumptions!$E$37+AS30*Assumptions!$E$38+AS31*Assumptions!$E$39</f>
        <v>36.8262769876592</v>
      </c>
      <c r="AT34" s="37" t="n">
        <f aca="false">AT27*Assumptions!$E$35+AT28*Assumptions!$E$36+AT29*Assumptions!$E$37+AT30*Assumptions!$E$38+AT31*Assumptions!$E$39</f>
        <v>38.7233508541513</v>
      </c>
      <c r="AU34" s="37" t="n">
        <f aca="false">AU27*Assumptions!$E$35+AU28*Assumptions!$E$36+AU29*Assumptions!$E$37+AU30*Assumptions!$E$38+AU31*Assumptions!$E$39</f>
        <v>40.6457332557125</v>
      </c>
      <c r="AV34" s="37" t="n">
        <f aca="false">AV27*Assumptions!$E$35+AV28*Assumptions!$E$36+AV29*Assumptions!$E$37+AV30*Assumptions!$E$38+AV31*Assumptions!$E$39</f>
        <v>42.5769913422363</v>
      </c>
      <c r="AW34" s="37" t="n">
        <f aca="false">AW27*Assumptions!$E$35+AW28*Assumptions!$E$36+AW29*Assumptions!$E$37+AW30*Assumptions!$E$38+AW31*Assumptions!$E$39</f>
        <v>44.5004410992473</v>
      </c>
      <c r="AX34" s="37" t="n">
        <f aca="false">AX27*Assumptions!$E$35+AX28*Assumptions!$E$36+AX29*Assumptions!$E$37+AX30*Assumptions!$E$38+AX31*Assumptions!$E$39</f>
        <v>46.4420732386065</v>
      </c>
      <c r="AY34" s="37" t="n">
        <f aca="false">AY27*Assumptions!$E$35+AY28*Assumptions!$E$36+AY29*Assumptions!$E$37+AY30*Assumptions!$E$38+AY31*Assumptions!$E$39</f>
        <v>48.3860709448459</v>
      </c>
      <c r="AZ34" s="37" t="n">
        <f aca="false">AZ27*Assumptions!$E$35+AZ28*Assumptions!$E$36+AZ29*Assumptions!$E$37+AZ30*Assumptions!$E$38+AZ31*Assumptions!$E$39</f>
        <v>50.3163181864629</v>
      </c>
      <c r="BA34" s="37" t="n">
        <f aca="false">BA27*Assumptions!$E$35+BA28*Assumptions!$E$36+BA29*Assumptions!$E$37+BA30*Assumptions!$E$38+BA31*Assumptions!$E$39</f>
        <v>52.2593293041024</v>
      </c>
      <c r="BB34" s="37" t="n">
        <f aca="false">BB27*Assumptions!$E$35+BB28*Assumptions!$E$36+BB29*Assumptions!$E$37+BB30*Assumptions!$E$38+BB31*Assumptions!$E$39</f>
        <v>54.1997701694895</v>
      </c>
      <c r="BC34" s="37" t="n">
        <f aca="false">BC27*Assumptions!$E$35+BC28*Assumptions!$E$36+BC29*Assumptions!$E$37+BC30*Assumptions!$E$38+BC31*Assumptions!$E$39</f>
        <v>56.1202542443996</v>
      </c>
      <c r="BD34" s="37" t="n">
        <f aca="false">BD27*Assumptions!$E$35+BD28*Assumptions!$E$36+BD29*Assumptions!$E$37+BD30*Assumptions!$E$38+BD31*Assumptions!$E$39</f>
        <v>58.0478617118821</v>
      </c>
      <c r="BE34" s="37" t="n">
        <f aca="false">BE27*Assumptions!$E$35+BE28*Assumptions!$E$36+BE29*Assumptions!$E$37+BE30*Assumptions!$E$38+BE31*Assumptions!$E$39</f>
        <v>59.9677798099298</v>
      </c>
      <c r="BF34" s="37" t="n">
        <f aca="false">BF27*Assumptions!$E$35+BF28*Assumptions!$E$36+BF29*Assumptions!$E$37+BF30*Assumptions!$E$38+BF31*Assumptions!$E$39</f>
        <v>61.8631023148066</v>
      </c>
      <c r="BG34" s="37" t="n">
        <f aca="false">BG27*Assumptions!$E$35+BG28*Assumptions!$E$36+BG29*Assumptions!$E$37+BG30*Assumptions!$E$38+BG31*Assumptions!$E$39</f>
        <v>63.761351832947</v>
      </c>
      <c r="BH34" s="37" t="n">
        <f aca="false">BH27*Assumptions!$E$35+BH28*Assumptions!$E$36+BH29*Assumptions!$E$37+BH30*Assumptions!$E$38+BH31*Assumptions!$E$39</f>
        <v>65.6481230519907</v>
      </c>
      <c r="BI34" s="37" t="n">
        <f aca="false">BI27*Assumptions!$E$35+BI28*Assumptions!$E$36+BI29*Assumptions!$E$37+BI30*Assumptions!$E$38+BI31*Assumptions!$E$39</f>
        <v>67.5068849169572</v>
      </c>
      <c r="BJ34" s="37" t="n">
        <f aca="false">BJ27*Assumptions!$E$35+BJ28*Assumptions!$E$36+BJ29*Assumptions!$E$37+BJ30*Assumptions!$E$38+BJ31*Assumptions!$E$39</f>
        <v>69.3655054078059</v>
      </c>
      <c r="BK34" s="37" t="n">
        <f aca="false">BK27*Assumptions!$E$35+BK28*Assumptions!$E$36+BK29*Assumptions!$E$37+BK30*Assumptions!$E$38+BK31*Assumptions!$E$39</f>
        <v>71.209897084942</v>
      </c>
    </row>
    <row r="35" customFormat="false" ht="15" hidden="false" customHeight="false" outlineLevel="0" collapsed="false">
      <c r="A35" s="28" t="s">
        <v>587</v>
      </c>
      <c r="B35" s="6" t="s">
        <v>588</v>
      </c>
      <c r="C35" s="42"/>
      <c r="D35" s="26" t="n">
        <f aca="false">MAX(0,D32-C32*(1-Assumptions!$E$41))</f>
        <v>0</v>
      </c>
      <c r="E35" s="26" t="n">
        <f aca="false">MAX(0,E32-D32*(1-Assumptions!$E$41))</f>
        <v>0</v>
      </c>
      <c r="F35" s="26" t="n">
        <f aca="false">MAX(0,F32-E32*(1-Assumptions!$E$41))</f>
        <v>0</v>
      </c>
      <c r="G35" s="26" t="n">
        <f aca="false">MAX(0,G32-F32*(1-Assumptions!$E$41))</f>
        <v>0</v>
      </c>
      <c r="H35" s="26" t="n">
        <f aca="false">MAX(0,H32-G32*(1-Assumptions!$E$41))</f>
        <v>0</v>
      </c>
      <c r="I35" s="26" t="n">
        <f aca="false">MAX(0,I32-H32*(1-Assumptions!$E$41))</f>
        <v>0</v>
      </c>
      <c r="J35" s="26" t="n">
        <f aca="false">MAX(0,J32-I32*(1-Assumptions!$E$41))</f>
        <v>0</v>
      </c>
      <c r="K35" s="26" t="n">
        <f aca="false">MAX(0,K32-J32*(1-Assumptions!$E$41))</f>
        <v>0</v>
      </c>
      <c r="L35" s="26" t="n">
        <f aca="false">MAX(0,L32-K32*(1-Assumptions!$E$41))</f>
        <v>0</v>
      </c>
      <c r="M35" s="26" t="n">
        <f aca="false">MAX(0,M32-L32*(1-Assumptions!$E$41))</f>
        <v>0</v>
      </c>
      <c r="N35" s="26" t="n">
        <f aca="false">MAX(0,N32-M32*(1-Assumptions!$E$41))</f>
        <v>0</v>
      </c>
      <c r="O35" s="26" t="n">
        <f aca="false">MAX(0,O32-N32*(1-Assumptions!$E$41))</f>
        <v>0</v>
      </c>
      <c r="P35" s="26" t="n">
        <f aca="false">MAX(0,P32-O32*(1-Assumptions!$E$41))</f>
        <v>0.419863757473559</v>
      </c>
      <c r="Q35" s="26" t="n">
        <f aca="false">MAX(0,Q32-P32*(1-Assumptions!$E$41))</f>
        <v>0.475647082103271</v>
      </c>
      <c r="R35" s="26" t="n">
        <f aca="false">MAX(0,R32-Q32*(1-Assumptions!$E$41))</f>
        <v>0.548810282990053</v>
      </c>
      <c r="S35" s="26" t="n">
        <f aca="false">MAX(0,S32-R32*(1-Assumptions!$E$41))</f>
        <v>0.593863808281814</v>
      </c>
      <c r="T35" s="26" t="n">
        <f aca="false">MAX(0,T32-S32*(1-Assumptions!$E$41))</f>
        <v>0.649122933424976</v>
      </c>
      <c r="U35" s="26" t="n">
        <f aca="false">MAX(0,U32-T32*(1-Assumptions!$E$41))</f>
        <v>0.715546286523794</v>
      </c>
      <c r="V35" s="26" t="n">
        <f aca="false">MAX(0,V32-U32*(1-Assumptions!$E$41))</f>
        <v>0.794038324928871</v>
      </c>
      <c r="W35" s="26" t="n">
        <f aca="false">MAX(0,W32-V32*(1-Assumptions!$E$41))</f>
        <v>3.80146877174319</v>
      </c>
      <c r="X35" s="26" t="n">
        <f aca="false">MAX(0,X32-W32*(1-Assumptions!$E$41))</f>
        <v>4.09314380643592</v>
      </c>
      <c r="Y35" s="26" t="n">
        <f aca="false">MAX(0,Y32-X32*(1-Assumptions!$E$41))</f>
        <v>4.40077396567718</v>
      </c>
      <c r="Z35" s="26" t="n">
        <f aca="false">MAX(0,Z32-Y32*(1-Assumptions!$E$41))</f>
        <v>4.69981135766252</v>
      </c>
      <c r="AA35" s="26" t="n">
        <f aca="false">MAX(0,AA32-Z32*(1-Assumptions!$E$41))</f>
        <v>4.99086337310063</v>
      </c>
      <c r="AB35" s="26" t="n">
        <f aca="false">MAX(0,AB32-AA32*(1-Assumptions!$E$41))</f>
        <v>5.27449292850321</v>
      </c>
      <c r="AC35" s="26" t="n">
        <f aca="false">MAX(0,AC32-AB32*(1-Assumptions!$E$41))</f>
        <v>5.55122177449847</v>
      </c>
      <c r="AD35" s="26" t="n">
        <f aca="false">MAX(0,AD32-AC32*(1-Assumptions!$E$41))</f>
        <v>5.82153355563365</v>
      </c>
      <c r="AE35" s="26" t="n">
        <f aca="false">MAX(0,AE32-AD32*(1-Assumptions!$E$41))</f>
        <v>6.07993183640303</v>
      </c>
      <c r="AF35" s="26" t="n">
        <f aca="false">MAX(0,AF32-AE32*(1-Assumptions!$E$41))</f>
        <v>6.48172876079715</v>
      </c>
      <c r="AG35" s="26" t="n">
        <f aca="false">MAX(0,AG32-AF32*(1-Assumptions!$E$41))</f>
        <v>6.8525443738222</v>
      </c>
      <c r="AH35" s="26" t="n">
        <f aca="false">MAX(0,AH32-AG32*(1-Assumptions!$E$41))</f>
        <v>7.16455349816067</v>
      </c>
      <c r="AI35" s="26" t="n">
        <f aca="false">MAX(0,AI32-AH32*(1-Assumptions!$E$41))</f>
        <v>7.58763322978031</v>
      </c>
      <c r="AJ35" s="26" t="n">
        <f aca="false">MAX(0,AJ32-AI32*(1-Assumptions!$E$41))</f>
        <v>7.95517603004942</v>
      </c>
      <c r="AK35" s="26" t="n">
        <f aca="false">MAX(0,AK32-AJ32*(1-Assumptions!$E$41))</f>
        <v>8.25856145704533</v>
      </c>
      <c r="AL35" s="26" t="n">
        <f aca="false">MAX(0,AL32-AK32*(1-Assumptions!$E$41))</f>
        <v>8.64416925590257</v>
      </c>
      <c r="AM35" s="26" t="n">
        <f aca="false">MAX(0,AM32-AL32*(1-Assumptions!$E$41))</f>
        <v>8.97670498975867</v>
      </c>
      <c r="AN35" s="37" t="n">
        <f aca="false">MAX(0,AN32-AM32*(1-Assumptions!$E$41))</f>
        <v>9.24737127155073</v>
      </c>
      <c r="AO35" s="37" t="n">
        <f aca="false">MAX(0,AO32-AN32*(1-Assumptions!$E$41))</f>
        <v>9.60238396529221</v>
      </c>
      <c r="AP35" s="37" t="n">
        <f aca="false">MAX(0,AP32-AO32*(1-Assumptions!$E$41))</f>
        <v>9.90629684024103</v>
      </c>
      <c r="AQ35" s="37" t="n">
        <f aca="false">MAX(0,AQ32-AP32*(1-Assumptions!$E$41))</f>
        <v>10.150171899527</v>
      </c>
      <c r="AR35" s="37" t="n">
        <f aca="false">MAX(0,AR32-AQ32*(1-Assumptions!$E$41))</f>
        <v>10.4800947462879</v>
      </c>
      <c r="AS35" s="37" t="n">
        <f aca="false">MAX(0,AS32-AR32*(1-Assumptions!$E$41))</f>
        <v>10.7545536615106</v>
      </c>
      <c r="AT35" s="37" t="n">
        <f aca="false">MAX(0,AT32-AS32*(1-Assumptions!$E$41))</f>
        <v>10.9707751587399</v>
      </c>
      <c r="AU35" s="37" t="n">
        <f aca="false">MAX(0,AU32-AT32*(1-Assumptions!$E$41))</f>
        <v>11.2747185078567</v>
      </c>
      <c r="AV35" s="37" t="n">
        <f aca="false">MAX(0,AV32-AU32*(1-Assumptions!$E$41))</f>
        <v>11.5247549025683</v>
      </c>
      <c r="AW35" s="37" t="n">
        <f aca="false">MAX(0,AW32-AV32*(1-Assumptions!$E$41))</f>
        <v>11.7180023271854</v>
      </c>
      <c r="AX35" s="37" t="n">
        <f aca="false">MAX(0,AX32-AW32*(1-Assumptions!$E$41))</f>
        <v>12.0003194441302</v>
      </c>
      <c r="AY35" s="37" t="n">
        <f aca="false">MAX(0,AY32-AX32*(1-Assumptions!$E$41))</f>
        <v>12.2299841729152</v>
      </c>
      <c r="AZ35" s="37" t="n">
        <f aca="false">MAX(0,AZ32-AY32*(1-Assumptions!$E$41))</f>
        <v>12.404028012556</v>
      </c>
      <c r="BA35" s="37" t="n">
        <f aca="false">MAX(0,BA32-AZ32*(1-Assumptions!$E$41))</f>
        <v>12.6682294255324</v>
      </c>
      <c r="BB35" s="37" t="n">
        <f aca="false">MAX(0,BB32-BA32*(1-Assumptions!$E$41))</f>
        <v>12.8807919509507</v>
      </c>
      <c r="BC35" s="37" t="n">
        <f aca="false">MAX(0,BC32-BB32*(1-Assumptions!$E$41))</f>
        <v>13.0327332919666</v>
      </c>
      <c r="BD35" s="37" t="n">
        <f aca="false">MAX(0,BD32-BC32*(1-Assumptions!$E$41))</f>
        <v>13.2760442413026</v>
      </c>
      <c r="BE35" s="37" t="n">
        <f aca="false">MAX(0,BE32-BD32*(1-Assumptions!$E$41))</f>
        <v>13.4688462436393</v>
      </c>
      <c r="BF35" s="37" t="n">
        <f aca="false">MAX(0,BF32-BE32*(1-Assumptions!$E$41))</f>
        <v>13.6020808421968</v>
      </c>
      <c r="BG35" s="37" t="n">
        <f aca="false">MAX(0,BG32-BF32*(1-Assumptions!$E$41))</f>
        <v>13.827668165437</v>
      </c>
      <c r="BH35" s="37" t="n">
        <f aca="false">MAX(0,BH32-BG32*(1-Assumptions!$E$41))</f>
        <v>14.0036640834552</v>
      </c>
      <c r="BI35" s="37" t="n">
        <f aca="false">MAX(0,BI32-BH32*(1-Assumptions!$E$41))</f>
        <v>14.1209492789072</v>
      </c>
      <c r="BJ35" s="37" t="n">
        <f aca="false">MAX(0,BJ32-BI32*(1-Assumptions!$E$41))</f>
        <v>14.331387386117</v>
      </c>
      <c r="BK35" s="37" t="n">
        <f aca="false">MAX(0,BK32-BJ32*(1-Assumptions!$E$41))</f>
        <v>14.4929818258199</v>
      </c>
    </row>
    <row r="36" customFormat="false" ht="15" hidden="false" customHeight="false" outlineLevel="0" collapsed="false">
      <c r="B36" s="5" t="s">
        <v>589</v>
      </c>
    </row>
    <row r="37" customFormat="false" ht="15" hidden="false" customHeight="false" outlineLevel="0" collapsed="false">
      <c r="A37" s="28" t="s">
        <v>590</v>
      </c>
      <c r="B37" s="6" t="s">
        <v>591</v>
      </c>
      <c r="C37" s="43"/>
      <c r="D37" s="17" t="n">
        <f aca="false">D33*Assumptions!$E$42</f>
        <v>0</v>
      </c>
      <c r="E37" s="17" t="n">
        <f aca="false">E33*Assumptions!$E$42</f>
        <v>0</v>
      </c>
      <c r="F37" s="17" t="n">
        <f aca="false">F33*Assumptions!$E$42</f>
        <v>0</v>
      </c>
      <c r="G37" s="17" t="n">
        <f aca="false">G33*Assumptions!$E$42</f>
        <v>0</v>
      </c>
      <c r="H37" s="17" t="n">
        <f aca="false">H33*Assumptions!$E$42</f>
        <v>0</v>
      </c>
      <c r="I37" s="17" t="n">
        <f aca="false">I33*Assumptions!$E$42</f>
        <v>0</v>
      </c>
      <c r="J37" s="17" t="n">
        <f aca="false">J33*Assumptions!$E$42</f>
        <v>0</v>
      </c>
      <c r="K37" s="17" t="n">
        <f aca="false">K33*Assumptions!$E$42</f>
        <v>0</v>
      </c>
      <c r="L37" s="17" t="n">
        <f aca="false">L33*Assumptions!$E$42</f>
        <v>0</v>
      </c>
      <c r="M37" s="17" t="n">
        <f aca="false">M33*Assumptions!$E$42</f>
        <v>0</v>
      </c>
      <c r="N37" s="17" t="n">
        <f aca="false">N33*Assumptions!$E$42</f>
        <v>0</v>
      </c>
      <c r="O37" s="17" t="n">
        <f aca="false">O33*Assumptions!$E$42</f>
        <v>0</v>
      </c>
      <c r="P37" s="17" t="n">
        <f aca="false">P33*Assumptions!$E$42</f>
        <v>2.45620298122032</v>
      </c>
      <c r="Q37" s="17" t="n">
        <f aca="false">Q33*Assumptions!$E$42</f>
        <v>5.16505232208785</v>
      </c>
      <c r="R37" s="17" t="n">
        <f aca="false">R33*Assumptions!$E$42</f>
        <v>8.22064090791703</v>
      </c>
      <c r="S37" s="17" t="n">
        <f aca="false">S33*Assumptions!$E$42</f>
        <v>11.4481249591281</v>
      </c>
      <c r="T37" s="17" t="n">
        <f aca="false">T33*Assumptions!$E$42</f>
        <v>14.9020503708904</v>
      </c>
      <c r="U37" s="17" t="n">
        <f aca="false">U33*Assumptions!$E$42</f>
        <v>18.6409346359279</v>
      </c>
      <c r="V37" s="17" t="n">
        <f aca="false">V33*Assumptions!$E$42</f>
        <v>22.7268307976839</v>
      </c>
      <c r="W37" s="17" t="n">
        <f aca="false">W33*Assumptions!$E$42</f>
        <v>131.656070726364</v>
      </c>
      <c r="X37" s="17" t="n">
        <f aca="false">X33*Assumptions!$E$42</f>
        <v>245.313308304632</v>
      </c>
      <c r="Y37" s="17" t="n">
        <f aca="false">Y33*Assumptions!$E$42</f>
        <v>364.026083302637</v>
      </c>
      <c r="Z37" s="17" t="n">
        <f aca="false">Z33*Assumptions!$E$42</f>
        <v>487.42992267254</v>
      </c>
      <c r="AA37" s="17" t="n">
        <f aca="false">AA33*Assumptions!$E$42</f>
        <v>615.18575714352</v>
      </c>
      <c r="AB37" s="17" t="n">
        <f aca="false">AB33*Assumptions!$E$42</f>
        <v>746.978133244534</v>
      </c>
      <c r="AC37" s="17" t="n">
        <f aca="false">AC33*Assumptions!$E$42</f>
        <v>882.513553152179</v>
      </c>
      <c r="AD37" s="17" t="n">
        <f aca="false">AD33*Assumptions!$E$42</f>
        <v>1021.51893309567</v>
      </c>
      <c r="AE37" s="17" t="n">
        <f aca="false">AE33*Assumptions!$E$42</f>
        <v>1163.57522505269</v>
      </c>
      <c r="AF37" s="17" t="n">
        <f aca="false">AF33*Assumptions!$E$42</f>
        <v>1312.58345501544</v>
      </c>
      <c r="AG37" s="17" t="n">
        <f aca="false">AG33*Assumptions!$E$42</f>
        <v>1467.49636671837</v>
      </c>
      <c r="AH37" s="17" t="n">
        <f aca="false">AH33*Assumptions!$E$42</f>
        <v>1626.52282382783</v>
      </c>
      <c r="AI37" s="17" t="n">
        <f aca="false">AI33*Assumptions!$E$42</f>
        <v>1792.6342770107</v>
      </c>
      <c r="AJ37" s="17" t="n">
        <f aca="false">AJ33*Assumptions!$E$42</f>
        <v>1964.09567230984</v>
      </c>
      <c r="AK37" s="17" t="n">
        <f aca="false">AK33*Assumptions!$E$42</f>
        <v>2138.98036038385</v>
      </c>
      <c r="AL37" s="17" t="n">
        <f aca="false">AL33*Assumptions!$E$42</f>
        <v>2319.47633979457</v>
      </c>
      <c r="AM37" s="17" t="n">
        <f aca="false">AM33*Assumptions!$E$42</f>
        <v>2503.95605214712</v>
      </c>
      <c r="AN37" s="44" t="n">
        <f aca="false">AN33*Assumptions!$E$42</f>
        <v>2690.59270356687</v>
      </c>
      <c r="AO37" s="44" t="n">
        <f aca="false">AO33*Assumptions!$E$42</f>
        <v>2881.66705537588</v>
      </c>
      <c r="AP37" s="44" t="n">
        <f aca="false">AP33*Assumptions!$E$42</f>
        <v>3075.6377269183</v>
      </c>
      <c r="AQ37" s="44" t="n">
        <f aca="false">AQ33*Assumptions!$E$42</f>
        <v>3270.75798793045</v>
      </c>
      <c r="AR37" s="44" t="n">
        <f aca="false">AR33*Assumptions!$E$42</f>
        <v>3469.38298601394</v>
      </c>
      <c r="AS37" s="44" t="n">
        <f aca="false">AS33*Assumptions!$E$42</f>
        <v>3669.87550798009</v>
      </c>
      <c r="AT37" s="44" t="n">
        <f aca="false">AT33*Assumptions!$E$42</f>
        <v>3870.56684906279</v>
      </c>
      <c r="AU37" s="44" t="n">
        <f aca="false">AU33*Assumptions!$E$42</f>
        <v>4073.88463123707</v>
      </c>
      <c r="AV37" s="44" t="n">
        <f aca="false">AV33*Assumptions!$E$42</f>
        <v>4278.25896021652</v>
      </c>
      <c r="AW37" s="44" t="n">
        <f aca="false">AW33*Assumptions!$E$42</f>
        <v>4482.08366177641</v>
      </c>
      <c r="AX37" s="44" t="n">
        <f aca="false">AX33*Assumptions!$E$42</f>
        <v>4687.84444072306</v>
      </c>
      <c r="AY37" s="44" t="n">
        <f aca="false">AY33*Assumptions!$E$42</f>
        <v>4894.02535401256</v>
      </c>
      <c r="AZ37" s="44" t="n">
        <f aca="false">AZ33*Assumptions!$E$42</f>
        <v>5099.07034045333</v>
      </c>
      <c r="BA37" s="44" t="n">
        <f aca="false">BA33*Assumptions!$E$42</f>
        <v>5305.51165196939</v>
      </c>
      <c r="BB37" s="44" t="n">
        <f aca="false">BB33*Assumptions!$E$42</f>
        <v>5511.87657946149</v>
      </c>
      <c r="BC37" s="44" t="n">
        <f aca="false">BC33*Assumptions!$E$42</f>
        <v>5716.48427044454</v>
      </c>
      <c r="BD37" s="44" t="n">
        <f aca="false">BD33*Assumptions!$E$42</f>
        <v>5921.91807904424</v>
      </c>
      <c r="BE37" s="44" t="n">
        <f aca="false">BE33*Assumptions!$E$42</f>
        <v>6126.75273614808</v>
      </c>
      <c r="BF37" s="44" t="n">
        <f aca="false">BF33*Assumptions!$E$42</f>
        <v>6329.3514268415</v>
      </c>
      <c r="BG37" s="44" t="n">
        <f aca="false">BG33*Assumptions!$E$42</f>
        <v>6532.33838157251</v>
      </c>
      <c r="BH37" s="44" t="n">
        <f aca="false">BH33*Assumptions!$E$42</f>
        <v>6734.32627019283</v>
      </c>
      <c r="BI37" s="44" t="n">
        <f aca="false">BI33*Assumptions!$E$42</f>
        <v>6933.7134872599</v>
      </c>
      <c r="BJ37" s="44" t="n">
        <f aca="false">BJ33*Assumptions!$E$42</f>
        <v>7133.15693620473</v>
      </c>
      <c r="BK37" s="44" t="n">
        <f aca="false">BK33*Assumptions!$E$42</f>
        <v>7331.29960259013</v>
      </c>
    </row>
    <row r="38" customFormat="false" ht="15" hidden="false" customHeight="false" outlineLevel="0" collapsed="false">
      <c r="A38" s="28" t="s">
        <v>592</v>
      </c>
      <c r="B38" s="6" t="s">
        <v>593</v>
      </c>
      <c r="C38" s="43"/>
      <c r="D38" s="17" t="n">
        <f aca="false">D34*Assumptions!$E$43</f>
        <v>0</v>
      </c>
      <c r="E38" s="17" t="n">
        <f aca="false">E34*Assumptions!$E$43</f>
        <v>0</v>
      </c>
      <c r="F38" s="17" t="n">
        <f aca="false">F34*Assumptions!$E$43</f>
        <v>0</v>
      </c>
      <c r="G38" s="17" t="n">
        <f aca="false">G34*Assumptions!$E$43</f>
        <v>0</v>
      </c>
      <c r="H38" s="17" t="n">
        <f aca="false">H34*Assumptions!$E$43</f>
        <v>0</v>
      </c>
      <c r="I38" s="17" t="n">
        <f aca="false">I34*Assumptions!$E$43</f>
        <v>0</v>
      </c>
      <c r="J38" s="17" t="n">
        <f aca="false">J34*Assumptions!$E$43</f>
        <v>0</v>
      </c>
      <c r="K38" s="17" t="n">
        <f aca="false">K34*Assumptions!$E$43</f>
        <v>0</v>
      </c>
      <c r="L38" s="17" t="n">
        <f aca="false">L34*Assumptions!$E$43</f>
        <v>0</v>
      </c>
      <c r="M38" s="17" t="n">
        <f aca="false">M34*Assumptions!$E$43</f>
        <v>0</v>
      </c>
      <c r="N38" s="17" t="n">
        <f aca="false">N34*Assumptions!$E$43</f>
        <v>0</v>
      </c>
      <c r="O38" s="17" t="n">
        <f aca="false">O34*Assumptions!$E$43</f>
        <v>0</v>
      </c>
      <c r="P38" s="17" t="n">
        <f aca="false">P34*Assumptions!$E$43</f>
        <v>28.1938513143495</v>
      </c>
      <c r="Q38" s="17" t="n">
        <f aca="false">Q34*Assumptions!$E$43</f>
        <v>59.2877373381537</v>
      </c>
      <c r="R38" s="17" t="n">
        <f aca="false">R34*Assumptions!$E$43</f>
        <v>94.3617157207912</v>
      </c>
      <c r="S38" s="17" t="n">
        <f aca="false">S34*Assumptions!$E$43</f>
        <v>131.408818975291</v>
      </c>
      <c r="T38" s="17" t="n">
        <f aca="false">T34*Assumptions!$E$43</f>
        <v>171.05515938552</v>
      </c>
      <c r="U38" s="17" t="n">
        <f aca="false">U34*Assumptions!$E$43</f>
        <v>213.972437744027</v>
      </c>
      <c r="V38" s="17" t="n">
        <f aca="false">V34*Assumptions!$E$43</f>
        <v>260.87293813068</v>
      </c>
      <c r="W38" s="17" t="n">
        <f aca="false">W34*Assumptions!$E$43</f>
        <v>331.330153637646</v>
      </c>
      <c r="X38" s="17" t="n">
        <f aca="false">X34*Assumptions!$E$43</f>
        <v>406.519208293245</v>
      </c>
      <c r="Y38" s="17" t="n">
        <f aca="false">Y34*Assumptions!$E$43</f>
        <v>486.607806986164</v>
      </c>
      <c r="Z38" s="17" t="n">
        <f aca="false">Z34*Assumptions!$E$43</f>
        <v>571.20120522039</v>
      </c>
      <c r="AA38" s="17" t="n">
        <f aca="false">AA34*Assumptions!$E$43</f>
        <v>659.935174514593</v>
      </c>
      <c r="AB38" s="17" t="n">
        <f aca="false">AB34*Assumptions!$E$43</f>
        <v>752.473651492185</v>
      </c>
      <c r="AC38" s="17" t="n">
        <f aca="false">AC34*Assumptions!$E$43</f>
        <v>848.506568581684</v>
      </c>
      <c r="AD38" s="17" t="n">
        <f aca="false">AD34*Assumptions!$E$43</f>
        <v>947.74785225246</v>
      </c>
      <c r="AE38" s="17" t="n">
        <f aca="false">AE34*Assumptions!$E$43</f>
        <v>1049.79805904172</v>
      </c>
      <c r="AF38" s="17" t="n">
        <f aca="false">AF34*Assumptions!$E$43</f>
        <v>1157.81393423415</v>
      </c>
      <c r="AG38" s="17" t="n">
        <f aca="false">AG34*Assumptions!$E$43</f>
        <v>1270.86788551042</v>
      </c>
      <c r="AH38" s="17" t="n">
        <f aca="false">AH34*Assumptions!$E$43</f>
        <v>1387.43243425442</v>
      </c>
      <c r="AI38" s="17" t="n">
        <f aca="false">AI34*Assumptions!$E$43</f>
        <v>1509.90777115074</v>
      </c>
      <c r="AJ38" s="17" t="n">
        <f aca="false">AJ34*Assumptions!$E$43</f>
        <v>1636.81320169403</v>
      </c>
      <c r="AK38" s="17" t="n">
        <f aca="false">AK34*Assumptions!$E$43</f>
        <v>1766.52497866721</v>
      </c>
      <c r="AL38" s="17" t="n">
        <f aca="false">AL34*Assumptions!$E$43</f>
        <v>1900.81434853486</v>
      </c>
      <c r="AM38" s="17" t="n">
        <f aca="false">AM34*Assumptions!$E$43</f>
        <v>2038.30714557321</v>
      </c>
      <c r="AN38" s="44" t="n">
        <f aca="false">AN34*Assumptions!$E$43</f>
        <v>2177.47792048548</v>
      </c>
      <c r="AO38" s="44" t="n">
        <f aca="false">AO34*Assumptions!$E$43</f>
        <v>2320.18862124784</v>
      </c>
      <c r="AP38" s="44" t="n">
        <f aca="false">AP34*Assumptions!$E$43</f>
        <v>2465.14877265376</v>
      </c>
      <c r="AQ38" s="44" t="n">
        <f aca="false">AQ34*Assumptions!$E$43</f>
        <v>2610.91014510714</v>
      </c>
      <c r="AR38" s="44" t="n">
        <f aca="false">AR34*Assumptions!$E$43</f>
        <v>2759.40593391601</v>
      </c>
      <c r="AS38" s="44" t="n">
        <f aca="false">AS34*Assumptions!$E$43</f>
        <v>2909.27588202508</v>
      </c>
      <c r="AT38" s="44" t="n">
        <f aca="false">AT34*Assumptions!$E$43</f>
        <v>3059.14471747795</v>
      </c>
      <c r="AU38" s="44" t="n">
        <f aca="false">AU34*Assumptions!$E$43</f>
        <v>3211.01292720129</v>
      </c>
      <c r="AV38" s="44" t="n">
        <f aca="false">AV34*Assumptions!$E$43</f>
        <v>3363.58231603667</v>
      </c>
      <c r="AW38" s="44" t="n">
        <f aca="false">AW34*Assumptions!$E$43</f>
        <v>3515.53484684053</v>
      </c>
      <c r="AX38" s="44" t="n">
        <f aca="false">AX34*Assumptions!$E$43</f>
        <v>3668.92378584991</v>
      </c>
      <c r="AY38" s="44" t="n">
        <f aca="false">AY34*Assumptions!$E$43</f>
        <v>3822.49960464282</v>
      </c>
      <c r="AZ38" s="44" t="n">
        <f aca="false">AZ34*Assumptions!$E$43</f>
        <v>3974.98913673057</v>
      </c>
      <c r="BA38" s="44" t="n">
        <f aca="false">BA34*Assumptions!$E$43</f>
        <v>4128.48701502409</v>
      </c>
      <c r="BB38" s="44" t="n">
        <f aca="false">BB34*Assumptions!$E$43</f>
        <v>4281.78184338967</v>
      </c>
      <c r="BC38" s="44" t="n">
        <f aca="false">BC34*Assumptions!$E$43</f>
        <v>4433.50008530757</v>
      </c>
      <c r="BD38" s="44" t="n">
        <f aca="false">BD34*Assumptions!$E$43</f>
        <v>4585.78107523869</v>
      </c>
      <c r="BE38" s="44" t="n">
        <f aca="false">BE34*Assumptions!$E$43</f>
        <v>4737.45460498446</v>
      </c>
      <c r="BF38" s="44" t="n">
        <f aca="false">BF34*Assumptions!$E$43</f>
        <v>4887.18508286973</v>
      </c>
      <c r="BG38" s="44" t="n">
        <f aca="false">BG34*Assumptions!$E$43</f>
        <v>5037.14679480281</v>
      </c>
      <c r="BH38" s="44" t="n">
        <f aca="false">BH34*Assumptions!$E$43</f>
        <v>5186.20172110727</v>
      </c>
      <c r="BI38" s="44" t="n">
        <f aca="false">BI34*Assumptions!$E$43</f>
        <v>5333.04390843962</v>
      </c>
      <c r="BJ38" s="44" t="n">
        <f aca="false">BJ34*Assumptions!$E$43</f>
        <v>5479.87492721666</v>
      </c>
      <c r="BK38" s="44" t="n">
        <f aca="false">BK34*Assumptions!$E$43</f>
        <v>5625.58186971042</v>
      </c>
    </row>
    <row r="39" customFormat="false" ht="15" hidden="false" customHeight="false" outlineLevel="0" collapsed="false">
      <c r="A39" s="28" t="s">
        <v>594</v>
      </c>
      <c r="B39" s="6" t="s">
        <v>595</v>
      </c>
      <c r="C39" s="43"/>
      <c r="D39" s="17" t="n">
        <f aca="false">(D33*Assumptions!$E$46+D34*Assumptions!$E$47)*Assumptions!$E$45</f>
        <v>0</v>
      </c>
      <c r="E39" s="17" t="n">
        <f aca="false">(E33*Assumptions!$E$46+E34*Assumptions!$E$47)*Assumptions!$E$45</f>
        <v>0</v>
      </c>
      <c r="F39" s="17" t="n">
        <f aca="false">(F33*Assumptions!$E$46+F34*Assumptions!$E$47)*Assumptions!$E$45</f>
        <v>0</v>
      </c>
      <c r="G39" s="17" t="n">
        <f aca="false">(G33*Assumptions!$E$46+G34*Assumptions!$E$47)*Assumptions!$E$45</f>
        <v>0</v>
      </c>
      <c r="H39" s="17" t="n">
        <f aca="false">(H33*Assumptions!$E$46+H34*Assumptions!$E$47)*Assumptions!$E$45</f>
        <v>0</v>
      </c>
      <c r="I39" s="17" t="n">
        <f aca="false">(I33*Assumptions!$E$46+I34*Assumptions!$E$47)*Assumptions!$E$45</f>
        <v>0</v>
      </c>
      <c r="J39" s="17" t="n">
        <f aca="false">(J33*Assumptions!$E$46+J34*Assumptions!$E$47)*Assumptions!$E$45</f>
        <v>0</v>
      </c>
      <c r="K39" s="17" t="n">
        <f aca="false">(K33*Assumptions!$E$46+K34*Assumptions!$E$47)*Assumptions!$E$45</f>
        <v>0</v>
      </c>
      <c r="L39" s="17" t="n">
        <f aca="false">(L33*Assumptions!$E$46+L34*Assumptions!$E$47)*Assumptions!$E$45</f>
        <v>0</v>
      </c>
      <c r="M39" s="17" t="n">
        <f aca="false">(M33*Assumptions!$E$46+M34*Assumptions!$E$47)*Assumptions!$E$45</f>
        <v>0</v>
      </c>
      <c r="N39" s="17" t="n">
        <f aca="false">(N33*Assumptions!$E$46+N34*Assumptions!$E$47)*Assumptions!$E$45</f>
        <v>0</v>
      </c>
      <c r="O39" s="17" t="n">
        <f aca="false">(O33*Assumptions!$E$46+O34*Assumptions!$E$47)*Assumptions!$E$45</f>
        <v>0</v>
      </c>
      <c r="P39" s="17" t="n">
        <f aca="false">(P33*Assumptions!$E$46+P34*Assumptions!$E$47)*Assumptions!$E$45</f>
        <v>1379.25244330064</v>
      </c>
      <c r="Q39" s="17" t="n">
        <f aca="false">(Q33*Assumptions!$E$46+Q34*Assumptions!$E$47)*Assumptions!$E$45</f>
        <v>2900.37553471087</v>
      </c>
      <c r="R39" s="17" t="n">
        <f aca="false">(R33*Assumptions!$E$46+R34*Assumptions!$E$47)*Assumptions!$E$45</f>
        <v>4616.20604829187</v>
      </c>
      <c r="S39" s="17" t="n">
        <f aca="false">(S33*Assumptions!$E$46+S34*Assumptions!$E$47)*Assumptions!$E$45</f>
        <v>6428.56247704887</v>
      </c>
      <c r="T39" s="17" t="n">
        <f aca="false">(T33*Assumptions!$E$46+T34*Assumptions!$E$47)*Assumptions!$E$45</f>
        <v>8368.07443903845</v>
      </c>
      <c r="U39" s="17" t="n">
        <f aca="false">(U33*Assumptions!$E$46+U34*Assumptions!$E$47)*Assumptions!$E$45</f>
        <v>10467.601757098</v>
      </c>
      <c r="V39" s="17" t="n">
        <f aca="false">(V33*Assumptions!$E$46+V34*Assumptions!$E$47)*Assumptions!$E$45</f>
        <v>12761.9896017764</v>
      </c>
      <c r="W39" s="17" t="n">
        <f aca="false">(W33*Assumptions!$E$46+W34*Assumptions!$E$47)*Assumptions!$E$45</f>
        <v>20162.2843076273</v>
      </c>
      <c r="X39" s="17" t="n">
        <f aca="false">(X33*Assumptions!$E$46+X34*Assumptions!$E$47)*Assumptions!$E$45</f>
        <v>27960.0531900261</v>
      </c>
      <c r="Y39" s="17" t="n">
        <f aca="false">(Y33*Assumptions!$E$46+Y34*Assumptions!$E$47)*Assumptions!$E$45</f>
        <v>36175.5361805323</v>
      </c>
      <c r="Z39" s="17" t="n">
        <f aca="false">(Z33*Assumptions!$E$46+Z34*Assumptions!$E$47)*Assumptions!$E$45</f>
        <v>44776.7267282177</v>
      </c>
      <c r="AA39" s="17" t="n">
        <f aca="false">(AA33*Assumptions!$E$46+AA34*Assumptions!$E$47)*Assumptions!$E$45</f>
        <v>53733.985953702</v>
      </c>
      <c r="AB39" s="17" t="n">
        <f aca="false">(AB33*Assumptions!$E$46+AB34*Assumptions!$E$47)*Assumptions!$E$45</f>
        <v>63019.8667507238</v>
      </c>
      <c r="AC39" s="17" t="n">
        <f aca="false">(AC33*Assumptions!$E$46+AC34*Assumptions!$E$47)*Assumptions!$E$45</f>
        <v>72608.9510799745</v>
      </c>
      <c r="AD39" s="17" t="n">
        <f aca="false">(AD33*Assumptions!$E$46+AD34*Assumptions!$E$47)*Assumptions!$E$45</f>
        <v>82477.6994573457</v>
      </c>
      <c r="AE39" s="17" t="n">
        <f aca="false">(AE33*Assumptions!$E$46+AE34*Assumptions!$E$47)*Assumptions!$E$45</f>
        <v>92591.7921642977</v>
      </c>
      <c r="AF39" s="17" t="n">
        <f aca="false">(AF33*Assumptions!$E$46+AF34*Assumptions!$E$47)*Assumptions!$E$45</f>
        <v>103245.120345928</v>
      </c>
      <c r="AG39" s="17" t="n">
        <f aca="false">(AG33*Assumptions!$E$46+AG34*Assumptions!$E$47)*Assumptions!$E$45</f>
        <v>114355.134885359</v>
      </c>
      <c r="AH39" s="17" t="n">
        <f aca="false">(AH33*Assumptions!$E$46+AH34*Assumptions!$E$47)*Assumptions!$E$45</f>
        <v>125783.339303122</v>
      </c>
      <c r="AI39" s="17" t="n">
        <f aca="false">(AI33*Assumptions!$E$46+AI34*Assumptions!$E$47)*Assumptions!$E$45</f>
        <v>137753.39594136</v>
      </c>
      <c r="AJ39" s="17" t="n">
        <f aca="false">(AJ33*Assumptions!$E$46+AJ34*Assumptions!$E$47)*Assumptions!$E$45</f>
        <v>150131.09726925</v>
      </c>
      <c r="AK39" s="17" t="n">
        <f aca="false">(AK33*Assumptions!$E$46+AK34*Assumptions!$E$47)*Assumptions!$E$45</f>
        <v>162768.347844973</v>
      </c>
      <c r="AL39" s="17" t="n">
        <f aca="false">(AL33*Assumptions!$E$46+AL34*Assumptions!$E$47)*Assumptions!$E$45</f>
        <v>175830.016488137</v>
      </c>
      <c r="AM39" s="17" t="n">
        <f aca="false">(AM33*Assumptions!$E$46+AM34*Assumptions!$E$47)*Assumptions!$E$45</f>
        <v>189190.884588742</v>
      </c>
      <c r="AN39" s="44" t="n">
        <f aca="false">(AN33*Assumptions!$E$46+AN34*Assumptions!$E$47)*Assumptions!$E$45</f>
        <v>202711.176698746</v>
      </c>
      <c r="AO39" s="44" t="n">
        <f aca="false">(AO33*Assumptions!$E$46+AO34*Assumptions!$E$47)*Assumptions!$E$45</f>
        <v>216563.462669665</v>
      </c>
      <c r="AP39" s="44" t="n">
        <f aca="false">(AP33*Assumptions!$E$46+AP34*Assumptions!$E$47)*Assumptions!$E$45</f>
        <v>230629.652165013</v>
      </c>
      <c r="AQ39" s="44" t="n">
        <f aca="false">(AQ33*Assumptions!$E$46+AQ34*Assumptions!$E$47)*Assumptions!$E$45</f>
        <v>244776.567978838</v>
      </c>
      <c r="AR39" s="44" t="n">
        <f aca="false">(AR33*Assumptions!$E$46+AR34*Assumptions!$E$47)*Assumptions!$E$45</f>
        <v>259182.887687264</v>
      </c>
      <c r="AS39" s="44" t="n">
        <f aca="false">(AS33*Assumptions!$E$46+AS34*Assumptions!$E$47)*Assumptions!$E$45</f>
        <v>273723.655154807</v>
      </c>
      <c r="AT39" s="44" t="n">
        <f aca="false">(AT33*Assumptions!$E$46+AT34*Assumptions!$E$47)*Assumptions!$E$45</f>
        <v>288272.018808129</v>
      </c>
      <c r="AU39" s="44" t="n">
        <f aca="false">(AU33*Assumptions!$E$46+AU34*Assumptions!$E$47)*Assumptions!$E$45</f>
        <v>303012.51015276</v>
      </c>
      <c r="AV39" s="44" t="n">
        <f aca="false">(AV33*Assumptions!$E$46+AV34*Assumptions!$E$47)*Assumptions!$E$45</f>
        <v>317825.59037884</v>
      </c>
      <c r="AW39" s="44" t="n">
        <f aca="false">(AW33*Assumptions!$E$46+AW34*Assumptions!$E$47)*Assumptions!$E$45</f>
        <v>332589.421102537</v>
      </c>
      <c r="AX39" s="44" t="n">
        <f aca="false">(AX33*Assumptions!$E$46+AX34*Assumptions!$E$47)*Assumptions!$E$45</f>
        <v>347493.172917563</v>
      </c>
      <c r="AY39" s="44" t="n">
        <f aca="false">(AY33*Assumptions!$E$46+AY34*Assumptions!$E$47)*Assumptions!$E$45</f>
        <v>362421.599786543</v>
      </c>
      <c r="AZ39" s="44" t="n">
        <f aca="false">(AZ33*Assumptions!$E$46+AZ34*Assumptions!$E$47)*Assumptions!$E$45</f>
        <v>377256.835488702</v>
      </c>
      <c r="BA39" s="44" t="n">
        <f aca="false">(BA33*Assumptions!$E$46+BA34*Assumptions!$E$47)*Assumptions!$E$45</f>
        <v>392191.72595513</v>
      </c>
      <c r="BB39" s="44" t="n">
        <f aca="false">(BB33*Assumptions!$E$46+BB34*Assumptions!$E$47)*Assumptions!$E$45</f>
        <v>407114.425666373</v>
      </c>
      <c r="BC39" s="44" t="n">
        <f aca="false">(BC33*Assumptions!$E$46+BC34*Assumptions!$E$47)*Assumptions!$E$45</f>
        <v>421897.694912321</v>
      </c>
      <c r="BD39" s="44" t="n">
        <f aca="false">(BD33*Assumptions!$E$46+BD34*Assumptions!$E$47)*Assumptions!$E$45</f>
        <v>436738.382126016</v>
      </c>
      <c r="BE39" s="44" t="n">
        <f aca="false">(BE33*Assumptions!$E$46+BE34*Assumptions!$E$47)*Assumptions!$E$45</f>
        <v>451528.343321443</v>
      </c>
      <c r="BF39" s="44" t="n">
        <f aca="false">(BF33*Assumptions!$E$46+BF34*Assumptions!$E$47)*Assumptions!$E$45</f>
        <v>466143.761673362</v>
      </c>
      <c r="BG39" s="44" t="n">
        <f aca="false">(BG33*Assumptions!$E$46+BG34*Assumptions!$E$47)*Assumptions!$E$45</f>
        <v>480784.650505244</v>
      </c>
      <c r="BH39" s="44" t="n">
        <f aca="false">(BH33*Assumptions!$E$46+BH34*Assumptions!$E$47)*Assumptions!$E$45</f>
        <v>495345.791840737</v>
      </c>
      <c r="BI39" s="44" t="n">
        <f aca="false">(BI33*Assumptions!$E$46+BI34*Assumptions!$E$47)*Assumptions!$E$45</f>
        <v>509706.073672581</v>
      </c>
      <c r="BJ39" s="44" t="n">
        <f aca="false">(BJ33*Assumptions!$E$46+BJ34*Assumptions!$E$47)*Assumptions!$E$45</f>
        <v>524068.009322129</v>
      </c>
      <c r="BK39" s="44" t="n">
        <f aca="false">(BK33*Assumptions!$E$46+BK34*Assumptions!$E$47)*Assumptions!$E$45</f>
        <v>538328.691143873</v>
      </c>
    </row>
    <row r="40" customFormat="false" ht="15" hidden="false" customHeight="false" outlineLevel="0" collapsed="false">
      <c r="A40" s="28" t="s">
        <v>596</v>
      </c>
      <c r="B40" s="6" t="s">
        <v>597</v>
      </c>
      <c r="C40" s="43"/>
      <c r="D40" s="17" t="n">
        <f aca="false">D39*Assumptions!$E$44</f>
        <v>0</v>
      </c>
      <c r="E40" s="17" t="n">
        <f aca="false">E39*Assumptions!$E$44</f>
        <v>0</v>
      </c>
      <c r="F40" s="17" t="n">
        <f aca="false">F39*Assumptions!$E$44</f>
        <v>0</v>
      </c>
      <c r="G40" s="17" t="n">
        <f aca="false">G39*Assumptions!$E$44</f>
        <v>0</v>
      </c>
      <c r="H40" s="17" t="n">
        <f aca="false">H39*Assumptions!$E$44</f>
        <v>0</v>
      </c>
      <c r="I40" s="17" t="n">
        <f aca="false">I39*Assumptions!$E$44</f>
        <v>0</v>
      </c>
      <c r="J40" s="17" t="n">
        <f aca="false">J39*Assumptions!$E$44</f>
        <v>0</v>
      </c>
      <c r="K40" s="17" t="n">
        <f aca="false">K39*Assumptions!$E$44</f>
        <v>0</v>
      </c>
      <c r="L40" s="17" t="n">
        <f aca="false">L39*Assumptions!$E$44</f>
        <v>0</v>
      </c>
      <c r="M40" s="17" t="n">
        <f aca="false">M39*Assumptions!$E$44</f>
        <v>0</v>
      </c>
      <c r="N40" s="17" t="n">
        <f aca="false">N39*Assumptions!$E$44</f>
        <v>0</v>
      </c>
      <c r="O40" s="17" t="n">
        <f aca="false">O39*Assumptions!$E$44</f>
        <v>0</v>
      </c>
      <c r="P40" s="17" t="n">
        <f aca="false">P39*Assumptions!$E$44</f>
        <v>10.3443933247548</v>
      </c>
      <c r="Q40" s="17" t="n">
        <f aca="false">Q39*Assumptions!$E$44</f>
        <v>21.7528165103315</v>
      </c>
      <c r="R40" s="17" t="n">
        <f aca="false">R39*Assumptions!$E$44</f>
        <v>34.621545362189</v>
      </c>
      <c r="S40" s="17" t="n">
        <f aca="false">S39*Assumptions!$E$44</f>
        <v>48.2142185778665</v>
      </c>
      <c r="T40" s="17" t="n">
        <f aca="false">T39*Assumptions!$E$44</f>
        <v>62.7605582927884</v>
      </c>
      <c r="U40" s="17" t="n">
        <f aca="false">U39*Assumptions!$E$44</f>
        <v>78.5070131782347</v>
      </c>
      <c r="V40" s="17" t="n">
        <f aca="false">V39*Assumptions!$E$44</f>
        <v>95.7149220133227</v>
      </c>
      <c r="W40" s="17" t="n">
        <f aca="false">W39*Assumptions!$E$44</f>
        <v>151.217132307204</v>
      </c>
      <c r="X40" s="17" t="n">
        <f aca="false">X39*Assumptions!$E$44</f>
        <v>209.700398925196</v>
      </c>
      <c r="Y40" s="17" t="n">
        <f aca="false">Y39*Assumptions!$E$44</f>
        <v>271.316521353992</v>
      </c>
      <c r="Z40" s="17" t="n">
        <f aca="false">Z39*Assumptions!$E$44</f>
        <v>335.825450461633</v>
      </c>
      <c r="AA40" s="17" t="n">
        <f aca="false">AA39*Assumptions!$E$44</f>
        <v>403.004894652765</v>
      </c>
      <c r="AB40" s="17" t="n">
        <f aca="false">AB39*Assumptions!$E$44</f>
        <v>472.649000630429</v>
      </c>
      <c r="AC40" s="17" t="n">
        <f aca="false">AC39*Assumptions!$E$44</f>
        <v>544.567133099809</v>
      </c>
      <c r="AD40" s="17" t="n">
        <f aca="false">AD39*Assumptions!$E$44</f>
        <v>618.582745930093</v>
      </c>
      <c r="AE40" s="17" t="n">
        <f aca="false">AE39*Assumptions!$E$44</f>
        <v>694.438441232233</v>
      </c>
      <c r="AF40" s="17" t="n">
        <f aca="false">AF39*Assumptions!$E$44</f>
        <v>774.338402594461</v>
      </c>
      <c r="AG40" s="17" t="n">
        <f aca="false">AG39*Assumptions!$E$44</f>
        <v>857.663511640189</v>
      </c>
      <c r="AH40" s="17" t="n">
        <f aca="false">AH39*Assumptions!$E$44</f>
        <v>943.375044773413</v>
      </c>
      <c r="AI40" s="17" t="n">
        <f aca="false">AI39*Assumptions!$E$44</f>
        <v>1033.1504695602</v>
      </c>
      <c r="AJ40" s="17" t="n">
        <f aca="false">AJ39*Assumptions!$E$44</f>
        <v>1125.98322951937</v>
      </c>
      <c r="AK40" s="17" t="n">
        <f aca="false">AK39*Assumptions!$E$44</f>
        <v>1220.7626088373</v>
      </c>
      <c r="AL40" s="17" t="n">
        <f aca="false">AL39*Assumptions!$E$44</f>
        <v>1318.72512366103</v>
      </c>
      <c r="AM40" s="17" t="n">
        <f aca="false">AM39*Assumptions!$E$44</f>
        <v>1418.93163441556</v>
      </c>
      <c r="AN40" s="44" t="n">
        <f aca="false">AN39*Assumptions!$E$44</f>
        <v>1520.33382524059</v>
      </c>
      <c r="AO40" s="44" t="n">
        <f aca="false">AO39*Assumptions!$E$44</f>
        <v>1624.22597002249</v>
      </c>
      <c r="AP40" s="44" t="n">
        <f aca="false">AP39*Assumptions!$E$44</f>
        <v>1729.7223912376</v>
      </c>
      <c r="AQ40" s="44" t="n">
        <f aca="false">AQ39*Assumptions!$E$44</f>
        <v>1835.82425984128</v>
      </c>
      <c r="AR40" s="44" t="n">
        <f aca="false">AR39*Assumptions!$E$44</f>
        <v>1943.87165765448</v>
      </c>
      <c r="AS40" s="44" t="n">
        <f aca="false">AS39*Assumptions!$E$44</f>
        <v>2052.92741366106</v>
      </c>
      <c r="AT40" s="44" t="n">
        <f aca="false">AT39*Assumptions!$E$44</f>
        <v>2162.04014106097</v>
      </c>
      <c r="AU40" s="44" t="n">
        <f aca="false">AU39*Assumptions!$E$44</f>
        <v>2272.5938261457</v>
      </c>
      <c r="AV40" s="44" t="n">
        <f aca="false">AV39*Assumptions!$E$44</f>
        <v>2383.6919278413</v>
      </c>
      <c r="AW40" s="44" t="n">
        <f aca="false">AW39*Assumptions!$E$44</f>
        <v>2494.42065826902</v>
      </c>
      <c r="AX40" s="44" t="n">
        <f aca="false">AX39*Assumptions!$E$44</f>
        <v>2606.19879688172</v>
      </c>
      <c r="AY40" s="44" t="n">
        <f aca="false">AY39*Assumptions!$E$44</f>
        <v>2718.16199839908</v>
      </c>
      <c r="AZ40" s="44" t="n">
        <f aca="false">AZ39*Assumptions!$E$44</f>
        <v>2829.42626616527</v>
      </c>
      <c r="BA40" s="44" t="n">
        <f aca="false">BA39*Assumptions!$E$44</f>
        <v>2941.43794466347</v>
      </c>
      <c r="BB40" s="44" t="n">
        <f aca="false">BB39*Assumptions!$E$44</f>
        <v>3053.3581924978</v>
      </c>
      <c r="BC40" s="44" t="n">
        <f aca="false">BC39*Assumptions!$E$44</f>
        <v>3164.23271184241</v>
      </c>
      <c r="BD40" s="44" t="n">
        <f aca="false">BD39*Assumptions!$E$44</f>
        <v>3275.53786594512</v>
      </c>
      <c r="BE40" s="44" t="n">
        <f aca="false">BE39*Assumptions!$E$44</f>
        <v>3386.46257491082</v>
      </c>
      <c r="BF40" s="44" t="n">
        <f aca="false">BF39*Assumptions!$E$44</f>
        <v>3496.07821255021</v>
      </c>
      <c r="BG40" s="44" t="n">
        <f aca="false">BG39*Assumptions!$E$44</f>
        <v>3605.88487878933</v>
      </c>
      <c r="BH40" s="44" t="n">
        <f aca="false">BH39*Assumptions!$E$44</f>
        <v>3715.09343880553</v>
      </c>
      <c r="BI40" s="44" t="n">
        <f aca="false">BI39*Assumptions!$E$44</f>
        <v>3822.79555254435</v>
      </c>
      <c r="BJ40" s="44" t="n">
        <f aca="false">BJ39*Assumptions!$E$44</f>
        <v>3930.51006991597</v>
      </c>
      <c r="BK40" s="44" t="n">
        <f aca="false">BK39*Assumptions!$E$44</f>
        <v>4037.46518357905</v>
      </c>
    </row>
    <row r="41" customFormat="false" ht="15" hidden="false" customHeight="false" outlineLevel="0" collapsed="false">
      <c r="A41" s="28" t="s">
        <v>598</v>
      </c>
      <c r="B41" s="6" t="s">
        <v>599</v>
      </c>
      <c r="C41" s="43"/>
      <c r="D41" s="17" t="n">
        <f aca="false">D24*Assumptions!$E$17*Assumptions!$E$68*Assumptions!$E$69*Assumptions!$E$70*Assumptions!$E$71/1000*D21</f>
        <v>0</v>
      </c>
      <c r="E41" s="17" t="n">
        <f aca="false">E24*Assumptions!$E$17*Assumptions!$E$68*Assumptions!$E$69*Assumptions!$E$70*Assumptions!$E$71/1000*E21</f>
        <v>0</v>
      </c>
      <c r="F41" s="17" t="n">
        <f aca="false">F24*Assumptions!$E$17*Assumptions!$E$68*Assumptions!$E$69*Assumptions!$E$70*Assumptions!$E$71/1000*F21</f>
        <v>0</v>
      </c>
      <c r="G41" s="17" t="n">
        <f aca="false">G24*Assumptions!$E$17*Assumptions!$E$68*Assumptions!$E$69*Assumptions!$E$70*Assumptions!$E$71/1000*G21</f>
        <v>0</v>
      </c>
      <c r="H41" s="17" t="n">
        <f aca="false">H24*Assumptions!$E$17*Assumptions!$E$68*Assumptions!$E$69*Assumptions!$E$70*Assumptions!$E$71/1000*H21</f>
        <v>0</v>
      </c>
      <c r="I41" s="17" t="n">
        <f aca="false">I24*Assumptions!$E$17*Assumptions!$E$68*Assumptions!$E$69*Assumptions!$E$70*Assumptions!$E$71/1000*I21</f>
        <v>0</v>
      </c>
      <c r="J41" s="17" t="n">
        <f aca="false">J24*Assumptions!$E$17*Assumptions!$E$68*Assumptions!$E$69*Assumptions!$E$70*Assumptions!$E$71/1000*J21</f>
        <v>0</v>
      </c>
      <c r="K41" s="17" t="n">
        <f aca="false">K24*Assumptions!$E$17*Assumptions!$E$68*Assumptions!$E$69*Assumptions!$E$70*Assumptions!$E$71/1000*K21</f>
        <v>0</v>
      </c>
      <c r="L41" s="17" t="n">
        <f aca="false">L24*Assumptions!$E$17*Assumptions!$E$68*Assumptions!$E$69*Assumptions!$E$70*Assumptions!$E$71/1000*L21</f>
        <v>0</v>
      </c>
      <c r="M41" s="17" t="n">
        <f aca="false">M24*Assumptions!$E$17*Assumptions!$E$68*Assumptions!$E$69*Assumptions!$E$70*Assumptions!$E$71/1000*M21</f>
        <v>0</v>
      </c>
      <c r="N41" s="17" t="n">
        <f aca="false">N24*Assumptions!$E$17*Assumptions!$E$68*Assumptions!$E$69*Assumptions!$E$70*Assumptions!$E$71/1000*N21</f>
        <v>0</v>
      </c>
      <c r="O41" s="17" t="n">
        <f aca="false">O24*Assumptions!$E$17*Assumptions!$E$68*Assumptions!$E$69*Assumptions!$E$70*Assumptions!$E$71/1000*O21</f>
        <v>0</v>
      </c>
      <c r="P41" s="17" t="n">
        <f aca="false">P24*Assumptions!$E$17*Assumptions!$E$68*Assumptions!$E$69*Assumptions!$E$70*Assumptions!$E$71/1000*P21</f>
        <v>0</v>
      </c>
      <c r="Q41" s="17" t="n">
        <f aca="false">Q24*Assumptions!$E$17*Assumptions!$E$68*Assumptions!$E$69*Assumptions!$E$70*Assumptions!$E$71/1000*Q21</f>
        <v>0</v>
      </c>
      <c r="R41" s="17" t="n">
        <f aca="false">R24*Assumptions!$E$17*Assumptions!$E$68*Assumptions!$E$69*Assumptions!$E$70*Assumptions!$E$71/1000*R21</f>
        <v>0</v>
      </c>
      <c r="S41" s="17" t="n">
        <f aca="false">S24*Assumptions!$E$17*Assumptions!$E$68*Assumptions!$E$69*Assumptions!$E$70*Assumptions!$E$71/1000*S21</f>
        <v>0</v>
      </c>
      <c r="T41" s="17" t="n">
        <f aca="false">T24*Assumptions!$E$17*Assumptions!$E$68*Assumptions!$E$69*Assumptions!$E$70*Assumptions!$E$71/1000*T21</f>
        <v>0</v>
      </c>
      <c r="U41" s="17" t="n">
        <f aca="false">U24*Assumptions!$E$17*Assumptions!$E$68*Assumptions!$E$69*Assumptions!$E$70*Assumptions!$E$71/1000*U21</f>
        <v>0</v>
      </c>
      <c r="V41" s="17" t="n">
        <f aca="false">V24*Assumptions!$E$17*Assumptions!$E$68*Assumptions!$E$69*Assumptions!$E$70*Assumptions!$E$71/1000*V21</f>
        <v>0</v>
      </c>
      <c r="W41" s="17" t="n">
        <f aca="false">W24*Assumptions!$E$17*Assumptions!$E$68*Assumptions!$E$69*Assumptions!$E$70*Assumptions!$E$71/1000*W21</f>
        <v>0</v>
      </c>
      <c r="X41" s="17" t="n">
        <f aca="false">X24*Assumptions!$E$17*Assumptions!$E$68*Assumptions!$E$69*Assumptions!$E$70*Assumptions!$E$71/1000*X21</f>
        <v>0</v>
      </c>
      <c r="Y41" s="17" t="n">
        <f aca="false">Y24*Assumptions!$E$17*Assumptions!$E$68*Assumptions!$E$69*Assumptions!$E$70*Assumptions!$E$71/1000*Y21</f>
        <v>0</v>
      </c>
      <c r="Z41" s="17" t="n">
        <f aca="false">Z24*Assumptions!$E$17*Assumptions!$E$68*Assumptions!$E$69*Assumptions!$E$70*Assumptions!$E$71/1000*Z21</f>
        <v>0</v>
      </c>
      <c r="AA41" s="17" t="n">
        <f aca="false">AA24*Assumptions!$E$17*Assumptions!$E$68*Assumptions!$E$69*Assumptions!$E$70*Assumptions!$E$71/1000*AA21</f>
        <v>0</v>
      </c>
      <c r="AB41" s="17" t="n">
        <f aca="false">AB24*Assumptions!$E$17*Assumptions!$E$68*Assumptions!$E$69*Assumptions!$E$70*Assumptions!$E$71/1000*AB21</f>
        <v>0</v>
      </c>
      <c r="AC41" s="17" t="n">
        <f aca="false">AC24*Assumptions!$E$17*Assumptions!$E$68*Assumptions!$E$69*Assumptions!$E$70*Assumptions!$E$71/1000*AC21</f>
        <v>0</v>
      </c>
      <c r="AD41" s="17" t="n">
        <f aca="false">AD24*Assumptions!$E$17*Assumptions!$E$68*Assumptions!$E$69*Assumptions!$E$70*Assumptions!$E$71/1000*AD21</f>
        <v>0</v>
      </c>
      <c r="AE41" s="17" t="n">
        <f aca="false">AE24*Assumptions!$E$17*Assumptions!$E$68*Assumptions!$E$69*Assumptions!$E$70*Assumptions!$E$71/1000*AE21</f>
        <v>0</v>
      </c>
      <c r="AF41" s="17" t="n">
        <f aca="false">AF24*Assumptions!$E$17*Assumptions!$E$68*Assumptions!$E$69*Assumptions!$E$70*Assumptions!$E$71/1000*AF21</f>
        <v>0</v>
      </c>
      <c r="AG41" s="17" t="n">
        <f aca="false">AG24*Assumptions!$E$17*Assumptions!$E$68*Assumptions!$E$69*Assumptions!$E$70*Assumptions!$E$71/1000*AG21</f>
        <v>0</v>
      </c>
      <c r="AH41" s="17" t="n">
        <f aca="false">AH24*Assumptions!$E$17*Assumptions!$E$68*Assumptions!$E$69*Assumptions!$E$70*Assumptions!$E$71/1000*AH21</f>
        <v>0</v>
      </c>
      <c r="AI41" s="17" t="n">
        <f aca="false">AI24*Assumptions!$E$17*Assumptions!$E$68*Assumptions!$E$69*Assumptions!$E$70*Assumptions!$E$71/1000*AI21</f>
        <v>0</v>
      </c>
      <c r="AJ41" s="17" t="n">
        <f aca="false">AJ24*Assumptions!$E$17*Assumptions!$E$68*Assumptions!$E$69*Assumptions!$E$70*Assumptions!$E$71/1000*AJ21</f>
        <v>0</v>
      </c>
      <c r="AK41" s="17" t="n">
        <f aca="false">AK24*Assumptions!$E$17*Assumptions!$E$68*Assumptions!$E$69*Assumptions!$E$70*Assumptions!$E$71/1000*AK21</f>
        <v>24.904359146143</v>
      </c>
      <c r="AL41" s="17" t="n">
        <f aca="false">AL24*Assumptions!$E$17*Assumptions!$E$68*Assumptions!$E$69*Assumptions!$E$70*Assumptions!$E$71/1000*AL21</f>
        <v>52.7183865723115</v>
      </c>
      <c r="AM41" s="17" t="n">
        <f aca="false">AM24*Assumptions!$E$17*Assumptions!$E$68*Assumptions!$E$69*Assumptions!$E$70*Assumptions!$E$71/1000*AM21</f>
        <v>83.4308624386398</v>
      </c>
      <c r="AN41" s="44" t="n">
        <f aca="false">AN24*Assumptions!$E$17*Assumptions!$E$68*Assumptions!$E$69*Assumptions!$E$70*Assumptions!$E$71/1000*AN21</f>
        <v>116.84097011039</v>
      </c>
      <c r="AO41" s="44" t="n">
        <f aca="false">AO24*Assumptions!$E$17*Assumptions!$E$68*Assumptions!$E$69*Assumptions!$E$70*Assumptions!$E$71/1000*AO21</f>
        <v>153.261793869211</v>
      </c>
      <c r="AP41" s="44" t="n">
        <f aca="false">AP24*Assumptions!$E$17*Assumptions!$E$68*Assumptions!$E$69*Assumptions!$E$70*Assumptions!$E$71/1000*AP21</f>
        <v>192.498316901626</v>
      </c>
      <c r="AQ41" s="44" t="n">
        <f aca="false">AQ24*Assumptions!$E$17*Assumptions!$E$68*Assumptions!$E$69*Assumptions!$E$70*Assumptions!$E$71/1000*AQ21</f>
        <v>200.746777504444</v>
      </c>
      <c r="AR41" s="44" t="n">
        <f aca="false">AR24*Assumptions!$E$17*Assumptions!$E$68*Assumptions!$E$69*Assumptions!$E$70*Assumptions!$E$71/1000*AR21</f>
        <v>209.2305162235</v>
      </c>
      <c r="AS41" s="44" t="n">
        <f aca="false">AS24*Assumptions!$E$17*Assumptions!$E$68*Assumptions!$E$69*Assumptions!$E$70*Assumptions!$E$71/1000*AS21</f>
        <v>217.604438528202</v>
      </c>
      <c r="AT41" s="44" t="n">
        <f aca="false">AT24*Assumptions!$E$17*Assumptions!$E$68*Assumptions!$E$69*Assumptions!$E$70*Assumptions!$E$71/1000*AT21</f>
        <v>225.617329381514</v>
      </c>
      <c r="AU41" s="44" t="n">
        <f aca="false">AU24*Assumptions!$E$17*Assumptions!$E$68*Assumptions!$E$69*Assumptions!$E$70*Assumptions!$E$71/1000*AU21</f>
        <v>233.850518971094</v>
      </c>
      <c r="AV41" s="44" t="n">
        <f aca="false">AV24*Assumptions!$E$17*Assumptions!$E$68*Assumptions!$E$69*Assumptions!$E$70*Assumptions!$E$71/1000*AV21</f>
        <v>241.965616981225</v>
      </c>
      <c r="AW41" s="44" t="n">
        <f aca="false">AW24*Assumptions!$E$17*Assumptions!$E$68*Assumptions!$E$69*Assumptions!$E$70*Assumptions!$E$71/1000*AW21</f>
        <v>249.71574419306</v>
      </c>
      <c r="AX41" s="44" t="n">
        <f aca="false">AX24*Assumptions!$E$17*Assumptions!$E$68*Assumptions!$E$69*Assumptions!$E$70*Assumptions!$E$71/1000*AX21</f>
        <v>257.685027483423</v>
      </c>
      <c r="AY41" s="44" t="n">
        <f aca="false">AY24*Assumptions!$E$17*Assumptions!$E$68*Assumptions!$E$69*Assumptions!$E$70*Assumptions!$E$71/1000*AY21</f>
        <v>265.53687311579</v>
      </c>
      <c r="AZ41" s="44" t="n">
        <f aca="false">AZ24*Assumptions!$E$17*Assumptions!$E$68*Assumptions!$E$69*Assumptions!$E$70*Assumptions!$E$71/1000*AZ21</f>
        <v>273.025548698056</v>
      </c>
      <c r="BA41" s="44" t="n">
        <f aca="false">BA24*Assumptions!$E$17*Assumptions!$E$68*Assumptions!$E$69*Assumptions!$E$70*Assumptions!$E$71/1000*BA21</f>
        <v>280.735905908936</v>
      </c>
      <c r="BB41" s="44" t="n">
        <f aca="false">BB24*Assumptions!$E$17*Assumptions!$E$68*Assumptions!$E$69*Assumptions!$E$70*Assumptions!$E$71/1000*BB21</f>
        <v>288.331801807181</v>
      </c>
      <c r="BC41" s="44" t="n">
        <f aca="false">BC24*Assumptions!$E$17*Assumptions!$E$68*Assumptions!$E$69*Assumptions!$E$70*Assumptions!$E$71/1000*BC21</f>
        <v>295.536932196544</v>
      </c>
      <c r="BD41" s="44" t="n">
        <f aca="false">BD24*Assumptions!$E$17*Assumptions!$E$68*Assumptions!$E$69*Assumptions!$E$70*Assumptions!$E$71/1000*BD21</f>
        <v>302.947564834302</v>
      </c>
      <c r="BE41" s="44" t="n">
        <f aca="false">BE24*Assumptions!$E$17*Assumptions!$E$68*Assumptions!$E$69*Assumptions!$E$70*Assumptions!$E$71/1000*BE21</f>
        <v>310.234950865246</v>
      </c>
      <c r="BF41" s="44" t="n">
        <f aca="false">BF24*Assumptions!$E$17*Assumptions!$E$68*Assumptions!$E$69*Assumptions!$E$70*Assumptions!$E$71/1000*BF21</f>
        <v>317.127566279516</v>
      </c>
      <c r="BG41" s="44" t="n">
        <f aca="false">BG24*Assumptions!$E$17*Assumptions!$E$68*Assumptions!$E$69*Assumptions!$E$70*Assumptions!$E$71/1000*BG21</f>
        <v>324.224760375535</v>
      </c>
      <c r="BH41" s="44" t="n">
        <f aca="false">BH24*Assumptions!$E$17*Assumptions!$E$68*Assumptions!$E$69*Assumptions!$E$70*Assumptions!$E$71/1000*BH21</f>
        <v>331.199762103539</v>
      </c>
      <c r="BI41" s="44" t="n">
        <f aca="false">BI24*Assumptions!$E$17*Assumptions!$E$68*Assumptions!$E$69*Assumptions!$E$70*Assumptions!$E$71/1000*BI21</f>
        <v>337.78230820885</v>
      </c>
      <c r="BJ41" s="44" t="n">
        <f aca="false">BJ24*Assumptions!$E$17*Assumptions!$E$68*Assumptions!$E$69*Assumptions!$E$70*Assumptions!$E$71/1000*BJ21</f>
        <v>344.572543034679</v>
      </c>
      <c r="BK41" s="44" t="n">
        <f aca="false">BK24*Assumptions!$E$17*Assumptions!$E$68*Assumptions!$E$69*Assumptions!$E$70*Assumptions!$E$71/1000*BK21</f>
        <v>351.244188230984</v>
      </c>
    </row>
    <row r="42" customFormat="false" ht="15" hidden="false" customHeight="false" outlineLevel="0" collapsed="false">
      <c r="A42" s="28" t="s">
        <v>600</v>
      </c>
      <c r="B42" s="6" t="s">
        <v>601</v>
      </c>
      <c r="C42" s="43"/>
      <c r="D42" s="17" t="n">
        <f aca="false">D13*Assumptions!$E$72*Assumptions!$E$73*D21</f>
        <v>0</v>
      </c>
      <c r="E42" s="17" t="n">
        <f aca="false">E13*Assumptions!$E$72*Assumptions!$E$73*E21</f>
        <v>0</v>
      </c>
      <c r="F42" s="17" t="n">
        <f aca="false">F13*Assumptions!$E$72*Assumptions!$E$73*F21</f>
        <v>0</v>
      </c>
      <c r="G42" s="17" t="n">
        <f aca="false">G13*Assumptions!$E$72*Assumptions!$E$73*G21</f>
        <v>0</v>
      </c>
      <c r="H42" s="17" t="n">
        <f aca="false">H13*Assumptions!$E$72*Assumptions!$E$73*H21</f>
        <v>0</v>
      </c>
      <c r="I42" s="17" t="n">
        <f aca="false">I13*Assumptions!$E$72*Assumptions!$E$73*I21</f>
        <v>0</v>
      </c>
      <c r="J42" s="17" t="n">
        <f aca="false">J13*Assumptions!$E$72*Assumptions!$E$73*J21</f>
        <v>0</v>
      </c>
      <c r="K42" s="17" t="n">
        <f aca="false">K13*Assumptions!$E$72*Assumptions!$E$73*K21</f>
        <v>0</v>
      </c>
      <c r="L42" s="17" t="n">
        <f aca="false">L13*Assumptions!$E$72*Assumptions!$E$73*L21</f>
        <v>0</v>
      </c>
      <c r="M42" s="17" t="n">
        <f aca="false">M13*Assumptions!$E$72*Assumptions!$E$73*M21</f>
        <v>0</v>
      </c>
      <c r="N42" s="17" t="n">
        <f aca="false">N13*Assumptions!$E$72*Assumptions!$E$73*N21</f>
        <v>0</v>
      </c>
      <c r="O42" s="17" t="n">
        <f aca="false">O13*Assumptions!$E$72*Assumptions!$E$73*O21</f>
        <v>0</v>
      </c>
      <c r="P42" s="17" t="n">
        <f aca="false">P13*Assumptions!$E$72*Assumptions!$E$73*P21</f>
        <v>0</v>
      </c>
      <c r="Q42" s="17" t="n">
        <f aca="false">Q13*Assumptions!$E$72*Assumptions!$E$73*Q21</f>
        <v>0</v>
      </c>
      <c r="R42" s="17" t="n">
        <f aca="false">R13*Assumptions!$E$72*Assumptions!$E$73*R21</f>
        <v>0</v>
      </c>
      <c r="S42" s="17" t="n">
        <f aca="false">S13*Assumptions!$E$72*Assumptions!$E$73*S21</f>
        <v>0</v>
      </c>
      <c r="T42" s="17" t="n">
        <f aca="false">T13*Assumptions!$E$72*Assumptions!$E$73*T21</f>
        <v>0</v>
      </c>
      <c r="U42" s="17" t="n">
        <f aca="false">U13*Assumptions!$E$72*Assumptions!$E$73*U21</f>
        <v>0</v>
      </c>
      <c r="V42" s="17" t="n">
        <f aca="false">V13*Assumptions!$E$72*Assumptions!$E$73*V21</f>
        <v>0</v>
      </c>
      <c r="W42" s="17" t="n">
        <f aca="false">W13*Assumptions!$E$72*Assumptions!$E$73*W21</f>
        <v>0</v>
      </c>
      <c r="X42" s="17" t="n">
        <f aca="false">X13*Assumptions!$E$72*Assumptions!$E$73*X21</f>
        <v>0</v>
      </c>
      <c r="Y42" s="17" t="n">
        <f aca="false">Y13*Assumptions!$E$72*Assumptions!$E$73*Y21</f>
        <v>0</v>
      </c>
      <c r="Z42" s="17" t="n">
        <f aca="false">Z13*Assumptions!$E$72*Assumptions!$E$73*Z21</f>
        <v>0</v>
      </c>
      <c r="AA42" s="17" t="n">
        <f aca="false">AA13*Assumptions!$E$72*Assumptions!$E$73*AA21</f>
        <v>0</v>
      </c>
      <c r="AB42" s="17" t="n">
        <f aca="false">AB13*Assumptions!$E$72*Assumptions!$E$73*AB21</f>
        <v>0</v>
      </c>
      <c r="AC42" s="17" t="n">
        <f aca="false">AC13*Assumptions!$E$72*Assumptions!$E$73*AC21</f>
        <v>0</v>
      </c>
      <c r="AD42" s="17" t="n">
        <f aca="false">AD13*Assumptions!$E$72*Assumptions!$E$73*AD21</f>
        <v>0</v>
      </c>
      <c r="AE42" s="17" t="n">
        <f aca="false">AE13*Assumptions!$E$72*Assumptions!$E$73*AE21</f>
        <v>0</v>
      </c>
      <c r="AF42" s="17" t="n">
        <f aca="false">AF13*Assumptions!$E$72*Assumptions!$E$73*AF21</f>
        <v>0</v>
      </c>
      <c r="AG42" s="17" t="n">
        <f aca="false">AG13*Assumptions!$E$72*Assumptions!$E$73*AG21</f>
        <v>0</v>
      </c>
      <c r="AH42" s="17" t="n">
        <f aca="false">AH13*Assumptions!$E$72*Assumptions!$E$73*AH21</f>
        <v>0</v>
      </c>
      <c r="AI42" s="17" t="n">
        <f aca="false">AI13*Assumptions!$E$72*Assumptions!$E$73*AI21</f>
        <v>0</v>
      </c>
      <c r="AJ42" s="17" t="n">
        <f aca="false">AJ13*Assumptions!$E$72*Assumptions!$E$73*AJ21</f>
        <v>0</v>
      </c>
      <c r="AK42" s="17" t="n">
        <f aca="false">AK13*Assumptions!$E$72*Assumptions!$E$73*AK21</f>
        <v>114.605905742843</v>
      </c>
      <c r="AL42" s="17" t="n">
        <f aca="false">AL13*Assumptions!$E$72*Assumptions!$E$73*AL21</f>
        <v>242.1752343134</v>
      </c>
      <c r="AM42" s="17" t="n">
        <f aca="false">AM13*Assumptions!$E$72*Assumptions!$E$73*AM21</f>
        <v>381.314708698049</v>
      </c>
      <c r="AN42" s="44" t="n">
        <f aca="false">AN13*Assumptions!$E$72*Assumptions!$E$73*AN21</f>
        <v>530.169317423437</v>
      </c>
      <c r="AO42" s="44" t="n">
        <f aca="false">AO13*Assumptions!$E$72*Assumptions!$E$73*AO21</f>
        <v>694.386972077607</v>
      </c>
      <c r="AP42" s="44" t="n">
        <f aca="false">AP13*Assumptions!$E$72*Assumptions!$E$73*AP21</f>
        <v>868.501400995732</v>
      </c>
      <c r="AQ42" s="44" t="n">
        <f aca="false">AQ13*Assumptions!$E$72*Assumptions!$E$73*AQ21</f>
        <v>900.272279980796</v>
      </c>
      <c r="AR42" s="44" t="n">
        <f aca="false">AR13*Assumptions!$E$72*Assumptions!$E$73*AR21</f>
        <v>937.441795781084</v>
      </c>
      <c r="AS42" s="44" t="n">
        <f aca="false">AS13*Assumptions!$E$72*Assumptions!$E$73*AS21</f>
        <v>971.483368844368</v>
      </c>
      <c r="AT42" s="44" t="n">
        <f aca="false">AT13*Assumptions!$E$72*Assumptions!$E$73*AT21</f>
        <v>1002.0767183117</v>
      </c>
      <c r="AU42" s="44" t="n">
        <f aca="false">AU13*Assumptions!$E$72*Assumptions!$E$73*AU21</f>
        <v>1038.08636753703</v>
      </c>
      <c r="AV42" s="44" t="n">
        <f aca="false">AV13*Assumptions!$E$72*Assumptions!$E$73*AV21</f>
        <v>1070.98547202397</v>
      </c>
      <c r="AW42" s="44" t="n">
        <f aca="false">AW13*Assumptions!$E$72*Assumptions!$E$73*AW21</f>
        <v>1100.45348994361</v>
      </c>
      <c r="AX42" s="44" t="n">
        <f aca="false">AX13*Assumptions!$E$72*Assumptions!$E$73*AX21</f>
        <v>1135.35468759446</v>
      </c>
      <c r="AY42" s="44" t="n">
        <f aca="false">AY13*Assumptions!$E$72*Assumptions!$E$73*AY21</f>
        <v>1167.16196728054</v>
      </c>
      <c r="AZ42" s="44" t="n">
        <f aca="false">AZ13*Assumptions!$E$72*Assumptions!$E$73*AZ21</f>
        <v>1195.55453777133</v>
      </c>
      <c r="BA42" s="44" t="n">
        <f aca="false">BA13*Assumptions!$E$72*Assumptions!$E$73*BA21</f>
        <v>1229.39641970476</v>
      </c>
      <c r="BB42" s="44" t="n">
        <f aca="false">BB13*Assumptions!$E$72*Assumptions!$E$73*BB21</f>
        <v>1260.16027340919</v>
      </c>
      <c r="BC42" s="44" t="n">
        <f aca="false">BC13*Assumptions!$E$72*Assumptions!$E$73*BC21</f>
        <v>1287.15786930805</v>
      </c>
      <c r="BD42" s="44" t="n">
        <f aca="false">BD13*Assumptions!$E$72*Assumptions!$E$73*BD21</f>
        <v>1319.62570126843</v>
      </c>
      <c r="BE42" s="44" t="n">
        <f aca="false">BE13*Assumptions!$E$72*Assumptions!$E$73*BE21</f>
        <v>1349.03611574941</v>
      </c>
      <c r="BF42" s="44" t="n">
        <f aca="false">BF13*Assumptions!$E$72*Assumptions!$E$73*BF21</f>
        <v>1374.70057401316</v>
      </c>
      <c r="BG42" s="44" t="n">
        <f aca="false">BG13*Assumptions!$E$72*Assumptions!$E$73*BG21</f>
        <v>1405.85526540297</v>
      </c>
      <c r="BH42" s="44" t="n">
        <f aca="false">BH13*Assumptions!$E$72*Assumptions!$E$73*BH21</f>
        <v>1433.97223642192</v>
      </c>
      <c r="BI42" s="44" t="n">
        <f aca="false">BI13*Assumptions!$E$72*Assumptions!$E$73*BI21</f>
        <v>1458.36265287559</v>
      </c>
      <c r="BJ42" s="44" t="n">
        <f aca="false">BJ13*Assumptions!$E$72*Assumptions!$E$73*BJ21</f>
        <v>1488.26241308246</v>
      </c>
      <c r="BK42" s="44" t="n">
        <f aca="false">BK13*Assumptions!$E$72*Assumptions!$E$73*BK21</f>
        <v>1515.14327688622</v>
      </c>
    </row>
    <row r="43" customFormat="false" ht="15" hidden="false" customHeight="false" outlineLevel="0" collapsed="false">
      <c r="A43" s="28" t="s">
        <v>602</v>
      </c>
      <c r="B43" s="6" t="s">
        <v>603</v>
      </c>
      <c r="C43" s="43"/>
      <c r="D43" s="17" t="n">
        <f aca="false">D13*Assumptions!$E$74*Assumptions!$E$75*Assumptions!$E$76*D21</f>
        <v>0</v>
      </c>
      <c r="E43" s="17" t="n">
        <f aca="false">E13*Assumptions!$E$74*Assumptions!$E$75*Assumptions!$E$76*E21</f>
        <v>0</v>
      </c>
      <c r="F43" s="17" t="n">
        <f aca="false">F13*Assumptions!$E$74*Assumptions!$E$75*Assumptions!$E$76*F21</f>
        <v>0</v>
      </c>
      <c r="G43" s="17" t="n">
        <f aca="false">G13*Assumptions!$E$74*Assumptions!$E$75*Assumptions!$E$76*G21</f>
        <v>0</v>
      </c>
      <c r="H43" s="17" t="n">
        <f aca="false">H13*Assumptions!$E$74*Assumptions!$E$75*Assumptions!$E$76*H21</f>
        <v>0</v>
      </c>
      <c r="I43" s="17" t="n">
        <f aca="false">I13*Assumptions!$E$74*Assumptions!$E$75*Assumptions!$E$76*I21</f>
        <v>0</v>
      </c>
      <c r="J43" s="17" t="n">
        <f aca="false">J13*Assumptions!$E$74*Assumptions!$E$75*Assumptions!$E$76*J21</f>
        <v>0</v>
      </c>
      <c r="K43" s="17" t="n">
        <f aca="false">K13*Assumptions!$E$74*Assumptions!$E$75*Assumptions!$E$76*K21</f>
        <v>0</v>
      </c>
      <c r="L43" s="17" t="n">
        <f aca="false">L13*Assumptions!$E$74*Assumptions!$E$75*Assumptions!$E$76*L21</f>
        <v>0</v>
      </c>
      <c r="M43" s="17" t="n">
        <f aca="false">M13*Assumptions!$E$74*Assumptions!$E$75*Assumptions!$E$76*M21</f>
        <v>0</v>
      </c>
      <c r="N43" s="17" t="n">
        <f aca="false">N13*Assumptions!$E$74*Assumptions!$E$75*Assumptions!$E$76*N21</f>
        <v>0</v>
      </c>
      <c r="O43" s="17" t="n">
        <f aca="false">O13*Assumptions!$E$74*Assumptions!$E$75*Assumptions!$E$76*O21</f>
        <v>0</v>
      </c>
      <c r="P43" s="17" t="n">
        <f aca="false">P13*Assumptions!$E$74*Assumptions!$E$75*Assumptions!$E$76*P21</f>
        <v>0</v>
      </c>
      <c r="Q43" s="17" t="n">
        <f aca="false">Q13*Assumptions!$E$74*Assumptions!$E$75*Assumptions!$E$76*Q21</f>
        <v>0</v>
      </c>
      <c r="R43" s="17" t="n">
        <f aca="false">R13*Assumptions!$E$74*Assumptions!$E$75*Assumptions!$E$76*R21</f>
        <v>0</v>
      </c>
      <c r="S43" s="17" t="n">
        <f aca="false">S13*Assumptions!$E$74*Assumptions!$E$75*Assumptions!$E$76*S21</f>
        <v>0</v>
      </c>
      <c r="T43" s="17" t="n">
        <f aca="false">T13*Assumptions!$E$74*Assumptions!$E$75*Assumptions!$E$76*T21</f>
        <v>0</v>
      </c>
      <c r="U43" s="17" t="n">
        <f aca="false">U13*Assumptions!$E$74*Assumptions!$E$75*Assumptions!$E$76*U21</f>
        <v>0</v>
      </c>
      <c r="V43" s="17" t="n">
        <f aca="false">V13*Assumptions!$E$74*Assumptions!$E$75*Assumptions!$E$76*V21</f>
        <v>0</v>
      </c>
      <c r="W43" s="17" t="n">
        <f aca="false">W13*Assumptions!$E$74*Assumptions!$E$75*Assumptions!$E$76*W21</f>
        <v>0</v>
      </c>
      <c r="X43" s="17" t="n">
        <f aca="false">X13*Assumptions!$E$74*Assumptions!$E$75*Assumptions!$E$76*X21</f>
        <v>0</v>
      </c>
      <c r="Y43" s="17" t="n">
        <f aca="false">Y13*Assumptions!$E$74*Assumptions!$E$75*Assumptions!$E$76*Y21</f>
        <v>0</v>
      </c>
      <c r="Z43" s="17" t="n">
        <f aca="false">Z13*Assumptions!$E$74*Assumptions!$E$75*Assumptions!$E$76*Z21</f>
        <v>0</v>
      </c>
      <c r="AA43" s="17" t="n">
        <f aca="false">AA13*Assumptions!$E$74*Assumptions!$E$75*Assumptions!$E$76*AA21</f>
        <v>0</v>
      </c>
      <c r="AB43" s="17" t="n">
        <f aca="false">AB13*Assumptions!$E$74*Assumptions!$E$75*Assumptions!$E$76*AB21</f>
        <v>0</v>
      </c>
      <c r="AC43" s="17" t="n">
        <f aca="false">AC13*Assumptions!$E$74*Assumptions!$E$75*Assumptions!$E$76*AC21</f>
        <v>0</v>
      </c>
      <c r="AD43" s="17" t="n">
        <f aca="false">AD13*Assumptions!$E$74*Assumptions!$E$75*Assumptions!$E$76*AD21</f>
        <v>0</v>
      </c>
      <c r="AE43" s="17" t="n">
        <f aca="false">AE13*Assumptions!$E$74*Assumptions!$E$75*Assumptions!$E$76*AE21</f>
        <v>0</v>
      </c>
      <c r="AF43" s="17" t="n">
        <f aca="false">AF13*Assumptions!$E$74*Assumptions!$E$75*Assumptions!$E$76*AF21</f>
        <v>0</v>
      </c>
      <c r="AG43" s="17" t="n">
        <f aca="false">AG13*Assumptions!$E$74*Assumptions!$E$75*Assumptions!$E$76*AG21</f>
        <v>0</v>
      </c>
      <c r="AH43" s="17" t="n">
        <f aca="false">AH13*Assumptions!$E$74*Assumptions!$E$75*Assumptions!$E$76*AH21</f>
        <v>0</v>
      </c>
      <c r="AI43" s="17" t="n">
        <f aca="false">AI13*Assumptions!$E$74*Assumptions!$E$75*Assumptions!$E$76*AI21</f>
        <v>0</v>
      </c>
      <c r="AJ43" s="17" t="n">
        <f aca="false">AJ13*Assumptions!$E$74*Assumptions!$E$75*Assumptions!$E$76*AJ21</f>
        <v>0</v>
      </c>
      <c r="AK43" s="17" t="n">
        <f aca="false">AK13*Assumptions!$E$74*Assumptions!$E$75*Assumptions!$E$76*AK21</f>
        <v>101.87191621586</v>
      </c>
      <c r="AL43" s="17" t="n">
        <f aca="false">AL13*Assumptions!$E$74*Assumptions!$E$75*Assumptions!$E$76*AL21</f>
        <v>215.266874945245</v>
      </c>
      <c r="AM43" s="17" t="n">
        <f aca="false">AM13*Assumptions!$E$74*Assumptions!$E$75*Assumptions!$E$76*AM21</f>
        <v>338.946407731599</v>
      </c>
      <c r="AN43" s="44" t="n">
        <f aca="false">AN13*Assumptions!$E$74*Assumptions!$E$75*Assumptions!$E$76*AN21</f>
        <v>471.2616154875</v>
      </c>
      <c r="AO43" s="44" t="n">
        <f aca="false">AO13*Assumptions!$E$74*Assumptions!$E$75*Assumptions!$E$76*AO21</f>
        <v>617.232864068984</v>
      </c>
      <c r="AP43" s="44" t="n">
        <f aca="false">AP13*Assumptions!$E$74*Assumptions!$E$75*Assumptions!$E$76*AP21</f>
        <v>772.001245329539</v>
      </c>
      <c r="AQ43" s="44" t="n">
        <f aca="false">AQ13*Assumptions!$E$74*Assumptions!$E$75*Assumptions!$E$76*AQ21</f>
        <v>800.242026649596</v>
      </c>
      <c r="AR43" s="44" t="n">
        <f aca="false">AR13*Assumptions!$E$74*Assumptions!$E$75*Assumptions!$E$76*AR21</f>
        <v>833.281596249853</v>
      </c>
      <c r="AS43" s="44" t="n">
        <f aca="false">AS13*Assumptions!$E$74*Assumptions!$E$75*Assumptions!$E$76*AS21</f>
        <v>863.540772306105</v>
      </c>
      <c r="AT43" s="44" t="n">
        <f aca="false">AT13*Assumptions!$E$74*Assumptions!$E$75*Assumptions!$E$76*AT21</f>
        <v>890.734860721513</v>
      </c>
      <c r="AU43" s="44" t="n">
        <f aca="false">AU13*Assumptions!$E$74*Assumptions!$E$75*Assumptions!$E$76*AU21</f>
        <v>922.743437810691</v>
      </c>
      <c r="AV43" s="44" t="n">
        <f aca="false">AV13*Assumptions!$E$74*Assumptions!$E$75*Assumptions!$E$76*AV21</f>
        <v>951.98708624353</v>
      </c>
      <c r="AW43" s="44" t="n">
        <f aca="false">AW13*Assumptions!$E$74*Assumptions!$E$75*Assumptions!$E$76*AW21</f>
        <v>978.180879949877</v>
      </c>
      <c r="AX43" s="44" t="n">
        <f aca="false">AX13*Assumptions!$E$74*Assumptions!$E$75*Assumptions!$E$76*AX21</f>
        <v>1009.20416675063</v>
      </c>
      <c r="AY43" s="44" t="n">
        <f aca="false">AY13*Assumptions!$E$74*Assumptions!$E$75*Assumptions!$E$76*AY21</f>
        <v>1037.47730424937</v>
      </c>
      <c r="AZ43" s="44" t="n">
        <f aca="false">AZ13*Assumptions!$E$74*Assumptions!$E$75*Assumptions!$E$76*AZ21</f>
        <v>1062.71514468563</v>
      </c>
      <c r="BA43" s="44" t="n">
        <f aca="false">BA13*Assumptions!$E$74*Assumptions!$E$75*Assumptions!$E$76*BA21</f>
        <v>1092.79681751534</v>
      </c>
      <c r="BB43" s="44" t="n">
        <f aca="false">BB13*Assumptions!$E$74*Assumptions!$E$75*Assumptions!$E$76*BB21</f>
        <v>1120.14246525261</v>
      </c>
      <c r="BC43" s="44" t="n">
        <f aca="false">BC13*Assumptions!$E$74*Assumptions!$E$75*Assumptions!$E$76*BC21</f>
        <v>1144.14032827383</v>
      </c>
      <c r="BD43" s="44" t="n">
        <f aca="false">BD13*Assumptions!$E$74*Assumptions!$E$75*Assumptions!$E$76*BD21</f>
        <v>1173.00062334972</v>
      </c>
      <c r="BE43" s="44" t="n">
        <f aca="false">BE13*Assumptions!$E$74*Assumptions!$E$75*Assumptions!$E$76*BE21</f>
        <v>1199.14321399947</v>
      </c>
      <c r="BF43" s="44" t="n">
        <f aca="false">BF13*Assumptions!$E$74*Assumptions!$E$75*Assumptions!$E$76*BF21</f>
        <v>1221.95606578948</v>
      </c>
      <c r="BG43" s="44" t="n">
        <f aca="false">BG13*Assumptions!$E$74*Assumptions!$E$75*Assumptions!$E$76*BG21</f>
        <v>1249.64912480264</v>
      </c>
      <c r="BH43" s="44" t="n">
        <f aca="false">BH13*Assumptions!$E$74*Assumptions!$E$75*Assumptions!$E$76*BH21</f>
        <v>1274.6419879306</v>
      </c>
      <c r="BI43" s="44" t="n">
        <f aca="false">BI13*Assumptions!$E$74*Assumptions!$E$75*Assumptions!$E$76*BI21</f>
        <v>1296.32235811164</v>
      </c>
      <c r="BJ43" s="44" t="n">
        <f aca="false">BJ13*Assumptions!$E$74*Assumptions!$E$75*Assumptions!$E$76*BJ21</f>
        <v>1322.89992273996</v>
      </c>
      <c r="BK43" s="44" t="n">
        <f aca="false">BK13*Assumptions!$E$74*Assumptions!$E$75*Assumptions!$E$76*BK21</f>
        <v>1346.79402389887</v>
      </c>
    </row>
    <row r="44" customFormat="false" ht="15" hidden="false" customHeight="false" outlineLevel="0" collapsed="false">
      <c r="A44" s="28" t="s">
        <v>604</v>
      </c>
      <c r="B44" s="6" t="s">
        <v>605</v>
      </c>
      <c r="C44" s="42"/>
      <c r="D44" s="26" t="n">
        <f aca="false">D10*Assumptions!$E$80/12*D18</f>
        <v>0</v>
      </c>
      <c r="E44" s="26" t="n">
        <f aca="false">E10*Assumptions!$E$80/12*E18</f>
        <v>0</v>
      </c>
      <c r="F44" s="26" t="n">
        <f aca="false">F10*Assumptions!$E$80/12*F18</f>
        <v>0</v>
      </c>
      <c r="G44" s="26" t="n">
        <f aca="false">G10*Assumptions!$E$80/12*G18</f>
        <v>0</v>
      </c>
      <c r="H44" s="26" t="n">
        <f aca="false">H10*Assumptions!$E$80/12*H18</f>
        <v>0</v>
      </c>
      <c r="I44" s="26" t="n">
        <f aca="false">I10*Assumptions!$E$80/12*I18</f>
        <v>0</v>
      </c>
      <c r="J44" s="26" t="n">
        <f aca="false">J10*Assumptions!$E$80/12*J18</f>
        <v>0</v>
      </c>
      <c r="K44" s="26" t="n">
        <f aca="false">K10*Assumptions!$E$80/12*K18</f>
        <v>0</v>
      </c>
      <c r="L44" s="26" t="n">
        <f aca="false">L10*Assumptions!$E$80/12*L18</f>
        <v>0</v>
      </c>
      <c r="M44" s="26" t="n">
        <f aca="false">M10*Assumptions!$E$80/12*M18</f>
        <v>0</v>
      </c>
      <c r="N44" s="26" t="n">
        <f aca="false">N10*Assumptions!$E$80/12*N18</f>
        <v>0</v>
      </c>
      <c r="O44" s="26" t="n">
        <f aca="false">O10*Assumptions!$E$80/12*O18</f>
        <v>0</v>
      </c>
      <c r="P44" s="26" t="n">
        <f aca="false">P10*Assumptions!$E$80/12*P18</f>
        <v>0</v>
      </c>
      <c r="Q44" s="26" t="n">
        <f aca="false">Q10*Assumptions!$E$80/12*Q18</f>
        <v>0</v>
      </c>
      <c r="R44" s="26" t="n">
        <f aca="false">R10*Assumptions!$E$80/12*R18</f>
        <v>0</v>
      </c>
      <c r="S44" s="26" t="n">
        <f aca="false">S10*Assumptions!$E$80/12*S18</f>
        <v>0</v>
      </c>
      <c r="T44" s="26" t="n">
        <f aca="false">T10*Assumptions!$E$80/12*T18</f>
        <v>0</v>
      </c>
      <c r="U44" s="26" t="n">
        <f aca="false">U10*Assumptions!$E$80/12*U18</f>
        <v>0</v>
      </c>
      <c r="V44" s="26" t="n">
        <f aca="false">V10*Assumptions!$E$80/12*V18</f>
        <v>0</v>
      </c>
      <c r="W44" s="26" t="n">
        <f aca="false">W10*Assumptions!$E$80/12*W18</f>
        <v>0.416666666666667</v>
      </c>
      <c r="X44" s="26" t="n">
        <f aca="false">X10*Assumptions!$E$80/12*X18</f>
        <v>0.5</v>
      </c>
      <c r="Y44" s="26" t="n">
        <f aca="false">Y10*Assumptions!$E$80/12*Y18</f>
        <v>0.5</v>
      </c>
      <c r="Z44" s="26" t="n">
        <f aca="false">Z10*Assumptions!$E$80/12*Z18</f>
        <v>0.583333333333333</v>
      </c>
      <c r="AA44" s="26" t="n">
        <f aca="false">AA10*Assumptions!$E$80/12*AA18</f>
        <v>0.666666666666667</v>
      </c>
      <c r="AB44" s="26" t="n">
        <f aca="false">AB10*Assumptions!$E$80/12*AB18</f>
        <v>0.75</v>
      </c>
      <c r="AC44" s="26" t="n">
        <f aca="false">AC10*Assumptions!$E$80/12*AC18</f>
        <v>0.833333333333333</v>
      </c>
      <c r="AD44" s="26" t="n">
        <f aca="false">AD10*Assumptions!$E$80/12*AD18</f>
        <v>0.916666666666667</v>
      </c>
      <c r="AE44" s="26" t="n">
        <f aca="false">AE10*Assumptions!$E$80/12*AE18</f>
        <v>1</v>
      </c>
      <c r="AF44" s="26" t="n">
        <f aca="false">AF10*Assumptions!$E$80/12*AF18</f>
        <v>1.08333333333333</v>
      </c>
      <c r="AG44" s="26" t="n">
        <f aca="false">AG10*Assumptions!$E$80/12*AG18</f>
        <v>1.16666666666667</v>
      </c>
      <c r="AH44" s="26" t="n">
        <f aca="false">AH10*Assumptions!$E$80/12*AH18</f>
        <v>1.25</v>
      </c>
      <c r="AI44" s="26" t="n">
        <f aca="false">AI10*Assumptions!$E$80/12*AI18</f>
        <v>1.33333333333333</v>
      </c>
      <c r="AJ44" s="26" t="n">
        <f aca="false">AJ10*Assumptions!$E$80/12*AJ18</f>
        <v>1.41666666666667</v>
      </c>
      <c r="AK44" s="26" t="n">
        <f aca="false">AK10*Assumptions!$E$80/12*AK18</f>
        <v>1.5</v>
      </c>
      <c r="AL44" s="26" t="n">
        <f aca="false">AL10*Assumptions!$E$80/12*AL18</f>
        <v>1.66666666666667</v>
      </c>
      <c r="AM44" s="26" t="n">
        <f aca="false">AM10*Assumptions!$E$80/12*AM18</f>
        <v>1.75</v>
      </c>
      <c r="AN44" s="37" t="n">
        <f aca="false">AN10*Assumptions!$E$80/12*AN18</f>
        <v>1.83333333333333</v>
      </c>
      <c r="AO44" s="37" t="n">
        <f aca="false">AO10*Assumptions!$E$80/12*AO18</f>
        <v>2</v>
      </c>
      <c r="AP44" s="37" t="n">
        <f aca="false">AP10*Assumptions!$E$80/12*AP18</f>
        <v>2.08333333333333</v>
      </c>
      <c r="AQ44" s="37" t="n">
        <f aca="false">AQ10*Assumptions!$E$80/12*AQ18</f>
        <v>2.16666666666667</v>
      </c>
      <c r="AR44" s="37" t="n">
        <f aca="false">AR10*Assumptions!$E$80/12*AR18</f>
        <v>2.33333333333333</v>
      </c>
      <c r="AS44" s="37" t="n">
        <f aca="false">AS10*Assumptions!$E$80/12*AS18</f>
        <v>2.41666666666667</v>
      </c>
      <c r="AT44" s="37" t="n">
        <f aca="false">AT10*Assumptions!$E$80/12*AT18</f>
        <v>2.5</v>
      </c>
      <c r="AU44" s="37" t="n">
        <f aca="false">AU10*Assumptions!$E$80/12*AU18</f>
        <v>2.66666666666667</v>
      </c>
      <c r="AV44" s="37" t="n">
        <f aca="false">AV10*Assumptions!$E$80/12*AV18</f>
        <v>2.75</v>
      </c>
      <c r="AW44" s="37" t="n">
        <f aca="false">AW10*Assumptions!$E$80/12*AW18</f>
        <v>2.83333333333333</v>
      </c>
      <c r="AX44" s="37" t="n">
        <f aca="false">AX10*Assumptions!$E$80/12*AX18</f>
        <v>3</v>
      </c>
      <c r="AY44" s="37" t="n">
        <f aca="false">AY10*Assumptions!$E$80/12*AY18</f>
        <v>3.08333333333333</v>
      </c>
      <c r="AZ44" s="37" t="n">
        <f aca="false">AZ10*Assumptions!$E$80/12*AZ18</f>
        <v>3.16666666666667</v>
      </c>
      <c r="BA44" s="37" t="n">
        <f aca="false">BA10*Assumptions!$E$80/12*BA18</f>
        <v>3.33333333333333</v>
      </c>
      <c r="BB44" s="37" t="n">
        <f aca="false">BB10*Assumptions!$E$80/12*BB18</f>
        <v>3.41666666666667</v>
      </c>
      <c r="BC44" s="37" t="n">
        <f aca="false">BC10*Assumptions!$E$80/12*BC18</f>
        <v>3.5</v>
      </c>
      <c r="BD44" s="37" t="n">
        <f aca="false">BD10*Assumptions!$E$80/12*BD18</f>
        <v>3.66666666666667</v>
      </c>
      <c r="BE44" s="37" t="n">
        <f aca="false">BE10*Assumptions!$E$80/12*BE18</f>
        <v>3.75</v>
      </c>
      <c r="BF44" s="37" t="n">
        <f aca="false">BF10*Assumptions!$E$80/12*BF18</f>
        <v>3.83333333333333</v>
      </c>
      <c r="BG44" s="37" t="n">
        <f aca="false">BG10*Assumptions!$E$80/12*BG18</f>
        <v>4</v>
      </c>
      <c r="BH44" s="37" t="n">
        <f aca="false">BH10*Assumptions!$E$80/12*BH18</f>
        <v>4.08333333333333</v>
      </c>
      <c r="BI44" s="37" t="n">
        <f aca="false">BI10*Assumptions!$E$80/12*BI18</f>
        <v>4.16666666666667</v>
      </c>
      <c r="BJ44" s="37" t="n">
        <f aca="false">BJ10*Assumptions!$E$80/12*BJ18</f>
        <v>4.33333333333333</v>
      </c>
      <c r="BK44" s="37" t="n">
        <f aca="false">BK10*Assumptions!$E$80/12*BK18</f>
        <v>4.41666666666667</v>
      </c>
    </row>
    <row r="45" customFormat="false" ht="15" hidden="false" customHeight="false" outlineLevel="0" collapsed="false">
      <c r="A45" s="28" t="s">
        <v>606</v>
      </c>
      <c r="B45" s="6" t="s">
        <v>607</v>
      </c>
      <c r="C45" s="43"/>
      <c r="D45" s="17" t="n">
        <f aca="false">D44*Assumptions!$E$81</f>
        <v>0</v>
      </c>
      <c r="E45" s="17" t="n">
        <f aca="false">E44*Assumptions!$E$81</f>
        <v>0</v>
      </c>
      <c r="F45" s="17" t="n">
        <f aca="false">F44*Assumptions!$E$81</f>
        <v>0</v>
      </c>
      <c r="G45" s="17" t="n">
        <f aca="false">G44*Assumptions!$E$81</f>
        <v>0</v>
      </c>
      <c r="H45" s="17" t="n">
        <f aca="false">H44*Assumptions!$E$81</f>
        <v>0</v>
      </c>
      <c r="I45" s="17" t="n">
        <f aca="false">I44*Assumptions!$E$81</f>
        <v>0</v>
      </c>
      <c r="J45" s="17" t="n">
        <f aca="false">J44*Assumptions!$E$81</f>
        <v>0</v>
      </c>
      <c r="K45" s="17" t="n">
        <f aca="false">K44*Assumptions!$E$81</f>
        <v>0</v>
      </c>
      <c r="L45" s="17" t="n">
        <f aca="false">L44*Assumptions!$E$81</f>
        <v>0</v>
      </c>
      <c r="M45" s="17" t="n">
        <f aca="false">M44*Assumptions!$E$81</f>
        <v>0</v>
      </c>
      <c r="N45" s="17" t="n">
        <f aca="false">N44*Assumptions!$E$81</f>
        <v>0</v>
      </c>
      <c r="O45" s="17" t="n">
        <f aca="false">O44*Assumptions!$E$81</f>
        <v>0</v>
      </c>
      <c r="P45" s="17" t="n">
        <f aca="false">P44*Assumptions!$E$81</f>
        <v>0</v>
      </c>
      <c r="Q45" s="17" t="n">
        <f aca="false">Q44*Assumptions!$E$81</f>
        <v>0</v>
      </c>
      <c r="R45" s="17" t="n">
        <f aca="false">R44*Assumptions!$E$81</f>
        <v>0</v>
      </c>
      <c r="S45" s="17" t="n">
        <f aca="false">S44*Assumptions!$E$81</f>
        <v>0</v>
      </c>
      <c r="T45" s="17" t="n">
        <f aca="false">T44*Assumptions!$E$81</f>
        <v>0</v>
      </c>
      <c r="U45" s="17" t="n">
        <f aca="false">U44*Assumptions!$E$81</f>
        <v>0</v>
      </c>
      <c r="V45" s="17" t="n">
        <f aca="false">V44*Assumptions!$E$81</f>
        <v>0</v>
      </c>
      <c r="W45" s="17" t="n">
        <f aca="false">W44*Assumptions!$E$81</f>
        <v>937.5</v>
      </c>
      <c r="X45" s="17" t="n">
        <f aca="false">X44*Assumptions!$E$81</f>
        <v>1125</v>
      </c>
      <c r="Y45" s="17" t="n">
        <f aca="false">Y44*Assumptions!$E$81</f>
        <v>1125</v>
      </c>
      <c r="Z45" s="17" t="n">
        <f aca="false">Z44*Assumptions!$E$81</f>
        <v>1312.5</v>
      </c>
      <c r="AA45" s="17" t="n">
        <f aca="false">AA44*Assumptions!$E$81</f>
        <v>1500</v>
      </c>
      <c r="AB45" s="17" t="n">
        <f aca="false">AB44*Assumptions!$E$81</f>
        <v>1687.5</v>
      </c>
      <c r="AC45" s="17" t="n">
        <f aca="false">AC44*Assumptions!$E$81</f>
        <v>1875</v>
      </c>
      <c r="AD45" s="17" t="n">
        <f aca="false">AD44*Assumptions!$E$81</f>
        <v>2062.5</v>
      </c>
      <c r="AE45" s="17" t="n">
        <f aca="false">AE44*Assumptions!$E$81</f>
        <v>2250</v>
      </c>
      <c r="AF45" s="17" t="n">
        <f aca="false">AF44*Assumptions!$E$81</f>
        <v>2437.5</v>
      </c>
      <c r="AG45" s="17" t="n">
        <f aca="false">AG44*Assumptions!$E$81</f>
        <v>2625</v>
      </c>
      <c r="AH45" s="17" t="n">
        <f aca="false">AH44*Assumptions!$E$81</f>
        <v>2812.5</v>
      </c>
      <c r="AI45" s="17" t="n">
        <f aca="false">AI44*Assumptions!$E$81</f>
        <v>3000</v>
      </c>
      <c r="AJ45" s="17" t="n">
        <f aca="false">AJ44*Assumptions!$E$81</f>
        <v>3187.5</v>
      </c>
      <c r="AK45" s="17" t="n">
        <f aca="false">AK44*Assumptions!$E$81</f>
        <v>3375</v>
      </c>
      <c r="AL45" s="17" t="n">
        <f aca="false">AL44*Assumptions!$E$81</f>
        <v>3750</v>
      </c>
      <c r="AM45" s="17" t="n">
        <f aca="false">AM44*Assumptions!$E$81</f>
        <v>3937.5</v>
      </c>
      <c r="AN45" s="44" t="n">
        <f aca="false">AN44*Assumptions!$E$81</f>
        <v>4125</v>
      </c>
      <c r="AO45" s="44" t="n">
        <f aca="false">AO44*Assumptions!$E$81</f>
        <v>4500</v>
      </c>
      <c r="AP45" s="44" t="n">
        <f aca="false">AP44*Assumptions!$E$81</f>
        <v>4687.5</v>
      </c>
      <c r="AQ45" s="44" t="n">
        <f aca="false">AQ44*Assumptions!$E$81</f>
        <v>4875</v>
      </c>
      <c r="AR45" s="44" t="n">
        <f aca="false">AR44*Assumptions!$E$81</f>
        <v>5250</v>
      </c>
      <c r="AS45" s="44" t="n">
        <f aca="false">AS44*Assumptions!$E$81</f>
        <v>5437.5</v>
      </c>
      <c r="AT45" s="44" t="n">
        <f aca="false">AT44*Assumptions!$E$81</f>
        <v>5625</v>
      </c>
      <c r="AU45" s="44" t="n">
        <f aca="false">AU44*Assumptions!$E$81</f>
        <v>6000</v>
      </c>
      <c r="AV45" s="44" t="n">
        <f aca="false">AV44*Assumptions!$E$81</f>
        <v>6187.5</v>
      </c>
      <c r="AW45" s="44" t="n">
        <f aca="false">AW44*Assumptions!$E$81</f>
        <v>6375</v>
      </c>
      <c r="AX45" s="44" t="n">
        <f aca="false">AX44*Assumptions!$E$81</f>
        <v>6750</v>
      </c>
      <c r="AY45" s="44" t="n">
        <f aca="false">AY44*Assumptions!$E$81</f>
        <v>6937.5</v>
      </c>
      <c r="AZ45" s="44" t="n">
        <f aca="false">AZ44*Assumptions!$E$81</f>
        <v>7125</v>
      </c>
      <c r="BA45" s="44" t="n">
        <f aca="false">BA44*Assumptions!$E$81</f>
        <v>7500</v>
      </c>
      <c r="BB45" s="44" t="n">
        <f aca="false">BB44*Assumptions!$E$81</f>
        <v>7687.5</v>
      </c>
      <c r="BC45" s="44" t="n">
        <f aca="false">BC44*Assumptions!$E$81</f>
        <v>7875</v>
      </c>
      <c r="BD45" s="44" t="n">
        <f aca="false">BD44*Assumptions!$E$81</f>
        <v>8250</v>
      </c>
      <c r="BE45" s="44" t="n">
        <f aca="false">BE44*Assumptions!$E$81</f>
        <v>8437.5</v>
      </c>
      <c r="BF45" s="44" t="n">
        <f aca="false">BF44*Assumptions!$E$81</f>
        <v>8625</v>
      </c>
      <c r="BG45" s="44" t="n">
        <f aca="false">BG44*Assumptions!$E$81</f>
        <v>9000</v>
      </c>
      <c r="BH45" s="44" t="n">
        <f aca="false">BH44*Assumptions!$E$81</f>
        <v>9187.5</v>
      </c>
      <c r="BI45" s="44" t="n">
        <f aca="false">BI44*Assumptions!$E$81</f>
        <v>9375</v>
      </c>
      <c r="BJ45" s="44" t="n">
        <f aca="false">BJ44*Assumptions!$E$81</f>
        <v>9750</v>
      </c>
      <c r="BK45" s="44" t="n">
        <f aca="false">BK44*Assumptions!$E$81</f>
        <v>9937.5</v>
      </c>
    </row>
    <row r="46" customFormat="false" ht="15" hidden="false" customHeight="false" outlineLevel="0" collapsed="false">
      <c r="A46" s="28" t="s">
        <v>608</v>
      </c>
      <c r="B46" s="5" t="s">
        <v>609</v>
      </c>
      <c r="C46" s="43"/>
      <c r="D46" s="45" t="n">
        <f aca="false">D37+D38+D40+D41+D42+D43+D45</f>
        <v>0</v>
      </c>
      <c r="E46" s="45" t="n">
        <f aca="false">E37+E38+E40+E41+E42+E43+E45</f>
        <v>0</v>
      </c>
      <c r="F46" s="45" t="n">
        <f aca="false">F37+F38+F40+F41+F42+F43+F45</f>
        <v>0</v>
      </c>
      <c r="G46" s="45" t="n">
        <f aca="false">G37+G38+G40+G41+G42+G43+G45</f>
        <v>0</v>
      </c>
      <c r="H46" s="45" t="n">
        <f aca="false">H37+H38+H40+H41+H42+H43+H45</f>
        <v>0</v>
      </c>
      <c r="I46" s="45" t="n">
        <f aca="false">I37+I38+I40+I41+I42+I43+I45</f>
        <v>0</v>
      </c>
      <c r="J46" s="45" t="n">
        <f aca="false">J37+J38+J40+J41+J42+J43+J45</f>
        <v>0</v>
      </c>
      <c r="K46" s="45" t="n">
        <f aca="false">K37+K38+K40+K41+K42+K43+K45</f>
        <v>0</v>
      </c>
      <c r="L46" s="45" t="n">
        <f aca="false">L37+L38+L40+L41+L42+L43+L45</f>
        <v>0</v>
      </c>
      <c r="M46" s="45" t="n">
        <f aca="false">M37+M38+M40+M41+M42+M43+M45</f>
        <v>0</v>
      </c>
      <c r="N46" s="45" t="n">
        <f aca="false">N37+N38+N40+N41+N42+N43+N45</f>
        <v>0</v>
      </c>
      <c r="O46" s="45" t="n">
        <f aca="false">O37+O38+O40+O41+O42+O43+O45</f>
        <v>0</v>
      </c>
      <c r="P46" s="45" t="n">
        <f aca="false">P37+P38+P40+P41+P42+P43+P45</f>
        <v>40.9944476203246</v>
      </c>
      <c r="Q46" s="45" t="n">
        <f aca="false">Q37+Q38+Q40+Q41+Q42+Q43+Q45</f>
        <v>86.2056061705731</v>
      </c>
      <c r="R46" s="45" t="n">
        <f aca="false">R37+R38+R40+R41+R42+R43+R45</f>
        <v>137.203901990897</v>
      </c>
      <c r="S46" s="45" t="n">
        <f aca="false">S37+S38+S40+S41+S42+S43+S45</f>
        <v>191.071162512286</v>
      </c>
      <c r="T46" s="45" t="n">
        <f aca="false">T37+T38+T40+T41+T42+T43+T45</f>
        <v>248.717768049198</v>
      </c>
      <c r="U46" s="45" t="n">
        <f aca="false">U37+U38+U40+U41+U42+U43+U45</f>
        <v>311.120385558189</v>
      </c>
      <c r="V46" s="45" t="n">
        <f aca="false">V37+V38+V40+V41+V42+V43+V45</f>
        <v>379.314690941686</v>
      </c>
      <c r="W46" s="45" t="n">
        <f aca="false">W37+W38+W40+W41+W42+W43+W45</f>
        <v>1551.70335667121</v>
      </c>
      <c r="X46" s="45" t="n">
        <f aca="false">X37+X38+X40+X41+X42+X43+X45</f>
        <v>1986.53291552307</v>
      </c>
      <c r="Y46" s="45" t="n">
        <f aca="false">Y37+Y38+Y40+Y41+Y42+Y43+Y45</f>
        <v>2246.95041164279</v>
      </c>
      <c r="Z46" s="45" t="n">
        <f aca="false">Z37+Z38+Z40+Z41+Z42+Z43+Z45</f>
        <v>2706.95657835456</v>
      </c>
      <c r="AA46" s="45" t="n">
        <f aca="false">AA37+AA38+AA40+AA41+AA42+AA43+AA45</f>
        <v>3178.12582631088</v>
      </c>
      <c r="AB46" s="45" t="n">
        <f aca="false">AB37+AB38+AB40+AB41+AB42+AB43+AB45</f>
        <v>3659.60078536715</v>
      </c>
      <c r="AC46" s="45" t="n">
        <f aca="false">AC37+AC38+AC40+AC41+AC42+AC43+AC45</f>
        <v>4150.58725483367</v>
      </c>
      <c r="AD46" s="45" t="n">
        <f aca="false">AD37+AD38+AD40+AD41+AD42+AD43+AD45</f>
        <v>4650.34953127822</v>
      </c>
      <c r="AE46" s="45" t="n">
        <f aca="false">AE37+AE38+AE40+AE41+AE42+AE43+AE45</f>
        <v>5157.81172532664</v>
      </c>
      <c r="AF46" s="45" t="n">
        <f aca="false">AF37+AF38+AF40+AF41+AF42+AF43+AF45</f>
        <v>5682.23579184405</v>
      </c>
      <c r="AG46" s="45" t="n">
        <f aca="false">AG37+AG38+AG40+AG41+AG42+AG43+AG45</f>
        <v>6221.02776386898</v>
      </c>
      <c r="AH46" s="45" t="n">
        <f aca="false">AH37+AH38+AH40+AH41+AH42+AH43+AH45</f>
        <v>6769.83030285566</v>
      </c>
      <c r="AI46" s="45" t="n">
        <f aca="false">AI37+AI38+AI40+AI41+AI42+AI43+AI45</f>
        <v>7335.69251772164</v>
      </c>
      <c r="AJ46" s="45" t="n">
        <f aca="false">AJ37+AJ38+AJ40+AJ41+AJ42+AJ43+AJ45</f>
        <v>7914.39210352325</v>
      </c>
      <c r="AK46" s="45" t="n">
        <f aca="false">AK37+AK38+AK40+AK41+AK42+AK43+AK45</f>
        <v>8742.6501289932</v>
      </c>
      <c r="AL46" s="45" t="n">
        <f aca="false">AL37+AL38+AL40+AL41+AL42+AL43+AL45</f>
        <v>9799.17630782142</v>
      </c>
      <c r="AM46" s="45" t="n">
        <f aca="false">AM37+AM38+AM40+AM41+AM42+AM43+AM45</f>
        <v>10702.3868110042</v>
      </c>
      <c r="AN46" s="46" t="n">
        <f aca="false">AN37+AN38+AN40+AN41+AN42+AN43+AN45</f>
        <v>11631.6763523143</v>
      </c>
      <c r="AO46" s="46" t="n">
        <f aca="false">AO37+AO38+AO40+AO41+AO42+AO43+AO45</f>
        <v>12790.963276662</v>
      </c>
      <c r="AP46" s="46" t="n">
        <f aca="false">AP37+AP38+AP40+AP41+AP42+AP43+AP45</f>
        <v>13791.0098540366</v>
      </c>
      <c r="AQ46" s="46" t="n">
        <f aca="false">AQ37+AQ38+AQ40+AQ41+AQ42+AQ43+AQ45</f>
        <v>14493.7534770137</v>
      </c>
      <c r="AR46" s="46" t="n">
        <f aca="false">AR37+AR38+AR40+AR41+AR42+AR43+AR45</f>
        <v>15402.6144858389</v>
      </c>
      <c r="AS46" s="46" t="n">
        <f aca="false">AS37+AS38+AS40+AS41+AS42+AS43+AS45</f>
        <v>16122.2073833449</v>
      </c>
      <c r="AT46" s="46" t="n">
        <f aca="false">AT37+AT38+AT40+AT41+AT42+AT43+AT45</f>
        <v>16835.1806160164</v>
      </c>
      <c r="AU46" s="46" t="n">
        <f aca="false">AU37+AU38+AU40+AU41+AU42+AU43+AU45</f>
        <v>17752.1717089029</v>
      </c>
      <c r="AV46" s="46" t="n">
        <f aca="false">AV37+AV38+AV40+AV41+AV42+AV43+AV45</f>
        <v>18477.9713793432</v>
      </c>
      <c r="AW46" s="46" t="n">
        <f aca="false">AW37+AW38+AW40+AW41+AW42+AW43+AW45</f>
        <v>19195.3892809725</v>
      </c>
      <c r="AX46" s="46" t="n">
        <f aca="false">AX37+AX38+AX40+AX41+AX42+AX43+AX45</f>
        <v>20115.2109052832</v>
      </c>
      <c r="AY46" s="46" t="n">
        <f aca="false">AY37+AY38+AY40+AY41+AY42+AY43+AY45</f>
        <v>20842.3631017002</v>
      </c>
      <c r="AZ46" s="46" t="n">
        <f aca="false">AZ37+AZ38+AZ40+AZ41+AZ42+AZ43+AZ45</f>
        <v>21559.7809745042</v>
      </c>
      <c r="BA46" s="46" t="n">
        <f aca="false">BA37+BA38+BA40+BA41+BA42+BA43+BA45</f>
        <v>22478.365754786</v>
      </c>
      <c r="BB46" s="46" t="n">
        <f aca="false">BB37+BB38+BB40+BB41+BB42+BB43+BB45</f>
        <v>23203.1511558179</v>
      </c>
      <c r="BC46" s="46" t="n">
        <f aca="false">BC37+BC38+BC40+BC41+BC42+BC43+BC45</f>
        <v>23916.0521973729</v>
      </c>
      <c r="BD46" s="46" t="n">
        <f aca="false">BD37+BD38+BD40+BD41+BD42+BD43+BD45</f>
        <v>24828.8109096805</v>
      </c>
      <c r="BE46" s="46" t="n">
        <f aca="false">BE37+BE38+BE40+BE41+BE42+BE43+BE45</f>
        <v>25546.5841966575</v>
      </c>
      <c r="BF46" s="46" t="n">
        <f aca="false">BF37+BF38+BF40+BF41+BF42+BF43+BF45</f>
        <v>26251.3989283436</v>
      </c>
      <c r="BG46" s="46" t="n">
        <f aca="false">BG37+BG38+BG40+BG41+BG42+BG43+BG45</f>
        <v>27155.0992057458</v>
      </c>
      <c r="BH46" s="46" t="n">
        <f aca="false">BH37+BH38+BH40+BH41+BH42+BH43+BH45</f>
        <v>27862.9354165617</v>
      </c>
      <c r="BI46" s="46" t="n">
        <f aca="false">BI37+BI38+BI40+BI41+BI42+BI43+BI45</f>
        <v>28557.02026744</v>
      </c>
      <c r="BJ46" s="46" t="n">
        <f aca="false">BJ37+BJ38+BJ40+BJ41+BJ42+BJ43+BJ45</f>
        <v>29449.2768121945</v>
      </c>
      <c r="BK46" s="46" t="n">
        <f aca="false">BK37+BK38+BK40+BK41+BK42+BK43+BK45</f>
        <v>30145.0281448957</v>
      </c>
    </row>
    <row r="47" customFormat="false" ht="15" hidden="false" customHeight="false" outlineLevel="0" collapsed="false">
      <c r="A47" s="28" t="s">
        <v>610</v>
      </c>
      <c r="B47" s="6" t="s">
        <v>611</v>
      </c>
      <c r="C47" s="43"/>
      <c r="D47" s="17" t="n">
        <f aca="false">D37+D38</f>
        <v>0</v>
      </c>
      <c r="E47" s="17" t="n">
        <f aca="false">E37+E38</f>
        <v>0</v>
      </c>
      <c r="F47" s="17" t="n">
        <f aca="false">F37+F38</f>
        <v>0</v>
      </c>
      <c r="G47" s="17" t="n">
        <f aca="false">G37+G38</f>
        <v>0</v>
      </c>
      <c r="H47" s="17" t="n">
        <f aca="false">H37+H38</f>
        <v>0</v>
      </c>
      <c r="I47" s="17" t="n">
        <f aca="false">I37+I38</f>
        <v>0</v>
      </c>
      <c r="J47" s="17" t="n">
        <f aca="false">J37+J38</f>
        <v>0</v>
      </c>
      <c r="K47" s="17" t="n">
        <f aca="false">K37+K38</f>
        <v>0</v>
      </c>
      <c r="L47" s="17" t="n">
        <f aca="false">L37+L38</f>
        <v>0</v>
      </c>
      <c r="M47" s="17" t="n">
        <f aca="false">M37+M38</f>
        <v>0</v>
      </c>
      <c r="N47" s="17" t="n">
        <f aca="false">N37+N38</f>
        <v>0</v>
      </c>
      <c r="O47" s="17" t="n">
        <f aca="false">O37+O38</f>
        <v>0</v>
      </c>
      <c r="P47" s="17" t="n">
        <f aca="false">P37+P38</f>
        <v>30.6500542955698</v>
      </c>
      <c r="Q47" s="17" t="n">
        <f aca="false">Q37+Q38</f>
        <v>64.4527896602415</v>
      </c>
      <c r="R47" s="17" t="n">
        <f aca="false">R37+R38</f>
        <v>102.582356628708</v>
      </c>
      <c r="S47" s="17" t="n">
        <f aca="false">S37+S38</f>
        <v>142.856943934419</v>
      </c>
      <c r="T47" s="17" t="n">
        <f aca="false">T37+T38</f>
        <v>185.95720975641</v>
      </c>
      <c r="U47" s="17" t="n">
        <f aca="false">U37+U38</f>
        <v>232.613372379955</v>
      </c>
      <c r="V47" s="17" t="n">
        <f aca="false">V37+V38</f>
        <v>283.599768928364</v>
      </c>
      <c r="W47" s="17" t="n">
        <f aca="false">W37+W38</f>
        <v>462.98622436401</v>
      </c>
      <c r="X47" s="17" t="n">
        <f aca="false">X37+X38</f>
        <v>651.832516597877</v>
      </c>
      <c r="Y47" s="17" t="n">
        <f aca="false">Y37+Y38</f>
        <v>850.633890288802</v>
      </c>
      <c r="Z47" s="17" t="n">
        <f aca="false">Z37+Z38</f>
        <v>1058.63112789293</v>
      </c>
      <c r="AA47" s="17" t="n">
        <f aca="false">AA37+AA38</f>
        <v>1275.12093165811</v>
      </c>
      <c r="AB47" s="17" t="n">
        <f aca="false">AB37+AB38</f>
        <v>1499.45178473672</v>
      </c>
      <c r="AC47" s="17" t="n">
        <f aca="false">AC37+AC38</f>
        <v>1731.02012173386</v>
      </c>
      <c r="AD47" s="17" t="n">
        <f aca="false">AD37+AD38</f>
        <v>1969.26678534813</v>
      </c>
      <c r="AE47" s="17" t="n">
        <f aca="false">AE37+AE38</f>
        <v>2213.37328409441</v>
      </c>
      <c r="AF47" s="17" t="n">
        <f aca="false">AF37+AF38</f>
        <v>2470.39738924959</v>
      </c>
      <c r="AG47" s="17" t="n">
        <f aca="false">AG37+AG38</f>
        <v>2738.36425222879</v>
      </c>
      <c r="AH47" s="17" t="n">
        <f aca="false">AH37+AH38</f>
        <v>3013.95525808225</v>
      </c>
      <c r="AI47" s="17" t="n">
        <f aca="false">AI37+AI38</f>
        <v>3302.54204816144</v>
      </c>
      <c r="AJ47" s="17" t="n">
        <f aca="false">AJ37+AJ38</f>
        <v>3600.90887400387</v>
      </c>
      <c r="AK47" s="17" t="n">
        <f aca="false">AK37+AK38</f>
        <v>3905.50533905106</v>
      </c>
      <c r="AL47" s="17" t="n">
        <f aca="false">AL37+AL38</f>
        <v>4220.29068832943</v>
      </c>
      <c r="AM47" s="17" t="n">
        <f aca="false">AM37+AM38</f>
        <v>4542.26319772034</v>
      </c>
      <c r="AN47" s="44" t="n">
        <f aca="false">AN37+AN38</f>
        <v>4868.07062405235</v>
      </c>
      <c r="AO47" s="44" t="n">
        <f aca="false">AO37+AO38</f>
        <v>5201.85567662372</v>
      </c>
      <c r="AP47" s="44" t="n">
        <f aca="false">AP37+AP38</f>
        <v>5540.78649957206</v>
      </c>
      <c r="AQ47" s="44" t="n">
        <f aca="false">AQ37+AQ38</f>
        <v>5881.66813303758</v>
      </c>
      <c r="AR47" s="44" t="n">
        <f aca="false">AR37+AR38</f>
        <v>6228.78891992995</v>
      </c>
      <c r="AS47" s="44" t="n">
        <f aca="false">AS37+AS38</f>
        <v>6579.15139000517</v>
      </c>
      <c r="AT47" s="44" t="n">
        <f aca="false">AT37+AT38</f>
        <v>6929.71156654074</v>
      </c>
      <c r="AU47" s="44" t="n">
        <f aca="false">AU37+AU38</f>
        <v>7284.89755843836</v>
      </c>
      <c r="AV47" s="44" t="n">
        <f aca="false">AV37+AV38</f>
        <v>7641.84127625318</v>
      </c>
      <c r="AW47" s="44" t="n">
        <f aca="false">AW37+AW38</f>
        <v>7997.61850861694</v>
      </c>
      <c r="AX47" s="44" t="n">
        <f aca="false">AX37+AX38</f>
        <v>8356.76822657298</v>
      </c>
      <c r="AY47" s="44" t="n">
        <f aca="false">AY37+AY38</f>
        <v>8716.52495865538</v>
      </c>
      <c r="AZ47" s="44" t="n">
        <f aca="false">AZ37+AZ38</f>
        <v>9074.0594771839</v>
      </c>
      <c r="BA47" s="44" t="n">
        <f aca="false">BA37+BA38</f>
        <v>9433.99866699348</v>
      </c>
      <c r="BB47" s="44" t="n">
        <f aca="false">BB37+BB38</f>
        <v>9793.65842285116</v>
      </c>
      <c r="BC47" s="44" t="n">
        <f aca="false">BC37+BC38</f>
        <v>10149.9843557521</v>
      </c>
      <c r="BD47" s="44" t="n">
        <f aca="false">BD37+BD38</f>
        <v>10507.6991542829</v>
      </c>
      <c r="BE47" s="44" t="n">
        <f aca="false">BE37+BE38</f>
        <v>10864.2073411325</v>
      </c>
      <c r="BF47" s="44" t="n">
        <f aca="false">BF37+BF38</f>
        <v>11216.5365097112</v>
      </c>
      <c r="BG47" s="44" t="n">
        <f aca="false">BG37+BG38</f>
        <v>11569.4851763753</v>
      </c>
      <c r="BH47" s="44" t="n">
        <f aca="false">BH37+BH38</f>
        <v>11920.5279913001</v>
      </c>
      <c r="BI47" s="44" t="n">
        <f aca="false">BI37+BI38</f>
        <v>12266.7573956995</v>
      </c>
      <c r="BJ47" s="44" t="n">
        <f aca="false">BJ37+BJ38</f>
        <v>12613.0318634214</v>
      </c>
      <c r="BK47" s="44" t="n">
        <f aca="false">BK37+BK38</f>
        <v>12956.8814723005</v>
      </c>
    </row>
    <row r="48" customFormat="false" ht="15" hidden="false" customHeight="false" outlineLevel="0" collapsed="false">
      <c r="B48" s="5" t="s">
        <v>612</v>
      </c>
    </row>
    <row r="49" customFormat="false" ht="15" hidden="false" customHeight="false" outlineLevel="0" collapsed="false">
      <c r="A49" s="28" t="s">
        <v>613</v>
      </c>
      <c r="B49" s="6" t="s">
        <v>614</v>
      </c>
      <c r="C49" s="43"/>
      <c r="D49" s="17" t="n">
        <f aca="false">D12*(Assumptions!$E$60+Assumptions!$E$63/60*Assumptions!$E$62)</f>
        <v>0</v>
      </c>
      <c r="E49" s="17" t="n">
        <f aca="false">E12*(Assumptions!$E$60+Assumptions!$E$63/60*Assumptions!$E$62)</f>
        <v>0</v>
      </c>
      <c r="F49" s="17" t="n">
        <f aca="false">F12*(Assumptions!$E$60+Assumptions!$E$63/60*Assumptions!$E$62)</f>
        <v>0</v>
      </c>
      <c r="G49" s="17" t="n">
        <f aca="false">G12*(Assumptions!$E$60+Assumptions!$E$63/60*Assumptions!$E$62)</f>
        <v>0</v>
      </c>
      <c r="H49" s="17" t="n">
        <f aca="false">H12*(Assumptions!$E$60+Assumptions!$E$63/60*Assumptions!$E$62)</f>
        <v>18.2466666666667</v>
      </c>
      <c r="I49" s="17" t="n">
        <f aca="false">I12*(Assumptions!$E$60+Assumptions!$E$63/60*Assumptions!$E$62)</f>
        <v>34.0300333333333</v>
      </c>
      <c r="J49" s="17" t="n">
        <f aca="false">J12*(Assumptions!$E$60+Assumptions!$E$63/60*Assumptions!$E$62)</f>
        <v>44.4675828333333</v>
      </c>
      <c r="K49" s="17" t="n">
        <f aca="false">K12*(Assumptions!$E$60+Assumptions!$E$63/60*Assumptions!$E$62)</f>
        <v>69.3459024241667</v>
      </c>
      <c r="L49" s="17" t="n">
        <f aca="false">L12*(Assumptions!$E$60+Assumptions!$E$63/60*Assumptions!$E$62)</f>
        <v>88.7419805544708</v>
      </c>
      <c r="M49" s="17" t="n">
        <f aca="false">M12*(Assumptions!$E$60+Assumptions!$E$63/60*Assumptions!$E$62)</f>
        <v>102.008184179487</v>
      </c>
      <c r="N49" s="17" t="n">
        <f aca="false">N12*(Assumptions!$E$60+Assumptions!$E$63/60*Assumptions!$E$62)</f>
        <v>126.753261416795</v>
      </c>
      <c r="O49" s="17" t="n">
        <f aca="false">O12*(Assumptions!$E$60+Assumptions!$E$63/60*Assumptions!$E$62)</f>
        <v>164.264762495543</v>
      </c>
      <c r="P49" s="17" t="n">
        <f aca="false">P12*(Assumptions!$E$60+Assumptions!$E$63/60*Assumptions!$E$62)</f>
        <v>193.185057724776</v>
      </c>
      <c r="Q49" s="17" t="n">
        <f aca="false">Q12*(Assumptions!$E$60+Assumptions!$E$63/60*Assumptions!$E$62)</f>
        <v>228.240348525571</v>
      </c>
      <c r="R49" s="17" t="n">
        <f aca="false">R12*(Assumptions!$E$60+Assumptions!$E$63/60*Assumptions!$E$62)</f>
        <v>272.258076631021</v>
      </c>
      <c r="S49" s="17" t="n">
        <f aca="false">S12*(Assumptions!$E$60+Assumptions!$E$63/60*Assumptions!$E$62)</f>
        <v>304.667538814889</v>
      </c>
      <c r="T49" s="17" t="n">
        <f aca="false">T12*(Assumptions!$E$60+Assumptions!$E$63/60*Assumptions!$E$62)</f>
        <v>342.429792399333</v>
      </c>
      <c r="U49" s="17" t="n">
        <f aca="false">U12*(Assumptions!$E$60+Assumptions!$E$63/60*Assumptions!$E$62)</f>
        <v>386.194412180009</v>
      </c>
      <c r="V49" s="17" t="n">
        <f aca="false">V12*(Assumptions!$E$60+Assumptions!$E$63/60*Assumptions!$E$62)</f>
        <v>436.601229330642</v>
      </c>
      <c r="W49" s="17" t="n">
        <f aca="false">W12*(Assumptions!$E$60+Assumptions!$E$63/60*Assumptions!$E$62)</f>
        <v>489.901277557349</v>
      </c>
      <c r="X49" s="17" t="n">
        <f aca="false">X12*(Assumptions!$E$60+Assumptions!$E$63/60*Assumptions!$E$62)</f>
        <v>543.861558393989</v>
      </c>
      <c r="Y49" s="17" t="n">
        <f aca="false">Y12*(Assumptions!$E$60+Assumptions!$E$63/60*Assumptions!$E$62)</f>
        <v>600.661768351413</v>
      </c>
      <c r="Z49" s="17" t="n">
        <f aca="false">Z12*(Assumptions!$E$60+Assumptions!$E$63/60*Assumptions!$E$62)</f>
        <v>657.339841826141</v>
      </c>
      <c r="AA49" s="17" t="n">
        <f aca="false">AA12*(Assumptions!$E$60+Assumptions!$E$63/60*Assumptions!$E$62)</f>
        <v>713.897610865416</v>
      </c>
      <c r="AB49" s="17" t="n">
        <f aca="false">AB12*(Assumptions!$E$60+Assumptions!$E$63/60*Assumptions!$E$62)</f>
        <v>770.336880035768</v>
      </c>
      <c r="AC49" s="17" t="n">
        <f aca="false">AC12*(Assumptions!$E$60+Assumptions!$E$63/60*Assumptions!$E$62)</f>
        <v>826.659426835231</v>
      </c>
      <c r="AD49" s="17" t="n">
        <f aca="false">AD12*(Assumptions!$E$60+Assumptions!$E$63/60*Assumptions!$E$62)</f>
        <v>882.86700209937</v>
      </c>
      <c r="AE49" s="17" t="n">
        <f aca="false">AE12*(Assumptions!$E$60+Assumptions!$E$63/60*Assumptions!$E$62)</f>
        <v>938.231463734546</v>
      </c>
      <c r="AF49" s="17" t="n">
        <f aca="false">AF12*(Assumptions!$E$60+Assumptions!$E$63/60*Assumptions!$E$62)</f>
        <v>1011.74199177853</v>
      </c>
      <c r="AG49" s="17" t="n">
        <f aca="false">AG12*(Assumptions!$E$60+Assumptions!$E$63/60*Assumptions!$E$62)</f>
        <v>1082.69012856852</v>
      </c>
      <c r="AH49" s="17" t="n">
        <f aca="false">AH12*(Assumptions!$E$60+Assumptions!$E$63/60*Assumptions!$E$62)</f>
        <v>1147.46497663999</v>
      </c>
      <c r="AI49" s="17" t="n">
        <f aca="false">AI12*(Assumptions!$E$60+Assumptions!$E$63/60*Assumptions!$E$62)</f>
        <v>1226.59540199039</v>
      </c>
      <c r="AJ49" s="17" t="n">
        <f aca="false">AJ12*(Assumptions!$E$60+Assumptions!$E$63/60*Assumptions!$E$62)</f>
        <v>1300.15967096053</v>
      </c>
      <c r="AK49" s="17" t="n">
        <f aca="false">AK12*(Assumptions!$E$60+Assumptions!$E$63/60*Assumptions!$E$62)</f>
        <v>1366.78154256279</v>
      </c>
      <c r="AL49" s="17" t="n">
        <f aca="false">AL12*(Assumptions!$E$60+Assumptions!$E$63/60*Assumptions!$E$62)</f>
        <v>1444.08195275768</v>
      </c>
      <c r="AM49" s="17" t="n">
        <f aca="false">AM12*(Assumptions!$E$60+Assumptions!$E$63/60*Assumptions!$E$62)</f>
        <v>1515.84365679965</v>
      </c>
      <c r="AN49" s="44" t="n">
        <f aca="false">AN12*(Assumptions!$E$60+Assumptions!$E$63/60*Assumptions!$E$62)</f>
        <v>1580.69000194766</v>
      </c>
      <c r="AO49" s="44" t="n">
        <f aca="false">AO12*(Assumptions!$E$60+Assumptions!$E$63/60*Assumptions!$E$62)</f>
        <v>1656.24151858511</v>
      </c>
      <c r="AP49" s="44" t="n">
        <f aca="false">AP12*(Assumptions!$E$60+Assumptions!$E$63/60*Assumptions!$E$62)</f>
        <v>1726.280562473</v>
      </c>
      <c r="AQ49" s="44" t="n">
        <f aca="false">AQ12*(Assumptions!$E$60+Assumptions!$E$63/60*Assumptions!$E$62)</f>
        <v>1789.43008736924</v>
      </c>
      <c r="AR49" s="44" t="n">
        <f aca="false">AR12*(Assumptions!$E$60+Assumptions!$E$63/60*Assumptions!$E$62)</f>
        <v>1863.3102360587</v>
      </c>
      <c r="AS49" s="44" t="n">
        <f aca="false">AS12*(Assumptions!$E$60+Assumptions!$E$63/60*Assumptions!$E$62)</f>
        <v>1930.97311585115</v>
      </c>
      <c r="AT49" s="44" t="n">
        <f aca="false">AT12*(Assumptions!$E$60+Assumptions!$E$63/60*Assumptions!$E$62)</f>
        <v>1991.78211911338</v>
      </c>
      <c r="AU49" s="44" t="n">
        <f aca="false">AU12*(Assumptions!$E$60+Assumptions!$E$63/60*Assumptions!$E$62)</f>
        <v>2063.35685399335</v>
      </c>
      <c r="AV49" s="44" t="n">
        <f aca="false">AV12*(Assumptions!$E$60+Assumptions!$E$63/60*Assumptions!$E$62)</f>
        <v>2128.74890118345</v>
      </c>
      <c r="AW49" s="44" t="n">
        <f aca="false">AW12*(Assumptions!$E$60+Assumptions!$E$63/60*Assumptions!$E$62)</f>
        <v>2187.32113433236</v>
      </c>
      <c r="AX49" s="44" t="n">
        <f aca="false">AX12*(Assumptions!$E$60+Assumptions!$E$63/60*Assumptions!$E$62)</f>
        <v>2256.69265065071</v>
      </c>
      <c r="AY49" s="44" t="n">
        <f aca="false">AY12*(Assumptions!$E$60+Assumptions!$E$63/60*Assumptions!$E$62)</f>
        <v>2319.91452755762</v>
      </c>
      <c r="AZ49" s="44" t="n">
        <f aca="false">AZ12*(Assumptions!$E$60+Assumptions!$E$63/60*Assumptions!$E$62)</f>
        <v>2376.34914297759</v>
      </c>
      <c r="BA49" s="44" t="n">
        <f aca="false">BA12*(Assumptions!$E$60+Assumptions!$E$63/60*Assumptions!$E$62)</f>
        <v>2443.61510583292</v>
      </c>
      <c r="BB49" s="44" t="n">
        <f aca="false">BB12*(Assumptions!$E$60+Assumptions!$E$63/60*Assumptions!$E$62)</f>
        <v>2504.76301257876</v>
      </c>
      <c r="BC49" s="44" t="n">
        <f aca="false">BC12*(Assumptions!$E$60+Assumptions!$E$63/60*Assumptions!$E$62)</f>
        <v>2558.42490072341</v>
      </c>
      <c r="BD49" s="44" t="n">
        <f aca="false">BD12*(Assumptions!$E$60+Assumptions!$E$63/60*Assumptions!$E$62)</f>
        <v>2622.95972721256</v>
      </c>
      <c r="BE49" s="44" t="n">
        <f aca="false">BE12*(Assumptions!$E$60+Assumptions!$E$63/60*Assumptions!$E$62)</f>
        <v>2681.41746463771</v>
      </c>
      <c r="BF49" s="44" t="n">
        <f aca="false">BF12*(Assumptions!$E$60+Assumptions!$E$63/60*Assumptions!$E$62)</f>
        <v>2732.42953600148</v>
      </c>
      <c r="BG49" s="44" t="n">
        <f aca="false">BG12*(Assumptions!$E$60+Assumptions!$E$63/60*Assumptions!$E$62)</f>
        <v>2794.35429296145</v>
      </c>
      <c r="BH49" s="44" t="n">
        <f aca="false">BH12*(Assumptions!$E$60+Assumptions!$E$63/60*Assumptions!$E$62)</f>
        <v>2850.24111190037</v>
      </c>
      <c r="BI49" s="44" t="n">
        <f aca="false">BI12*(Assumptions!$E$60+Assumptions!$E$63/60*Assumptions!$E$62)</f>
        <v>2898.72082855519</v>
      </c>
      <c r="BJ49" s="44" t="n">
        <f aca="false">BJ12*(Assumptions!$E$60+Assumptions!$E$63/60*Assumptions!$E$62)</f>
        <v>2958.15121612687</v>
      </c>
      <c r="BK49" s="44" t="n">
        <f aca="false">BK12*(Assumptions!$E$60+Assumptions!$E$63/60*Assumptions!$E$62)</f>
        <v>3011.5810812183</v>
      </c>
    </row>
    <row r="50" customFormat="false" ht="15" hidden="false" customHeight="false" outlineLevel="0" collapsed="false">
      <c r="A50" s="28" t="s">
        <v>615</v>
      </c>
      <c r="B50" s="6" t="s">
        <v>616</v>
      </c>
      <c r="C50" s="43"/>
      <c r="D50" s="17" t="n">
        <f aca="false">D32*Assumptions!$E$64/60*Assumptions!$E$62</f>
        <v>0</v>
      </c>
      <c r="E50" s="17" t="n">
        <f aca="false">E32*Assumptions!$E$64/60*Assumptions!$E$62</f>
        <v>0</v>
      </c>
      <c r="F50" s="17" t="n">
        <f aca="false">F32*Assumptions!$E$64/60*Assumptions!$E$62</f>
        <v>0</v>
      </c>
      <c r="G50" s="17" t="n">
        <f aca="false">G32*Assumptions!$E$64/60*Assumptions!$E$62</f>
        <v>0</v>
      </c>
      <c r="H50" s="17" t="n">
        <f aca="false">H32*Assumptions!$E$64/60*Assumptions!$E$62</f>
        <v>0</v>
      </c>
      <c r="I50" s="17" t="n">
        <f aca="false">I32*Assumptions!$E$64/60*Assumptions!$E$62</f>
        <v>0</v>
      </c>
      <c r="J50" s="17" t="n">
        <f aca="false">J32*Assumptions!$E$64/60*Assumptions!$E$62</f>
        <v>0</v>
      </c>
      <c r="K50" s="17" t="n">
        <f aca="false">K32*Assumptions!$E$64/60*Assumptions!$E$62</f>
        <v>0</v>
      </c>
      <c r="L50" s="17" t="n">
        <f aca="false">L32*Assumptions!$E$64/60*Assumptions!$E$62</f>
        <v>0</v>
      </c>
      <c r="M50" s="17" t="n">
        <f aca="false">M32*Assumptions!$E$64/60*Assumptions!$E$62</f>
        <v>0</v>
      </c>
      <c r="N50" s="17" t="n">
        <f aca="false">N32*Assumptions!$E$64/60*Assumptions!$E$62</f>
        <v>0</v>
      </c>
      <c r="O50" s="17" t="n">
        <f aca="false">O32*Assumptions!$E$64/60*Assumptions!$E$62</f>
        <v>0</v>
      </c>
      <c r="P50" s="17" t="n">
        <f aca="false">P32*Assumptions!$E$64/60*Assumptions!$E$62</f>
        <v>2.62414848420975</v>
      </c>
      <c r="Q50" s="17" t="n">
        <f aca="false">Q32*Assumptions!$E$64/60*Assumptions!$E$62</f>
        <v>5.5182182928289</v>
      </c>
      <c r="R50" s="17" t="n">
        <f aca="false">R32*Assumptions!$E$64/60*Assumptions!$E$62</f>
        <v>8.78273601273187</v>
      </c>
      <c r="S50" s="17" t="n">
        <f aca="false">S32*Assumptions!$E$64/60*Assumptions!$E$62</f>
        <v>12.2309027341112</v>
      </c>
      <c r="T50" s="17" t="n">
        <f aca="false">T32*Assumptions!$E$64/60*Assumptions!$E$62</f>
        <v>15.920993985994</v>
      </c>
      <c r="U50" s="17" t="n">
        <f aca="false">U32*Assumptions!$E$64/60*Assumptions!$E$62</f>
        <v>19.9155284571879</v>
      </c>
      <c r="V50" s="17" t="n">
        <f aca="false">V32*Assumptions!$E$64/60*Assumptions!$E$62</f>
        <v>24.2808021342777</v>
      </c>
      <c r="W50" s="17" t="n">
        <f aca="false">W32*Assumptions!$E$64/60*Assumptions!$E$62</f>
        <v>47.3115578936443</v>
      </c>
      <c r="X50" s="17" t="n">
        <f aca="false">X32*Assumptions!$E$64/60*Assumptions!$E$62</f>
        <v>71.4743599470595</v>
      </c>
      <c r="Y50" s="17" t="n">
        <f aca="false">Y32*Assumptions!$E$64/60*Assumptions!$E$62</f>
        <v>96.8349664341301</v>
      </c>
      <c r="Z50" s="17" t="n">
        <f aca="false">Z32*Assumptions!$E$64/60*Assumptions!$E$62</f>
        <v>123.303738426497</v>
      </c>
      <c r="AA50" s="17" t="n">
        <f aca="false">AA32*Assumptions!$E$64/60*Assumptions!$E$62</f>
        <v>150.797522355581</v>
      </c>
      <c r="AB50" s="17" t="n">
        <f aca="false">AB32*Assumptions!$E$64/60*Assumptions!$E$62</f>
        <v>179.239177488059</v>
      </c>
      <c r="AC50" s="17" t="n">
        <f aca="false">AC32*Assumptions!$E$64/60*Assumptions!$E$62</f>
        <v>208.557138254032</v>
      </c>
      <c r="AD50" s="17" t="n">
        <f aca="false">AD32*Assumptions!$E$64/60*Assumptions!$E$62</f>
        <v>238.685008829122</v>
      </c>
      <c r="AE50" s="17" t="n">
        <f aca="false">AE32*Assumptions!$E$64/60*Assumptions!$E$62</f>
        <v>269.524032541767</v>
      </c>
      <c r="AF50" s="17" t="n">
        <f aca="false">AF32*Assumptions!$E$64/60*Assumptions!$E$62</f>
        <v>301.949116320496</v>
      </c>
      <c r="AG50" s="17" t="n">
        <f aca="false">AG32*Assumptions!$E$64/60*Assumptions!$E$62</f>
        <v>335.71904516727</v>
      </c>
      <c r="AH50" s="17" t="n">
        <f aca="false">AH32*Assumptions!$E$64/60*Assumptions!$E$62</f>
        <v>370.425933175756</v>
      </c>
      <c r="AI50" s="17" t="n">
        <f aca="false">AI32*Assumptions!$E$64/60*Assumptions!$E$62</f>
        <v>406.73586286661</v>
      </c>
      <c r="AJ50" s="17" t="n">
        <f aca="false">AJ32*Assumptions!$E$64/60*Assumptions!$E$62</f>
        <v>444.253637168421</v>
      </c>
      <c r="AK50" s="17" t="n">
        <f aca="false">AK32*Assumptions!$E$64/60*Assumptions!$E$62</f>
        <v>482.542037159902</v>
      </c>
      <c r="AL50" s="17" t="n">
        <f aca="false">AL32*Assumptions!$E$64/60*Assumptions!$E$62</f>
        <v>522.091833894496</v>
      </c>
      <c r="AM50" s="17" t="n">
        <f aca="false">AM32*Assumptions!$E$64/60*Assumptions!$E$62</f>
        <v>562.533485063652</v>
      </c>
      <c r="AN50" s="44" t="n">
        <f aca="false">AN32*Assumptions!$E$64/60*Assumptions!$E$62</f>
        <v>603.453550958935</v>
      </c>
      <c r="AO50" s="44" t="n">
        <f aca="false">AO32*Assumptions!$E$64/60*Assumptions!$E$62</f>
        <v>645.364844213243</v>
      </c>
      <c r="AP50" s="44" t="n">
        <f aca="false">AP32*Assumptions!$E$64/60*Assumptions!$E$62</f>
        <v>687.918254138352</v>
      </c>
      <c r="AQ50" s="44" t="n">
        <f aca="false">AQ32*Assumptions!$E$64/60*Assumptions!$E$62</f>
        <v>730.719280886245</v>
      </c>
      <c r="AR50" s="44" t="n">
        <f aca="false">AR32*Assumptions!$E$64/60*Assumptions!$E$62</f>
        <v>774.298294623957</v>
      </c>
      <c r="AS50" s="44" t="n">
        <f aca="false">AS32*Assumptions!$E$64/60*Assumptions!$E$62</f>
        <v>818.28530616968</v>
      </c>
      <c r="AT50" s="44" t="n">
        <f aca="false">AT32*Assumptions!$E$64/60*Assumptions!$E$62</f>
        <v>862.304091726714</v>
      </c>
      <c r="AU50" s="44" t="n">
        <f aca="false">AU32*Assumptions!$E$64/60*Assumptions!$E$62</f>
        <v>906.901959649016</v>
      </c>
      <c r="AV50" s="44" t="n">
        <f aca="false">AV32*Assumptions!$E$64/60*Assumptions!$E$62</f>
        <v>951.724619000598</v>
      </c>
      <c r="AW50" s="44" t="n">
        <f aca="false">AW32*Assumptions!$E$64/60*Assumptions!$E$62</f>
        <v>996.410394975489</v>
      </c>
      <c r="AX50" s="44" t="n">
        <f aca="false">AX32*Assumptions!$E$64/60*Assumptions!$E$62</f>
        <v>1041.52007965204</v>
      </c>
      <c r="AY50" s="44" t="n">
        <f aca="false">AY32*Assumptions!$E$64/60*Assumptions!$E$62</f>
        <v>1086.7118783432</v>
      </c>
      <c r="AZ50" s="44" t="n">
        <f aca="false">AZ32*Assumptions!$E$64/60*Assumptions!$E$62</f>
        <v>1131.63569707138</v>
      </c>
      <c r="BA50" s="44" t="n">
        <f aca="false">BA32*Assumptions!$E$64/60*Assumptions!$E$62</f>
        <v>1176.86306006881</v>
      </c>
      <c r="BB50" s="44" t="n">
        <f aca="false">BB32*Assumptions!$E$64/60*Assumptions!$E$62</f>
        <v>1222.06211796019</v>
      </c>
      <c r="BC50" s="44" t="n">
        <f aca="false">BC32*Assumptions!$E$64/60*Assumptions!$E$62</f>
        <v>1266.85483749617</v>
      </c>
      <c r="BD50" s="44" t="n">
        <f aca="false">BD32*Assumptions!$E$64/60*Assumptions!$E$62</f>
        <v>1311.82446887943</v>
      </c>
      <c r="BE50" s="44" t="n">
        <f aca="false">BE32*Assumptions!$E$64/60*Assumptions!$E$62</f>
        <v>1356.65002383579</v>
      </c>
      <c r="BF50" s="44" t="n">
        <f aca="false">BF32*Assumptions!$E$64/60*Assumptions!$E$62</f>
        <v>1400.96352838445</v>
      </c>
      <c r="BG50" s="44" t="n">
        <f aca="false">BG32*Assumptions!$E$64/60*Assumptions!$E$62</f>
        <v>1445.3575485669</v>
      </c>
      <c r="BH50" s="44" t="n">
        <f aca="false">BH32*Assumptions!$E$64/60*Assumptions!$E$62</f>
        <v>1489.51972263149</v>
      </c>
      <c r="BI50" s="44" t="n">
        <f aca="false">BI32*Assumptions!$E$64/60*Assumptions!$E$62</f>
        <v>1533.09006394571</v>
      </c>
      <c r="BJ50" s="44" t="n">
        <f aca="false">BJ32*Assumptions!$E$64/60*Assumptions!$E$62</f>
        <v>1576.66853319057</v>
      </c>
      <c r="BK50" s="44" t="n">
        <f aca="false">BK32*Assumptions!$E$64/60*Assumptions!$E$62</f>
        <v>1619.94961360623</v>
      </c>
    </row>
    <row r="51" customFormat="false" ht="15" hidden="false" customHeight="false" outlineLevel="0" collapsed="false">
      <c r="A51" s="28" t="s">
        <v>617</v>
      </c>
      <c r="B51" s="6" t="s">
        <v>618</v>
      </c>
      <c r="C51" s="43"/>
      <c r="D51" s="17" t="n">
        <f aca="false">D24*Assumptions!$E$61</f>
        <v>0</v>
      </c>
      <c r="E51" s="17" t="n">
        <f aca="false">E24*Assumptions!$E$61</f>
        <v>0</v>
      </c>
      <c r="F51" s="17" t="n">
        <f aca="false">F24*Assumptions!$E$61</f>
        <v>0</v>
      </c>
      <c r="G51" s="17" t="n">
        <f aca="false">G24*Assumptions!$E$61</f>
        <v>0</v>
      </c>
      <c r="H51" s="17" t="n">
        <f aca="false">H24*Assumptions!$E$61</f>
        <v>0.765</v>
      </c>
      <c r="I51" s="17" t="n">
        <f aca="false">I24*Assumptions!$E$61</f>
        <v>1.923975</v>
      </c>
      <c r="J51" s="17" t="n">
        <f aca="false">J24*Assumptions!$E$61</f>
        <v>3.114907875</v>
      </c>
      <c r="K51" s="17" t="n">
        <f aca="false">K24*Assumptions!$E$61</f>
        <v>4.932049381875</v>
      </c>
      <c r="L51" s="17" t="n">
        <f aca="false">L24*Assumptions!$E$61</f>
        <v>6.92638097239688</v>
      </c>
      <c r="M51" s="17" t="n">
        <f aca="false">M24*Assumptions!$E$61</f>
        <v>8.77888827312342</v>
      </c>
      <c r="N51" s="17" t="n">
        <f aca="false">N24*Assumptions!$E$61</f>
        <v>11.0204669089797</v>
      </c>
      <c r="O51" s="17" t="n">
        <f aca="false">O24*Assumptions!$E$61</f>
        <v>14.0501801793145</v>
      </c>
      <c r="P51" s="17" t="n">
        <f aca="false">P24*Assumptions!$E$61</f>
        <v>17.231990654705</v>
      </c>
      <c r="Q51" s="17" t="n">
        <f aca="false">Q24*Assumptions!$E$61</f>
        <v>20.7698768606366</v>
      </c>
      <c r="R51" s="17" t="n">
        <f aca="false">R24*Assumptions!$E$61</f>
        <v>24.9149666504659</v>
      </c>
      <c r="S51" s="17" t="n">
        <f aca="false">S24*Assumptions!$E$61</f>
        <v>28.9680568134892</v>
      </c>
      <c r="T51" s="17" t="n">
        <f aca="false">T24*Assumptions!$E$61</f>
        <v>33.185765492094</v>
      </c>
      <c r="U51" s="17" t="n">
        <f aca="false">U24*Assumptions!$E$61</f>
        <v>37.7621282047373</v>
      </c>
      <c r="V51" s="17" t="n">
        <f aca="false">V24*Assumptions!$E$61</f>
        <v>42.8500932584322</v>
      </c>
      <c r="W51" s="17" t="n">
        <f aca="false">W24*Assumptions!$E$61</f>
        <v>48.3918998944537</v>
      </c>
      <c r="X51" s="17" t="n">
        <f aca="false">X24*Assumptions!$E$61</f>
        <v>54.2563841187205</v>
      </c>
      <c r="Y51" s="17" t="n">
        <f aca="false">Y24*Assumptions!$E$61</f>
        <v>60.4496741266841</v>
      </c>
      <c r="Z51" s="17" t="n">
        <f aca="false">Z24*Assumptions!$E$61</f>
        <v>66.8515672651177</v>
      </c>
      <c r="AA51" s="17" t="n">
        <f aca="false">AA24*Assumptions!$E$61</f>
        <v>73.3840086188579</v>
      </c>
      <c r="AB51" s="17" t="n">
        <f aca="false">AB24*Assumptions!$E$61</f>
        <v>79.9963381503411</v>
      </c>
      <c r="AC51" s="17" t="n">
        <f aca="false">AC24*Assumptions!$E$61</f>
        <v>86.6557013575839</v>
      </c>
      <c r="AD51" s="17" t="n">
        <f aca="false">AD24*Assumptions!$E$61</f>
        <v>93.3408162188938</v>
      </c>
      <c r="AE51" s="17" t="n">
        <f aca="false">AE24*Assumptions!$E$61</f>
        <v>100.007321723698</v>
      </c>
      <c r="AF51" s="17" t="n">
        <f aca="false">AF24*Assumptions!$E$61</f>
        <v>107.4225134341</v>
      </c>
      <c r="AG51" s="17" t="n">
        <f aca="false">AG24*Assumptions!$E$61</f>
        <v>115.216921731156</v>
      </c>
      <c r="AH51" s="17" t="n">
        <f aca="false">AH24*Assumptions!$E$61</f>
        <v>122.999002804257</v>
      </c>
      <c r="AI51" s="17" t="n">
        <f aca="false">AI24*Assumptions!$E$61</f>
        <v>131.374935446588</v>
      </c>
      <c r="AJ51" s="17" t="n">
        <f aca="false">AJ24*Assumptions!$E$61</f>
        <v>139.903507909745</v>
      </c>
      <c r="AK51" s="17" t="n">
        <f aca="false">AK24*Assumptions!$E$61</f>
        <v>148.240233012756</v>
      </c>
      <c r="AL51" s="17" t="n">
        <f aca="false">AL24*Assumptions!$E$61</f>
        <v>156.899960036641</v>
      </c>
      <c r="AM51" s="17" t="n">
        <f aca="false">AM24*Assumptions!$E$61</f>
        <v>165.537425473492</v>
      </c>
      <c r="AN51" s="44" t="n">
        <f aca="false">AN24*Assumptions!$E$61</f>
        <v>173.870491235699</v>
      </c>
      <c r="AO51" s="44" t="n">
        <f aca="false">AO24*Assumptions!$E$61</f>
        <v>182.454516510965</v>
      </c>
      <c r="AP51" s="44" t="n">
        <f aca="false">AP24*Assumptions!$E$61</f>
        <v>190.970552481772</v>
      </c>
      <c r="AQ51" s="44" t="n">
        <f aca="false">AQ24*Assumptions!$E$61</f>
        <v>199.153549111551</v>
      </c>
      <c r="AR51" s="44" t="n">
        <f aca="false">AR24*Assumptions!$E$61</f>
        <v>207.569956570932</v>
      </c>
      <c r="AS51" s="44" t="n">
        <f aca="false">AS24*Assumptions!$E$61</f>
        <v>215.877419174803</v>
      </c>
      <c r="AT51" s="44" t="n">
        <f aca="false">AT24*Assumptions!$E$61</f>
        <v>223.826715656264</v>
      </c>
      <c r="AU51" s="44" t="n">
        <f aca="false">AU24*Assumptions!$E$61</f>
        <v>231.994562471324</v>
      </c>
      <c r="AV51" s="44" t="n">
        <f aca="false">AV24*Assumptions!$E$61</f>
        <v>240.045254941691</v>
      </c>
      <c r="AW51" s="44" t="n">
        <f aca="false">AW24*Assumptions!$E$61</f>
        <v>247.7338732074</v>
      </c>
      <c r="AX51" s="44" t="n">
        <f aca="false">AX24*Assumptions!$E$61</f>
        <v>255.639908217682</v>
      </c>
      <c r="AY51" s="44" t="n">
        <f aca="false">AY24*Assumptions!$E$61</f>
        <v>263.429437614871</v>
      </c>
      <c r="AZ51" s="44" t="n">
        <f aca="false">AZ24*Assumptions!$E$61</f>
        <v>270.858679263944</v>
      </c>
      <c r="BA51" s="44" t="n">
        <f aca="false">BA24*Assumptions!$E$61</f>
        <v>278.507843163627</v>
      </c>
      <c r="BB51" s="44" t="n">
        <f aca="false">BB24*Assumptions!$E$61</f>
        <v>286.04345417379</v>
      </c>
      <c r="BC51" s="44" t="n">
        <f aca="false">BC24*Assumptions!$E$61</f>
        <v>293.191400988635</v>
      </c>
      <c r="BD51" s="44" t="n">
        <f aca="false">BD24*Assumptions!$E$61</f>
        <v>300.543219081649</v>
      </c>
      <c r="BE51" s="44" t="n">
        <f aca="false">BE24*Assumptions!$E$61</f>
        <v>307.772768715522</v>
      </c>
      <c r="BF51" s="44" t="n">
        <f aca="false">BF24*Assumptions!$E$61</f>
        <v>314.610680832853</v>
      </c>
      <c r="BG51" s="44" t="n">
        <f aca="false">BG24*Assumptions!$E$61</f>
        <v>321.651547991602</v>
      </c>
      <c r="BH51" s="44" t="n">
        <f aca="false">BH24*Assumptions!$E$61</f>
        <v>328.571192563035</v>
      </c>
      <c r="BI51" s="44" t="n">
        <f aca="false">BI24*Assumptions!$E$61</f>
        <v>335.101496238939</v>
      </c>
      <c r="BJ51" s="44" t="n">
        <f aca="false">BJ24*Assumptions!$E$61</f>
        <v>341.837840312182</v>
      </c>
      <c r="BK51" s="44" t="n">
        <f aca="false">BK24*Assumptions!$E$61</f>
        <v>348.456535943437</v>
      </c>
    </row>
    <row r="52" customFormat="false" ht="15" hidden="false" customHeight="false" outlineLevel="0" collapsed="false">
      <c r="A52" s="28" t="s">
        <v>619</v>
      </c>
      <c r="B52" s="6" t="s">
        <v>620</v>
      </c>
      <c r="C52" s="43"/>
      <c r="D52" s="17" t="n">
        <f aca="false">(D33*Assumptions!$E$56+D34*Assumptions!$E$57+D25*Assumptions!$E$58+D24*Assumptions!$E$59)*Assumptions!$E$55</f>
        <v>0</v>
      </c>
      <c r="E52" s="17" t="n">
        <f aca="false">(E33*Assumptions!$E$56+E34*Assumptions!$E$57+E25*Assumptions!$E$58+E24*Assumptions!$E$59)*Assumptions!$E$55</f>
        <v>0</v>
      </c>
      <c r="F52" s="17" t="n">
        <f aca="false">(F33*Assumptions!$E$56+F34*Assumptions!$E$57+F25*Assumptions!$E$58+F24*Assumptions!$E$59)*Assumptions!$E$55</f>
        <v>0</v>
      </c>
      <c r="G52" s="17" t="n">
        <f aca="false">(G33*Assumptions!$E$56+G34*Assumptions!$E$57+G25*Assumptions!$E$58+G24*Assumptions!$E$59)*Assumptions!$E$55</f>
        <v>0</v>
      </c>
      <c r="H52" s="17" t="n">
        <f aca="false">(H33*Assumptions!$E$56+H34*Assumptions!$E$57+H25*Assumptions!$E$58+H24*Assumptions!$E$59)*Assumptions!$E$55</f>
        <v>2.5245</v>
      </c>
      <c r="I52" s="17" t="n">
        <f aca="false">(I33*Assumptions!$E$56+I34*Assumptions!$E$57+I25*Assumptions!$E$58+I24*Assumptions!$E$59)*Assumptions!$E$55</f>
        <v>3.9255975</v>
      </c>
      <c r="J52" s="17" t="n">
        <f aca="false">(J33*Assumptions!$E$56+J34*Assumptions!$E$57+J25*Assumptions!$E$58+J24*Assumptions!$E$59)*Assumptions!$E$55</f>
        <v>4.1840431875</v>
      </c>
      <c r="K52" s="17" t="n">
        <f aca="false">(K33*Assumptions!$E$56+K34*Assumptions!$E$57+K25*Assumptions!$E$58+K24*Assumptions!$E$59)*Assumptions!$E$55</f>
        <v>6.4077348121875</v>
      </c>
      <c r="L52" s="17" t="n">
        <f aca="false">(L33*Assumptions!$E$56+L34*Assumptions!$E$57+L25*Assumptions!$E$58+L24*Assumptions!$E$59)*Assumptions!$E$55</f>
        <v>7.23232476712969</v>
      </c>
      <c r="M52" s="17" t="n">
        <f aca="false">(M33*Assumptions!$E$56+M34*Assumptions!$E$57+M25*Assumptions!$E$58+M24*Assumptions!$E$59)*Assumptions!$E$55</f>
        <v>7.02755638075399</v>
      </c>
      <c r="N52" s="17" t="n">
        <f aca="false">(N33*Assumptions!$E$56+N34*Assumptions!$E$57+N25*Assumptions!$E$58+N24*Assumptions!$E$59)*Assumptions!$E$55</f>
        <v>8.55602275037799</v>
      </c>
      <c r="O52" s="17" t="n">
        <f aca="false">(O33*Assumptions!$E$56+O34*Assumptions!$E$57+O25*Assumptions!$E$58+O24*Assumptions!$E$59)*Assumptions!$E$55</f>
        <v>11.4527554240903</v>
      </c>
      <c r="P52" s="17" t="n">
        <f aca="false">(P33*Assumptions!$E$56+P34*Assumptions!$E$57+P25*Assumptions!$E$58+P24*Assumptions!$E$59)*Assumptions!$E$55</f>
        <v>19.8365705106369</v>
      </c>
      <c r="Q52" s="17" t="n">
        <f aca="false">(Q33*Assumptions!$E$56+Q34*Assumptions!$E$57+Q25*Assumptions!$E$58+Q24*Assumptions!$E$59)*Assumptions!$E$55</f>
        <v>29.6831912425089</v>
      </c>
      <c r="R52" s="17" t="n">
        <f aca="false">(R33*Assumptions!$E$56+R34*Assumptions!$E$57+R25*Assumptions!$E$58+R24*Assumptions!$E$59)*Assumptions!$E$55</f>
        <v>41.4617569715419</v>
      </c>
      <c r="S52" s="17" t="n">
        <f aca="false">(S33*Assumptions!$E$56+S34*Assumptions!$E$57+S25*Assumptions!$E$58+S24*Assumptions!$E$59)*Assumptions!$E$55</f>
        <v>51.5367230113363</v>
      </c>
      <c r="T52" s="17" t="n">
        <f aca="false">(T33*Assumptions!$E$56+T34*Assumptions!$E$57+T25*Assumptions!$E$58+T24*Assumptions!$E$59)*Assumptions!$E$55</f>
        <v>63.1361601916426</v>
      </c>
      <c r="U52" s="17" t="n">
        <f aca="false">(U33*Assumptions!$E$56+U34*Assumptions!$E$57+U25*Assumptions!$E$58+U24*Assumptions!$E$59)*Assumptions!$E$55</f>
        <v>76.2656727338133</v>
      </c>
      <c r="V52" s="17" t="n">
        <f aca="false">(V33*Assumptions!$E$56+V34*Assumptions!$E$57+V25*Assumptions!$E$58+V24*Assumptions!$E$59)*Assumptions!$E$55</f>
        <v>91.0043086454713</v>
      </c>
      <c r="W52" s="17" t="n">
        <f aca="false">(W33*Assumptions!$E$56+W34*Assumptions!$E$57+W25*Assumptions!$E$58+W24*Assumptions!$E$59)*Assumptions!$E$55</f>
        <v>129.266673370203</v>
      </c>
      <c r="X52" s="17" t="n">
        <f aca="false">(X33*Assumptions!$E$56+X34*Assumptions!$E$57+X25*Assumptions!$E$58+X24*Assumptions!$E$59)*Assumptions!$E$55</f>
        <v>169.142181304558</v>
      </c>
      <c r="Y52" s="17" t="n">
        <f aca="false">(Y33*Assumptions!$E$56+Y34*Assumptions!$E$57+Y25*Assumptions!$E$58+Y24*Assumptions!$E$59)*Assumptions!$E$55</f>
        <v>211.164045198536</v>
      </c>
      <c r="Z52" s="17" t="n">
        <f aca="false">(Z33*Assumptions!$E$56+Z34*Assumptions!$E$57+Z25*Assumptions!$E$58+Z24*Assumptions!$E$59)*Assumptions!$E$55</f>
        <v>254.755566156759</v>
      </c>
      <c r="AA52" s="17" t="n">
        <f aca="false">(AA33*Assumptions!$E$56+AA34*Assumptions!$E$57+AA25*Assumptions!$E$58+AA24*Assumptions!$E$59)*Assumptions!$E$55</f>
        <v>299.891296366397</v>
      </c>
      <c r="AB52" s="17" t="n">
        <f aca="false">(AB33*Assumptions!$E$56+AB34*Assumptions!$E$57+AB25*Assumptions!$E$58+AB24*Assumptions!$E$59)*Assumptions!$E$55</f>
        <v>346.513722698681</v>
      </c>
      <c r="AC52" s="17" t="n">
        <f aca="false">(AC33*Assumptions!$E$56+AC34*Assumptions!$E$57+AC25*Assumptions!$E$58+AC24*Assumptions!$E$59)*Assumptions!$E$55</f>
        <v>394.547534295476</v>
      </c>
      <c r="AD52" s="17" t="n">
        <f aca="false">(AD33*Assumptions!$E$56+AD34*Assumptions!$E$57+AD25*Assumptions!$E$58+AD24*Assumptions!$E$59)*Assumptions!$E$55</f>
        <v>443.908669929032</v>
      </c>
      <c r="AE52" s="17" t="n">
        <f aca="false">(AE33*Assumptions!$E$56+AE34*Assumptions!$E$57+AE25*Assumptions!$E$58+AE24*Assumptions!$E$59)*Assumptions!$E$55</f>
        <v>494.347130212003</v>
      </c>
      <c r="AF52" s="17" t="n">
        <f aca="false">(AF33*Assumptions!$E$56+AF34*Assumptions!$E$57+AF25*Assumptions!$E$58+AF24*Assumptions!$E$59)*Assumptions!$E$55</f>
        <v>549.986884071497</v>
      </c>
      <c r="AG52" s="17" t="n">
        <f aca="false">(AG33*Assumptions!$E$56+AG34*Assumptions!$E$57+AG25*Assumptions!$E$58+AG24*Assumptions!$E$59)*Assumptions!$E$55</f>
        <v>606.76817627728</v>
      </c>
      <c r="AH52" s="17" t="n">
        <f aca="false">(AH33*Assumptions!$E$56+AH34*Assumptions!$E$57+AH25*Assumptions!$E$58+AH24*Assumptions!$E$59)*Assumptions!$E$55</f>
        <v>663.88344021497</v>
      </c>
      <c r="AI52" s="17" t="n">
        <f aca="false">(AI33*Assumptions!$E$56+AI34*Assumptions!$E$57+AI25*Assumptions!$E$58+AI24*Assumptions!$E$59)*Assumptions!$E$55</f>
        <v>725.677904355345</v>
      </c>
      <c r="AJ52" s="17" t="n">
        <f aca="false">(AJ33*Assumptions!$E$56+AJ34*Assumptions!$E$57+AJ25*Assumptions!$E$58+AJ24*Assumptions!$E$59)*Assumptions!$E$55</f>
        <v>788.110460221288</v>
      </c>
      <c r="AK52" s="17" t="n">
        <f aca="false">(AK33*Assumptions!$E$56+AK34*Assumptions!$E$57+AK25*Assumptions!$E$58+AK24*Assumptions!$E$59)*Assumptions!$E$55</f>
        <v>850.709046092057</v>
      </c>
      <c r="AL52" s="17" t="n">
        <f aca="false">(AL33*Assumptions!$E$56+AL34*Assumptions!$E$57+AL25*Assumptions!$E$58+AL24*Assumptions!$E$59)*Assumptions!$E$55</f>
        <v>917.07820932226</v>
      </c>
      <c r="AM52" s="17" t="n">
        <f aca="false">(AM33*Assumptions!$E$56+AM34*Assumptions!$E$57+AM25*Assumptions!$E$58+AM24*Assumptions!$E$59)*Assumptions!$E$55</f>
        <v>983.827693698298</v>
      </c>
      <c r="AN52" s="44" t="n">
        <f aca="false">(AN33*Assumptions!$E$56+AN34*Assumptions!$E$57+AN25*Assumptions!$E$58+AN24*Assumptions!$E$59)*Assumptions!$E$55</f>
        <v>1050.42876079306</v>
      </c>
      <c r="AO52" s="44" t="n">
        <f aca="false">(AO33*Assumptions!$E$56+AO34*Assumptions!$E$57+AO25*Assumptions!$E$58+AO24*Assumptions!$E$59)*Assumptions!$E$55</f>
        <v>1120.46054982259</v>
      </c>
      <c r="AP52" s="44" t="n">
        <f aca="false">(AP33*Assumptions!$E$56+AP34*Assumptions!$E$57+AP25*Assumptions!$E$58+AP24*Assumptions!$E$59)*Assumptions!$E$55</f>
        <v>1190.52686719029</v>
      </c>
      <c r="AQ52" s="44" t="n">
        <f aca="false">(AQ33*Assumptions!$E$56+AQ34*Assumptions!$E$57+AQ25*Assumptions!$E$58+AQ24*Assumptions!$E$59)*Assumptions!$E$55</f>
        <v>1260.10490312319</v>
      </c>
      <c r="AR52" s="44" t="n">
        <f aca="false">(AR33*Assumptions!$E$56+AR34*Assumptions!$E$57+AR25*Assumptions!$E$58+AR24*Assumptions!$E$59)*Assumptions!$E$55</f>
        <v>1332.78670750881</v>
      </c>
      <c r="AS52" s="44" t="n">
        <f aca="false">(AS33*Assumptions!$E$56+AS34*Assumptions!$E$57+AS25*Assumptions!$E$58+AS24*Assumptions!$E$59)*Assumptions!$E$55</f>
        <v>1405.03000041242</v>
      </c>
      <c r="AT52" s="44" t="n">
        <f aca="false">(AT33*Assumptions!$E$56+AT34*Assumptions!$E$57+AT25*Assumptions!$E$58+AT24*Assumptions!$E$59)*Assumptions!$E$55</f>
        <v>1476.4698498581</v>
      </c>
      <c r="AU52" s="44" t="n">
        <f aca="false">(AU33*Assumptions!$E$56+AU34*Assumptions!$E$57+AU25*Assumptions!$E$58+AU24*Assumptions!$E$59)*Assumptions!$E$55</f>
        <v>1550.71116932109</v>
      </c>
      <c r="AV52" s="44" t="n">
        <f aca="false">(AV33*Assumptions!$E$56+AV34*Assumptions!$E$57+AV25*Assumptions!$E$58+AV24*Assumptions!$E$59)*Assumptions!$E$55</f>
        <v>1624.22805078058</v>
      </c>
      <c r="AW52" s="44" t="n">
        <f aca="false">(AW33*Assumptions!$E$56+AW34*Assumptions!$E$57+AW25*Assumptions!$E$58+AW24*Assumptions!$E$59)*Assumptions!$E$55</f>
        <v>1696.67361353332</v>
      </c>
      <c r="AX52" s="44" t="n">
        <f aca="false">(AX33*Assumptions!$E$56+AX34*Assumptions!$E$57+AX25*Assumptions!$E$58+AX24*Assumptions!$E$59)*Assumptions!$E$55</f>
        <v>1771.67135765946</v>
      </c>
      <c r="AY52" s="44" t="n">
        <f aca="false">(AY33*Assumptions!$E$56+AY34*Assumptions!$E$57+AY25*Assumptions!$E$58+AY24*Assumptions!$E$59)*Assumptions!$E$55</f>
        <v>1845.71379489784</v>
      </c>
      <c r="AZ52" s="44" t="n">
        <f aca="false">(AZ33*Assumptions!$E$56+AZ34*Assumptions!$E$57+AZ25*Assumptions!$E$58+AZ24*Assumptions!$E$59)*Assumptions!$E$55</f>
        <v>1918.47187937578</v>
      </c>
      <c r="BA52" s="44" t="n">
        <f aca="false">(BA33*Assumptions!$E$56+BA34*Assumptions!$E$57+BA25*Assumptions!$E$58+BA24*Assumptions!$E$59)*Assumptions!$E$55</f>
        <v>1993.58612477861</v>
      </c>
      <c r="BB52" s="44" t="n">
        <f aca="false">(BB33*Assumptions!$E$56+BB34*Assumptions!$E$57+BB25*Assumptions!$E$58+BB24*Assumptions!$E$59)*Assumptions!$E$55</f>
        <v>2067.56511443436</v>
      </c>
      <c r="BC52" s="44" t="n">
        <f aca="false">(BC33*Assumptions!$E$56+BC34*Assumptions!$E$57+BC25*Assumptions!$E$58+BC24*Assumptions!$E$59)*Assumptions!$E$55</f>
        <v>2139.93202486196</v>
      </c>
      <c r="BD52" s="44" t="n">
        <f aca="false">(BD33*Assumptions!$E$56+BD34*Assumptions!$E$57+BD25*Assumptions!$E$58+BD24*Assumptions!$E$59)*Assumptions!$E$55</f>
        <v>2214.48067837097</v>
      </c>
      <c r="BE52" s="44" t="n">
        <f aca="false">(BE33*Assumptions!$E$56+BE34*Assumptions!$E$57+BE25*Assumptions!$E$58+BE24*Assumptions!$E$59)*Assumptions!$E$55</f>
        <v>2287.72633737223</v>
      </c>
      <c r="BF52" s="44" t="n">
        <f aca="false">(BF33*Assumptions!$E$56+BF34*Assumptions!$E$57+BF25*Assumptions!$E$58+BF24*Assumptions!$E$59)*Assumptions!$E$55</f>
        <v>2359.20155198707</v>
      </c>
      <c r="BG52" s="44" t="n">
        <f aca="false">(BG33*Assumptions!$E$56+BG34*Assumptions!$E$57+BG25*Assumptions!$E$58+BG24*Assumptions!$E$59)*Assumptions!$E$55</f>
        <v>2432.71088697535</v>
      </c>
      <c r="BH52" s="44" t="n">
        <f aca="false">(BH33*Assumptions!$E$56+BH34*Assumptions!$E$57+BH25*Assumptions!$E$58+BH24*Assumptions!$E$59)*Assumptions!$E$55</f>
        <v>2504.78088280575</v>
      </c>
      <c r="BI52" s="44" t="n">
        <f aca="false">(BI33*Assumptions!$E$56+BI34*Assumptions!$E$57+BI25*Assumptions!$E$58+BI24*Assumptions!$E$59)*Assumptions!$E$55</f>
        <v>2574.95538797931</v>
      </c>
      <c r="BJ52" s="44" t="n">
        <f aca="false">(BJ33*Assumptions!$E$56+BJ34*Assumptions!$E$57+BJ25*Assumptions!$E$58+BJ24*Assumptions!$E$59)*Assumptions!$E$55</f>
        <v>2647.04997537752</v>
      </c>
      <c r="BK52" s="44" t="n">
        <f aca="false">(BK33*Assumptions!$E$56+BK34*Assumptions!$E$57+BK25*Assumptions!$E$58+BK24*Assumptions!$E$59)*Assumptions!$E$55</f>
        <v>2717.60172399376</v>
      </c>
    </row>
    <row r="53" customFormat="false" ht="15" hidden="false" customHeight="false" outlineLevel="0" collapsed="false">
      <c r="A53" s="28" t="s">
        <v>621</v>
      </c>
      <c r="B53" s="6" t="s">
        <v>622</v>
      </c>
      <c r="C53" s="43"/>
      <c r="D53" s="17" t="n">
        <f aca="false">D39*Assumptions!$E$51+D32*Assumptions!$E$45*Assumptions!$E$52</f>
        <v>0</v>
      </c>
      <c r="E53" s="17" t="n">
        <f aca="false">E39*Assumptions!$E$51+E32*Assumptions!$E$45*Assumptions!$E$52</f>
        <v>0</v>
      </c>
      <c r="F53" s="17" t="n">
        <f aca="false">F39*Assumptions!$E$51+F32*Assumptions!$E$45*Assumptions!$E$52</f>
        <v>0</v>
      </c>
      <c r="G53" s="17" t="n">
        <f aca="false">G39*Assumptions!$E$51+G32*Assumptions!$E$45*Assumptions!$E$52</f>
        <v>0</v>
      </c>
      <c r="H53" s="17" t="n">
        <f aca="false">H39*Assumptions!$E$51+H32*Assumptions!$E$45*Assumptions!$E$52</f>
        <v>0</v>
      </c>
      <c r="I53" s="17" t="n">
        <f aca="false">I39*Assumptions!$E$51+I32*Assumptions!$E$45*Assumptions!$E$52</f>
        <v>0</v>
      </c>
      <c r="J53" s="17" t="n">
        <f aca="false">J39*Assumptions!$E$51+J32*Assumptions!$E$45*Assumptions!$E$52</f>
        <v>0</v>
      </c>
      <c r="K53" s="17" t="n">
        <f aca="false">K39*Assumptions!$E$51+K32*Assumptions!$E$45*Assumptions!$E$52</f>
        <v>0</v>
      </c>
      <c r="L53" s="17" t="n">
        <f aca="false">L39*Assumptions!$E$51+L32*Assumptions!$E$45*Assumptions!$E$52</f>
        <v>0</v>
      </c>
      <c r="M53" s="17" t="n">
        <f aca="false">M39*Assumptions!$E$51+M32*Assumptions!$E$45*Assumptions!$E$52</f>
        <v>0</v>
      </c>
      <c r="N53" s="17" t="n">
        <f aca="false">N39*Assumptions!$E$51+N32*Assumptions!$E$45*Assumptions!$E$52</f>
        <v>0</v>
      </c>
      <c r="O53" s="17" t="n">
        <f aca="false">O39*Assumptions!$E$51+O32*Assumptions!$E$45*Assumptions!$E$52</f>
        <v>0</v>
      </c>
      <c r="P53" s="17" t="n">
        <f aca="false">P39*Assumptions!$E$51+P32*Assumptions!$E$45*Assumptions!$E$52</f>
        <v>3.95196761721988</v>
      </c>
      <c r="Q53" s="17" t="n">
        <f aca="false">Q39*Assumptions!$E$51+Q32*Assumptions!$E$45*Assumptions!$E$52</f>
        <v>8.31043674900032</v>
      </c>
      <c r="R53" s="17" t="n">
        <f aca="false">R39*Assumptions!$E$51+R32*Assumptions!$E$45*Assumptions!$E$52</f>
        <v>13.2268004351742</v>
      </c>
      <c r="S53" s="17" t="n">
        <f aca="false">S39*Assumptions!$E$51+S32*Assumptions!$E$45*Assumptions!$E$52</f>
        <v>18.4197395175715</v>
      </c>
      <c r="T53" s="17" t="n">
        <f aca="false">T39*Assumptions!$E$51+T32*Assumptions!$E$45*Assumptions!$E$52</f>
        <v>23.977016942907</v>
      </c>
      <c r="U53" s="17" t="n">
        <f aca="false">U39*Assumptions!$E$51+U32*Assumptions!$E$45*Assumptions!$E$52</f>
        <v>29.992785856525</v>
      </c>
      <c r="V53" s="17" t="n">
        <f aca="false">V39*Assumptions!$E$51+V32*Assumptions!$E$45*Assumptions!$E$52</f>
        <v>36.5668880142222</v>
      </c>
      <c r="W53" s="17" t="n">
        <f aca="false">W39*Assumptions!$E$51+W32*Assumptions!$E$45*Assumptions!$E$52</f>
        <v>59.4895298846479</v>
      </c>
      <c r="X53" s="17" t="n">
        <f aca="false">X39*Assumptions!$E$51+X32*Assumptions!$E$45*Assumptions!$E$52</f>
        <v>83.6232100849008</v>
      </c>
      <c r="Y53" s="17" t="n">
        <f aca="false">Y39*Assumptions!$E$51+Y32*Assumptions!$E$45*Assumptions!$E$52</f>
        <v>109.031154006684</v>
      </c>
      <c r="Z53" s="17" t="n">
        <f aca="false">Z39*Assumptions!$E$51+Z32*Assumptions!$E$45*Assumptions!$E$52</f>
        <v>135.616134598432</v>
      </c>
      <c r="AA53" s="17" t="n">
        <f aca="false">AA39*Assumptions!$E$51+AA32*Assumptions!$E$45*Assumptions!$E$52</f>
        <v>163.288089176527</v>
      </c>
      <c r="AB53" s="17" t="n">
        <f aca="false">AB39*Assumptions!$E$51+AB32*Assumptions!$E$45*Assumptions!$E$52</f>
        <v>191.963588954517</v>
      </c>
      <c r="AC53" s="17" t="n">
        <f aca="false">AC39*Assumptions!$E$51+AC32*Assumptions!$E$45*Assumptions!$E$52</f>
        <v>221.565348244711</v>
      </c>
      <c r="AD53" s="17" t="n">
        <f aca="false">AD39*Assumptions!$E$51+AD32*Assumptions!$E$45*Assumptions!$E$52</f>
        <v>252.021770338556</v>
      </c>
      <c r="AE53" s="17" t="n">
        <f aca="false">AE39*Assumptions!$E$51+AE32*Assumptions!$E$45*Assumptions!$E$52</f>
        <v>283.228094658763</v>
      </c>
      <c r="AF53" s="17" t="n">
        <f aca="false">AF39*Assumptions!$E$51+AF32*Assumptions!$E$45*Assumptions!$E$52</f>
        <v>316.087031198355</v>
      </c>
      <c r="AG53" s="17" t="n">
        <f aca="false">AG39*Assumptions!$E$51+AG32*Assumptions!$E$45*Assumptions!$E$52</f>
        <v>350.345893885512</v>
      </c>
      <c r="AH53" s="17" t="n">
        <f aca="false">AH39*Assumptions!$E$51+AH32*Assumptions!$E$45*Assumptions!$E$52</f>
        <v>385.580127427549</v>
      </c>
      <c r="AI53" s="17" t="n">
        <f aca="false">AI39*Assumptions!$E$51+AI32*Assumptions!$E$45*Assumptions!$E$52</f>
        <v>422.47677552379</v>
      </c>
      <c r="AJ53" s="17" t="n">
        <f aca="false">AJ39*Assumptions!$E$51+AJ32*Assumptions!$E$45*Assumptions!$E$52</f>
        <v>460.624441509461</v>
      </c>
      <c r="AK53" s="17" t="n">
        <f aca="false">AK39*Assumptions!$E$51+AK32*Assumptions!$E$45*Assumptions!$E$52</f>
        <v>499.568940747134</v>
      </c>
      <c r="AL53" s="17" t="n">
        <f aca="false">AL39*Assumptions!$E$51+AL32*Assumptions!$E$45*Assumptions!$E$52</f>
        <v>539.816673328086</v>
      </c>
      <c r="AM53" s="17" t="n">
        <f aca="false">AM39*Assumptions!$E$51+AM32*Assumptions!$E$45*Assumptions!$E$52</f>
        <v>580.983640604075</v>
      </c>
      <c r="AN53" s="44" t="n">
        <f aca="false">AN39*Assumptions!$E$51+AN32*Assumptions!$E$45*Assumptions!$E$52</f>
        <v>622.64102353098</v>
      </c>
      <c r="AO53" s="44" t="n">
        <f aca="false">AO39*Assumptions!$E$51+AO32*Assumptions!$E$45*Assumptions!$E$52</f>
        <v>665.318706763106</v>
      </c>
      <c r="AP53" s="44" t="n">
        <f aca="false">AP39*Assumptions!$E$51+AP32*Assumptions!$E$45*Assumptions!$E$52</f>
        <v>708.654435207097</v>
      </c>
      <c r="AQ53" s="44" t="n">
        <f aca="false">AQ39*Assumptions!$E$51+AQ32*Assumptions!$E$45*Assumptions!$E$52</f>
        <v>752.239521877254</v>
      </c>
      <c r="AR53" s="44" t="n">
        <f aca="false">AR39*Assumptions!$E$51+AR32*Assumptions!$E$45*Assumptions!$E$52</f>
        <v>796.62249178596</v>
      </c>
      <c r="AS53" s="44" t="n">
        <f aca="false">AS39*Assumptions!$E$51+AS32*Assumptions!$E$45*Assumptions!$E$52</f>
        <v>841.419916671597</v>
      </c>
      <c r="AT53" s="44" t="n">
        <f aca="false">AT39*Assumptions!$E$51+AT32*Assumptions!$E$45*Assumptions!$E$52</f>
        <v>886.242432631851</v>
      </c>
      <c r="AU53" s="44" t="n">
        <f aca="false">AU39*Assumptions!$E$51+AU32*Assumptions!$E$45*Assumptions!$E$52</f>
        <v>931.656451634512</v>
      </c>
      <c r="AV53" s="44" t="n">
        <f aca="false">AV39*Assumptions!$E$51+AV32*Assumptions!$E$45*Assumptions!$E$52</f>
        <v>977.295102795214</v>
      </c>
      <c r="AW53" s="44" t="n">
        <f aca="false">AW39*Assumptions!$E$51+AW32*Assumptions!$E$45*Assumptions!$E$52</f>
        <v>1022.78434859164</v>
      </c>
      <c r="AX53" s="44" t="n">
        <f aca="false">AX39*Assumptions!$E$51+AX32*Assumptions!$E$45*Assumptions!$E$52</f>
        <v>1068.7047875871</v>
      </c>
      <c r="AY53" s="44" t="n">
        <f aca="false">AY39*Assumptions!$E$51+AY32*Assumptions!$E$45*Assumptions!$E$52</f>
        <v>1114.70268010825</v>
      </c>
      <c r="AZ53" s="44" t="n">
        <f aca="false">AZ39*Assumptions!$E$51+AZ32*Assumptions!$E$45*Assumptions!$E$52</f>
        <v>1160.41614255946</v>
      </c>
      <c r="BA53" s="44" t="n">
        <f aca="false">BA39*Assumptions!$E$51+BA32*Assumptions!$E$45*Assumptions!$E$52</f>
        <v>1206.43702242104</v>
      </c>
      <c r="BB53" s="44" t="n">
        <f aca="false">BB39*Assumptions!$E$51+BB32*Assumptions!$E$45*Assumptions!$E$52</f>
        <v>1252.42199081429</v>
      </c>
      <c r="BC53" s="44" t="n">
        <f aca="false">BC39*Assumptions!$E$51+BC32*Assumptions!$E$45*Assumptions!$E$52</f>
        <v>1297.98036608007</v>
      </c>
      <c r="BD53" s="44" t="n">
        <f aca="false">BD39*Assumptions!$E$51+BD32*Assumptions!$E$45*Assumptions!$E$52</f>
        <v>1343.71625333989</v>
      </c>
      <c r="BE53" s="44" t="n">
        <f aca="false">BE39*Assumptions!$E$51+BE32*Assumptions!$E$45*Assumptions!$E$52</f>
        <v>1389.29766288008</v>
      </c>
      <c r="BF53" s="44" t="n">
        <f aca="false">BF39*Assumptions!$E$51+BF32*Assumptions!$E$45*Assumptions!$E$52</f>
        <v>1434.34440163322</v>
      </c>
      <c r="BG53" s="44" t="n">
        <f aca="false">BG39*Assumptions!$E$51+BG32*Assumptions!$E$45*Assumptions!$E$52</f>
        <v>1479.47027558795</v>
      </c>
      <c r="BH53" s="44" t="n">
        <f aca="false">BH39*Assumptions!$E$51+BH32*Assumptions!$E$45*Assumptions!$E$52</f>
        <v>1524.35226634709</v>
      </c>
      <c r="BI53" s="44" t="n">
        <f aca="false">BI39*Assumptions!$E$51+BI32*Assumptions!$E$45*Assumptions!$E$52</f>
        <v>1568.61847645903</v>
      </c>
      <c r="BJ53" s="44" t="n">
        <f aca="false">BJ39*Assumptions!$E$51+BJ32*Assumptions!$E$45*Assumptions!$E$52</f>
        <v>1612.89038167791</v>
      </c>
      <c r="BK53" s="44" t="n">
        <f aca="false">BK39*Assumptions!$E$51+BK32*Assumptions!$E$45*Assumptions!$E$52</f>
        <v>1656.85205367208</v>
      </c>
    </row>
    <row r="54" customFormat="false" ht="15" hidden="false" customHeight="false" outlineLevel="0" collapsed="false">
      <c r="A54" s="28" t="s">
        <v>623</v>
      </c>
      <c r="B54" s="6" t="s">
        <v>517</v>
      </c>
      <c r="C54" s="43"/>
      <c r="D54" s="17" t="n">
        <f aca="false">(D37+D38)*Assumptions!$E$53+D32*Assumptions!$E$54</f>
        <v>0</v>
      </c>
      <c r="E54" s="17" t="n">
        <f aca="false">(E37+E38)*Assumptions!$E$53+E32*Assumptions!$E$54</f>
        <v>0</v>
      </c>
      <c r="F54" s="17" t="n">
        <f aca="false">(F37+F38)*Assumptions!$E$53+F32*Assumptions!$E$54</f>
        <v>0</v>
      </c>
      <c r="G54" s="17" t="n">
        <f aca="false">(G37+G38)*Assumptions!$E$53+G32*Assumptions!$E$54</f>
        <v>0</v>
      </c>
      <c r="H54" s="17" t="n">
        <f aca="false">(H37+H38)*Assumptions!$E$53+H32*Assumptions!$E$54</f>
        <v>0</v>
      </c>
      <c r="I54" s="17" t="n">
        <f aca="false">(I37+I38)*Assumptions!$E$53+I32*Assumptions!$E$54</f>
        <v>0</v>
      </c>
      <c r="J54" s="17" t="n">
        <f aca="false">(J37+J38)*Assumptions!$E$53+J32*Assumptions!$E$54</f>
        <v>0</v>
      </c>
      <c r="K54" s="17" t="n">
        <f aca="false">(K37+K38)*Assumptions!$E$53+K32*Assumptions!$E$54</f>
        <v>0</v>
      </c>
      <c r="L54" s="17" t="n">
        <f aca="false">(L37+L38)*Assumptions!$E$53+L32*Assumptions!$E$54</f>
        <v>0</v>
      </c>
      <c r="M54" s="17" t="n">
        <f aca="false">(M37+M38)*Assumptions!$E$53+M32*Assumptions!$E$54</f>
        <v>0</v>
      </c>
      <c r="N54" s="17" t="n">
        <f aca="false">(N37+N38)*Assumptions!$E$53+N32*Assumptions!$E$54</f>
        <v>0</v>
      </c>
      <c r="O54" s="17" t="n">
        <f aca="false">(O37+O38)*Assumptions!$E$53+O32*Assumptions!$E$54</f>
        <v>0</v>
      </c>
      <c r="P54" s="17" t="n">
        <f aca="false">(P37+P38)*Assumptions!$E$53+P32*Assumptions!$E$54</f>
        <v>1.16806097329144</v>
      </c>
      <c r="Q54" s="17" t="n">
        <f aca="false">(Q37+Q38)*Assumptions!$E$53+Q32*Assumptions!$E$54</f>
        <v>2.456269326504</v>
      </c>
      <c r="R54" s="17" t="n">
        <f aca="false">(R37+R38)*Assumptions!$E$53+R32*Assumptions!$E$54</f>
        <v>3.90937145398721</v>
      </c>
      <c r="S54" s="17" t="n">
        <f aca="false">(S37+S38)*Assumptions!$E$53+S32*Assumptions!$E$54</f>
        <v>5.4442194250076</v>
      </c>
      <c r="T54" s="17" t="n">
        <f aca="false">(T37+T38)*Assumptions!$E$53+T32*Assumptions!$E$54</f>
        <v>7.08675284304565</v>
      </c>
      <c r="U54" s="17" t="n">
        <f aca="false">(U37+U38)*Assumptions!$E$53+U32*Assumptions!$E$54</f>
        <v>8.86480002686348</v>
      </c>
      <c r="V54" s="17" t="n">
        <f aca="false">(V37+V38)*Assumptions!$E$53+V32*Assumptions!$E$54</f>
        <v>10.8078706460097</v>
      </c>
      <c r="W54" s="17" t="n">
        <f aca="false">(W37+W38)*Assumptions!$E$53+W32*Assumptions!$E$54</f>
        <v>18.0124864072713</v>
      </c>
      <c r="X54" s="17" t="n">
        <f aca="false">(X37+X38)*Assumptions!$E$53+X32*Assumptions!$E$54</f>
        <v>25.5930748417867</v>
      </c>
      <c r="Y54" s="17" t="n">
        <f aca="false">(Y37+Y38)*Assumptions!$E$53+Y32*Assumptions!$E$54</f>
        <v>33.5696306586575</v>
      </c>
      <c r="Z54" s="17" t="n">
        <f aca="false">(Z37+Z38)*Assumptions!$E$53+Z32*Assumptions!$E$54</f>
        <v>41.9120377928315</v>
      </c>
      <c r="AA54" s="17" t="n">
        <f aca="false">(AA37+AA38)*Assumptions!$E$53+AA32*Assumptions!$E$54</f>
        <v>50.5923927494437</v>
      </c>
      <c r="AB54" s="17" t="n">
        <f aca="false">(AB37+AB38)*Assumptions!$E$53+AB32*Assumptions!$E$54</f>
        <v>59.5848412004753</v>
      </c>
      <c r="AC54" s="17" t="n">
        <f aca="false">(AC37+AC38)*Assumptions!$E$53+AC32*Assumptions!$E$54</f>
        <v>68.8654267751449</v>
      </c>
      <c r="AD54" s="17" t="n">
        <f aca="false">(AD37+AD38)*Assumptions!$E$53+AD32*Assumptions!$E$54</f>
        <v>78.4119511256343</v>
      </c>
      <c r="AE54" s="17" t="n">
        <f aca="false">(AE37+AE38)*Assumptions!$E$53+AE32*Assumptions!$E$54</f>
        <v>88.1918452212147</v>
      </c>
      <c r="AF54" s="17" t="n">
        <f aca="false">(AF37+AF38)*Assumptions!$E$53+AF32*Assumptions!$E$54</f>
        <v>98.4870688178699</v>
      </c>
      <c r="AG54" s="17" t="n">
        <f aca="false">(AG37+AG38)*Assumptions!$E$53+AG32*Assumptions!$E$54</f>
        <v>109.218898743808</v>
      </c>
      <c r="AH54" s="17" t="n">
        <f aca="false">(AH37+AH38)*Assumptions!$E$53+AH32*Assumptions!$E$54</f>
        <v>120.254923567233</v>
      </c>
      <c r="AI54" s="17" t="n">
        <f aca="false">(AI37+AI38)*Assumptions!$E$53+AI32*Assumptions!$E$54</f>
        <v>131.809751055086</v>
      </c>
      <c r="AJ54" s="17" t="n">
        <f aca="false">(AJ37+AJ38)*Assumptions!$E$53+AJ32*Assumptions!$E$54</f>
        <v>143.755076300216</v>
      </c>
      <c r="AK54" s="17" t="n">
        <f aca="false">(AK37+AK38)*Assumptions!$E$53+AK32*Assumptions!$E$54</f>
        <v>155.949199311411</v>
      </c>
      <c r="AL54" s="17" t="n">
        <f aca="false">(AL37+AL38)*Assumptions!$E$53+AL32*Assumptions!$E$54</f>
        <v>168.550291430136</v>
      </c>
      <c r="AM54" s="17" t="n">
        <f aca="false">(AM37+AM38)*Assumptions!$E$53+AM32*Assumptions!$E$54</f>
        <v>181.438556005547</v>
      </c>
      <c r="AN54" s="44" t="n">
        <f aca="false">(AN37+AN38)*Assumptions!$E$53+AN32*Assumptions!$E$54</f>
        <v>194.480171663809</v>
      </c>
      <c r="AO54" s="44" t="n">
        <f aca="false">(AO37+AO38)*Assumptions!$E$53+AO32*Assumptions!$E$54</f>
        <v>207.840605527442</v>
      </c>
      <c r="AP54" s="44" t="n">
        <f aca="false">(AP37+AP38)*Assumptions!$E$53+AP32*Assumptions!$E$54</f>
        <v>221.406817184091</v>
      </c>
      <c r="AQ54" s="44" t="n">
        <f aca="false">(AQ37+AQ38)*Assumptions!$E$53+AQ32*Assumptions!$E$54</f>
        <v>235.051242005818</v>
      </c>
      <c r="AR54" s="44" t="n">
        <f aca="false">(AR37+AR38)*Assumptions!$E$53+AR32*Assumptions!$E$54</f>
        <v>248.945141419568</v>
      </c>
      <c r="AS54" s="44" t="n">
        <f aca="false">(AS37+AS38)*Assumptions!$E$53+AS32*Assumptions!$E$54</f>
        <v>262.96884195632</v>
      </c>
      <c r="AT54" s="44" t="n">
        <f aca="false">(AT37+AT38)*Assumptions!$E$53+AT32*Assumptions!$E$54</f>
        <v>277.000789665268</v>
      </c>
      <c r="AU54" s="44" t="n">
        <f aca="false">(AU37+AU38)*Assumptions!$E$53+AU32*Assumptions!$E$54</f>
        <v>291.217811050057</v>
      </c>
      <c r="AV54" s="44" t="n">
        <f aca="false">(AV37+AV38)*Assumptions!$E$53+AV32*Assumptions!$E$54</f>
        <v>305.505385104637</v>
      </c>
      <c r="AW54" s="44" t="n">
        <f aca="false">(AW37+AW38)*Assumptions!$E$53+AW32*Assumptions!$E$54</f>
        <v>319.746728251799</v>
      </c>
      <c r="AX54" s="44" t="n">
        <f aca="false">(AX37+AX38)*Assumptions!$E$53+AX32*Assumptions!$E$54</f>
        <v>334.123083526779</v>
      </c>
      <c r="AY54" s="44" t="n">
        <f aca="false">(AY37+AY38)*Assumptions!$E$53+AY32*Assumptions!$E$54</f>
        <v>348.524018754756</v>
      </c>
      <c r="AZ54" s="44" t="n">
        <f aca="false">(AZ37+AZ38)*Assumptions!$E$53+AZ32*Assumptions!$E$54</f>
        <v>362.836535683678</v>
      </c>
      <c r="BA54" s="44" t="n">
        <f aca="false">(BA37+BA38)*Assumptions!$E$53+BA32*Assumptions!$E$54</f>
        <v>377.245381561081</v>
      </c>
      <c r="BB54" s="44" t="n">
        <f aca="false">(BB37+BB38)*Assumptions!$E$53+BB32*Assumptions!$E$54</f>
        <v>391.643368039028</v>
      </c>
      <c r="BC54" s="44" t="n">
        <f aca="false">(BC37+BC38)*Assumptions!$E$53+BC32*Assumptions!$E$54</f>
        <v>405.908500295388</v>
      </c>
      <c r="BD54" s="44" t="n">
        <f aca="false">(BD37+BD38)*Assumptions!$E$53+BD32*Assumptions!$E$54</f>
        <v>420.229345751832</v>
      </c>
      <c r="BE54" s="44" t="n">
        <f aca="false">(BE37+BE38)*Assumptions!$E$53+BE32*Assumptions!$E$54</f>
        <v>434.502250742624</v>
      </c>
      <c r="BF54" s="44" t="n">
        <f aca="false">(BF37+BF38)*Assumptions!$E$53+BF32*Assumptions!$E$54</f>
        <v>448.608490692635</v>
      </c>
      <c r="BG54" s="44" t="n">
        <f aca="false">(BG37+BG38)*Assumptions!$E$53+BG32*Assumptions!$E$54</f>
        <v>462.739658327972</v>
      </c>
      <c r="BH54" s="44" t="n">
        <f aca="false">(BH37+BH38)*Assumptions!$E$53+BH32*Assumptions!$E$54</f>
        <v>476.794898390515</v>
      </c>
      <c r="BI54" s="44" t="n">
        <f aca="false">(BI37+BI38)*Assumptions!$E$53+BI32*Assumptions!$E$54</f>
        <v>490.658074523178</v>
      </c>
      <c r="BJ54" s="44" t="n">
        <f aca="false">(BJ37+BJ38)*Assumptions!$E$53+BJ32*Assumptions!$E$54</f>
        <v>504.523172949475</v>
      </c>
      <c r="BK54" s="44" t="n">
        <f aca="false">(BK37+BK38)*Assumptions!$E$53+BK32*Assumptions!$E$54</f>
        <v>518.291551511317</v>
      </c>
    </row>
    <row r="55" customFormat="false" ht="15" hidden="false" customHeight="false" outlineLevel="0" collapsed="false">
      <c r="A55" s="28" t="s">
        <v>624</v>
      </c>
      <c r="B55" s="6" t="s">
        <v>625</v>
      </c>
      <c r="C55" s="43"/>
      <c r="D55" s="17" t="n">
        <f aca="false">D25*Assumptions!$E$65*Assumptions!$E$66*Assumptions!$E$67</f>
        <v>0</v>
      </c>
      <c r="E55" s="17" t="n">
        <f aca="false">E25*Assumptions!$E$65*Assumptions!$E$66*Assumptions!$E$67</f>
        <v>0</v>
      </c>
      <c r="F55" s="17" t="n">
        <f aca="false">F25*Assumptions!$E$65*Assumptions!$E$66*Assumptions!$E$67</f>
        <v>0</v>
      </c>
      <c r="G55" s="17" t="n">
        <f aca="false">G25*Assumptions!$E$65*Assumptions!$E$66*Assumptions!$E$67</f>
        <v>0</v>
      </c>
      <c r="H55" s="17" t="n">
        <f aca="false">H25*Assumptions!$E$65*Assumptions!$E$66*Assumptions!$E$67</f>
        <v>20.655</v>
      </c>
      <c r="I55" s="17" t="n">
        <f aca="false">I25*Assumptions!$E$65*Assumptions!$E$66*Assumptions!$E$67</f>
        <v>32.118525</v>
      </c>
      <c r="J55" s="17" t="n">
        <f aca="false">J25*Assumptions!$E$65*Assumptions!$E$66*Assumptions!$E$67</f>
        <v>34.233080625</v>
      </c>
      <c r="K55" s="17" t="n">
        <f aca="false">K25*Assumptions!$E$65*Assumptions!$E$66*Assumptions!$E$67</f>
        <v>52.426921190625</v>
      </c>
      <c r="L55" s="17" t="n">
        <f aca="false">L25*Assumptions!$E$65*Assumptions!$E$66*Assumptions!$E$67</f>
        <v>59.1735662765157</v>
      </c>
      <c r="M55" s="17" t="n">
        <f aca="false">M25*Assumptions!$E$65*Assumptions!$E$66*Assumptions!$E$67</f>
        <v>57.4981885698054</v>
      </c>
      <c r="N55" s="17" t="n">
        <f aca="false">N25*Assumptions!$E$65*Assumptions!$E$66*Assumptions!$E$67</f>
        <v>70.0038225030926</v>
      </c>
      <c r="O55" s="17" t="n">
        <f aca="false">O25*Assumptions!$E$65*Assumptions!$E$66*Assumptions!$E$67</f>
        <v>93.7043625607387</v>
      </c>
      <c r="P55" s="17" t="n">
        <f aca="false">P25*Assumptions!$E$65*Assumptions!$E$66*Assumptions!$E$67</f>
        <v>101.083077429203</v>
      </c>
      <c r="Q55" s="17" t="n">
        <f aca="false">Q25*Assumptions!$E$65*Assumptions!$E$66*Assumptions!$E$67</f>
        <v>114.133477467233</v>
      </c>
      <c r="R55" s="17" t="n">
        <f aca="false">R25*Assumptions!$E$65*Assumptions!$E$66*Assumptions!$E$67</f>
        <v>134.34889133488</v>
      </c>
      <c r="S55" s="17" t="n">
        <f aca="false">S25*Assumptions!$E$65*Assumptions!$E$66*Assumptions!$E$67</f>
        <v>136.341598384132</v>
      </c>
      <c r="T55" s="17" t="n">
        <f aca="false">T25*Assumptions!$E$65*Assumptions!$E$66*Assumptions!$E$67</f>
        <v>145.163635680899</v>
      </c>
      <c r="U55" s="17" t="n">
        <f aca="false">U25*Assumptions!$E$65*Assumptions!$E$66*Assumptions!$E$67</f>
        <v>159.402419972829</v>
      </c>
      <c r="V55" s="17" t="n">
        <f aca="false">V25*Assumptions!$E$65*Assumptions!$E$66*Assumptions!$E$67</f>
        <v>178.158154910881</v>
      </c>
      <c r="W55" s="17" t="n">
        <f aca="false">W25*Assumptions!$E$65*Assumptions!$E$66*Assumptions!$E$67</f>
        <v>195.906879891685</v>
      </c>
      <c r="X55" s="17" t="n">
        <f aca="false">X25*Assumptions!$E$65*Assumptions!$E$66*Assumptions!$E$67</f>
        <v>210.604325941215</v>
      </c>
      <c r="Y55" s="17" t="n">
        <f aca="false">Y25*Assumptions!$E$65*Assumptions!$E$66*Assumptions!$E$67</f>
        <v>225.815725063235</v>
      </c>
      <c r="Z55" s="17" t="n">
        <f aca="false">Z25*Assumptions!$E$65*Assumptions!$E$66*Assumptions!$E$67</f>
        <v>238.136762794525</v>
      </c>
      <c r="AA55" s="17" t="n">
        <f aca="false">AA25*Assumptions!$E$65*Assumptions!$E$66*Assumptions!$E$67</f>
        <v>248.575609197313</v>
      </c>
      <c r="AB55" s="17" t="n">
        <f aca="false">AB25*Assumptions!$E$65*Assumptions!$E$66*Assumptions!$E$67</f>
        <v>257.787626658413</v>
      </c>
      <c r="AC55" s="17" t="n">
        <f aca="false">AC25*Assumptions!$E$65*Assumptions!$E$66*Assumptions!$E$67</f>
        <v>266.198851797924</v>
      </c>
      <c r="AD55" s="17" t="n">
        <f aca="false">AD25*Assumptions!$E$65*Assumptions!$E$66*Assumptions!$E$67</f>
        <v>274.086258721557</v>
      </c>
      <c r="AE55" s="17" t="n">
        <f aca="false">AE25*Assumptions!$E$65*Assumptions!$E$66*Assumptions!$E$67</f>
        <v>280.803730146126</v>
      </c>
      <c r="AF55" s="17" t="n">
        <f aca="false">AF25*Assumptions!$E$65*Assumptions!$E$66*Assumptions!$E$67</f>
        <v>308.218083642439</v>
      </c>
      <c r="AG55" s="17" t="n">
        <f aca="false">AG25*Assumptions!$E$65*Assumptions!$E$66*Assumptions!$E$67</f>
        <v>326.46533852933</v>
      </c>
      <c r="AH55" s="17" t="n">
        <f aca="false">AH25*Assumptions!$E$65*Assumptions!$E$66*Assumptions!$E$67</f>
        <v>334.550464443383</v>
      </c>
      <c r="AI55" s="17" t="n">
        <f aca="false">AI25*Assumptions!$E$65*Assumptions!$E$66*Assumptions!$E$67</f>
        <v>358.989104371528</v>
      </c>
      <c r="AJ55" s="17" t="n">
        <f aca="false">AJ25*Assumptions!$E$65*Assumptions!$E$66*Assumptions!$E$67</f>
        <v>372.156386787572</v>
      </c>
      <c r="AK55" s="17" t="n">
        <f aca="false">AK25*Assumptions!$E$65*Assumptions!$E$66*Assumptions!$E$67</f>
        <v>376.187366323809</v>
      </c>
      <c r="AL55" s="17" t="n">
        <f aca="false">AL25*Assumptions!$E$65*Assumptions!$E$66*Assumptions!$E$67</f>
        <v>393.912081298686</v>
      </c>
      <c r="AM55" s="17" t="n">
        <f aca="false">AM25*Assumptions!$E$65*Assumptions!$E$66*Assumptions!$E$67</f>
        <v>402.663523634532</v>
      </c>
      <c r="AN55" s="44" t="n">
        <f aca="false">AN25*Assumptions!$E$65*Assumptions!$E$66*Assumptions!$E$67</f>
        <v>403.773195090977</v>
      </c>
      <c r="AO55" s="44" t="n">
        <f aca="false">AO25*Assumptions!$E$65*Assumptions!$E$66*Assumptions!$E$67</f>
        <v>419.548812966736</v>
      </c>
      <c r="AP55" s="44" t="n">
        <f aca="false">AP25*Assumptions!$E$65*Assumptions!$E$66*Assumptions!$E$67</f>
        <v>426.983849043617</v>
      </c>
      <c r="AQ55" s="44" t="n">
        <f aca="false">AQ25*Assumptions!$E$65*Assumptions!$E$66*Assumptions!$E$67</f>
        <v>427.189105684361</v>
      </c>
      <c r="AR55" s="44" t="n">
        <f aca="false">AR25*Assumptions!$E$65*Assumptions!$E$66*Assumptions!$E$67</f>
        <v>442.328834443756</v>
      </c>
      <c r="AS55" s="44" t="n">
        <f aca="false">AS25*Assumptions!$E$65*Assumptions!$E$66*Assumptions!$E$67</f>
        <v>448.477043401126</v>
      </c>
      <c r="AT55" s="44" t="n">
        <f aca="false">AT25*Assumptions!$E$65*Assumptions!$E$66*Assumptions!$E$67</f>
        <v>447.778617708227</v>
      </c>
      <c r="AU55" s="44" t="n">
        <f aca="false">AU25*Assumptions!$E$65*Assumptions!$E$66*Assumptions!$E$67</f>
        <v>462.264716915382</v>
      </c>
      <c r="AV55" s="44" t="n">
        <f aca="false">AV25*Assumptions!$E$65*Assumptions!$E$66*Assumptions!$E$67</f>
        <v>467.922824168955</v>
      </c>
      <c r="AW55" s="44" t="n">
        <f aca="false">AW25*Assumptions!$E$65*Assumptions!$E$66*Assumptions!$E$67</f>
        <v>466.841568511169</v>
      </c>
      <c r="AX55" s="44" t="n">
        <f aca="false">AX25*Assumptions!$E$65*Assumptions!$E$66*Assumptions!$E$67</f>
        <v>481.015528341588</v>
      </c>
      <c r="AY55" s="44" t="n">
        <f aca="false">AY25*Assumptions!$E$65*Assumptions!$E$66*Assumptions!$E$67</f>
        <v>486.408394599221</v>
      </c>
      <c r="AZ55" s="44" t="n">
        <f aca="false">AZ25*Assumptions!$E$65*Assumptions!$E$66*Assumptions!$E$67</f>
        <v>485.093317149024</v>
      </c>
      <c r="BA55" s="44" t="n">
        <f aca="false">BA25*Assumptions!$E$65*Assumptions!$E$66*Assumptions!$E$67</f>
        <v>499.054798896504</v>
      </c>
      <c r="BB55" s="44" t="n">
        <f aca="false">BB25*Assumptions!$E$65*Assumptions!$E$66*Assumptions!$E$67</f>
        <v>504.24996789112</v>
      </c>
      <c r="BC55" s="44" t="n">
        <f aca="false">BC25*Assumptions!$E$65*Assumptions!$E$66*Assumptions!$E$67</f>
        <v>501.921494508495</v>
      </c>
      <c r="BD55" s="44" t="n">
        <f aca="false">BD25*Assumptions!$E$65*Assumptions!$E$66*Assumptions!$E$67</f>
        <v>515.145801579099</v>
      </c>
      <c r="BE55" s="44" t="n">
        <f aca="false">BE25*Assumptions!$E$65*Assumptions!$E$66*Assumptions!$E$67</f>
        <v>519.784516722764</v>
      </c>
      <c r="BF55" s="44" t="n">
        <f aca="false">BF25*Assumptions!$E$65*Assumptions!$E$66*Assumptions!$E$67</f>
        <v>517.018217380701</v>
      </c>
      <c r="BG55" s="44" t="n">
        <f aca="false">BG25*Assumptions!$E$65*Assumptions!$E$66*Assumptions!$E$67</f>
        <v>529.882948585695</v>
      </c>
      <c r="BH55" s="44" t="n">
        <f aca="false">BH25*Assumptions!$E$65*Assumptions!$E$66*Assumptions!$E$67</f>
        <v>534.214075259619</v>
      </c>
      <c r="BI55" s="44" t="n">
        <f aca="false">BI25*Assumptions!$E$65*Assumptions!$E$66*Assumptions!$E$67</f>
        <v>531.175087217487</v>
      </c>
      <c r="BJ55" s="44" t="n">
        <f aca="false">BJ25*Assumptions!$E$65*Assumptions!$E$66*Assumptions!$E$67</f>
        <v>543.790905915617</v>
      </c>
      <c r="BK55" s="44" t="n">
        <f aca="false">BK25*Assumptions!$E$65*Assumptions!$E$66*Assumptions!$E$67</f>
        <v>547.889649581042</v>
      </c>
    </row>
    <row r="56" customFormat="false" ht="15" hidden="false" customHeight="false" outlineLevel="0" collapsed="false">
      <c r="A56" s="28" t="s">
        <v>626</v>
      </c>
      <c r="B56" s="6" t="s">
        <v>627</v>
      </c>
      <c r="C56" s="43"/>
      <c r="D56" s="17" t="n">
        <f aca="false">(D41+D42+D43)*Assumptions!$E$78</f>
        <v>0</v>
      </c>
      <c r="E56" s="17" t="n">
        <f aca="false">(E41+E42+E43)*Assumptions!$E$78</f>
        <v>0</v>
      </c>
      <c r="F56" s="17" t="n">
        <f aca="false">(F41+F42+F43)*Assumptions!$E$78</f>
        <v>0</v>
      </c>
      <c r="G56" s="17" t="n">
        <f aca="false">(G41+G42+G43)*Assumptions!$E$78</f>
        <v>0</v>
      </c>
      <c r="H56" s="17" t="n">
        <f aca="false">(H41+H42+H43)*Assumptions!$E$78</f>
        <v>0</v>
      </c>
      <c r="I56" s="17" t="n">
        <f aca="false">(I41+I42+I43)*Assumptions!$E$78</f>
        <v>0</v>
      </c>
      <c r="J56" s="17" t="n">
        <f aca="false">(J41+J42+J43)*Assumptions!$E$78</f>
        <v>0</v>
      </c>
      <c r="K56" s="17" t="n">
        <f aca="false">(K41+K42+K43)*Assumptions!$E$78</f>
        <v>0</v>
      </c>
      <c r="L56" s="17" t="n">
        <f aca="false">(L41+L42+L43)*Assumptions!$E$78</f>
        <v>0</v>
      </c>
      <c r="M56" s="17" t="n">
        <f aca="false">(M41+M42+M43)*Assumptions!$E$78</f>
        <v>0</v>
      </c>
      <c r="N56" s="17" t="n">
        <f aca="false">(N41+N42+N43)*Assumptions!$E$78</f>
        <v>0</v>
      </c>
      <c r="O56" s="17" t="n">
        <f aca="false">(O41+O42+O43)*Assumptions!$E$78</f>
        <v>0</v>
      </c>
      <c r="P56" s="17" t="n">
        <f aca="false">(P41+P42+P43)*Assumptions!$E$78</f>
        <v>0</v>
      </c>
      <c r="Q56" s="17" t="n">
        <f aca="false">(Q41+Q42+Q43)*Assumptions!$E$78</f>
        <v>0</v>
      </c>
      <c r="R56" s="17" t="n">
        <f aca="false">(R41+R42+R43)*Assumptions!$E$78</f>
        <v>0</v>
      </c>
      <c r="S56" s="17" t="n">
        <f aca="false">(S41+S42+S43)*Assumptions!$E$78</f>
        <v>0</v>
      </c>
      <c r="T56" s="17" t="n">
        <f aca="false">(T41+T42+T43)*Assumptions!$E$78</f>
        <v>0</v>
      </c>
      <c r="U56" s="17" t="n">
        <f aca="false">(U41+U42+U43)*Assumptions!$E$78</f>
        <v>0</v>
      </c>
      <c r="V56" s="17" t="n">
        <f aca="false">(V41+V42+V43)*Assumptions!$E$78</f>
        <v>0</v>
      </c>
      <c r="W56" s="17" t="n">
        <f aca="false">(W41+W42+W43)*Assumptions!$E$78</f>
        <v>0</v>
      </c>
      <c r="X56" s="17" t="n">
        <f aca="false">(X41+X42+X43)*Assumptions!$E$78</f>
        <v>0</v>
      </c>
      <c r="Y56" s="17" t="n">
        <f aca="false">(Y41+Y42+Y43)*Assumptions!$E$78</f>
        <v>0</v>
      </c>
      <c r="Z56" s="17" t="n">
        <f aca="false">(Z41+Z42+Z43)*Assumptions!$E$78</f>
        <v>0</v>
      </c>
      <c r="AA56" s="17" t="n">
        <f aca="false">(AA41+AA42+AA43)*Assumptions!$E$78</f>
        <v>0</v>
      </c>
      <c r="AB56" s="17" t="n">
        <f aca="false">(AB41+AB42+AB43)*Assumptions!$E$78</f>
        <v>0</v>
      </c>
      <c r="AC56" s="17" t="n">
        <f aca="false">(AC41+AC42+AC43)*Assumptions!$E$78</f>
        <v>0</v>
      </c>
      <c r="AD56" s="17" t="n">
        <f aca="false">(AD41+AD42+AD43)*Assumptions!$E$78</f>
        <v>0</v>
      </c>
      <c r="AE56" s="17" t="n">
        <f aca="false">(AE41+AE42+AE43)*Assumptions!$E$78</f>
        <v>0</v>
      </c>
      <c r="AF56" s="17" t="n">
        <f aca="false">(AF41+AF42+AF43)*Assumptions!$E$78</f>
        <v>0</v>
      </c>
      <c r="AG56" s="17" t="n">
        <f aca="false">(AG41+AG42+AG43)*Assumptions!$E$78</f>
        <v>0</v>
      </c>
      <c r="AH56" s="17" t="n">
        <f aca="false">(AH41+AH42+AH43)*Assumptions!$E$78</f>
        <v>0</v>
      </c>
      <c r="AI56" s="17" t="n">
        <f aca="false">(AI41+AI42+AI43)*Assumptions!$E$78</f>
        <v>0</v>
      </c>
      <c r="AJ56" s="17" t="n">
        <f aca="false">(AJ41+AJ42+AJ43)*Assumptions!$E$78</f>
        <v>0</v>
      </c>
      <c r="AK56" s="17" t="n">
        <f aca="false">(AK41+AK42+AK43)*Assumptions!$E$78</f>
        <v>24.1382181104846</v>
      </c>
      <c r="AL56" s="17" t="n">
        <f aca="false">(AL41+AL42+AL43)*Assumptions!$E$78</f>
        <v>51.0160495830956</v>
      </c>
      <c r="AM56" s="17" t="n">
        <f aca="false">(AM41+AM42+AM43)*Assumptions!$E$78</f>
        <v>80.3691978868288</v>
      </c>
      <c r="AN56" s="44" t="n">
        <f aca="false">(AN41+AN42+AN43)*Assumptions!$E$78</f>
        <v>111.827190302133</v>
      </c>
      <c r="AO56" s="44" t="n">
        <f aca="false">(AO41+AO42+AO43)*Assumptions!$E$78</f>
        <v>146.48816300158</v>
      </c>
      <c r="AP56" s="44" t="n">
        <f aca="false">(AP41+AP42+AP43)*Assumptions!$E$78</f>
        <v>183.30009632269</v>
      </c>
      <c r="AQ56" s="44" t="n">
        <f aca="false">(AQ41+AQ42+AQ43)*Assumptions!$E$78</f>
        <v>190.126108413484</v>
      </c>
      <c r="AR56" s="44" t="n">
        <f aca="false">(AR41+AR42+AR43)*Assumptions!$E$78</f>
        <v>197.995390825444</v>
      </c>
      <c r="AS56" s="44" t="n">
        <f aca="false">(AS41+AS42+AS43)*Assumptions!$E$78</f>
        <v>205.262857967867</v>
      </c>
      <c r="AT56" s="44" t="n">
        <f aca="false">(AT41+AT42+AT43)*Assumptions!$E$78</f>
        <v>211.842890841473</v>
      </c>
      <c r="AU56" s="44" t="n">
        <f aca="false">(AU41+AU42+AU43)*Assumptions!$E$78</f>
        <v>219.468032431881</v>
      </c>
      <c r="AV56" s="44" t="n">
        <f aca="false">(AV41+AV42+AV43)*Assumptions!$E$78</f>
        <v>226.493817524873</v>
      </c>
      <c r="AW56" s="44" t="n">
        <f aca="false">(AW41+AW42+AW43)*Assumptions!$E$78</f>
        <v>232.835011408655</v>
      </c>
      <c r="AX56" s="44" t="n">
        <f aca="false">(AX41+AX42+AX43)*Assumptions!$E$78</f>
        <v>240.224388182851</v>
      </c>
      <c r="AY56" s="44" t="n">
        <f aca="false">(AY41+AY42+AY43)*Assumptions!$E$78</f>
        <v>247.01761446457</v>
      </c>
      <c r="AZ56" s="44" t="n">
        <f aca="false">(AZ41+AZ42+AZ43)*Assumptions!$E$78</f>
        <v>253.129523115502</v>
      </c>
      <c r="BA56" s="44" t="n">
        <f aca="false">(BA41+BA42+BA43)*Assumptions!$E$78</f>
        <v>260.292914312904</v>
      </c>
      <c r="BB56" s="44" t="n">
        <f aca="false">(BB41+BB42+BB43)*Assumptions!$E$78</f>
        <v>266.863454046899</v>
      </c>
      <c r="BC56" s="44" t="n">
        <f aca="false">(BC41+BC42+BC43)*Assumptions!$E$78</f>
        <v>272.683512977842</v>
      </c>
      <c r="BD56" s="44" t="n">
        <f aca="false">(BD41+BD42+BD43)*Assumptions!$E$78</f>
        <v>279.557388945245</v>
      </c>
      <c r="BE56" s="44" t="n">
        <f aca="false">(BE41+BE42+BE43)*Assumptions!$E$78</f>
        <v>285.841428061412</v>
      </c>
      <c r="BF56" s="44" t="n">
        <f aca="false">(BF41+BF42+BF43)*Assumptions!$E$78</f>
        <v>291.378420608216</v>
      </c>
      <c r="BG56" s="44" t="n">
        <f aca="false">(BG41+BG42+BG43)*Assumptions!$E$78</f>
        <v>297.972915058114</v>
      </c>
      <c r="BH56" s="44" t="n">
        <f aca="false">(BH41+BH42+BH43)*Assumptions!$E$78</f>
        <v>303.981398645606</v>
      </c>
      <c r="BI56" s="44" t="n">
        <f aca="false">(BI41+BI42+BI43)*Assumptions!$E$78</f>
        <v>309.246731919608</v>
      </c>
      <c r="BJ56" s="44" t="n">
        <f aca="false">(BJ41+BJ42+BJ43)*Assumptions!$E$78</f>
        <v>315.57348788571</v>
      </c>
      <c r="BK56" s="44" t="n">
        <f aca="false">(BK41+BK42+BK43)*Assumptions!$E$78</f>
        <v>321.318148901607</v>
      </c>
    </row>
    <row r="57" customFormat="false" ht="15" hidden="false" customHeight="false" outlineLevel="0" collapsed="false">
      <c r="A57" s="28" t="s">
        <v>628</v>
      </c>
      <c r="B57" s="6" t="s">
        <v>629</v>
      </c>
      <c r="C57" s="43"/>
      <c r="D57" s="17" t="n">
        <f aca="false">D45*Assumptions!$E$82</f>
        <v>0</v>
      </c>
      <c r="E57" s="17" t="n">
        <f aca="false">E45*Assumptions!$E$82</f>
        <v>0</v>
      </c>
      <c r="F57" s="17" t="n">
        <f aca="false">F45*Assumptions!$E$82</f>
        <v>0</v>
      </c>
      <c r="G57" s="17" t="n">
        <f aca="false">G45*Assumptions!$E$82</f>
        <v>0</v>
      </c>
      <c r="H57" s="17" t="n">
        <f aca="false">H45*Assumptions!$E$82</f>
        <v>0</v>
      </c>
      <c r="I57" s="17" t="n">
        <f aca="false">I45*Assumptions!$E$82</f>
        <v>0</v>
      </c>
      <c r="J57" s="17" t="n">
        <f aca="false">J45*Assumptions!$E$82</f>
        <v>0</v>
      </c>
      <c r="K57" s="17" t="n">
        <f aca="false">K45*Assumptions!$E$82</f>
        <v>0</v>
      </c>
      <c r="L57" s="17" t="n">
        <f aca="false">L45*Assumptions!$E$82</f>
        <v>0</v>
      </c>
      <c r="M57" s="17" t="n">
        <f aca="false">M45*Assumptions!$E$82</f>
        <v>0</v>
      </c>
      <c r="N57" s="17" t="n">
        <f aca="false">N45*Assumptions!$E$82</f>
        <v>0</v>
      </c>
      <c r="O57" s="17" t="n">
        <f aca="false">O45*Assumptions!$E$82</f>
        <v>0</v>
      </c>
      <c r="P57" s="17" t="n">
        <f aca="false">P45*Assumptions!$E$82</f>
        <v>0</v>
      </c>
      <c r="Q57" s="17" t="n">
        <f aca="false">Q45*Assumptions!$E$82</f>
        <v>0</v>
      </c>
      <c r="R57" s="17" t="n">
        <f aca="false">R45*Assumptions!$E$82</f>
        <v>0</v>
      </c>
      <c r="S57" s="17" t="n">
        <f aca="false">S45*Assumptions!$E$82</f>
        <v>0</v>
      </c>
      <c r="T57" s="17" t="n">
        <f aca="false">T45*Assumptions!$E$82</f>
        <v>0</v>
      </c>
      <c r="U57" s="17" t="n">
        <f aca="false">U45*Assumptions!$E$82</f>
        <v>0</v>
      </c>
      <c r="V57" s="17" t="n">
        <f aca="false">V45*Assumptions!$E$82</f>
        <v>0</v>
      </c>
      <c r="W57" s="17" t="n">
        <f aca="false">W45*Assumptions!$E$82</f>
        <v>281.25</v>
      </c>
      <c r="X57" s="17" t="n">
        <f aca="false">X45*Assumptions!$E$82</f>
        <v>337.5</v>
      </c>
      <c r="Y57" s="17" t="n">
        <f aca="false">Y45*Assumptions!$E$82</f>
        <v>337.5</v>
      </c>
      <c r="Z57" s="17" t="n">
        <f aca="false">Z45*Assumptions!$E$82</f>
        <v>393.75</v>
      </c>
      <c r="AA57" s="17" t="n">
        <f aca="false">AA45*Assumptions!$E$82</f>
        <v>450</v>
      </c>
      <c r="AB57" s="17" t="n">
        <f aca="false">AB45*Assumptions!$E$82</f>
        <v>506.25</v>
      </c>
      <c r="AC57" s="17" t="n">
        <f aca="false">AC45*Assumptions!$E$82</f>
        <v>562.5</v>
      </c>
      <c r="AD57" s="17" t="n">
        <f aca="false">AD45*Assumptions!$E$82</f>
        <v>618.75</v>
      </c>
      <c r="AE57" s="17" t="n">
        <f aca="false">AE45*Assumptions!$E$82</f>
        <v>675</v>
      </c>
      <c r="AF57" s="17" t="n">
        <f aca="false">AF45*Assumptions!$E$82</f>
        <v>731.25</v>
      </c>
      <c r="AG57" s="17" t="n">
        <f aca="false">AG45*Assumptions!$E$82</f>
        <v>787.5</v>
      </c>
      <c r="AH57" s="17" t="n">
        <f aca="false">AH45*Assumptions!$E$82</f>
        <v>843.75</v>
      </c>
      <c r="AI57" s="17" t="n">
        <f aca="false">AI45*Assumptions!$E$82</f>
        <v>900</v>
      </c>
      <c r="AJ57" s="17" t="n">
        <f aca="false">AJ45*Assumptions!$E$82</f>
        <v>956.25</v>
      </c>
      <c r="AK57" s="17" t="n">
        <f aca="false">AK45*Assumptions!$E$82</f>
        <v>1012.5</v>
      </c>
      <c r="AL57" s="17" t="n">
        <f aca="false">AL45*Assumptions!$E$82</f>
        <v>1125</v>
      </c>
      <c r="AM57" s="17" t="n">
        <f aca="false">AM45*Assumptions!$E$82</f>
        <v>1181.25</v>
      </c>
      <c r="AN57" s="44" t="n">
        <f aca="false">AN45*Assumptions!$E$82</f>
        <v>1237.5</v>
      </c>
      <c r="AO57" s="44" t="n">
        <f aca="false">AO45*Assumptions!$E$82</f>
        <v>1350</v>
      </c>
      <c r="AP57" s="44" t="n">
        <f aca="false">AP45*Assumptions!$E$82</f>
        <v>1406.25</v>
      </c>
      <c r="AQ57" s="44" t="n">
        <f aca="false">AQ45*Assumptions!$E$82</f>
        <v>1462.5</v>
      </c>
      <c r="AR57" s="44" t="n">
        <f aca="false">AR45*Assumptions!$E$82</f>
        <v>1575</v>
      </c>
      <c r="AS57" s="44" t="n">
        <f aca="false">AS45*Assumptions!$E$82</f>
        <v>1631.25</v>
      </c>
      <c r="AT57" s="44" t="n">
        <f aca="false">AT45*Assumptions!$E$82</f>
        <v>1687.5</v>
      </c>
      <c r="AU57" s="44" t="n">
        <f aca="false">AU45*Assumptions!$E$82</f>
        <v>1800</v>
      </c>
      <c r="AV57" s="44" t="n">
        <f aca="false">AV45*Assumptions!$E$82</f>
        <v>1856.25</v>
      </c>
      <c r="AW57" s="44" t="n">
        <f aca="false">AW45*Assumptions!$E$82</f>
        <v>1912.5</v>
      </c>
      <c r="AX57" s="44" t="n">
        <f aca="false">AX45*Assumptions!$E$82</f>
        <v>2025</v>
      </c>
      <c r="AY57" s="44" t="n">
        <f aca="false">AY45*Assumptions!$E$82</f>
        <v>2081.25</v>
      </c>
      <c r="AZ57" s="44" t="n">
        <f aca="false">AZ45*Assumptions!$E$82</f>
        <v>2137.5</v>
      </c>
      <c r="BA57" s="44" t="n">
        <f aca="false">BA45*Assumptions!$E$82</f>
        <v>2250</v>
      </c>
      <c r="BB57" s="44" t="n">
        <f aca="false">BB45*Assumptions!$E$82</f>
        <v>2306.25</v>
      </c>
      <c r="BC57" s="44" t="n">
        <f aca="false">BC45*Assumptions!$E$82</f>
        <v>2362.5</v>
      </c>
      <c r="BD57" s="44" t="n">
        <f aca="false">BD45*Assumptions!$E$82</f>
        <v>2475</v>
      </c>
      <c r="BE57" s="44" t="n">
        <f aca="false">BE45*Assumptions!$E$82</f>
        <v>2531.25</v>
      </c>
      <c r="BF57" s="44" t="n">
        <f aca="false">BF45*Assumptions!$E$82</f>
        <v>2587.5</v>
      </c>
      <c r="BG57" s="44" t="n">
        <f aca="false">BG45*Assumptions!$E$82</f>
        <v>2700</v>
      </c>
      <c r="BH57" s="44" t="n">
        <f aca="false">BH45*Assumptions!$E$82</f>
        <v>2756.25</v>
      </c>
      <c r="BI57" s="44" t="n">
        <f aca="false">BI45*Assumptions!$E$82</f>
        <v>2812.5</v>
      </c>
      <c r="BJ57" s="44" t="n">
        <f aca="false">BJ45*Assumptions!$E$82</f>
        <v>2925</v>
      </c>
      <c r="BK57" s="44" t="n">
        <f aca="false">BK45*Assumptions!$E$82</f>
        <v>2981.25</v>
      </c>
    </row>
    <row r="58" customFormat="false" ht="15" hidden="false" customHeight="false" outlineLevel="0" collapsed="false">
      <c r="A58" s="28" t="s">
        <v>630</v>
      </c>
      <c r="B58" s="5" t="s">
        <v>631</v>
      </c>
      <c r="C58" s="43"/>
      <c r="D58" s="45" t="n">
        <f aca="false">D49+D50+D51+D52+D53+D54+D55+D56+D57</f>
        <v>0</v>
      </c>
      <c r="E58" s="45" t="n">
        <f aca="false">E49+E50+E51+E52+E53+E54+E55+E56+E57</f>
        <v>0</v>
      </c>
      <c r="F58" s="45" t="n">
        <f aca="false">F49+F50+F51+F52+F53+F54+F55+F56+F57</f>
        <v>0</v>
      </c>
      <c r="G58" s="45" t="n">
        <f aca="false">G49+G50+G51+G52+G53+G54+G55+G56+G57</f>
        <v>0</v>
      </c>
      <c r="H58" s="45" t="n">
        <f aca="false">H49+H50+H51+H52+H53+H54+H55+H56+H57</f>
        <v>42.1911666666667</v>
      </c>
      <c r="I58" s="45" t="n">
        <f aca="false">I49+I50+I51+I52+I53+I54+I55+I56+I57</f>
        <v>71.9981308333333</v>
      </c>
      <c r="J58" s="45" t="n">
        <f aca="false">J49+J50+J51+J52+J53+J54+J55+J56+J57</f>
        <v>85.9996145208333</v>
      </c>
      <c r="K58" s="45" t="n">
        <f aca="false">K49+K50+K51+K52+K53+K54+K55+K56+K57</f>
        <v>133.112607808854</v>
      </c>
      <c r="L58" s="45" t="n">
        <f aca="false">L49+L50+L51+L52+L53+L54+L55+L56+L57</f>
        <v>162.074252570513</v>
      </c>
      <c r="M58" s="45" t="n">
        <f aca="false">M49+M50+M51+M52+M53+M54+M55+M56+M57</f>
        <v>175.31281740317</v>
      </c>
      <c r="N58" s="45" t="n">
        <f aca="false">N49+N50+N51+N52+N53+N54+N55+N56+N57</f>
        <v>216.333573579245</v>
      </c>
      <c r="O58" s="45" t="n">
        <f aca="false">O49+O50+O51+O52+O53+O54+O55+O56+O57</f>
        <v>283.472060659686</v>
      </c>
      <c r="P58" s="45" t="n">
        <f aca="false">P49+P50+P51+P52+P53+P54+P55+P56+P57</f>
        <v>339.080873394042</v>
      </c>
      <c r="Q58" s="45" t="n">
        <f aca="false">Q49+Q50+Q51+Q52+Q53+Q54+Q55+Q56+Q57</f>
        <v>409.111818464284</v>
      </c>
      <c r="R58" s="45" t="n">
        <f aca="false">R49+R50+R51+R52+R53+R54+R55+R56+R57</f>
        <v>498.902599489802</v>
      </c>
      <c r="S58" s="45" t="n">
        <f aca="false">S49+S50+S51+S52+S53+S54+S55+S56+S57</f>
        <v>557.608778700537</v>
      </c>
      <c r="T58" s="45" t="n">
        <f aca="false">T49+T50+T51+T52+T53+T54+T55+T56+T57</f>
        <v>630.900117535915</v>
      </c>
      <c r="U58" s="45" t="n">
        <f aca="false">U49+U50+U51+U52+U53+U54+U55+U56+U57</f>
        <v>718.397747431966</v>
      </c>
      <c r="V58" s="45" t="n">
        <f aca="false">V49+V50+V51+V52+V53+V54+V55+V56+V57</f>
        <v>820.269346939936</v>
      </c>
      <c r="W58" s="45" t="n">
        <f aca="false">W49+W50+W51+W52+W53+W54+W55+W56+W57</f>
        <v>1269.53030489925</v>
      </c>
      <c r="X58" s="45" t="n">
        <f aca="false">X49+X50+X51+X52+X53+X54+X55+X56+X57</f>
        <v>1496.05509463223</v>
      </c>
      <c r="Y58" s="45" t="n">
        <f aca="false">Y49+Y50+Y51+Y52+Y53+Y54+Y55+Y56+Y57</f>
        <v>1675.02696383934</v>
      </c>
      <c r="Z58" s="45" t="n">
        <f aca="false">Z49+Z50+Z51+Z52+Z53+Z54+Z55+Z56+Z57</f>
        <v>1911.6656488603</v>
      </c>
      <c r="AA58" s="45" t="n">
        <f aca="false">AA49+AA50+AA51+AA52+AA53+AA54+AA55+AA56+AA57</f>
        <v>2150.42652932954</v>
      </c>
      <c r="AB58" s="45" t="n">
        <f aca="false">AB49+AB50+AB51+AB52+AB53+AB54+AB55+AB56+AB57</f>
        <v>2391.67217518625</v>
      </c>
      <c r="AC58" s="45" t="n">
        <f aca="false">AC49+AC50+AC51+AC52+AC53+AC54+AC55+AC56+AC57</f>
        <v>2635.5494275601</v>
      </c>
      <c r="AD58" s="45" t="n">
        <f aca="false">AD49+AD50+AD51+AD52+AD53+AD54+AD55+AD56+AD57</f>
        <v>2882.07147726216</v>
      </c>
      <c r="AE58" s="45" t="n">
        <f aca="false">AE49+AE50+AE51+AE52+AE53+AE54+AE55+AE56+AE57</f>
        <v>3129.33361823812</v>
      </c>
      <c r="AF58" s="45" t="n">
        <f aca="false">AF49+AF50+AF51+AF52+AF53+AF54+AF55+AF56+AF57</f>
        <v>3425.14268926328</v>
      </c>
      <c r="AG58" s="45" t="n">
        <f aca="false">AG49+AG50+AG51+AG52+AG53+AG54+AG55+AG56+AG57</f>
        <v>3713.92440290287</v>
      </c>
      <c r="AH58" s="45" t="n">
        <f aca="false">AH49+AH50+AH51+AH52+AH53+AH54+AH55+AH56+AH57</f>
        <v>3988.90886827314</v>
      </c>
      <c r="AI58" s="45" t="n">
        <f aca="false">AI49+AI50+AI51+AI52+AI53+AI54+AI55+AI56+AI57</f>
        <v>4303.65973560934</v>
      </c>
      <c r="AJ58" s="45" t="n">
        <f aca="false">AJ49+AJ50+AJ51+AJ52+AJ53+AJ54+AJ55+AJ56+AJ57</f>
        <v>4605.21318085724</v>
      </c>
      <c r="AK58" s="45" t="n">
        <f aca="false">AK49+AK50+AK51+AK52+AK53+AK54+AK55+AK56+AK57</f>
        <v>4916.61658332035</v>
      </c>
      <c r="AL58" s="45" t="n">
        <f aca="false">AL49+AL50+AL51+AL52+AL53+AL54+AL55+AL56+AL57</f>
        <v>5318.44705165109</v>
      </c>
      <c r="AM58" s="45" t="n">
        <f aca="false">AM49+AM50+AM51+AM52+AM53+AM54+AM55+AM56+AM57</f>
        <v>5654.44717916608</v>
      </c>
      <c r="AN58" s="46" t="n">
        <f aca="false">AN49+AN50+AN51+AN52+AN53+AN54+AN55+AN56+AN57</f>
        <v>5978.66438552325</v>
      </c>
      <c r="AO58" s="46" t="n">
        <f aca="false">AO49+AO50+AO51+AO52+AO53+AO54+AO55+AO56+AO57</f>
        <v>6393.71771739077</v>
      </c>
      <c r="AP58" s="46" t="n">
        <f aca="false">AP49+AP50+AP51+AP52+AP53+AP54+AP55+AP56+AP57</f>
        <v>6742.29143404091</v>
      </c>
      <c r="AQ58" s="46" t="n">
        <f aca="false">AQ49+AQ50+AQ51+AQ52+AQ53+AQ54+AQ55+AQ56+AQ57</f>
        <v>7046.51379847114</v>
      </c>
      <c r="AR58" s="46" t="n">
        <f aca="false">AR49+AR50+AR51+AR52+AR53+AR54+AR55+AR56+AR57</f>
        <v>7438.85705323713</v>
      </c>
      <c r="AS58" s="46" t="n">
        <f aca="false">AS49+AS50+AS51+AS52+AS53+AS54+AS55+AS56+AS57</f>
        <v>7759.54450160497</v>
      </c>
      <c r="AT58" s="46" t="n">
        <f aca="false">AT49+AT50+AT51+AT52+AT53+AT54+AT55+AT56+AT57</f>
        <v>8064.74750720128</v>
      </c>
      <c r="AU58" s="46" t="n">
        <f aca="false">AU49+AU50+AU51+AU52+AU53+AU54+AU55+AU56+AU57</f>
        <v>8457.57155746661</v>
      </c>
      <c r="AV58" s="46" t="n">
        <f aca="false">AV49+AV50+AV51+AV52+AV53+AV54+AV55+AV56+AV57</f>
        <v>8778.21395549999</v>
      </c>
      <c r="AW58" s="46" t="n">
        <f aca="false">AW49+AW50+AW51+AW52+AW53+AW54+AW55+AW56+AW57</f>
        <v>9082.84667281183</v>
      </c>
      <c r="AX58" s="46" t="n">
        <f aca="false">AX49+AX50+AX51+AX52+AX53+AX54+AX55+AX56+AX57</f>
        <v>9474.59178381821</v>
      </c>
      <c r="AY58" s="46" t="n">
        <f aca="false">AY49+AY50+AY51+AY52+AY53+AY54+AY55+AY56+AY57</f>
        <v>9793.67234634033</v>
      </c>
      <c r="AZ58" s="46" t="n">
        <f aca="false">AZ49+AZ50+AZ51+AZ52+AZ53+AZ54+AZ55+AZ56+AZ57</f>
        <v>10096.2909171964</v>
      </c>
      <c r="BA58" s="46" t="n">
        <f aca="false">BA49+BA50+BA51+BA52+BA53+BA54+BA55+BA56+BA57</f>
        <v>10485.6022510355</v>
      </c>
      <c r="BB58" s="46" t="n">
        <f aca="false">BB49+BB50+BB51+BB52+BB53+BB54+BB55+BB56+BB57</f>
        <v>10801.8624799384</v>
      </c>
      <c r="BC58" s="46" t="n">
        <f aca="false">BC49+BC50+BC51+BC52+BC53+BC54+BC55+BC56+BC57</f>
        <v>11099.397037932</v>
      </c>
      <c r="BD58" s="46" t="n">
        <f aca="false">BD49+BD50+BD51+BD52+BD53+BD54+BD55+BD56+BD57</f>
        <v>11483.4568831607</v>
      </c>
      <c r="BE58" s="46" t="n">
        <f aca="false">BE49+BE50+BE51+BE52+BE53+BE54+BE55+BE56+BE57</f>
        <v>11794.2424529681</v>
      </c>
      <c r="BF58" s="46" t="n">
        <f aca="false">BF49+BF50+BF51+BF52+BF53+BF54+BF55+BF56+BF57</f>
        <v>12086.0548275206</v>
      </c>
      <c r="BG58" s="46" t="n">
        <f aca="false">BG49+BG50+BG51+BG52+BG53+BG54+BG55+BG56+BG57</f>
        <v>12464.140074055</v>
      </c>
      <c r="BH58" s="46" t="n">
        <f aca="false">BH49+BH50+BH51+BH52+BH53+BH54+BH55+BH56+BH57</f>
        <v>12768.7055485435</v>
      </c>
      <c r="BI58" s="46" t="n">
        <f aca="false">BI49+BI50+BI51+BI52+BI53+BI54+BI55+BI56+BI57</f>
        <v>13054.0661468385</v>
      </c>
      <c r="BJ58" s="46" t="n">
        <f aca="false">BJ49+BJ50+BJ51+BJ52+BJ53+BJ54+BJ55+BJ56+BJ57</f>
        <v>13425.4855134359</v>
      </c>
      <c r="BK58" s="46" t="n">
        <f aca="false">BK49+BK50+BK51+BK52+BK53+BK54+BK55+BK56+BK57</f>
        <v>13723.1903584278</v>
      </c>
    </row>
    <row r="59" customFormat="false" ht="15" hidden="false" customHeight="false" outlineLevel="0" collapsed="false">
      <c r="A59" s="28" t="s">
        <v>632</v>
      </c>
      <c r="B59" s="5" t="s">
        <v>633</v>
      </c>
      <c r="C59" s="43"/>
      <c r="D59" s="45" t="n">
        <f aca="false">D46-D58</f>
        <v>0</v>
      </c>
      <c r="E59" s="45" t="n">
        <f aca="false">E46-E58</f>
        <v>0</v>
      </c>
      <c r="F59" s="45" t="n">
        <f aca="false">F46-F58</f>
        <v>0</v>
      </c>
      <c r="G59" s="45" t="n">
        <f aca="false">G46-G58</f>
        <v>0</v>
      </c>
      <c r="H59" s="45" t="n">
        <f aca="false">H46-H58</f>
        <v>-42.1911666666667</v>
      </c>
      <c r="I59" s="45" t="n">
        <f aca="false">I46-I58</f>
        <v>-71.9981308333333</v>
      </c>
      <c r="J59" s="45" t="n">
        <f aca="false">J46-J58</f>
        <v>-85.9996145208333</v>
      </c>
      <c r="K59" s="45" t="n">
        <f aca="false">K46-K58</f>
        <v>-133.112607808854</v>
      </c>
      <c r="L59" s="45" t="n">
        <f aca="false">L46-L58</f>
        <v>-162.074252570513</v>
      </c>
      <c r="M59" s="45" t="n">
        <f aca="false">M46-M58</f>
        <v>-175.31281740317</v>
      </c>
      <c r="N59" s="45" t="n">
        <f aca="false">N46-N58</f>
        <v>-216.333573579245</v>
      </c>
      <c r="O59" s="45" t="n">
        <f aca="false">O46-O58</f>
        <v>-283.472060659686</v>
      </c>
      <c r="P59" s="45" t="n">
        <f aca="false">P46-P58</f>
        <v>-298.086425773717</v>
      </c>
      <c r="Q59" s="45" t="n">
        <f aca="false">Q46-Q58</f>
        <v>-322.90621229371</v>
      </c>
      <c r="R59" s="45" t="n">
        <f aca="false">R46-R58</f>
        <v>-361.698697498905</v>
      </c>
      <c r="S59" s="45" t="n">
        <f aca="false">S46-S58</f>
        <v>-366.537616188251</v>
      </c>
      <c r="T59" s="45" t="n">
        <f aca="false">T46-T58</f>
        <v>-382.182349486716</v>
      </c>
      <c r="U59" s="45" t="n">
        <f aca="false">U46-U58</f>
        <v>-407.277361873776</v>
      </c>
      <c r="V59" s="45" t="n">
        <f aca="false">V46-V58</f>
        <v>-440.95465599825</v>
      </c>
      <c r="W59" s="45" t="n">
        <f aca="false">W46-W58</f>
        <v>282.173051771959</v>
      </c>
      <c r="X59" s="45" t="n">
        <f aca="false">X46-X58</f>
        <v>490.477820890844</v>
      </c>
      <c r="Y59" s="45" t="n">
        <f aca="false">Y46-Y58</f>
        <v>571.923447803455</v>
      </c>
      <c r="Z59" s="45" t="n">
        <f aca="false">Z46-Z58</f>
        <v>795.290929494261</v>
      </c>
      <c r="AA59" s="45" t="n">
        <f aca="false">AA46-AA58</f>
        <v>1027.69929698134</v>
      </c>
      <c r="AB59" s="45" t="n">
        <f aca="false">AB46-AB58</f>
        <v>1267.92861018089</v>
      </c>
      <c r="AC59" s="45" t="n">
        <f aca="false">AC46-AC58</f>
        <v>1515.03782727357</v>
      </c>
      <c r="AD59" s="45" t="n">
        <f aca="false">AD46-AD58</f>
        <v>1768.27805401606</v>
      </c>
      <c r="AE59" s="45" t="n">
        <f aca="false">AE46-AE58</f>
        <v>2028.47810708852</v>
      </c>
      <c r="AF59" s="45" t="n">
        <f aca="false">AF46-AF58</f>
        <v>2257.09310258077</v>
      </c>
      <c r="AG59" s="45" t="n">
        <f aca="false">AG46-AG58</f>
        <v>2507.10336096611</v>
      </c>
      <c r="AH59" s="45" t="n">
        <f aca="false">AH46-AH58</f>
        <v>2780.92143458252</v>
      </c>
      <c r="AI59" s="45" t="n">
        <f aca="false">AI46-AI58</f>
        <v>3032.03278211231</v>
      </c>
      <c r="AJ59" s="45" t="n">
        <f aca="false">AJ46-AJ58</f>
        <v>3309.17892266601</v>
      </c>
      <c r="AK59" s="45" t="n">
        <f aca="false">AK46-AK58</f>
        <v>3826.03354567286</v>
      </c>
      <c r="AL59" s="45" t="n">
        <f aca="false">AL46-AL58</f>
        <v>4480.72925617033</v>
      </c>
      <c r="AM59" s="45" t="n">
        <f aca="false">AM46-AM58</f>
        <v>5047.93963183811</v>
      </c>
      <c r="AN59" s="46" t="n">
        <f aca="false">AN46-AN58</f>
        <v>5653.01196679102</v>
      </c>
      <c r="AO59" s="46" t="n">
        <f aca="false">AO46-AO58</f>
        <v>6397.24555927124</v>
      </c>
      <c r="AP59" s="46" t="n">
        <f aca="false">AP46-AP58</f>
        <v>7048.71841999564</v>
      </c>
      <c r="AQ59" s="46" t="n">
        <f aca="false">AQ46-AQ58</f>
        <v>7447.23967854256</v>
      </c>
      <c r="AR59" s="46" t="n">
        <f aca="false">AR46-AR58</f>
        <v>7963.75743260174</v>
      </c>
      <c r="AS59" s="46" t="n">
        <f aca="false">AS46-AS58</f>
        <v>8362.66288173993</v>
      </c>
      <c r="AT59" s="46" t="n">
        <f aca="false">AT46-AT58</f>
        <v>8770.43310881516</v>
      </c>
      <c r="AU59" s="46" t="n">
        <f aca="false">AU46-AU58</f>
        <v>9294.60015143626</v>
      </c>
      <c r="AV59" s="46" t="n">
        <f aca="false">AV46-AV58</f>
        <v>9699.75742384321</v>
      </c>
      <c r="AW59" s="46" t="n">
        <f aca="false">AW46-AW58</f>
        <v>10112.5426081607</v>
      </c>
      <c r="AX59" s="46" t="n">
        <f aca="false">AX46-AX58</f>
        <v>10640.619121465</v>
      </c>
      <c r="AY59" s="46" t="n">
        <f aca="false">AY46-AY58</f>
        <v>11048.6907553598</v>
      </c>
      <c r="AZ59" s="46" t="n">
        <f aca="false">AZ46-AZ58</f>
        <v>11463.4900573078</v>
      </c>
      <c r="BA59" s="46" t="n">
        <f aca="false">BA46-BA58</f>
        <v>11992.7635037505</v>
      </c>
      <c r="BB59" s="46" t="n">
        <f aca="false">BB46-BB58</f>
        <v>12401.2886758795</v>
      </c>
      <c r="BC59" s="46" t="n">
        <f aca="false">BC46-BC58</f>
        <v>12816.655159441</v>
      </c>
      <c r="BD59" s="46" t="n">
        <f aca="false">BD46-BD58</f>
        <v>13345.3540265198</v>
      </c>
      <c r="BE59" s="46" t="n">
        <f aca="false">BE46-BE58</f>
        <v>13752.3417436894</v>
      </c>
      <c r="BF59" s="46" t="n">
        <f aca="false">BF46-BF58</f>
        <v>14165.344100823</v>
      </c>
      <c r="BG59" s="46" t="n">
        <f aca="false">BG46-BG58</f>
        <v>14690.9591316907</v>
      </c>
      <c r="BH59" s="46" t="n">
        <f aca="false">BH46-BH58</f>
        <v>15094.2298680182</v>
      </c>
      <c r="BI59" s="46" t="n">
        <f aca="false">BI46-BI58</f>
        <v>15502.9541206015</v>
      </c>
      <c r="BJ59" s="46" t="n">
        <f aca="false">BJ46-BJ58</f>
        <v>16023.7912987586</v>
      </c>
      <c r="BK59" s="46" t="n">
        <f aca="false">BK46-BK58</f>
        <v>16421.8377864679</v>
      </c>
    </row>
    <row r="60" customFormat="false" ht="15" hidden="false" customHeight="false" outlineLevel="0" collapsed="false">
      <c r="B60" s="5" t="s">
        <v>634</v>
      </c>
    </row>
    <row r="61" customFormat="false" ht="15" hidden="false" customHeight="false" outlineLevel="0" collapsed="false">
      <c r="A61" s="28" t="s">
        <v>268</v>
      </c>
      <c r="B61" s="6" t="s">
        <v>635</v>
      </c>
      <c r="C61" s="47"/>
      <c r="D61" s="9" t="n">
        <f aca="false">Assumptions!$E$83*(1+Assumptions!$E$84)^INT(D7/12)</f>
        <v>17.95</v>
      </c>
      <c r="E61" s="9" t="n">
        <f aca="false">Assumptions!$E$83*(1+Assumptions!$E$84)^INT(E7/12)</f>
        <v>17.95</v>
      </c>
      <c r="F61" s="9" t="n">
        <f aca="false">Assumptions!$E$83*(1+Assumptions!$E$84)^INT(F7/12)</f>
        <v>17.95</v>
      </c>
      <c r="G61" s="9" t="n">
        <f aca="false">Assumptions!$E$83*(1+Assumptions!$E$84)^INT(G7/12)</f>
        <v>17.95</v>
      </c>
      <c r="H61" s="9" t="n">
        <f aca="false">Assumptions!$E$83*(1+Assumptions!$E$84)^INT(H7/12)</f>
        <v>17.95</v>
      </c>
      <c r="I61" s="9" t="n">
        <f aca="false">Assumptions!$E$83*(1+Assumptions!$E$84)^INT(I7/12)</f>
        <v>17.95</v>
      </c>
      <c r="J61" s="9" t="n">
        <f aca="false">Assumptions!$E$83*(1+Assumptions!$E$84)^INT(J7/12)</f>
        <v>17.95</v>
      </c>
      <c r="K61" s="9" t="n">
        <f aca="false">Assumptions!$E$83*(1+Assumptions!$E$84)^INT(K7/12)</f>
        <v>17.95</v>
      </c>
      <c r="L61" s="9" t="n">
        <f aca="false">Assumptions!$E$83*(1+Assumptions!$E$84)^INT(L7/12)</f>
        <v>17.95</v>
      </c>
      <c r="M61" s="9" t="n">
        <f aca="false">Assumptions!$E$83*(1+Assumptions!$E$84)^INT(M7/12)</f>
        <v>17.95</v>
      </c>
      <c r="N61" s="9" t="n">
        <f aca="false">Assumptions!$E$83*(1+Assumptions!$E$84)^INT(N7/12)</f>
        <v>17.95</v>
      </c>
      <c r="O61" s="9" t="n">
        <f aca="false">Assumptions!$E$83*(1+Assumptions!$E$84)^INT(O7/12)</f>
        <v>18.39875</v>
      </c>
      <c r="P61" s="9" t="n">
        <f aca="false">Assumptions!$E$83*(1+Assumptions!$E$84)^INT(P7/12)</f>
        <v>18.39875</v>
      </c>
      <c r="Q61" s="9" t="n">
        <f aca="false">Assumptions!$E$83*(1+Assumptions!$E$84)^INT(Q7/12)</f>
        <v>18.39875</v>
      </c>
      <c r="R61" s="9" t="n">
        <f aca="false">Assumptions!$E$83*(1+Assumptions!$E$84)^INT(R7/12)</f>
        <v>18.39875</v>
      </c>
      <c r="S61" s="9" t="n">
        <f aca="false">Assumptions!$E$83*(1+Assumptions!$E$84)^INT(S7/12)</f>
        <v>18.39875</v>
      </c>
      <c r="T61" s="9" t="n">
        <f aca="false">Assumptions!$E$83*(1+Assumptions!$E$84)^INT(T7/12)</f>
        <v>18.39875</v>
      </c>
      <c r="U61" s="9" t="n">
        <f aca="false">Assumptions!$E$83*(1+Assumptions!$E$84)^INT(U7/12)</f>
        <v>18.39875</v>
      </c>
      <c r="V61" s="9" t="n">
        <f aca="false">Assumptions!$E$83*(1+Assumptions!$E$84)^INT(V7/12)</f>
        <v>18.39875</v>
      </c>
      <c r="W61" s="9" t="n">
        <f aca="false">Assumptions!$E$83*(1+Assumptions!$E$84)^INT(W7/12)</f>
        <v>18.39875</v>
      </c>
      <c r="X61" s="9" t="n">
        <f aca="false">Assumptions!$E$83*(1+Assumptions!$E$84)^INT(X7/12)</f>
        <v>18.39875</v>
      </c>
      <c r="Y61" s="9" t="n">
        <f aca="false">Assumptions!$E$83*(1+Assumptions!$E$84)^INT(Y7/12)</f>
        <v>18.39875</v>
      </c>
      <c r="Z61" s="9" t="n">
        <f aca="false">Assumptions!$E$83*(1+Assumptions!$E$84)^INT(Z7/12)</f>
        <v>18.39875</v>
      </c>
      <c r="AA61" s="9" t="n">
        <f aca="false">Assumptions!$E$83*(1+Assumptions!$E$84)^INT(AA7/12)</f>
        <v>18.85871875</v>
      </c>
      <c r="AB61" s="9" t="n">
        <f aca="false">Assumptions!$E$83*(1+Assumptions!$E$84)^INT(AB7/12)</f>
        <v>18.85871875</v>
      </c>
      <c r="AC61" s="9" t="n">
        <f aca="false">Assumptions!$E$83*(1+Assumptions!$E$84)^INT(AC7/12)</f>
        <v>18.85871875</v>
      </c>
      <c r="AD61" s="9" t="n">
        <f aca="false">Assumptions!$E$83*(1+Assumptions!$E$84)^INT(AD7/12)</f>
        <v>18.85871875</v>
      </c>
      <c r="AE61" s="9" t="n">
        <f aca="false">Assumptions!$E$83*(1+Assumptions!$E$84)^INT(AE7/12)</f>
        <v>18.85871875</v>
      </c>
      <c r="AF61" s="9" t="n">
        <f aca="false">Assumptions!$E$83*(1+Assumptions!$E$84)^INT(AF7/12)</f>
        <v>18.85871875</v>
      </c>
      <c r="AG61" s="9" t="n">
        <f aca="false">Assumptions!$E$83*(1+Assumptions!$E$84)^INT(AG7/12)</f>
        <v>18.85871875</v>
      </c>
      <c r="AH61" s="9" t="n">
        <f aca="false">Assumptions!$E$83*(1+Assumptions!$E$84)^INT(AH7/12)</f>
        <v>18.85871875</v>
      </c>
      <c r="AI61" s="9" t="n">
        <f aca="false">Assumptions!$E$83*(1+Assumptions!$E$84)^INT(AI7/12)</f>
        <v>18.85871875</v>
      </c>
      <c r="AJ61" s="9" t="n">
        <f aca="false">Assumptions!$E$83*(1+Assumptions!$E$84)^INT(AJ7/12)</f>
        <v>18.85871875</v>
      </c>
      <c r="AK61" s="9" t="n">
        <f aca="false">Assumptions!$E$83*(1+Assumptions!$E$84)^INT(AK7/12)</f>
        <v>18.85871875</v>
      </c>
      <c r="AL61" s="9" t="n">
        <f aca="false">Assumptions!$E$83*(1+Assumptions!$E$84)^INT(AL7/12)</f>
        <v>18.85871875</v>
      </c>
      <c r="AM61" s="9" t="n">
        <f aca="false">Assumptions!$E$83*(1+Assumptions!$E$84)^INT(AM7/12)</f>
        <v>19.33018671875</v>
      </c>
      <c r="AN61" s="48" t="n">
        <f aca="false">Assumptions!$E$83*(1+Assumptions!$E$84)^INT(AN7/12)</f>
        <v>19.33018671875</v>
      </c>
      <c r="AO61" s="48" t="n">
        <f aca="false">Assumptions!$E$83*(1+Assumptions!$E$84)^INT(AO7/12)</f>
        <v>19.33018671875</v>
      </c>
      <c r="AP61" s="48" t="n">
        <f aca="false">Assumptions!$E$83*(1+Assumptions!$E$84)^INT(AP7/12)</f>
        <v>19.33018671875</v>
      </c>
      <c r="AQ61" s="48" t="n">
        <f aca="false">Assumptions!$E$83*(1+Assumptions!$E$84)^INT(AQ7/12)</f>
        <v>19.33018671875</v>
      </c>
      <c r="AR61" s="48" t="n">
        <f aca="false">Assumptions!$E$83*(1+Assumptions!$E$84)^INT(AR7/12)</f>
        <v>19.33018671875</v>
      </c>
      <c r="AS61" s="48" t="n">
        <f aca="false">Assumptions!$E$83*(1+Assumptions!$E$84)^INT(AS7/12)</f>
        <v>19.33018671875</v>
      </c>
      <c r="AT61" s="48" t="n">
        <f aca="false">Assumptions!$E$83*(1+Assumptions!$E$84)^INT(AT7/12)</f>
        <v>19.33018671875</v>
      </c>
      <c r="AU61" s="48" t="n">
        <f aca="false">Assumptions!$E$83*(1+Assumptions!$E$84)^INT(AU7/12)</f>
        <v>19.33018671875</v>
      </c>
      <c r="AV61" s="48" t="n">
        <f aca="false">Assumptions!$E$83*(1+Assumptions!$E$84)^INT(AV7/12)</f>
        <v>19.33018671875</v>
      </c>
      <c r="AW61" s="48" t="n">
        <f aca="false">Assumptions!$E$83*(1+Assumptions!$E$84)^INT(AW7/12)</f>
        <v>19.33018671875</v>
      </c>
      <c r="AX61" s="48" t="n">
        <f aca="false">Assumptions!$E$83*(1+Assumptions!$E$84)^INT(AX7/12)</f>
        <v>19.33018671875</v>
      </c>
      <c r="AY61" s="48" t="n">
        <f aca="false">Assumptions!$E$83*(1+Assumptions!$E$84)^INT(AY7/12)</f>
        <v>19.8134413867187</v>
      </c>
      <c r="AZ61" s="48" t="n">
        <f aca="false">Assumptions!$E$83*(1+Assumptions!$E$84)^INT(AZ7/12)</f>
        <v>19.8134413867187</v>
      </c>
      <c r="BA61" s="48" t="n">
        <f aca="false">Assumptions!$E$83*(1+Assumptions!$E$84)^INT(BA7/12)</f>
        <v>19.8134413867187</v>
      </c>
      <c r="BB61" s="48" t="n">
        <f aca="false">Assumptions!$E$83*(1+Assumptions!$E$84)^INT(BB7/12)</f>
        <v>19.8134413867187</v>
      </c>
      <c r="BC61" s="48" t="n">
        <f aca="false">Assumptions!$E$83*(1+Assumptions!$E$84)^INT(BC7/12)</f>
        <v>19.8134413867187</v>
      </c>
      <c r="BD61" s="48" t="n">
        <f aca="false">Assumptions!$E$83*(1+Assumptions!$E$84)^INT(BD7/12)</f>
        <v>19.8134413867187</v>
      </c>
      <c r="BE61" s="48" t="n">
        <f aca="false">Assumptions!$E$83*(1+Assumptions!$E$84)^INT(BE7/12)</f>
        <v>19.8134413867187</v>
      </c>
      <c r="BF61" s="48" t="n">
        <f aca="false">Assumptions!$E$83*(1+Assumptions!$E$84)^INT(BF7/12)</f>
        <v>19.8134413867187</v>
      </c>
      <c r="BG61" s="48" t="n">
        <f aca="false">Assumptions!$E$83*(1+Assumptions!$E$84)^INT(BG7/12)</f>
        <v>19.8134413867187</v>
      </c>
      <c r="BH61" s="48" t="n">
        <f aca="false">Assumptions!$E$83*(1+Assumptions!$E$84)^INT(BH7/12)</f>
        <v>19.8134413867187</v>
      </c>
      <c r="BI61" s="48" t="n">
        <f aca="false">Assumptions!$E$83*(1+Assumptions!$E$84)^INT(BI7/12)</f>
        <v>19.8134413867187</v>
      </c>
      <c r="BJ61" s="48" t="n">
        <f aca="false">Assumptions!$E$83*(1+Assumptions!$E$84)^INT(BJ7/12)</f>
        <v>19.8134413867187</v>
      </c>
      <c r="BK61" s="48" t="n">
        <f aca="false">Assumptions!$E$83*(1+Assumptions!$E$84)^INT(BK7/12)</f>
        <v>20.3087774213867</v>
      </c>
    </row>
    <row r="62" customFormat="false" ht="15" hidden="false" customHeight="false" outlineLevel="0" collapsed="false">
      <c r="A62" s="28" t="s">
        <v>636</v>
      </c>
      <c r="B62" s="6" t="s">
        <v>637</v>
      </c>
      <c r="C62" s="43"/>
      <c r="D62" s="17" t="n">
        <f aca="false">D11*Assumptions!$E$86*D61*(1+Assumptions!$E$85)*Assumptions!$E$91</f>
        <v>0</v>
      </c>
      <c r="E62" s="17" t="n">
        <f aca="false">E11*Assumptions!$E$86*E61*(1+Assumptions!$E$85)*Assumptions!$E$91</f>
        <v>0</v>
      </c>
      <c r="F62" s="17" t="n">
        <f aca="false">F11*Assumptions!$E$86*F61*(1+Assumptions!$E$85)*Assumptions!$E$91</f>
        <v>0</v>
      </c>
      <c r="G62" s="17" t="n">
        <f aca="false">G11*Assumptions!$E$86*G61*(1+Assumptions!$E$85)*Assumptions!$E$91</f>
        <v>0</v>
      </c>
      <c r="H62" s="17" t="n">
        <f aca="false">H11*Assumptions!$E$86*H61*(1+Assumptions!$E$85)*Assumptions!$E$91</f>
        <v>344.8195</v>
      </c>
      <c r="I62" s="17" t="n">
        <f aca="false">I11*Assumptions!$E$86*I61*(1+Assumptions!$E$85)*Assumptions!$E$91</f>
        <v>303.44116</v>
      </c>
      <c r="J62" s="17" t="n">
        <f aca="false">J11*Assumptions!$E$86*J61*(1+Assumptions!$E$85)*Assumptions!$E$91</f>
        <v>206.8917</v>
      </c>
      <c r="K62" s="17" t="n">
        <f aca="false">K11*Assumptions!$E$86*K61*(1+Assumptions!$E$85)*Assumptions!$E$91</f>
        <v>482.7473</v>
      </c>
      <c r="L62" s="17" t="n">
        <f aca="false">L11*Assumptions!$E$86*L61*(1+Assumptions!$E$85)*Assumptions!$E$91</f>
        <v>386.19784</v>
      </c>
      <c r="M62" s="17" t="n">
        <f aca="false">M11*Assumptions!$E$86*M61*(1+Assumptions!$E$85)*Assumptions!$E$91</f>
        <v>275.8556</v>
      </c>
      <c r="N62" s="17" t="n">
        <f aca="false">N11*Assumptions!$E$86*N61*(1+Assumptions!$E$85)*Assumptions!$E$91</f>
        <v>496.54008</v>
      </c>
      <c r="O62" s="17" t="n">
        <f aca="false">O11*Assumptions!$E$86*O61*(1+Assumptions!$E$85)*Assumptions!$E$91</f>
        <v>763.430373</v>
      </c>
      <c r="P62" s="17" t="n">
        <f aca="false">P11*Assumptions!$E$86*P61*(1+Assumptions!$E$85)*Assumptions!$E$91</f>
        <v>607.9167785</v>
      </c>
      <c r="Q62" s="17" t="n">
        <f aca="false">Q11*Assumptions!$E$86*Q61*(1+Assumptions!$E$85)*Assumptions!$E$91</f>
        <v>735.155174</v>
      </c>
      <c r="R62" s="17" t="n">
        <f aca="false">R11*Assumptions!$E$86*R61*(1+Assumptions!$E$85)*Assumptions!$E$91</f>
        <v>918.9439675</v>
      </c>
      <c r="S62" s="17" t="n">
        <f aca="false">S11*Assumptions!$E$86*S61*(1+Assumptions!$E$85)*Assumptions!$E$91</f>
        <v>706.879975</v>
      </c>
      <c r="T62" s="17" t="n">
        <f aca="false">T11*Assumptions!$E$86*T61*(1+Assumptions!$E$85)*Assumptions!$E$91</f>
        <v>819.980771</v>
      </c>
      <c r="U62" s="17" t="n">
        <f aca="false">U11*Assumptions!$E$86*U61*(1+Assumptions!$E$85)*Assumptions!$E$91</f>
        <v>947.2191665</v>
      </c>
      <c r="V62" s="17" t="n">
        <f aca="false">V11*Assumptions!$E$86*V61*(1+Assumptions!$E$85)*Assumptions!$E$91</f>
        <v>1088.5951615</v>
      </c>
      <c r="W62" s="17" t="n">
        <f aca="false">W11*Assumptions!$E$86*W61*(1+Assumptions!$E$85)*Assumptions!$E$91</f>
        <v>1159.283159</v>
      </c>
      <c r="X62" s="17" t="n">
        <f aca="false">X11*Assumptions!$E$86*X61*(1+Assumptions!$E$85)*Assumptions!$E$91</f>
        <v>1187.558358</v>
      </c>
      <c r="Y62" s="17" t="n">
        <f aca="false">Y11*Assumptions!$E$86*Y61*(1+Assumptions!$E$85)*Assumptions!$E$91</f>
        <v>1258.2463555</v>
      </c>
      <c r="Z62" s="17" t="n">
        <f aca="false">Z11*Assumptions!$E$86*Z61*(1+Assumptions!$E$85)*Assumptions!$E$91</f>
        <v>1272.383955</v>
      </c>
      <c r="AA62" s="17" t="n">
        <f aca="false">AA11*Assumptions!$E$86*AA61*(1+Assumptions!$E$85)*Assumptions!$E$91</f>
        <v>1318.6845933625</v>
      </c>
      <c r="AB62" s="17" t="n">
        <f aca="false">AB11*Assumptions!$E$86*AB61*(1+Assumptions!$E$85)*Assumptions!$E$91</f>
        <v>1333.17563285</v>
      </c>
      <c r="AC62" s="17" t="n">
        <f aca="false">AC11*Assumptions!$E$86*AC61*(1+Assumptions!$E$85)*Assumptions!$E$91</f>
        <v>1347.6666723375</v>
      </c>
      <c r="AD62" s="17" t="n">
        <f aca="false">AD11*Assumptions!$E$86*AD61*(1+Assumptions!$E$85)*Assumptions!$E$91</f>
        <v>1362.157711825</v>
      </c>
      <c r="AE62" s="17" t="n">
        <f aca="false">AE11*Assumptions!$E$86*AE61*(1+Assumptions!$E$85)*Assumptions!$E$91</f>
        <v>1362.157711825</v>
      </c>
      <c r="AF62" s="17" t="n">
        <f aca="false">AF11*Assumptions!$E$86*AF61*(1+Assumptions!$E$85)*Assumptions!$E$91</f>
        <v>1738.9247385</v>
      </c>
      <c r="AG62" s="17" t="n">
        <f aca="false">AG11*Assumptions!$E$86*AG61*(1+Assumptions!$E$85)*Assumptions!$E$91</f>
        <v>1709.942659525</v>
      </c>
      <c r="AH62" s="17" t="n">
        <f aca="false">AH11*Assumptions!$E$86*AH61*(1+Assumptions!$E$85)*Assumptions!$E$91</f>
        <v>1608.5053831125</v>
      </c>
      <c r="AI62" s="17" t="n">
        <f aca="false">AI11*Assumptions!$E$86*AI61*(1+Assumptions!$E$85)*Assumptions!$E$91</f>
        <v>1912.81721235</v>
      </c>
      <c r="AJ62" s="17" t="n">
        <f aca="false">AJ11*Assumptions!$E$86*AJ61*(1+Assumptions!$E$85)*Assumptions!$E$91</f>
        <v>1825.870975425</v>
      </c>
      <c r="AK62" s="17" t="n">
        <f aca="false">AK11*Assumptions!$E$86*AK61*(1+Assumptions!$E$85)*Assumptions!$E$91</f>
        <v>1709.942659525</v>
      </c>
      <c r="AL62" s="17" t="n">
        <f aca="false">AL11*Assumptions!$E$86*AL61*(1+Assumptions!$E$85)*Assumptions!$E$91</f>
        <v>1941.799291325</v>
      </c>
      <c r="AM62" s="17" t="n">
        <f aca="false">AM11*Assumptions!$E$86*AM61*(1+Assumptions!$E$85)*Assumptions!$E$91</f>
        <v>1901.22438076</v>
      </c>
      <c r="AN62" s="44" t="n">
        <f aca="false">AN11*Assumptions!$E$86*AN61*(1+Assumptions!$E$85)*Assumptions!$E$91</f>
        <v>1782.3978569625</v>
      </c>
      <c r="AO62" s="44" t="n">
        <f aca="false">AO11*Assumptions!$E$86*AO61*(1+Assumptions!$E$85)*Assumptions!$E$91</f>
        <v>2020.0509045575</v>
      </c>
      <c r="AP62" s="44" t="n">
        <f aca="false">AP11*Assumptions!$E$86*AP61*(1+Assumptions!$E$85)*Assumptions!$E$91</f>
        <v>1930.93101170937</v>
      </c>
      <c r="AQ62" s="44" t="n">
        <f aca="false">AQ11*Assumptions!$E$86*AQ61*(1+Assumptions!$E$85)*Assumptions!$E$91</f>
        <v>1812.10448791187</v>
      </c>
      <c r="AR62" s="44" t="n">
        <f aca="false">AR11*Assumptions!$E$86*AR61*(1+Assumptions!$E$85)*Assumptions!$E$91</f>
        <v>2049.75753550687</v>
      </c>
      <c r="AS62" s="44" t="n">
        <f aca="false">AS11*Assumptions!$E$86*AS61*(1+Assumptions!$E$85)*Assumptions!$E$91</f>
        <v>1945.78432718406</v>
      </c>
      <c r="AT62" s="44" t="n">
        <f aca="false">AT11*Assumptions!$E$86*AT61*(1+Assumptions!$E$85)*Assumptions!$E$91</f>
        <v>1826.95780338656</v>
      </c>
      <c r="AU62" s="44" t="n">
        <f aca="false">AU11*Assumptions!$E$86*AU61*(1+Assumptions!$E$85)*Assumptions!$E$91</f>
        <v>2064.61085098156</v>
      </c>
      <c r="AV62" s="44" t="n">
        <f aca="false">AV11*Assumptions!$E$86*AV61*(1+Assumptions!$E$85)*Assumptions!$E$91</f>
        <v>1960.63764265875</v>
      </c>
      <c r="AW62" s="44" t="n">
        <f aca="false">AW11*Assumptions!$E$86*AW61*(1+Assumptions!$E$85)*Assumptions!$E$91</f>
        <v>1841.81111886125</v>
      </c>
      <c r="AX62" s="44" t="n">
        <f aca="false">AX11*Assumptions!$E$86*AX61*(1+Assumptions!$E$85)*Assumptions!$E$91</f>
        <v>2079.46416645625</v>
      </c>
      <c r="AY62" s="44" t="n">
        <f aca="false">AY11*Assumptions!$E$86*AY61*(1+Assumptions!$E$85)*Assumptions!$E$91</f>
        <v>2024.87823208677</v>
      </c>
      <c r="AZ62" s="44" t="n">
        <f aca="false">AZ11*Assumptions!$E$86*AZ61*(1+Assumptions!$E$85)*Assumptions!$E$91</f>
        <v>1903.08104519434</v>
      </c>
      <c r="BA62" s="44" t="n">
        <f aca="false">BA11*Assumptions!$E$86*BA61*(1+Assumptions!$E$85)*Assumptions!$E$91</f>
        <v>2146.67541897921</v>
      </c>
      <c r="BB62" s="44" t="n">
        <f aca="false">BB11*Assumptions!$E$86*BB61*(1+Assumptions!$E$85)*Assumptions!$E$91</f>
        <v>2040.10288044833</v>
      </c>
      <c r="BC62" s="44" t="n">
        <f aca="false">BC11*Assumptions!$E$86*BC61*(1+Assumptions!$E$85)*Assumptions!$E$91</f>
        <v>1903.08104519434</v>
      </c>
      <c r="BD62" s="44" t="n">
        <f aca="false">BD11*Assumptions!$E$86*BD61*(1+Assumptions!$E$85)*Assumptions!$E$91</f>
        <v>2146.67541897921</v>
      </c>
      <c r="BE62" s="44" t="n">
        <f aca="false">BE11*Assumptions!$E$86*BE61*(1+Assumptions!$E$85)*Assumptions!$E$91</f>
        <v>2040.10288044833</v>
      </c>
      <c r="BF62" s="44" t="n">
        <f aca="false">BF11*Assumptions!$E$86*BF61*(1+Assumptions!$E$85)*Assumptions!$E$91</f>
        <v>1903.08104519434</v>
      </c>
      <c r="BG62" s="44" t="n">
        <f aca="false">BG11*Assumptions!$E$86*BG61*(1+Assumptions!$E$85)*Assumptions!$E$91</f>
        <v>2146.67541897921</v>
      </c>
      <c r="BH62" s="44" t="n">
        <f aca="false">BH11*Assumptions!$E$86*BH61*(1+Assumptions!$E$85)*Assumptions!$E$91</f>
        <v>2040.10288044833</v>
      </c>
      <c r="BI62" s="44" t="n">
        <f aca="false">BI11*Assumptions!$E$86*BI61*(1+Assumptions!$E$85)*Assumptions!$E$91</f>
        <v>1903.08104519434</v>
      </c>
      <c r="BJ62" s="44" t="n">
        <f aca="false">BJ11*Assumptions!$E$86*BJ61*(1+Assumptions!$E$85)*Assumptions!$E$91</f>
        <v>2146.67541897921</v>
      </c>
      <c r="BK62" s="44" t="n">
        <f aca="false">BK11*Assumptions!$E$86*BK61*(1+Assumptions!$E$85)*Assumptions!$E$91</f>
        <v>2091.10545245954</v>
      </c>
    </row>
    <row r="63" customFormat="false" ht="15" hidden="false" customHeight="false" outlineLevel="0" collapsed="false">
      <c r="A63" s="28" t="s">
        <v>638</v>
      </c>
      <c r="B63" s="6" t="s">
        <v>639</v>
      </c>
      <c r="C63" s="43"/>
      <c r="D63" s="17" t="n">
        <f aca="false">D14*Assumptions!$E$87*(1+Assumptions!$E$85)*Assumptions!$E$91</f>
        <v>0</v>
      </c>
      <c r="E63" s="17" t="n">
        <f aca="false">E14*Assumptions!$E$87*(1+Assumptions!$E$85)*Assumptions!$E$91</f>
        <v>0</v>
      </c>
      <c r="F63" s="17" t="n">
        <f aca="false">F14*Assumptions!$E$87*(1+Assumptions!$E$85)*Assumptions!$E$91</f>
        <v>0</v>
      </c>
      <c r="G63" s="17" t="n">
        <f aca="false">G14*Assumptions!$E$87*(1+Assumptions!$E$85)*Assumptions!$E$91</f>
        <v>0</v>
      </c>
      <c r="H63" s="17" t="n">
        <f aca="false">H14*Assumptions!$E$87*(1+Assumptions!$E$85)*Assumptions!$E$91</f>
        <v>115.26</v>
      </c>
      <c r="I63" s="17" t="n">
        <f aca="false">I14*Assumptions!$E$87*(1+Assumptions!$E$85)*Assumptions!$E$91</f>
        <v>101.4288</v>
      </c>
      <c r="J63" s="17" t="n">
        <f aca="false">J14*Assumptions!$E$87*(1+Assumptions!$E$85)*Assumptions!$E$91</f>
        <v>69.156</v>
      </c>
      <c r="K63" s="17" t="n">
        <f aca="false">K14*Assumptions!$E$87*(1+Assumptions!$E$85)*Assumptions!$E$91</f>
        <v>161.364</v>
      </c>
      <c r="L63" s="17" t="n">
        <f aca="false">L14*Assumptions!$E$87*(1+Assumptions!$E$85)*Assumptions!$E$91</f>
        <v>129.0912</v>
      </c>
      <c r="M63" s="17" t="n">
        <f aca="false">M14*Assumptions!$E$87*(1+Assumptions!$E$85)*Assumptions!$E$91</f>
        <v>92.208</v>
      </c>
      <c r="N63" s="17" t="n">
        <f aca="false">N14*Assumptions!$E$87*(1+Assumptions!$E$85)*Assumptions!$E$91</f>
        <v>165.9744</v>
      </c>
      <c r="O63" s="17" t="n">
        <f aca="false">O14*Assumptions!$E$87*(1+Assumptions!$E$85)*Assumptions!$E$91</f>
        <v>248.9616</v>
      </c>
      <c r="P63" s="17" t="n">
        <f aca="false">P14*Assumptions!$E$87*(1+Assumptions!$E$85)*Assumptions!$E$91</f>
        <v>198.2472</v>
      </c>
      <c r="Q63" s="17" t="n">
        <f aca="false">Q14*Assumptions!$E$87*(1+Assumptions!$E$85)*Assumptions!$E$91</f>
        <v>239.7408</v>
      </c>
      <c r="R63" s="17" t="n">
        <f aca="false">R14*Assumptions!$E$87*(1+Assumptions!$E$85)*Assumptions!$E$91</f>
        <v>299.676</v>
      </c>
      <c r="S63" s="17" t="n">
        <f aca="false">S14*Assumptions!$E$87*(1+Assumptions!$E$85)*Assumptions!$E$91</f>
        <v>230.52</v>
      </c>
      <c r="T63" s="17" t="n">
        <f aca="false">T14*Assumptions!$E$87*(1+Assumptions!$E$85)*Assumptions!$E$91</f>
        <v>267.4032</v>
      </c>
      <c r="U63" s="17" t="n">
        <f aca="false">U14*Assumptions!$E$87*(1+Assumptions!$E$85)*Assumptions!$E$91</f>
        <v>308.8968</v>
      </c>
      <c r="V63" s="17" t="n">
        <f aca="false">V14*Assumptions!$E$87*(1+Assumptions!$E$85)*Assumptions!$E$91</f>
        <v>355.0008</v>
      </c>
      <c r="W63" s="17" t="n">
        <f aca="false">W14*Assumptions!$E$87*(1+Assumptions!$E$85)*Assumptions!$E$91</f>
        <v>378.0528</v>
      </c>
      <c r="X63" s="17" t="n">
        <f aca="false">X14*Assumptions!$E$87*(1+Assumptions!$E$85)*Assumptions!$E$91</f>
        <v>387.2736</v>
      </c>
      <c r="Y63" s="17" t="n">
        <f aca="false">Y14*Assumptions!$E$87*(1+Assumptions!$E$85)*Assumptions!$E$91</f>
        <v>410.3256</v>
      </c>
      <c r="Z63" s="17" t="n">
        <f aca="false">Z14*Assumptions!$E$87*(1+Assumptions!$E$85)*Assumptions!$E$91</f>
        <v>414.936</v>
      </c>
      <c r="AA63" s="17" t="n">
        <f aca="false">AA14*Assumptions!$E$87*(1+Assumptions!$E$85)*Assumptions!$E$91</f>
        <v>419.5464</v>
      </c>
      <c r="AB63" s="17" t="n">
        <f aca="false">AB14*Assumptions!$E$87*(1+Assumptions!$E$85)*Assumptions!$E$91</f>
        <v>424.1568</v>
      </c>
      <c r="AC63" s="17" t="n">
        <f aca="false">AC14*Assumptions!$E$87*(1+Assumptions!$E$85)*Assumptions!$E$91</f>
        <v>428.7672</v>
      </c>
      <c r="AD63" s="17" t="n">
        <f aca="false">AD14*Assumptions!$E$87*(1+Assumptions!$E$85)*Assumptions!$E$91</f>
        <v>433.3776</v>
      </c>
      <c r="AE63" s="17" t="n">
        <f aca="false">AE14*Assumptions!$E$87*(1+Assumptions!$E$85)*Assumptions!$E$91</f>
        <v>433.3776</v>
      </c>
      <c r="AF63" s="17" t="n">
        <f aca="false">AF14*Assumptions!$E$87*(1+Assumptions!$E$85)*Assumptions!$E$91</f>
        <v>553.248</v>
      </c>
      <c r="AG63" s="17" t="n">
        <f aca="false">AG14*Assumptions!$E$87*(1+Assumptions!$E$85)*Assumptions!$E$91</f>
        <v>544.0272</v>
      </c>
      <c r="AH63" s="17" t="n">
        <f aca="false">AH14*Assumptions!$E$87*(1+Assumptions!$E$85)*Assumptions!$E$91</f>
        <v>511.7544</v>
      </c>
      <c r="AI63" s="17" t="n">
        <f aca="false">AI14*Assumptions!$E$87*(1+Assumptions!$E$85)*Assumptions!$E$91</f>
        <v>608.5728</v>
      </c>
      <c r="AJ63" s="17" t="n">
        <f aca="false">AJ14*Assumptions!$E$87*(1+Assumptions!$E$85)*Assumptions!$E$91</f>
        <v>580.9104</v>
      </c>
      <c r="AK63" s="17" t="n">
        <f aca="false">AK14*Assumptions!$E$87*(1+Assumptions!$E$85)*Assumptions!$E$91</f>
        <v>544.0272</v>
      </c>
      <c r="AL63" s="17" t="n">
        <f aca="false">AL14*Assumptions!$E$87*(1+Assumptions!$E$85)*Assumptions!$E$91</f>
        <v>617.7936</v>
      </c>
      <c r="AM63" s="17" t="n">
        <f aca="false">AM14*Assumptions!$E$87*(1+Assumptions!$E$85)*Assumptions!$E$91</f>
        <v>590.1312</v>
      </c>
      <c r="AN63" s="44" t="n">
        <f aca="false">AN14*Assumptions!$E$87*(1+Assumptions!$E$85)*Assumptions!$E$91</f>
        <v>553.248</v>
      </c>
      <c r="AO63" s="44" t="n">
        <f aca="false">AO14*Assumptions!$E$87*(1+Assumptions!$E$85)*Assumptions!$E$91</f>
        <v>627.0144</v>
      </c>
      <c r="AP63" s="44" t="n">
        <f aca="false">AP14*Assumptions!$E$87*(1+Assumptions!$E$85)*Assumptions!$E$91</f>
        <v>599.352</v>
      </c>
      <c r="AQ63" s="44" t="n">
        <f aca="false">AQ14*Assumptions!$E$87*(1+Assumptions!$E$85)*Assumptions!$E$91</f>
        <v>562.4688</v>
      </c>
      <c r="AR63" s="44" t="n">
        <f aca="false">AR14*Assumptions!$E$87*(1+Assumptions!$E$85)*Assumptions!$E$91</f>
        <v>636.2352</v>
      </c>
      <c r="AS63" s="44" t="n">
        <f aca="false">AS14*Assumptions!$E$87*(1+Assumptions!$E$85)*Assumptions!$E$91</f>
        <v>603.9624</v>
      </c>
      <c r="AT63" s="44" t="n">
        <f aca="false">AT14*Assumptions!$E$87*(1+Assumptions!$E$85)*Assumptions!$E$91</f>
        <v>567.0792</v>
      </c>
      <c r="AU63" s="44" t="n">
        <f aca="false">AU14*Assumptions!$E$87*(1+Assumptions!$E$85)*Assumptions!$E$91</f>
        <v>640.8456</v>
      </c>
      <c r="AV63" s="44" t="n">
        <f aca="false">AV14*Assumptions!$E$87*(1+Assumptions!$E$85)*Assumptions!$E$91</f>
        <v>608.5728</v>
      </c>
      <c r="AW63" s="44" t="n">
        <f aca="false">AW14*Assumptions!$E$87*(1+Assumptions!$E$85)*Assumptions!$E$91</f>
        <v>571.6896</v>
      </c>
      <c r="AX63" s="44" t="n">
        <f aca="false">AX14*Assumptions!$E$87*(1+Assumptions!$E$85)*Assumptions!$E$91</f>
        <v>645.456</v>
      </c>
      <c r="AY63" s="44" t="n">
        <f aca="false">AY14*Assumptions!$E$87*(1+Assumptions!$E$85)*Assumptions!$E$91</f>
        <v>613.1832</v>
      </c>
      <c r="AZ63" s="44" t="n">
        <f aca="false">AZ14*Assumptions!$E$87*(1+Assumptions!$E$85)*Assumptions!$E$91</f>
        <v>576.3</v>
      </c>
      <c r="BA63" s="44" t="n">
        <f aca="false">BA14*Assumptions!$E$87*(1+Assumptions!$E$85)*Assumptions!$E$91</f>
        <v>650.0664</v>
      </c>
      <c r="BB63" s="44" t="n">
        <f aca="false">BB14*Assumptions!$E$87*(1+Assumptions!$E$85)*Assumptions!$E$91</f>
        <v>617.7936</v>
      </c>
      <c r="BC63" s="44" t="n">
        <f aca="false">BC14*Assumptions!$E$87*(1+Assumptions!$E$85)*Assumptions!$E$91</f>
        <v>576.3</v>
      </c>
      <c r="BD63" s="44" t="n">
        <f aca="false">BD14*Assumptions!$E$87*(1+Assumptions!$E$85)*Assumptions!$E$91</f>
        <v>650.0664</v>
      </c>
      <c r="BE63" s="44" t="n">
        <f aca="false">BE14*Assumptions!$E$87*(1+Assumptions!$E$85)*Assumptions!$E$91</f>
        <v>617.7936</v>
      </c>
      <c r="BF63" s="44" t="n">
        <f aca="false">BF14*Assumptions!$E$87*(1+Assumptions!$E$85)*Assumptions!$E$91</f>
        <v>576.3</v>
      </c>
      <c r="BG63" s="44" t="n">
        <f aca="false">BG14*Assumptions!$E$87*(1+Assumptions!$E$85)*Assumptions!$E$91</f>
        <v>650.0664</v>
      </c>
      <c r="BH63" s="44" t="n">
        <f aca="false">BH14*Assumptions!$E$87*(1+Assumptions!$E$85)*Assumptions!$E$91</f>
        <v>617.7936</v>
      </c>
      <c r="BI63" s="44" t="n">
        <f aca="false">BI14*Assumptions!$E$87*(1+Assumptions!$E$85)*Assumptions!$E$91</f>
        <v>576.3</v>
      </c>
      <c r="BJ63" s="44" t="n">
        <f aca="false">BJ14*Assumptions!$E$87*(1+Assumptions!$E$85)*Assumptions!$E$91</f>
        <v>650.0664</v>
      </c>
      <c r="BK63" s="44" t="n">
        <f aca="false">BK14*Assumptions!$E$87*(1+Assumptions!$E$85)*Assumptions!$E$91</f>
        <v>617.7936</v>
      </c>
    </row>
    <row r="64" customFormat="false" ht="15" hidden="false" customHeight="false" outlineLevel="0" collapsed="false">
      <c r="A64" s="28" t="s">
        <v>640</v>
      </c>
      <c r="B64" s="6" t="s">
        <v>641</v>
      </c>
      <c r="C64" s="43"/>
      <c r="D64" s="17" t="n">
        <f aca="false">D11*Assumptions!$E$88*Assumptions!$E$91</f>
        <v>0</v>
      </c>
      <c r="E64" s="17" t="n">
        <f aca="false">E11*Assumptions!$E$88*Assumptions!$E$91</f>
        <v>0</v>
      </c>
      <c r="F64" s="17" t="n">
        <f aca="false">F11*Assumptions!$E$88*Assumptions!$E$91</f>
        <v>0</v>
      </c>
      <c r="G64" s="17" t="n">
        <f aca="false">G11*Assumptions!$E$88*Assumptions!$E$91</f>
        <v>0</v>
      </c>
      <c r="H64" s="17" t="n">
        <f aca="false">H11*Assumptions!$E$88*Assumptions!$E$91</f>
        <v>102</v>
      </c>
      <c r="I64" s="17" t="n">
        <f aca="false">I11*Assumptions!$E$88*Assumptions!$E$91</f>
        <v>89.76</v>
      </c>
      <c r="J64" s="17" t="n">
        <f aca="false">J11*Assumptions!$E$88*Assumptions!$E$91</f>
        <v>61.2</v>
      </c>
      <c r="K64" s="17" t="n">
        <f aca="false">K11*Assumptions!$E$88*Assumptions!$E$91</f>
        <v>142.8</v>
      </c>
      <c r="L64" s="17" t="n">
        <f aca="false">L11*Assumptions!$E$88*Assumptions!$E$91</f>
        <v>114.24</v>
      </c>
      <c r="M64" s="17" t="n">
        <f aca="false">M11*Assumptions!$E$88*Assumptions!$E$91</f>
        <v>81.6</v>
      </c>
      <c r="N64" s="17" t="n">
        <f aca="false">N11*Assumptions!$E$88*Assumptions!$E$91</f>
        <v>146.88</v>
      </c>
      <c r="O64" s="17" t="n">
        <f aca="false">O11*Assumptions!$E$88*Assumptions!$E$91</f>
        <v>220.32</v>
      </c>
      <c r="P64" s="17" t="n">
        <f aca="false">P11*Assumptions!$E$88*Assumptions!$E$91</f>
        <v>175.44</v>
      </c>
      <c r="Q64" s="17" t="n">
        <f aca="false">Q11*Assumptions!$E$88*Assumptions!$E$91</f>
        <v>212.16</v>
      </c>
      <c r="R64" s="17" t="n">
        <f aca="false">R11*Assumptions!$E$88*Assumptions!$E$91</f>
        <v>265.2</v>
      </c>
      <c r="S64" s="17" t="n">
        <f aca="false">S11*Assumptions!$E$88*Assumptions!$E$91</f>
        <v>204</v>
      </c>
      <c r="T64" s="17" t="n">
        <f aca="false">T11*Assumptions!$E$88*Assumptions!$E$91</f>
        <v>236.64</v>
      </c>
      <c r="U64" s="17" t="n">
        <f aca="false">U11*Assumptions!$E$88*Assumptions!$E$91</f>
        <v>273.36</v>
      </c>
      <c r="V64" s="17" t="n">
        <f aca="false">V11*Assumptions!$E$88*Assumptions!$E$91</f>
        <v>314.16</v>
      </c>
      <c r="W64" s="17" t="n">
        <f aca="false">W11*Assumptions!$E$88*Assumptions!$E$91</f>
        <v>334.56</v>
      </c>
      <c r="X64" s="17" t="n">
        <f aca="false">X11*Assumptions!$E$88*Assumptions!$E$91</f>
        <v>342.72</v>
      </c>
      <c r="Y64" s="17" t="n">
        <f aca="false">Y11*Assumptions!$E$88*Assumptions!$E$91</f>
        <v>363.12</v>
      </c>
      <c r="Z64" s="17" t="n">
        <f aca="false">Z11*Assumptions!$E$88*Assumptions!$E$91</f>
        <v>367.2</v>
      </c>
      <c r="AA64" s="17" t="n">
        <f aca="false">AA11*Assumptions!$E$88*Assumptions!$E$91</f>
        <v>371.28</v>
      </c>
      <c r="AB64" s="17" t="n">
        <f aca="false">AB11*Assumptions!$E$88*Assumptions!$E$91</f>
        <v>375.36</v>
      </c>
      <c r="AC64" s="17" t="n">
        <f aca="false">AC11*Assumptions!$E$88*Assumptions!$E$91</f>
        <v>379.44</v>
      </c>
      <c r="AD64" s="17" t="n">
        <f aca="false">AD11*Assumptions!$E$88*Assumptions!$E$91</f>
        <v>383.52</v>
      </c>
      <c r="AE64" s="17" t="n">
        <f aca="false">AE11*Assumptions!$E$88*Assumptions!$E$91</f>
        <v>383.52</v>
      </c>
      <c r="AF64" s="17" t="n">
        <f aca="false">AF11*Assumptions!$E$88*Assumptions!$E$91</f>
        <v>489.6</v>
      </c>
      <c r="AG64" s="17" t="n">
        <f aca="false">AG11*Assumptions!$E$88*Assumptions!$E$91</f>
        <v>481.44</v>
      </c>
      <c r="AH64" s="17" t="n">
        <f aca="false">AH11*Assumptions!$E$88*Assumptions!$E$91</f>
        <v>452.88</v>
      </c>
      <c r="AI64" s="17" t="n">
        <f aca="false">AI11*Assumptions!$E$88*Assumptions!$E$91</f>
        <v>538.56</v>
      </c>
      <c r="AJ64" s="17" t="n">
        <f aca="false">AJ11*Assumptions!$E$88*Assumptions!$E$91</f>
        <v>514.08</v>
      </c>
      <c r="AK64" s="17" t="n">
        <f aca="false">AK11*Assumptions!$E$88*Assumptions!$E$91</f>
        <v>481.44</v>
      </c>
      <c r="AL64" s="17" t="n">
        <f aca="false">AL11*Assumptions!$E$88*Assumptions!$E$91</f>
        <v>546.72</v>
      </c>
      <c r="AM64" s="17" t="n">
        <f aca="false">AM11*Assumptions!$E$88*Assumptions!$E$91</f>
        <v>522.24</v>
      </c>
      <c r="AN64" s="44" t="n">
        <f aca="false">AN11*Assumptions!$E$88*Assumptions!$E$91</f>
        <v>489.6</v>
      </c>
      <c r="AO64" s="44" t="n">
        <f aca="false">AO11*Assumptions!$E$88*Assumptions!$E$91</f>
        <v>554.88</v>
      </c>
      <c r="AP64" s="44" t="n">
        <f aca="false">AP11*Assumptions!$E$88*Assumptions!$E$91</f>
        <v>530.4</v>
      </c>
      <c r="AQ64" s="44" t="n">
        <f aca="false">AQ11*Assumptions!$E$88*Assumptions!$E$91</f>
        <v>497.76</v>
      </c>
      <c r="AR64" s="44" t="n">
        <f aca="false">AR11*Assumptions!$E$88*Assumptions!$E$91</f>
        <v>563.04</v>
      </c>
      <c r="AS64" s="44" t="n">
        <f aca="false">AS11*Assumptions!$E$88*Assumptions!$E$91</f>
        <v>534.48</v>
      </c>
      <c r="AT64" s="44" t="n">
        <f aca="false">AT11*Assumptions!$E$88*Assumptions!$E$91</f>
        <v>501.84</v>
      </c>
      <c r="AU64" s="44" t="n">
        <f aca="false">AU11*Assumptions!$E$88*Assumptions!$E$91</f>
        <v>567.12</v>
      </c>
      <c r="AV64" s="44" t="n">
        <f aca="false">AV11*Assumptions!$E$88*Assumptions!$E$91</f>
        <v>538.56</v>
      </c>
      <c r="AW64" s="44" t="n">
        <f aca="false">AW11*Assumptions!$E$88*Assumptions!$E$91</f>
        <v>505.92</v>
      </c>
      <c r="AX64" s="44" t="n">
        <f aca="false">AX11*Assumptions!$E$88*Assumptions!$E$91</f>
        <v>571.2</v>
      </c>
      <c r="AY64" s="44" t="n">
        <f aca="false">AY11*Assumptions!$E$88*Assumptions!$E$91</f>
        <v>542.64</v>
      </c>
      <c r="AZ64" s="44" t="n">
        <f aca="false">AZ11*Assumptions!$E$88*Assumptions!$E$91</f>
        <v>510</v>
      </c>
      <c r="BA64" s="44" t="n">
        <f aca="false">BA11*Assumptions!$E$88*Assumptions!$E$91</f>
        <v>575.28</v>
      </c>
      <c r="BB64" s="44" t="n">
        <f aca="false">BB11*Assumptions!$E$88*Assumptions!$E$91</f>
        <v>546.72</v>
      </c>
      <c r="BC64" s="44" t="n">
        <f aca="false">BC11*Assumptions!$E$88*Assumptions!$E$91</f>
        <v>510</v>
      </c>
      <c r="BD64" s="44" t="n">
        <f aca="false">BD11*Assumptions!$E$88*Assumptions!$E$91</f>
        <v>575.28</v>
      </c>
      <c r="BE64" s="44" t="n">
        <f aca="false">BE11*Assumptions!$E$88*Assumptions!$E$91</f>
        <v>546.72</v>
      </c>
      <c r="BF64" s="44" t="n">
        <f aca="false">BF11*Assumptions!$E$88*Assumptions!$E$91</f>
        <v>510</v>
      </c>
      <c r="BG64" s="44" t="n">
        <f aca="false">BG11*Assumptions!$E$88*Assumptions!$E$91</f>
        <v>575.28</v>
      </c>
      <c r="BH64" s="44" t="n">
        <f aca="false">BH11*Assumptions!$E$88*Assumptions!$E$91</f>
        <v>546.72</v>
      </c>
      <c r="BI64" s="44" t="n">
        <f aca="false">BI11*Assumptions!$E$88*Assumptions!$E$91</f>
        <v>510</v>
      </c>
      <c r="BJ64" s="44" t="n">
        <f aca="false">BJ11*Assumptions!$E$88*Assumptions!$E$91</f>
        <v>575.28</v>
      </c>
      <c r="BK64" s="44" t="n">
        <f aca="false">BK11*Assumptions!$E$88*Assumptions!$E$91</f>
        <v>546.72</v>
      </c>
    </row>
    <row r="65" customFormat="false" ht="15" hidden="false" customHeight="false" outlineLevel="0" collapsed="false">
      <c r="A65" s="28" t="s">
        <v>642</v>
      </c>
      <c r="B65" s="6" t="s">
        <v>643</v>
      </c>
      <c r="C65" s="43"/>
      <c r="D65" s="17" t="n">
        <f aca="false">D8*Assumptions!$E$89*Assumptions!$E$91</f>
        <v>0</v>
      </c>
      <c r="E65" s="17" t="n">
        <f aca="false">E8*Assumptions!$E$89*Assumptions!$E$91</f>
        <v>0</v>
      </c>
      <c r="F65" s="17" t="n">
        <f aca="false">F8*Assumptions!$E$89*Assumptions!$E$91</f>
        <v>0</v>
      </c>
      <c r="G65" s="17" t="n">
        <f aca="false">G8*Assumptions!$E$89*Assumptions!$E$91</f>
        <v>0</v>
      </c>
      <c r="H65" s="17" t="n">
        <f aca="false">H8*Assumptions!$E$89*Assumptions!$E$91</f>
        <v>750</v>
      </c>
      <c r="I65" s="17" t="n">
        <f aca="false">I8*Assumptions!$E$89*Assumptions!$E$91</f>
        <v>0</v>
      </c>
      <c r="J65" s="17" t="n">
        <f aca="false">J8*Assumptions!$E$89*Assumptions!$E$91</f>
        <v>0</v>
      </c>
      <c r="K65" s="17" t="n">
        <f aca="false">K8*Assumptions!$E$89*Assumptions!$E$91</f>
        <v>750</v>
      </c>
      <c r="L65" s="17" t="n">
        <f aca="false">L8*Assumptions!$E$89*Assumptions!$E$91</f>
        <v>0</v>
      </c>
      <c r="M65" s="17" t="n">
        <f aca="false">M8*Assumptions!$E$89*Assumptions!$E$91</f>
        <v>0</v>
      </c>
      <c r="N65" s="17" t="n">
        <f aca="false">N8*Assumptions!$E$89*Assumptions!$E$91</f>
        <v>750</v>
      </c>
      <c r="O65" s="17" t="n">
        <f aca="false">O8*Assumptions!$E$89*Assumptions!$E$91</f>
        <v>750</v>
      </c>
      <c r="P65" s="17" t="n">
        <f aca="false">P8*Assumptions!$E$89*Assumptions!$E$91</f>
        <v>0</v>
      </c>
      <c r="Q65" s="17" t="n">
        <f aca="false">Q8*Assumptions!$E$89*Assumptions!$E$91</f>
        <v>750</v>
      </c>
      <c r="R65" s="17" t="n">
        <f aca="false">R8*Assumptions!$E$89*Assumptions!$E$91</f>
        <v>750</v>
      </c>
      <c r="S65" s="17" t="n">
        <f aca="false">S8*Assumptions!$E$89*Assumptions!$E$91</f>
        <v>0</v>
      </c>
      <c r="T65" s="17" t="n">
        <f aca="false">T8*Assumptions!$E$89*Assumptions!$E$91</f>
        <v>750</v>
      </c>
      <c r="U65" s="17" t="n">
        <f aca="false">U8*Assumptions!$E$89*Assumptions!$E$91</f>
        <v>750</v>
      </c>
      <c r="V65" s="17" t="n">
        <f aca="false">V8*Assumptions!$E$89*Assumptions!$E$91</f>
        <v>750</v>
      </c>
      <c r="W65" s="17" t="n">
        <f aca="false">W8*Assumptions!$E$89*Assumptions!$E$91</f>
        <v>750</v>
      </c>
      <c r="X65" s="17" t="n">
        <f aca="false">X8*Assumptions!$E$89*Assumptions!$E$91</f>
        <v>750</v>
      </c>
      <c r="Y65" s="17" t="n">
        <f aca="false">Y8*Assumptions!$E$89*Assumptions!$E$91</f>
        <v>750</v>
      </c>
      <c r="Z65" s="17" t="n">
        <f aca="false">Z8*Assumptions!$E$89*Assumptions!$E$91</f>
        <v>750</v>
      </c>
      <c r="AA65" s="17" t="n">
        <f aca="false">AA8*Assumptions!$E$89*Assumptions!$E$91</f>
        <v>750</v>
      </c>
      <c r="AB65" s="17" t="n">
        <f aca="false">AB8*Assumptions!$E$89*Assumptions!$E$91</f>
        <v>750</v>
      </c>
      <c r="AC65" s="17" t="n">
        <f aca="false">AC8*Assumptions!$E$89*Assumptions!$E$91</f>
        <v>750</v>
      </c>
      <c r="AD65" s="17" t="n">
        <f aca="false">AD8*Assumptions!$E$89*Assumptions!$E$91</f>
        <v>750</v>
      </c>
      <c r="AE65" s="17" t="n">
        <f aca="false">AE8*Assumptions!$E$89*Assumptions!$E$91</f>
        <v>750</v>
      </c>
      <c r="AF65" s="17" t="n">
        <f aca="false">AF8*Assumptions!$E$89*Assumptions!$E$91</f>
        <v>1500</v>
      </c>
      <c r="AG65" s="17" t="n">
        <f aca="false">AG8*Assumptions!$E$89*Assumptions!$E$91</f>
        <v>750</v>
      </c>
      <c r="AH65" s="17" t="n">
        <f aca="false">AH8*Assumptions!$E$89*Assumptions!$E$91</f>
        <v>750</v>
      </c>
      <c r="AI65" s="17" t="n">
        <f aca="false">AI8*Assumptions!$E$89*Assumptions!$E$91</f>
        <v>1500</v>
      </c>
      <c r="AJ65" s="17" t="n">
        <f aca="false">AJ8*Assumptions!$E$89*Assumptions!$E$91</f>
        <v>750</v>
      </c>
      <c r="AK65" s="17" t="n">
        <f aca="false">AK8*Assumptions!$E$89*Assumptions!$E$91</f>
        <v>750</v>
      </c>
      <c r="AL65" s="17" t="n">
        <f aca="false">AL8*Assumptions!$E$89*Assumptions!$E$91</f>
        <v>1500</v>
      </c>
      <c r="AM65" s="17" t="n">
        <f aca="false">AM8*Assumptions!$E$89*Assumptions!$E$91</f>
        <v>750</v>
      </c>
      <c r="AN65" s="44" t="n">
        <f aca="false">AN8*Assumptions!$E$89*Assumptions!$E$91</f>
        <v>750</v>
      </c>
      <c r="AO65" s="44" t="n">
        <f aca="false">AO8*Assumptions!$E$89*Assumptions!$E$91</f>
        <v>1500</v>
      </c>
      <c r="AP65" s="44" t="n">
        <f aca="false">AP8*Assumptions!$E$89*Assumptions!$E$91</f>
        <v>750</v>
      </c>
      <c r="AQ65" s="44" t="n">
        <f aca="false">AQ8*Assumptions!$E$89*Assumptions!$E$91</f>
        <v>750</v>
      </c>
      <c r="AR65" s="44" t="n">
        <f aca="false">AR8*Assumptions!$E$89*Assumptions!$E$91</f>
        <v>1500</v>
      </c>
      <c r="AS65" s="44" t="n">
        <f aca="false">AS8*Assumptions!$E$89*Assumptions!$E$91</f>
        <v>750</v>
      </c>
      <c r="AT65" s="44" t="n">
        <f aca="false">AT8*Assumptions!$E$89*Assumptions!$E$91</f>
        <v>750</v>
      </c>
      <c r="AU65" s="44" t="n">
        <f aca="false">AU8*Assumptions!$E$89*Assumptions!$E$91</f>
        <v>1500</v>
      </c>
      <c r="AV65" s="44" t="n">
        <f aca="false">AV8*Assumptions!$E$89*Assumptions!$E$91</f>
        <v>750</v>
      </c>
      <c r="AW65" s="44" t="n">
        <f aca="false">AW8*Assumptions!$E$89*Assumptions!$E$91</f>
        <v>750</v>
      </c>
      <c r="AX65" s="44" t="n">
        <f aca="false">AX8*Assumptions!$E$89*Assumptions!$E$91</f>
        <v>1500</v>
      </c>
      <c r="AY65" s="44" t="n">
        <f aca="false">AY8*Assumptions!$E$89*Assumptions!$E$91</f>
        <v>750</v>
      </c>
      <c r="AZ65" s="44" t="n">
        <f aca="false">AZ8*Assumptions!$E$89*Assumptions!$E$91</f>
        <v>750</v>
      </c>
      <c r="BA65" s="44" t="n">
        <f aca="false">BA8*Assumptions!$E$89*Assumptions!$E$91</f>
        <v>1500</v>
      </c>
      <c r="BB65" s="44" t="n">
        <f aca="false">BB8*Assumptions!$E$89*Assumptions!$E$91</f>
        <v>750</v>
      </c>
      <c r="BC65" s="44" t="n">
        <f aca="false">BC8*Assumptions!$E$89*Assumptions!$E$91</f>
        <v>750</v>
      </c>
      <c r="BD65" s="44" t="n">
        <f aca="false">BD8*Assumptions!$E$89*Assumptions!$E$91</f>
        <v>1500</v>
      </c>
      <c r="BE65" s="44" t="n">
        <f aca="false">BE8*Assumptions!$E$89*Assumptions!$E$91</f>
        <v>750</v>
      </c>
      <c r="BF65" s="44" t="n">
        <f aca="false">BF8*Assumptions!$E$89*Assumptions!$E$91</f>
        <v>750</v>
      </c>
      <c r="BG65" s="44" t="n">
        <f aca="false">BG8*Assumptions!$E$89*Assumptions!$E$91</f>
        <v>1500</v>
      </c>
      <c r="BH65" s="44" t="n">
        <f aca="false">BH8*Assumptions!$E$89*Assumptions!$E$91</f>
        <v>750</v>
      </c>
      <c r="BI65" s="44" t="n">
        <f aca="false">BI8*Assumptions!$E$89*Assumptions!$E$91</f>
        <v>750</v>
      </c>
      <c r="BJ65" s="44" t="n">
        <f aca="false">BJ8*Assumptions!$E$89*Assumptions!$E$91</f>
        <v>1500</v>
      </c>
      <c r="BK65" s="44" t="n">
        <f aca="false">BK8*Assumptions!$E$89*Assumptions!$E$91</f>
        <v>750</v>
      </c>
    </row>
    <row r="66" customFormat="false" ht="15" hidden="false" customHeight="false" outlineLevel="0" collapsed="false">
      <c r="A66" s="28" t="s">
        <v>644</v>
      </c>
      <c r="B66" s="6" t="s">
        <v>645</v>
      </c>
      <c r="C66" s="43"/>
      <c r="D66" s="17" t="n">
        <f aca="false">D35*Assumptions!$E$90*Assumptions!$E$91</f>
        <v>0</v>
      </c>
      <c r="E66" s="17" t="n">
        <f aca="false">E35*Assumptions!$E$90*Assumptions!$E$91</f>
        <v>0</v>
      </c>
      <c r="F66" s="17" t="n">
        <f aca="false">F35*Assumptions!$E$90*Assumptions!$E$91</f>
        <v>0</v>
      </c>
      <c r="G66" s="17" t="n">
        <f aca="false">G35*Assumptions!$E$90*Assumptions!$E$91</f>
        <v>0</v>
      </c>
      <c r="H66" s="17" t="n">
        <f aca="false">H35*Assumptions!$E$90*Assumptions!$E$91</f>
        <v>0</v>
      </c>
      <c r="I66" s="17" t="n">
        <f aca="false">I35*Assumptions!$E$90*Assumptions!$E$91</f>
        <v>0</v>
      </c>
      <c r="J66" s="17" t="n">
        <f aca="false">J35*Assumptions!$E$90*Assumptions!$E$91</f>
        <v>0</v>
      </c>
      <c r="K66" s="17" t="n">
        <f aca="false">K35*Assumptions!$E$90*Assumptions!$E$91</f>
        <v>0</v>
      </c>
      <c r="L66" s="17" t="n">
        <f aca="false">L35*Assumptions!$E$90*Assumptions!$E$91</f>
        <v>0</v>
      </c>
      <c r="M66" s="17" t="n">
        <f aca="false">M35*Assumptions!$E$90*Assumptions!$E$91</f>
        <v>0</v>
      </c>
      <c r="N66" s="17" t="n">
        <f aca="false">N35*Assumptions!$E$90*Assumptions!$E$91</f>
        <v>0</v>
      </c>
      <c r="O66" s="17" t="n">
        <f aca="false">O35*Assumptions!$E$90*Assumptions!$E$91</f>
        <v>0</v>
      </c>
      <c r="P66" s="17" t="n">
        <f aca="false">P35*Assumptions!$E$90*Assumptions!$E$91</f>
        <v>20.993187873678</v>
      </c>
      <c r="Q66" s="17" t="n">
        <f aca="false">Q35*Assumptions!$E$90*Assumptions!$E$91</f>
        <v>23.7823541051636</v>
      </c>
      <c r="R66" s="17" t="n">
        <f aca="false">R35*Assumptions!$E$90*Assumptions!$E$91</f>
        <v>27.4405141495027</v>
      </c>
      <c r="S66" s="17" t="n">
        <f aca="false">S35*Assumptions!$E$90*Assumptions!$E$91</f>
        <v>29.6931904140907</v>
      </c>
      <c r="T66" s="17" t="n">
        <f aca="false">T35*Assumptions!$E$90*Assumptions!$E$91</f>
        <v>32.4561466712488</v>
      </c>
      <c r="U66" s="17" t="n">
        <f aca="false">U35*Assumptions!$E$90*Assumptions!$E$91</f>
        <v>35.7773143261897</v>
      </c>
      <c r="V66" s="17" t="n">
        <f aca="false">V35*Assumptions!$E$90*Assumptions!$E$91</f>
        <v>39.7019162464435</v>
      </c>
      <c r="W66" s="17" t="n">
        <f aca="false">W35*Assumptions!$E$90*Assumptions!$E$91</f>
        <v>190.07343858716</v>
      </c>
      <c r="X66" s="17" t="n">
        <f aca="false">X35*Assumptions!$E$90*Assumptions!$E$91</f>
        <v>204.657190321796</v>
      </c>
      <c r="Y66" s="17" t="n">
        <f aca="false">Y35*Assumptions!$E$90*Assumptions!$E$91</f>
        <v>220.038698283859</v>
      </c>
      <c r="Z66" s="17" t="n">
        <f aca="false">Z35*Assumptions!$E$90*Assumptions!$E$91</f>
        <v>234.990567883126</v>
      </c>
      <c r="AA66" s="17" t="n">
        <f aca="false">AA35*Assumptions!$E$90*Assumptions!$E$91</f>
        <v>249.543168655032</v>
      </c>
      <c r="AB66" s="17" t="n">
        <f aca="false">AB35*Assumptions!$E$90*Assumptions!$E$91</f>
        <v>263.724646425161</v>
      </c>
      <c r="AC66" s="17" t="n">
        <f aca="false">AC35*Assumptions!$E$90*Assumptions!$E$91</f>
        <v>277.561088724924</v>
      </c>
      <c r="AD66" s="17" t="n">
        <f aca="false">AD35*Assumptions!$E$90*Assumptions!$E$91</f>
        <v>291.076677781683</v>
      </c>
      <c r="AE66" s="17" t="n">
        <f aca="false">AE35*Assumptions!$E$90*Assumptions!$E$91</f>
        <v>303.996591820152</v>
      </c>
      <c r="AF66" s="17" t="n">
        <f aca="false">AF35*Assumptions!$E$90*Assumptions!$E$91</f>
        <v>324.086438039858</v>
      </c>
      <c r="AG66" s="17" t="n">
        <f aca="false">AG35*Assumptions!$E$90*Assumptions!$E$91</f>
        <v>342.62721869111</v>
      </c>
      <c r="AH66" s="17" t="n">
        <f aca="false">AH35*Assumptions!$E$90*Assumptions!$E$91</f>
        <v>358.227674908034</v>
      </c>
      <c r="AI66" s="17" t="n">
        <f aca="false">AI35*Assumptions!$E$90*Assumptions!$E$91</f>
        <v>379.381661489015</v>
      </c>
      <c r="AJ66" s="17" t="n">
        <f aca="false">AJ35*Assumptions!$E$90*Assumptions!$E$91</f>
        <v>397.758801502471</v>
      </c>
      <c r="AK66" s="17" t="n">
        <f aca="false">AK35*Assumptions!$E$90*Assumptions!$E$91</f>
        <v>412.928072852267</v>
      </c>
      <c r="AL66" s="17" t="n">
        <f aca="false">AL35*Assumptions!$E$90*Assumptions!$E$91</f>
        <v>432.208462795128</v>
      </c>
      <c r="AM66" s="17" t="n">
        <f aca="false">AM35*Assumptions!$E$90*Assumptions!$E$91</f>
        <v>448.835249487934</v>
      </c>
      <c r="AN66" s="44" t="n">
        <f aca="false">AN35*Assumptions!$E$90*Assumptions!$E$91</f>
        <v>462.368563577537</v>
      </c>
      <c r="AO66" s="44" t="n">
        <f aca="false">AO35*Assumptions!$E$90*Assumptions!$E$91</f>
        <v>480.11919826461</v>
      </c>
      <c r="AP66" s="44" t="n">
        <f aca="false">AP35*Assumptions!$E$90*Assumptions!$E$91</f>
        <v>495.314842012051</v>
      </c>
      <c r="AQ66" s="44" t="n">
        <f aca="false">AQ35*Assumptions!$E$90*Assumptions!$E$91</f>
        <v>507.508594976351</v>
      </c>
      <c r="AR66" s="44" t="n">
        <f aca="false">AR35*Assumptions!$E$90*Assumptions!$E$91</f>
        <v>524.004737314394</v>
      </c>
      <c r="AS66" s="44" t="n">
        <f aca="false">AS35*Assumptions!$E$90*Assumptions!$E$91</f>
        <v>537.727683075529</v>
      </c>
      <c r="AT66" s="44" t="n">
        <f aca="false">AT35*Assumptions!$E$90*Assumptions!$E$91</f>
        <v>548.538757936995</v>
      </c>
      <c r="AU66" s="44" t="n">
        <f aca="false">AU35*Assumptions!$E$90*Assumptions!$E$91</f>
        <v>563.735925392834</v>
      </c>
      <c r="AV66" s="44" t="n">
        <f aca="false">AV35*Assumptions!$E$90*Assumptions!$E$91</f>
        <v>576.237745128415</v>
      </c>
      <c r="AW66" s="44" t="n">
        <f aca="false">AW35*Assumptions!$E$90*Assumptions!$E$91</f>
        <v>585.900116359271</v>
      </c>
      <c r="AX66" s="44" t="n">
        <f aca="false">AX35*Assumptions!$E$90*Assumptions!$E$91</f>
        <v>600.015972206511</v>
      </c>
      <c r="AY66" s="44" t="n">
        <f aca="false">AY35*Assumptions!$E$90*Assumptions!$E$91</f>
        <v>611.499208645758</v>
      </c>
      <c r="AZ66" s="44" t="n">
        <f aca="false">AZ35*Assumptions!$E$90*Assumptions!$E$91</f>
        <v>620.201400627799</v>
      </c>
      <c r="BA66" s="44" t="n">
        <f aca="false">BA35*Assumptions!$E$90*Assumptions!$E$91</f>
        <v>633.411471276618</v>
      </c>
      <c r="BB66" s="44" t="n">
        <f aca="false">BB35*Assumptions!$E$90*Assumptions!$E$91</f>
        <v>644.039597547535</v>
      </c>
      <c r="BC66" s="44" t="n">
        <f aca="false">BC35*Assumptions!$E$90*Assumptions!$E$91</f>
        <v>651.636664598328</v>
      </c>
      <c r="BD66" s="44" t="n">
        <f aca="false">BD35*Assumptions!$E$90*Assumptions!$E$91</f>
        <v>663.802212065132</v>
      </c>
      <c r="BE66" s="44" t="n">
        <f aca="false">BE35*Assumptions!$E$90*Assumptions!$E$91</f>
        <v>673.442312181966</v>
      </c>
      <c r="BF66" s="44" t="n">
        <f aca="false">BF35*Assumptions!$E$90*Assumptions!$E$91</f>
        <v>680.104042109838</v>
      </c>
      <c r="BG66" s="44" t="n">
        <f aca="false">BG35*Assumptions!$E$90*Assumptions!$E$91</f>
        <v>691.383408271852</v>
      </c>
      <c r="BH66" s="44" t="n">
        <f aca="false">BH35*Assumptions!$E$90*Assumptions!$E$91</f>
        <v>700.183204172761</v>
      </c>
      <c r="BI66" s="44" t="n">
        <f aca="false">BI35*Assumptions!$E$90*Assumptions!$E$91</f>
        <v>706.047463945362</v>
      </c>
      <c r="BJ66" s="44" t="n">
        <f aca="false">BJ35*Assumptions!$E$90*Assumptions!$E$91</f>
        <v>716.569369305852</v>
      </c>
      <c r="BK66" s="44" t="n">
        <f aca="false">BK35*Assumptions!$E$90*Assumptions!$E$91</f>
        <v>724.649091290995</v>
      </c>
    </row>
    <row r="67" customFormat="false" ht="15" hidden="false" customHeight="false" outlineLevel="0" collapsed="false">
      <c r="A67" s="28" t="s">
        <v>646</v>
      </c>
      <c r="B67" s="5" t="s">
        <v>647</v>
      </c>
      <c r="C67" s="43"/>
      <c r="D67" s="45" t="n">
        <f aca="false">D62+D63+D64+D65+D66</f>
        <v>0</v>
      </c>
      <c r="E67" s="45" t="n">
        <f aca="false">E62+E63+E64+E65+E66</f>
        <v>0</v>
      </c>
      <c r="F67" s="45" t="n">
        <f aca="false">F62+F63+F64+F65+F66</f>
        <v>0</v>
      </c>
      <c r="G67" s="45" t="n">
        <f aca="false">G62+G63+G64+G65+G66</f>
        <v>0</v>
      </c>
      <c r="H67" s="45" t="n">
        <f aca="false">H62+H63+H64+H65+H66</f>
        <v>1312.0795</v>
      </c>
      <c r="I67" s="45" t="n">
        <f aca="false">I62+I63+I64+I65+I66</f>
        <v>494.62996</v>
      </c>
      <c r="J67" s="45" t="n">
        <f aca="false">J62+J63+J64+J65+J66</f>
        <v>337.2477</v>
      </c>
      <c r="K67" s="45" t="n">
        <f aca="false">K62+K63+K64+K65+K66</f>
        <v>1536.9113</v>
      </c>
      <c r="L67" s="45" t="n">
        <f aca="false">L62+L63+L64+L65+L66</f>
        <v>629.52904</v>
      </c>
      <c r="M67" s="45" t="n">
        <f aca="false">M62+M63+M64+M65+M66</f>
        <v>449.6636</v>
      </c>
      <c r="N67" s="45" t="n">
        <f aca="false">N62+N63+N64+N65+N66</f>
        <v>1559.39448</v>
      </c>
      <c r="O67" s="45" t="n">
        <f aca="false">O62+O63+O64+O65+O66</f>
        <v>1982.711973</v>
      </c>
      <c r="P67" s="45" t="n">
        <f aca="false">P62+P63+P64+P65+P66</f>
        <v>1002.59716637368</v>
      </c>
      <c r="Q67" s="45" t="n">
        <f aca="false">Q62+Q63+Q64+Q65+Q66</f>
        <v>1960.83832810516</v>
      </c>
      <c r="R67" s="45" t="n">
        <f aca="false">R62+R63+R64+R65+R66</f>
        <v>2261.2604816495</v>
      </c>
      <c r="S67" s="45" t="n">
        <f aca="false">S62+S63+S64+S65+S66</f>
        <v>1171.09316541409</v>
      </c>
      <c r="T67" s="45" t="n">
        <f aca="false">T62+T63+T64+T65+T66</f>
        <v>2106.48011767125</v>
      </c>
      <c r="U67" s="45" t="n">
        <f aca="false">U62+U63+U64+U65+U66</f>
        <v>2315.25328082619</v>
      </c>
      <c r="V67" s="45" t="n">
        <f aca="false">V62+V63+V64+V65+V66</f>
        <v>2547.45787774644</v>
      </c>
      <c r="W67" s="45" t="n">
        <f aca="false">W62+W63+W64+W65+W66</f>
        <v>2811.96939758716</v>
      </c>
      <c r="X67" s="45" t="n">
        <f aca="false">X62+X63+X64+X65+X66</f>
        <v>2872.2091483218</v>
      </c>
      <c r="Y67" s="45" t="n">
        <f aca="false">Y62+Y63+Y64+Y65+Y66</f>
        <v>3001.73065378386</v>
      </c>
      <c r="Z67" s="45" t="n">
        <f aca="false">Z62+Z63+Z64+Z65+Z66</f>
        <v>3039.51052288313</v>
      </c>
      <c r="AA67" s="45" t="n">
        <f aca="false">AA62+AA63+AA64+AA65+AA66</f>
        <v>3109.05416201753</v>
      </c>
      <c r="AB67" s="45" t="n">
        <f aca="false">AB62+AB63+AB64+AB65+AB66</f>
        <v>3146.41707927516</v>
      </c>
      <c r="AC67" s="45" t="n">
        <f aca="false">AC62+AC63+AC64+AC65+AC66</f>
        <v>3183.43496106242</v>
      </c>
      <c r="AD67" s="45" t="n">
        <f aca="false">AD62+AD63+AD64+AD65+AD66</f>
        <v>3220.13198960668</v>
      </c>
      <c r="AE67" s="45" t="n">
        <f aca="false">AE62+AE63+AE64+AE65+AE66</f>
        <v>3233.05190364515</v>
      </c>
      <c r="AF67" s="45" t="n">
        <f aca="false">AF62+AF63+AF64+AF65+AF66</f>
        <v>4605.85917653986</v>
      </c>
      <c r="AG67" s="45" t="n">
        <f aca="false">AG62+AG63+AG64+AG65+AG66</f>
        <v>3828.03707821611</v>
      </c>
      <c r="AH67" s="45" t="n">
        <f aca="false">AH62+AH63+AH64+AH65+AH66</f>
        <v>3681.36745802053</v>
      </c>
      <c r="AI67" s="45" t="n">
        <f aca="false">AI62+AI63+AI64+AI65+AI66</f>
        <v>4939.33167383902</v>
      </c>
      <c r="AJ67" s="45" t="n">
        <f aca="false">AJ62+AJ63+AJ64+AJ65+AJ66</f>
        <v>4068.62017692747</v>
      </c>
      <c r="AK67" s="45" t="n">
        <f aca="false">AK62+AK63+AK64+AK65+AK66</f>
        <v>3898.33793237727</v>
      </c>
      <c r="AL67" s="45" t="n">
        <f aca="false">AL62+AL63+AL64+AL65+AL66</f>
        <v>5038.52135412013</v>
      </c>
      <c r="AM67" s="45" t="n">
        <f aca="false">AM62+AM63+AM64+AM65+AM66</f>
        <v>4212.43083024793</v>
      </c>
      <c r="AN67" s="46" t="n">
        <f aca="false">AN62+AN63+AN64+AN65+AN66</f>
        <v>4037.61442054004</v>
      </c>
      <c r="AO67" s="46" t="n">
        <f aca="false">AO62+AO63+AO64+AO65+AO66</f>
        <v>5182.06450282211</v>
      </c>
      <c r="AP67" s="46" t="n">
        <f aca="false">AP62+AP63+AP64+AP65+AP66</f>
        <v>4305.99785372143</v>
      </c>
      <c r="AQ67" s="46" t="n">
        <f aca="false">AQ62+AQ63+AQ64+AQ65+AQ66</f>
        <v>4129.84188288823</v>
      </c>
      <c r="AR67" s="46" t="n">
        <f aca="false">AR62+AR63+AR64+AR65+AR66</f>
        <v>5273.03747282127</v>
      </c>
      <c r="AS67" s="46" t="n">
        <f aca="false">AS62+AS63+AS64+AS65+AS66</f>
        <v>4371.95441025959</v>
      </c>
      <c r="AT67" s="46" t="n">
        <f aca="false">AT62+AT63+AT64+AT65+AT66</f>
        <v>4194.41576132356</v>
      </c>
      <c r="AU67" s="46" t="n">
        <f aca="false">AU62+AU63+AU64+AU65+AU66</f>
        <v>5336.3123763744</v>
      </c>
      <c r="AV67" s="46" t="n">
        <f aca="false">AV62+AV63+AV64+AV65+AV66</f>
        <v>4434.00818778716</v>
      </c>
      <c r="AW67" s="46" t="n">
        <f aca="false">AW62+AW63+AW64+AW65+AW66</f>
        <v>4255.32083522052</v>
      </c>
      <c r="AX67" s="46" t="n">
        <f aca="false">AX62+AX63+AX64+AX65+AX66</f>
        <v>5396.13613866276</v>
      </c>
      <c r="AY67" s="46" t="n">
        <f aca="false">AY62+AY63+AY64+AY65+AY66</f>
        <v>4542.20064073253</v>
      </c>
      <c r="AZ67" s="46" t="n">
        <f aca="false">AZ62+AZ63+AZ64+AZ65+AZ66</f>
        <v>4359.58244582213</v>
      </c>
      <c r="BA67" s="46" t="n">
        <f aca="false">BA62+BA63+BA64+BA65+BA66</f>
        <v>5505.43329025583</v>
      </c>
      <c r="BB67" s="46" t="n">
        <f aca="false">BB62+BB63+BB64+BB65+BB66</f>
        <v>4598.65607799586</v>
      </c>
      <c r="BC67" s="46" t="n">
        <f aca="false">BC62+BC63+BC64+BC65+BC66</f>
        <v>4391.01770979266</v>
      </c>
      <c r="BD67" s="46" t="n">
        <f aca="false">BD62+BD63+BD64+BD65+BD66</f>
        <v>5535.82403104434</v>
      </c>
      <c r="BE67" s="46" t="n">
        <f aca="false">BE62+BE63+BE64+BE65+BE66</f>
        <v>4628.05879263029</v>
      </c>
      <c r="BF67" s="46" t="n">
        <f aca="false">BF62+BF63+BF64+BF65+BF66</f>
        <v>4419.48508730417</v>
      </c>
      <c r="BG67" s="46" t="n">
        <f aca="false">BG62+BG63+BG64+BG65+BG66</f>
        <v>5563.40522725106</v>
      </c>
      <c r="BH67" s="46" t="n">
        <f aca="false">BH62+BH63+BH64+BH65+BH66</f>
        <v>4654.79968462109</v>
      </c>
      <c r="BI67" s="46" t="n">
        <f aca="false">BI62+BI63+BI64+BI65+BI66</f>
        <v>4445.4285091397</v>
      </c>
      <c r="BJ67" s="46" t="n">
        <f aca="false">BJ62+BJ63+BJ64+BJ65+BJ66</f>
        <v>5588.59118828506</v>
      </c>
      <c r="BK67" s="46" t="n">
        <f aca="false">BK62+BK63+BK64+BK65+BK66</f>
        <v>4730.26814375053</v>
      </c>
    </row>
    <row r="68" customFormat="false" ht="15" hidden="false" customHeight="false" outlineLevel="0" collapsed="false">
      <c r="B68" s="5" t="s">
        <v>648</v>
      </c>
    </row>
    <row r="69" customFormat="false" ht="15" hidden="false" customHeight="false" outlineLevel="0" collapsed="false">
      <c r="A69" s="28" t="s">
        <v>649</v>
      </c>
      <c r="B69" s="6" t="s">
        <v>650</v>
      </c>
      <c r="C69" s="43"/>
      <c r="D69" s="17" t="n">
        <f aca="false">Assumptions!$E$108</f>
        <v>1465</v>
      </c>
      <c r="E69" s="17" t="n">
        <f aca="false">Assumptions!$E$108</f>
        <v>1465</v>
      </c>
      <c r="F69" s="17" t="n">
        <f aca="false">Assumptions!$E$108</f>
        <v>1465</v>
      </c>
      <c r="G69" s="17" t="n">
        <f aca="false">Assumptions!$E$108</f>
        <v>1465</v>
      </c>
      <c r="H69" s="17" t="n">
        <f aca="false">Assumptions!$E$108</f>
        <v>1465</v>
      </c>
      <c r="I69" s="17" t="n">
        <f aca="false">Assumptions!$E$108</f>
        <v>1465</v>
      </c>
      <c r="J69" s="17" t="n">
        <f aca="false">Assumptions!$E$108</f>
        <v>1465</v>
      </c>
      <c r="K69" s="17" t="n">
        <f aca="false">Assumptions!$E$108</f>
        <v>1465</v>
      </c>
      <c r="L69" s="17" t="n">
        <f aca="false">Assumptions!$E$108</f>
        <v>1465</v>
      </c>
      <c r="M69" s="17" t="n">
        <f aca="false">Assumptions!$E$108</f>
        <v>1465</v>
      </c>
      <c r="N69" s="17" t="n">
        <f aca="false">Assumptions!$E$108</f>
        <v>1465</v>
      </c>
      <c r="O69" s="17" t="n">
        <f aca="false">Assumptions!$E$108</f>
        <v>1465</v>
      </c>
      <c r="P69" s="17" t="n">
        <f aca="false">Assumptions!$E$108</f>
        <v>1465</v>
      </c>
      <c r="Q69" s="17" t="n">
        <f aca="false">Assumptions!$E$108</f>
        <v>1465</v>
      </c>
      <c r="R69" s="17" t="n">
        <f aca="false">Assumptions!$E$108</f>
        <v>1465</v>
      </c>
      <c r="S69" s="17" t="n">
        <f aca="false">Assumptions!$E$108</f>
        <v>1465</v>
      </c>
      <c r="T69" s="17" t="n">
        <f aca="false">Assumptions!$E$108</f>
        <v>1465</v>
      </c>
      <c r="U69" s="17" t="n">
        <f aca="false">Assumptions!$E$108</f>
        <v>1465</v>
      </c>
      <c r="V69" s="17" t="n">
        <f aca="false">Assumptions!$E$108</f>
        <v>1465</v>
      </c>
      <c r="W69" s="17" t="n">
        <f aca="false">Assumptions!$E$108</f>
        <v>1465</v>
      </c>
      <c r="X69" s="17" t="n">
        <f aca="false">Assumptions!$E$108</f>
        <v>1465</v>
      </c>
      <c r="Y69" s="17" t="n">
        <f aca="false">Assumptions!$E$108</f>
        <v>1465</v>
      </c>
      <c r="Z69" s="17" t="n">
        <f aca="false">Assumptions!$E$108</f>
        <v>1465</v>
      </c>
      <c r="AA69" s="17" t="n">
        <f aca="false">Assumptions!$E$108</f>
        <v>1465</v>
      </c>
      <c r="AB69" s="17" t="n">
        <f aca="false">Assumptions!$E$108</f>
        <v>1465</v>
      </c>
      <c r="AC69" s="17" t="n">
        <f aca="false">Assumptions!$E$108</f>
        <v>1465</v>
      </c>
      <c r="AD69" s="17" t="n">
        <f aca="false">Assumptions!$E$108</f>
        <v>1465</v>
      </c>
      <c r="AE69" s="17" t="n">
        <f aca="false">Assumptions!$E$108</f>
        <v>1465</v>
      </c>
      <c r="AF69" s="17" t="n">
        <f aca="false">Assumptions!$E$108</f>
        <v>1465</v>
      </c>
      <c r="AG69" s="17" t="n">
        <f aca="false">Assumptions!$E$108</f>
        <v>1465</v>
      </c>
      <c r="AH69" s="17" t="n">
        <f aca="false">Assumptions!$E$108</f>
        <v>1465</v>
      </c>
      <c r="AI69" s="17" t="n">
        <f aca="false">Assumptions!$E$108</f>
        <v>1465</v>
      </c>
      <c r="AJ69" s="17" t="n">
        <f aca="false">Assumptions!$E$108</f>
        <v>1465</v>
      </c>
      <c r="AK69" s="17" t="n">
        <f aca="false">Assumptions!$E$108</f>
        <v>1465</v>
      </c>
      <c r="AL69" s="17" t="n">
        <f aca="false">Assumptions!$E$108</f>
        <v>1465</v>
      </c>
      <c r="AM69" s="17" t="n">
        <f aca="false">Assumptions!$E$108</f>
        <v>1465</v>
      </c>
      <c r="AN69" s="44" t="n">
        <f aca="false">Assumptions!$E$108</f>
        <v>1465</v>
      </c>
      <c r="AO69" s="44" t="n">
        <f aca="false">Assumptions!$E$108</f>
        <v>1465</v>
      </c>
      <c r="AP69" s="44" t="n">
        <f aca="false">Assumptions!$E$108</f>
        <v>1465</v>
      </c>
      <c r="AQ69" s="44" t="n">
        <f aca="false">Assumptions!$E$108</f>
        <v>1465</v>
      </c>
      <c r="AR69" s="44" t="n">
        <f aca="false">Assumptions!$E$108</f>
        <v>1465</v>
      </c>
      <c r="AS69" s="44" t="n">
        <f aca="false">Assumptions!$E$108</f>
        <v>1465</v>
      </c>
      <c r="AT69" s="44" t="n">
        <f aca="false">Assumptions!$E$108</f>
        <v>1465</v>
      </c>
      <c r="AU69" s="44" t="n">
        <f aca="false">Assumptions!$E$108</f>
        <v>1465</v>
      </c>
      <c r="AV69" s="44" t="n">
        <f aca="false">Assumptions!$E$108</f>
        <v>1465</v>
      </c>
      <c r="AW69" s="44" t="n">
        <f aca="false">Assumptions!$E$108</f>
        <v>1465</v>
      </c>
      <c r="AX69" s="44" t="n">
        <f aca="false">Assumptions!$E$108</f>
        <v>1465</v>
      </c>
      <c r="AY69" s="44" t="n">
        <f aca="false">Assumptions!$E$108</f>
        <v>1465</v>
      </c>
      <c r="AZ69" s="44" t="n">
        <f aca="false">Assumptions!$E$108</f>
        <v>1465</v>
      </c>
      <c r="BA69" s="44" t="n">
        <f aca="false">Assumptions!$E$108</f>
        <v>1465</v>
      </c>
      <c r="BB69" s="44" t="n">
        <f aca="false">Assumptions!$E$108</f>
        <v>1465</v>
      </c>
      <c r="BC69" s="44" t="n">
        <f aca="false">Assumptions!$E$108</f>
        <v>1465</v>
      </c>
      <c r="BD69" s="44" t="n">
        <f aca="false">Assumptions!$E$108</f>
        <v>1465</v>
      </c>
      <c r="BE69" s="44" t="n">
        <f aca="false">Assumptions!$E$108</f>
        <v>1465</v>
      </c>
      <c r="BF69" s="44" t="n">
        <f aca="false">Assumptions!$E$108</f>
        <v>1465</v>
      </c>
      <c r="BG69" s="44" t="n">
        <f aca="false">Assumptions!$E$108</f>
        <v>1465</v>
      </c>
      <c r="BH69" s="44" t="n">
        <f aca="false">Assumptions!$E$108</f>
        <v>1465</v>
      </c>
      <c r="BI69" s="44" t="n">
        <f aca="false">Assumptions!$E$108</f>
        <v>1465</v>
      </c>
      <c r="BJ69" s="44" t="n">
        <f aca="false">Assumptions!$E$108</f>
        <v>1465</v>
      </c>
      <c r="BK69" s="44" t="n">
        <f aca="false">Assumptions!$E$108</f>
        <v>1465</v>
      </c>
    </row>
    <row r="70" customFormat="false" ht="15" hidden="false" customHeight="false" outlineLevel="0" collapsed="false">
      <c r="A70" s="28" t="s">
        <v>651</v>
      </c>
      <c r="B70" s="6" t="s">
        <v>652</v>
      </c>
      <c r="C70" s="43"/>
      <c r="D70" s="17" t="n">
        <f aca="false">IF(D7&lt;=12,Assumptions!$E$100,IF(D7&lt;=24,Assumptions!$E$101,Assumptions!$E$102))</f>
        <v>4000</v>
      </c>
      <c r="E70" s="17" t="n">
        <f aca="false">IF(E7&lt;=12,Assumptions!$E$100,IF(E7&lt;=24,Assumptions!$E$101,Assumptions!$E$102))</f>
        <v>4000</v>
      </c>
      <c r="F70" s="17" t="n">
        <f aca="false">IF(F7&lt;=12,Assumptions!$E$100,IF(F7&lt;=24,Assumptions!$E$101,Assumptions!$E$102))</f>
        <v>4000</v>
      </c>
      <c r="G70" s="17" t="n">
        <f aca="false">IF(G7&lt;=12,Assumptions!$E$100,IF(G7&lt;=24,Assumptions!$E$101,Assumptions!$E$102))</f>
        <v>4000</v>
      </c>
      <c r="H70" s="17" t="n">
        <f aca="false">IF(H7&lt;=12,Assumptions!$E$100,IF(H7&lt;=24,Assumptions!$E$101,Assumptions!$E$102))</f>
        <v>4000</v>
      </c>
      <c r="I70" s="17" t="n">
        <f aca="false">IF(I7&lt;=12,Assumptions!$E$100,IF(I7&lt;=24,Assumptions!$E$101,Assumptions!$E$102))</f>
        <v>4000</v>
      </c>
      <c r="J70" s="17" t="n">
        <f aca="false">IF(J7&lt;=12,Assumptions!$E$100,IF(J7&lt;=24,Assumptions!$E$101,Assumptions!$E$102))</f>
        <v>4000</v>
      </c>
      <c r="K70" s="17" t="n">
        <f aca="false">IF(K7&lt;=12,Assumptions!$E$100,IF(K7&lt;=24,Assumptions!$E$101,Assumptions!$E$102))</f>
        <v>4000</v>
      </c>
      <c r="L70" s="17" t="n">
        <f aca="false">IF(L7&lt;=12,Assumptions!$E$100,IF(L7&lt;=24,Assumptions!$E$101,Assumptions!$E$102))</f>
        <v>4000</v>
      </c>
      <c r="M70" s="17" t="n">
        <f aca="false">IF(M7&lt;=12,Assumptions!$E$100,IF(M7&lt;=24,Assumptions!$E$101,Assumptions!$E$102))</f>
        <v>4000</v>
      </c>
      <c r="N70" s="17" t="n">
        <f aca="false">IF(N7&lt;=12,Assumptions!$E$100,IF(N7&lt;=24,Assumptions!$E$101,Assumptions!$E$102))</f>
        <v>4000</v>
      </c>
      <c r="O70" s="17" t="n">
        <f aca="false">IF(O7&lt;=12,Assumptions!$E$100,IF(O7&lt;=24,Assumptions!$E$101,Assumptions!$E$102))</f>
        <v>4000</v>
      </c>
      <c r="P70" s="17" t="n">
        <f aca="false">IF(P7&lt;=12,Assumptions!$E$100,IF(P7&lt;=24,Assumptions!$E$101,Assumptions!$E$102))</f>
        <v>5000</v>
      </c>
      <c r="Q70" s="17" t="n">
        <f aca="false">IF(Q7&lt;=12,Assumptions!$E$100,IF(Q7&lt;=24,Assumptions!$E$101,Assumptions!$E$102))</f>
        <v>5000</v>
      </c>
      <c r="R70" s="17" t="n">
        <f aca="false">IF(R7&lt;=12,Assumptions!$E$100,IF(R7&lt;=24,Assumptions!$E$101,Assumptions!$E$102))</f>
        <v>5000</v>
      </c>
      <c r="S70" s="17" t="n">
        <f aca="false">IF(S7&lt;=12,Assumptions!$E$100,IF(S7&lt;=24,Assumptions!$E$101,Assumptions!$E$102))</f>
        <v>5000</v>
      </c>
      <c r="T70" s="17" t="n">
        <f aca="false">IF(T7&lt;=12,Assumptions!$E$100,IF(T7&lt;=24,Assumptions!$E$101,Assumptions!$E$102))</f>
        <v>5000</v>
      </c>
      <c r="U70" s="17" t="n">
        <f aca="false">IF(U7&lt;=12,Assumptions!$E$100,IF(U7&lt;=24,Assumptions!$E$101,Assumptions!$E$102))</f>
        <v>5000</v>
      </c>
      <c r="V70" s="17" t="n">
        <f aca="false">IF(V7&lt;=12,Assumptions!$E$100,IF(V7&lt;=24,Assumptions!$E$101,Assumptions!$E$102))</f>
        <v>5000</v>
      </c>
      <c r="W70" s="17" t="n">
        <f aca="false">IF(W7&lt;=12,Assumptions!$E$100,IF(W7&lt;=24,Assumptions!$E$101,Assumptions!$E$102))</f>
        <v>5000</v>
      </c>
      <c r="X70" s="17" t="n">
        <f aca="false">IF(X7&lt;=12,Assumptions!$E$100,IF(X7&lt;=24,Assumptions!$E$101,Assumptions!$E$102))</f>
        <v>5000</v>
      </c>
      <c r="Y70" s="17" t="n">
        <f aca="false">IF(Y7&lt;=12,Assumptions!$E$100,IF(Y7&lt;=24,Assumptions!$E$101,Assumptions!$E$102))</f>
        <v>5000</v>
      </c>
      <c r="Z70" s="17" t="n">
        <f aca="false">IF(Z7&lt;=12,Assumptions!$E$100,IF(Z7&lt;=24,Assumptions!$E$101,Assumptions!$E$102))</f>
        <v>5000</v>
      </c>
      <c r="AA70" s="17" t="n">
        <f aca="false">IF(AA7&lt;=12,Assumptions!$E$100,IF(AA7&lt;=24,Assumptions!$E$101,Assumptions!$E$102))</f>
        <v>5000</v>
      </c>
      <c r="AB70" s="17" t="n">
        <f aca="false">IF(AB7&lt;=12,Assumptions!$E$100,IF(AB7&lt;=24,Assumptions!$E$101,Assumptions!$E$102))</f>
        <v>6000</v>
      </c>
      <c r="AC70" s="17" t="n">
        <f aca="false">IF(AC7&lt;=12,Assumptions!$E$100,IF(AC7&lt;=24,Assumptions!$E$101,Assumptions!$E$102))</f>
        <v>6000</v>
      </c>
      <c r="AD70" s="17" t="n">
        <f aca="false">IF(AD7&lt;=12,Assumptions!$E$100,IF(AD7&lt;=24,Assumptions!$E$101,Assumptions!$E$102))</f>
        <v>6000</v>
      </c>
      <c r="AE70" s="17" t="n">
        <f aca="false">IF(AE7&lt;=12,Assumptions!$E$100,IF(AE7&lt;=24,Assumptions!$E$101,Assumptions!$E$102))</f>
        <v>6000</v>
      </c>
      <c r="AF70" s="17" t="n">
        <f aca="false">IF(AF7&lt;=12,Assumptions!$E$100,IF(AF7&lt;=24,Assumptions!$E$101,Assumptions!$E$102))</f>
        <v>6000</v>
      </c>
      <c r="AG70" s="17" t="n">
        <f aca="false">IF(AG7&lt;=12,Assumptions!$E$100,IF(AG7&lt;=24,Assumptions!$E$101,Assumptions!$E$102))</f>
        <v>6000</v>
      </c>
      <c r="AH70" s="17" t="n">
        <f aca="false">IF(AH7&lt;=12,Assumptions!$E$100,IF(AH7&lt;=24,Assumptions!$E$101,Assumptions!$E$102))</f>
        <v>6000</v>
      </c>
      <c r="AI70" s="17" t="n">
        <f aca="false">IF(AI7&lt;=12,Assumptions!$E$100,IF(AI7&lt;=24,Assumptions!$E$101,Assumptions!$E$102))</f>
        <v>6000</v>
      </c>
      <c r="AJ70" s="17" t="n">
        <f aca="false">IF(AJ7&lt;=12,Assumptions!$E$100,IF(AJ7&lt;=24,Assumptions!$E$101,Assumptions!$E$102))</f>
        <v>6000</v>
      </c>
      <c r="AK70" s="17" t="n">
        <f aca="false">IF(AK7&lt;=12,Assumptions!$E$100,IF(AK7&lt;=24,Assumptions!$E$101,Assumptions!$E$102))</f>
        <v>6000</v>
      </c>
      <c r="AL70" s="17" t="n">
        <f aca="false">IF(AL7&lt;=12,Assumptions!$E$100,IF(AL7&lt;=24,Assumptions!$E$101,Assumptions!$E$102))</f>
        <v>6000</v>
      </c>
      <c r="AM70" s="17" t="n">
        <f aca="false">IF(AM7&lt;=12,Assumptions!$E$100,IF(AM7&lt;=24,Assumptions!$E$101,Assumptions!$E$102))</f>
        <v>6000</v>
      </c>
      <c r="AN70" s="44" t="n">
        <f aca="false">IF(AN7&lt;=12,Assumptions!$E$100,IF(AN7&lt;=24,Assumptions!$E$101,Assumptions!$E$102))</f>
        <v>6000</v>
      </c>
      <c r="AO70" s="44" t="n">
        <f aca="false">IF(AO7&lt;=12,Assumptions!$E$100,IF(AO7&lt;=24,Assumptions!$E$101,Assumptions!$E$102))</f>
        <v>6000</v>
      </c>
      <c r="AP70" s="44" t="n">
        <f aca="false">IF(AP7&lt;=12,Assumptions!$E$100,IF(AP7&lt;=24,Assumptions!$E$101,Assumptions!$E$102))</f>
        <v>6000</v>
      </c>
      <c r="AQ70" s="44" t="n">
        <f aca="false">IF(AQ7&lt;=12,Assumptions!$E$100,IF(AQ7&lt;=24,Assumptions!$E$101,Assumptions!$E$102))</f>
        <v>6000</v>
      </c>
      <c r="AR70" s="44" t="n">
        <f aca="false">IF(AR7&lt;=12,Assumptions!$E$100,IF(AR7&lt;=24,Assumptions!$E$101,Assumptions!$E$102))</f>
        <v>6000</v>
      </c>
      <c r="AS70" s="44" t="n">
        <f aca="false">IF(AS7&lt;=12,Assumptions!$E$100,IF(AS7&lt;=24,Assumptions!$E$101,Assumptions!$E$102))</f>
        <v>6000</v>
      </c>
      <c r="AT70" s="44" t="n">
        <f aca="false">IF(AT7&lt;=12,Assumptions!$E$100,IF(AT7&lt;=24,Assumptions!$E$101,Assumptions!$E$102))</f>
        <v>6000</v>
      </c>
      <c r="AU70" s="44" t="n">
        <f aca="false">IF(AU7&lt;=12,Assumptions!$E$100,IF(AU7&lt;=24,Assumptions!$E$101,Assumptions!$E$102))</f>
        <v>6000</v>
      </c>
      <c r="AV70" s="44" t="n">
        <f aca="false">IF(AV7&lt;=12,Assumptions!$E$100,IF(AV7&lt;=24,Assumptions!$E$101,Assumptions!$E$102))</f>
        <v>6000</v>
      </c>
      <c r="AW70" s="44" t="n">
        <f aca="false">IF(AW7&lt;=12,Assumptions!$E$100,IF(AW7&lt;=24,Assumptions!$E$101,Assumptions!$E$102))</f>
        <v>6000</v>
      </c>
      <c r="AX70" s="44" t="n">
        <f aca="false">IF(AX7&lt;=12,Assumptions!$E$100,IF(AX7&lt;=24,Assumptions!$E$101,Assumptions!$E$102))</f>
        <v>6000</v>
      </c>
      <c r="AY70" s="44" t="n">
        <f aca="false">IF(AY7&lt;=12,Assumptions!$E$100,IF(AY7&lt;=24,Assumptions!$E$101,Assumptions!$E$102))</f>
        <v>6000</v>
      </c>
      <c r="AZ70" s="44" t="n">
        <f aca="false">IF(AZ7&lt;=12,Assumptions!$E$100,IF(AZ7&lt;=24,Assumptions!$E$101,Assumptions!$E$102))</f>
        <v>6000</v>
      </c>
      <c r="BA70" s="44" t="n">
        <f aca="false">IF(BA7&lt;=12,Assumptions!$E$100,IF(BA7&lt;=24,Assumptions!$E$101,Assumptions!$E$102))</f>
        <v>6000</v>
      </c>
      <c r="BB70" s="44" t="n">
        <f aca="false">IF(BB7&lt;=12,Assumptions!$E$100,IF(BB7&lt;=24,Assumptions!$E$101,Assumptions!$E$102))</f>
        <v>6000</v>
      </c>
      <c r="BC70" s="44" t="n">
        <f aca="false">IF(BC7&lt;=12,Assumptions!$E$100,IF(BC7&lt;=24,Assumptions!$E$101,Assumptions!$E$102))</f>
        <v>6000</v>
      </c>
      <c r="BD70" s="44" t="n">
        <f aca="false">IF(BD7&lt;=12,Assumptions!$E$100,IF(BD7&lt;=24,Assumptions!$E$101,Assumptions!$E$102))</f>
        <v>6000</v>
      </c>
      <c r="BE70" s="44" t="n">
        <f aca="false">IF(BE7&lt;=12,Assumptions!$E$100,IF(BE7&lt;=24,Assumptions!$E$101,Assumptions!$E$102))</f>
        <v>6000</v>
      </c>
      <c r="BF70" s="44" t="n">
        <f aca="false">IF(BF7&lt;=12,Assumptions!$E$100,IF(BF7&lt;=24,Assumptions!$E$101,Assumptions!$E$102))</f>
        <v>6000</v>
      </c>
      <c r="BG70" s="44" t="n">
        <f aca="false">IF(BG7&lt;=12,Assumptions!$E$100,IF(BG7&lt;=24,Assumptions!$E$101,Assumptions!$E$102))</f>
        <v>6000</v>
      </c>
      <c r="BH70" s="44" t="n">
        <f aca="false">IF(BH7&lt;=12,Assumptions!$E$100,IF(BH7&lt;=24,Assumptions!$E$101,Assumptions!$E$102))</f>
        <v>6000</v>
      </c>
      <c r="BI70" s="44" t="n">
        <f aca="false">IF(BI7&lt;=12,Assumptions!$E$100,IF(BI7&lt;=24,Assumptions!$E$101,Assumptions!$E$102))</f>
        <v>6000</v>
      </c>
      <c r="BJ70" s="44" t="n">
        <f aca="false">IF(BJ7&lt;=12,Assumptions!$E$100,IF(BJ7&lt;=24,Assumptions!$E$101,Assumptions!$E$102))</f>
        <v>6000</v>
      </c>
      <c r="BK70" s="44" t="n">
        <f aca="false">IF(BK7&lt;=12,Assumptions!$E$100,IF(BK7&lt;=24,Assumptions!$E$101,Assumptions!$E$102))</f>
        <v>6000</v>
      </c>
    </row>
    <row r="71" customFormat="false" ht="15" hidden="false" customHeight="false" outlineLevel="0" collapsed="false">
      <c r="A71" s="28" t="s">
        <v>653</v>
      </c>
      <c r="B71" s="6" t="s">
        <v>654</v>
      </c>
      <c r="C71" s="43"/>
      <c r="D71" s="17" t="n">
        <f aca="false">INT(D13/Assumptions!$E$103)*Assumptions!$E$104</f>
        <v>0</v>
      </c>
      <c r="E71" s="17" t="n">
        <f aca="false">INT(E13/Assumptions!$E$103)*Assumptions!$E$104</f>
        <v>0</v>
      </c>
      <c r="F71" s="17" t="n">
        <f aca="false">INT(F13/Assumptions!$E$103)*Assumptions!$E$104</f>
        <v>0</v>
      </c>
      <c r="G71" s="17" t="n">
        <f aca="false">INT(G13/Assumptions!$E$103)*Assumptions!$E$104</f>
        <v>0</v>
      </c>
      <c r="H71" s="17" t="n">
        <f aca="false">INT(H13/Assumptions!$E$103)*Assumptions!$E$104</f>
        <v>0</v>
      </c>
      <c r="I71" s="17" t="n">
        <f aca="false">INT(I13/Assumptions!$E$103)*Assumptions!$E$104</f>
        <v>0</v>
      </c>
      <c r="J71" s="17" t="n">
        <f aca="false">INT(J13/Assumptions!$E$103)*Assumptions!$E$104</f>
        <v>0</v>
      </c>
      <c r="K71" s="17" t="n">
        <f aca="false">INT(K13/Assumptions!$E$103)*Assumptions!$E$104</f>
        <v>0</v>
      </c>
      <c r="L71" s="17" t="n">
        <f aca="false">INT(L13/Assumptions!$E$103)*Assumptions!$E$104</f>
        <v>0</v>
      </c>
      <c r="M71" s="17" t="n">
        <f aca="false">INT(M13/Assumptions!$E$103)*Assumptions!$E$104</f>
        <v>0</v>
      </c>
      <c r="N71" s="17" t="n">
        <f aca="false">INT(N13/Assumptions!$E$103)*Assumptions!$E$104</f>
        <v>0</v>
      </c>
      <c r="O71" s="17" t="n">
        <f aca="false">INT(O13/Assumptions!$E$103)*Assumptions!$E$104</f>
        <v>0</v>
      </c>
      <c r="P71" s="17" t="n">
        <f aca="false">INT(P13/Assumptions!$E$103)*Assumptions!$E$104</f>
        <v>0</v>
      </c>
      <c r="Q71" s="17" t="n">
        <f aca="false">INT(Q13/Assumptions!$E$103)*Assumptions!$E$104</f>
        <v>0</v>
      </c>
      <c r="R71" s="17" t="n">
        <f aca="false">INT(R13/Assumptions!$E$103)*Assumptions!$E$104</f>
        <v>0</v>
      </c>
      <c r="S71" s="17" t="n">
        <f aca="false">INT(S13/Assumptions!$E$103)*Assumptions!$E$104</f>
        <v>0</v>
      </c>
      <c r="T71" s="17" t="n">
        <f aca="false">INT(T13/Assumptions!$E$103)*Assumptions!$E$104</f>
        <v>0</v>
      </c>
      <c r="U71" s="17" t="n">
        <f aca="false">INT(U13/Assumptions!$E$103)*Assumptions!$E$104</f>
        <v>0</v>
      </c>
      <c r="V71" s="17" t="n">
        <f aca="false">INT(V13/Assumptions!$E$103)*Assumptions!$E$104</f>
        <v>0</v>
      </c>
      <c r="W71" s="17" t="n">
        <f aca="false">INT(W13/Assumptions!$E$103)*Assumptions!$E$104</f>
        <v>0</v>
      </c>
      <c r="X71" s="17" t="n">
        <f aca="false">INT(X13/Assumptions!$E$103)*Assumptions!$E$104</f>
        <v>0</v>
      </c>
      <c r="Y71" s="17" t="n">
        <f aca="false">INT(Y13/Assumptions!$E$103)*Assumptions!$E$104</f>
        <v>0</v>
      </c>
      <c r="Z71" s="17" t="n">
        <f aca="false">INT(Z13/Assumptions!$E$103)*Assumptions!$E$104</f>
        <v>0</v>
      </c>
      <c r="AA71" s="17" t="n">
        <f aca="false">INT(AA13/Assumptions!$E$103)*Assumptions!$E$104</f>
        <v>0</v>
      </c>
      <c r="AB71" s="17" t="n">
        <f aca="false">INT(AB13/Assumptions!$E$103)*Assumptions!$E$104</f>
        <v>0</v>
      </c>
      <c r="AC71" s="17" t="n">
        <f aca="false">INT(AC13/Assumptions!$E$103)*Assumptions!$E$104</f>
        <v>0</v>
      </c>
      <c r="AD71" s="17" t="n">
        <f aca="false">INT(AD13/Assumptions!$E$103)*Assumptions!$E$104</f>
        <v>0</v>
      </c>
      <c r="AE71" s="17" t="n">
        <f aca="false">INT(AE13/Assumptions!$E$103)*Assumptions!$E$104</f>
        <v>0</v>
      </c>
      <c r="AF71" s="17" t="n">
        <f aca="false">INT(AF13/Assumptions!$E$103)*Assumptions!$E$104</f>
        <v>0</v>
      </c>
      <c r="AG71" s="17" t="n">
        <f aca="false">INT(AG13/Assumptions!$E$103)*Assumptions!$E$104</f>
        <v>0</v>
      </c>
      <c r="AH71" s="17" t="n">
        <f aca="false">INT(AH13/Assumptions!$E$103)*Assumptions!$E$104</f>
        <v>0</v>
      </c>
      <c r="AI71" s="17" t="n">
        <f aca="false">INT(AI13/Assumptions!$E$103)*Assumptions!$E$104</f>
        <v>0</v>
      </c>
      <c r="AJ71" s="17" t="n">
        <f aca="false">INT(AJ13/Assumptions!$E$103)*Assumptions!$E$104</f>
        <v>0</v>
      </c>
      <c r="AK71" s="17" t="n">
        <f aca="false">INT(AK13/Assumptions!$E$103)*Assumptions!$E$104</f>
        <v>0</v>
      </c>
      <c r="AL71" s="17" t="n">
        <f aca="false">INT(AL13/Assumptions!$E$103)*Assumptions!$E$104</f>
        <v>0</v>
      </c>
      <c r="AM71" s="17" t="n">
        <f aca="false">INT(AM13/Assumptions!$E$103)*Assumptions!$E$104</f>
        <v>0</v>
      </c>
      <c r="AN71" s="44" t="n">
        <f aca="false">INT(AN13/Assumptions!$E$103)*Assumptions!$E$104</f>
        <v>0</v>
      </c>
      <c r="AO71" s="44" t="n">
        <f aca="false">INT(AO13/Assumptions!$E$103)*Assumptions!$E$104</f>
        <v>0</v>
      </c>
      <c r="AP71" s="44" t="n">
        <f aca="false">INT(AP13/Assumptions!$E$103)*Assumptions!$E$104</f>
        <v>0</v>
      </c>
      <c r="AQ71" s="44" t="n">
        <f aca="false">INT(AQ13/Assumptions!$E$103)*Assumptions!$E$104</f>
        <v>0</v>
      </c>
      <c r="AR71" s="44" t="n">
        <f aca="false">INT(AR13/Assumptions!$E$103)*Assumptions!$E$104</f>
        <v>0</v>
      </c>
      <c r="AS71" s="44" t="n">
        <f aca="false">INT(AS13/Assumptions!$E$103)*Assumptions!$E$104</f>
        <v>0</v>
      </c>
      <c r="AT71" s="44" t="n">
        <f aca="false">INT(AT13/Assumptions!$E$103)*Assumptions!$E$104</f>
        <v>0</v>
      </c>
      <c r="AU71" s="44" t="n">
        <f aca="false">INT(AU13/Assumptions!$E$103)*Assumptions!$E$104</f>
        <v>0</v>
      </c>
      <c r="AV71" s="44" t="n">
        <f aca="false">INT(AV13/Assumptions!$E$103)*Assumptions!$E$104</f>
        <v>0</v>
      </c>
      <c r="AW71" s="44" t="n">
        <f aca="false">INT(AW13/Assumptions!$E$103)*Assumptions!$E$104</f>
        <v>0</v>
      </c>
      <c r="AX71" s="44" t="n">
        <f aca="false">INT(AX13/Assumptions!$E$103)*Assumptions!$E$104</f>
        <v>0</v>
      </c>
      <c r="AY71" s="44" t="n">
        <f aca="false">INT(AY13/Assumptions!$E$103)*Assumptions!$E$104</f>
        <v>0</v>
      </c>
      <c r="AZ71" s="44" t="n">
        <f aca="false">INT(AZ13/Assumptions!$E$103)*Assumptions!$E$104</f>
        <v>0</v>
      </c>
      <c r="BA71" s="44" t="n">
        <f aca="false">INT(BA13/Assumptions!$E$103)*Assumptions!$E$104</f>
        <v>0</v>
      </c>
      <c r="BB71" s="44" t="n">
        <f aca="false">INT(BB13/Assumptions!$E$103)*Assumptions!$E$104</f>
        <v>0</v>
      </c>
      <c r="BC71" s="44" t="n">
        <f aca="false">INT(BC13/Assumptions!$E$103)*Assumptions!$E$104</f>
        <v>0</v>
      </c>
      <c r="BD71" s="44" t="n">
        <f aca="false">INT(BD13/Assumptions!$E$103)*Assumptions!$E$104</f>
        <v>0</v>
      </c>
      <c r="BE71" s="44" t="n">
        <f aca="false">INT(BE13/Assumptions!$E$103)*Assumptions!$E$104</f>
        <v>0</v>
      </c>
      <c r="BF71" s="44" t="n">
        <f aca="false">INT(BF13/Assumptions!$E$103)*Assumptions!$E$104</f>
        <v>0</v>
      </c>
      <c r="BG71" s="44" t="n">
        <f aca="false">INT(BG13/Assumptions!$E$103)*Assumptions!$E$104</f>
        <v>0</v>
      </c>
      <c r="BH71" s="44" t="n">
        <f aca="false">INT(BH13/Assumptions!$E$103)*Assumptions!$E$104</f>
        <v>0</v>
      </c>
      <c r="BI71" s="44" t="n">
        <f aca="false">INT(BI13/Assumptions!$E$103)*Assumptions!$E$104</f>
        <v>0</v>
      </c>
      <c r="BJ71" s="44" t="n">
        <f aca="false">INT(BJ13/Assumptions!$E$103)*Assumptions!$E$104</f>
        <v>0</v>
      </c>
      <c r="BK71" s="44" t="n">
        <f aca="false">INT(BK13/Assumptions!$E$103)*Assumptions!$E$104</f>
        <v>0</v>
      </c>
    </row>
    <row r="72" customFormat="false" ht="15" hidden="false" customHeight="false" outlineLevel="0" collapsed="false">
      <c r="A72" s="28" t="s">
        <v>655</v>
      </c>
      <c r="B72" s="6" t="s">
        <v>342</v>
      </c>
      <c r="C72" s="43"/>
      <c r="D72" s="17" t="n">
        <f aca="false">IF(D7&gt;=Assumptions!$E$106,Assumptions!$E$105,0)</f>
        <v>0</v>
      </c>
      <c r="E72" s="17" t="n">
        <f aca="false">IF(E7&gt;=Assumptions!$E$106,Assumptions!$E$105,0)</f>
        <v>0</v>
      </c>
      <c r="F72" s="17" t="n">
        <f aca="false">IF(F7&gt;=Assumptions!$E$106,Assumptions!$E$105,0)</f>
        <v>0</v>
      </c>
      <c r="G72" s="17" t="n">
        <f aca="false">IF(G7&gt;=Assumptions!$E$106,Assumptions!$E$105,0)</f>
        <v>0</v>
      </c>
      <c r="H72" s="17" t="n">
        <f aca="false">IF(H7&gt;=Assumptions!$E$106,Assumptions!$E$105,0)</f>
        <v>0</v>
      </c>
      <c r="I72" s="17" t="n">
        <f aca="false">IF(I7&gt;=Assumptions!$E$106,Assumptions!$E$105,0)</f>
        <v>0</v>
      </c>
      <c r="J72" s="17" t="n">
        <f aca="false">IF(J7&gt;=Assumptions!$E$106,Assumptions!$E$105,0)</f>
        <v>0</v>
      </c>
      <c r="K72" s="17" t="n">
        <f aca="false">IF(K7&gt;=Assumptions!$E$106,Assumptions!$E$105,0)</f>
        <v>0</v>
      </c>
      <c r="L72" s="17" t="n">
        <f aca="false">IF(L7&gt;=Assumptions!$E$106,Assumptions!$E$105,0)</f>
        <v>0</v>
      </c>
      <c r="M72" s="17" t="n">
        <f aca="false">IF(M7&gt;=Assumptions!$E$106,Assumptions!$E$105,0)</f>
        <v>0</v>
      </c>
      <c r="N72" s="17" t="n">
        <f aca="false">IF(N7&gt;=Assumptions!$E$106,Assumptions!$E$105,0)</f>
        <v>0</v>
      </c>
      <c r="O72" s="17" t="n">
        <f aca="false">IF(O7&gt;=Assumptions!$E$106,Assumptions!$E$105,0)</f>
        <v>0</v>
      </c>
      <c r="P72" s="17" t="n">
        <f aca="false">IF(P7&gt;=Assumptions!$E$106,Assumptions!$E$105,0)</f>
        <v>0</v>
      </c>
      <c r="Q72" s="17" t="n">
        <f aca="false">IF(Q7&gt;=Assumptions!$E$106,Assumptions!$E$105,0)</f>
        <v>0</v>
      </c>
      <c r="R72" s="17" t="n">
        <f aca="false">IF(R7&gt;=Assumptions!$E$106,Assumptions!$E$105,0)</f>
        <v>0</v>
      </c>
      <c r="S72" s="17" t="n">
        <f aca="false">IF(S7&gt;=Assumptions!$E$106,Assumptions!$E$105,0)</f>
        <v>0</v>
      </c>
      <c r="T72" s="17" t="n">
        <f aca="false">IF(T7&gt;=Assumptions!$E$106,Assumptions!$E$105,0)</f>
        <v>0</v>
      </c>
      <c r="U72" s="17" t="n">
        <f aca="false">IF(U7&gt;=Assumptions!$E$106,Assumptions!$E$105,0)</f>
        <v>0</v>
      </c>
      <c r="V72" s="17" t="n">
        <f aca="false">IF(V7&gt;=Assumptions!$E$106,Assumptions!$E$105,0)</f>
        <v>0</v>
      </c>
      <c r="W72" s="17" t="n">
        <f aca="false">IF(W7&gt;=Assumptions!$E$106,Assumptions!$E$105,0)</f>
        <v>0</v>
      </c>
      <c r="X72" s="17" t="n">
        <f aca="false">IF(X7&gt;=Assumptions!$E$106,Assumptions!$E$105,0)</f>
        <v>0</v>
      </c>
      <c r="Y72" s="17" t="n">
        <f aca="false">IF(Y7&gt;=Assumptions!$E$106,Assumptions!$E$105,0)</f>
        <v>0</v>
      </c>
      <c r="Z72" s="17" t="n">
        <f aca="false">IF(Z7&gt;=Assumptions!$E$106,Assumptions!$E$105,0)</f>
        <v>0</v>
      </c>
      <c r="AA72" s="17" t="n">
        <f aca="false">IF(AA7&gt;=Assumptions!$E$106,Assumptions!$E$105,0)</f>
        <v>0</v>
      </c>
      <c r="AB72" s="17" t="n">
        <f aca="false">IF(AB7&gt;=Assumptions!$E$106,Assumptions!$E$105,0)</f>
        <v>0</v>
      </c>
      <c r="AC72" s="17" t="n">
        <f aca="false">IF(AC7&gt;=Assumptions!$E$106,Assumptions!$E$105,0)</f>
        <v>0</v>
      </c>
      <c r="AD72" s="17" t="n">
        <f aca="false">IF(AD7&gt;=Assumptions!$E$106,Assumptions!$E$105,0)</f>
        <v>0</v>
      </c>
      <c r="AE72" s="17" t="n">
        <f aca="false">IF(AE7&gt;=Assumptions!$E$106,Assumptions!$E$105,0)</f>
        <v>0</v>
      </c>
      <c r="AF72" s="17" t="n">
        <f aca="false">IF(AF7&gt;=Assumptions!$E$106,Assumptions!$E$105,0)</f>
        <v>0</v>
      </c>
      <c r="AG72" s="17" t="n">
        <f aca="false">IF(AG7&gt;=Assumptions!$E$106,Assumptions!$E$105,0)</f>
        <v>0</v>
      </c>
      <c r="AH72" s="17" t="n">
        <f aca="false">IF(AH7&gt;=Assumptions!$E$106,Assumptions!$E$105,0)</f>
        <v>0</v>
      </c>
      <c r="AI72" s="17" t="n">
        <f aca="false">IF(AI7&gt;=Assumptions!$E$106,Assumptions!$E$105,0)</f>
        <v>0</v>
      </c>
      <c r="AJ72" s="17" t="n">
        <f aca="false">IF(AJ7&gt;=Assumptions!$E$106,Assumptions!$E$105,0)</f>
        <v>0</v>
      </c>
      <c r="AK72" s="17" t="n">
        <f aca="false">IF(AK7&gt;=Assumptions!$E$106,Assumptions!$E$105,0)</f>
        <v>0</v>
      </c>
      <c r="AL72" s="17" t="n">
        <f aca="false">IF(AL7&gt;=Assumptions!$E$106,Assumptions!$E$105,0)</f>
        <v>0</v>
      </c>
      <c r="AM72" s="17" t="n">
        <f aca="false">IF(AM7&gt;=Assumptions!$E$106,Assumptions!$E$105,0)</f>
        <v>0</v>
      </c>
      <c r="AN72" s="44" t="n">
        <f aca="false">IF(AN7&gt;=Assumptions!$E$106,Assumptions!$E$105,0)</f>
        <v>0</v>
      </c>
      <c r="AO72" s="44" t="n">
        <f aca="false">IF(AO7&gt;=Assumptions!$E$106,Assumptions!$E$105,0)</f>
        <v>0</v>
      </c>
      <c r="AP72" s="44" t="n">
        <f aca="false">IF(AP7&gt;=Assumptions!$E$106,Assumptions!$E$105,0)</f>
        <v>0</v>
      </c>
      <c r="AQ72" s="44" t="n">
        <f aca="false">IF(AQ7&gt;=Assumptions!$E$106,Assumptions!$E$105,0)</f>
        <v>0</v>
      </c>
      <c r="AR72" s="44" t="n">
        <f aca="false">IF(AR7&gt;=Assumptions!$E$106,Assumptions!$E$105,0)</f>
        <v>0</v>
      </c>
      <c r="AS72" s="44" t="n">
        <f aca="false">IF(AS7&gt;=Assumptions!$E$106,Assumptions!$E$105,0)</f>
        <v>0</v>
      </c>
      <c r="AT72" s="44" t="n">
        <f aca="false">IF(AT7&gt;=Assumptions!$E$106,Assumptions!$E$105,0)</f>
        <v>0</v>
      </c>
      <c r="AU72" s="44" t="n">
        <f aca="false">IF(AU7&gt;=Assumptions!$E$106,Assumptions!$E$105,0)</f>
        <v>0</v>
      </c>
      <c r="AV72" s="44" t="n">
        <f aca="false">IF(AV7&gt;=Assumptions!$E$106,Assumptions!$E$105,0)</f>
        <v>0</v>
      </c>
      <c r="AW72" s="44" t="n">
        <f aca="false">IF(AW7&gt;=Assumptions!$E$106,Assumptions!$E$105,0)</f>
        <v>0</v>
      </c>
      <c r="AX72" s="44" t="n">
        <f aca="false">IF(AX7&gt;=Assumptions!$E$106,Assumptions!$E$105,0)</f>
        <v>0</v>
      </c>
      <c r="AY72" s="44" t="n">
        <f aca="false">IF(AY7&gt;=Assumptions!$E$106,Assumptions!$E$105,0)</f>
        <v>0</v>
      </c>
      <c r="AZ72" s="44" t="n">
        <f aca="false">IF(AZ7&gt;=Assumptions!$E$106,Assumptions!$E$105,0)</f>
        <v>0</v>
      </c>
      <c r="BA72" s="44" t="n">
        <f aca="false">IF(BA7&gt;=Assumptions!$E$106,Assumptions!$E$105,0)</f>
        <v>0</v>
      </c>
      <c r="BB72" s="44" t="n">
        <f aca="false">IF(BB7&gt;=Assumptions!$E$106,Assumptions!$E$105,0)</f>
        <v>0</v>
      </c>
      <c r="BC72" s="44" t="n">
        <f aca="false">IF(BC7&gt;=Assumptions!$E$106,Assumptions!$E$105,0)</f>
        <v>0</v>
      </c>
      <c r="BD72" s="44" t="n">
        <f aca="false">IF(BD7&gt;=Assumptions!$E$106,Assumptions!$E$105,0)</f>
        <v>0</v>
      </c>
      <c r="BE72" s="44" t="n">
        <f aca="false">IF(BE7&gt;=Assumptions!$E$106,Assumptions!$E$105,0)</f>
        <v>0</v>
      </c>
      <c r="BF72" s="44" t="n">
        <f aca="false">IF(BF7&gt;=Assumptions!$E$106,Assumptions!$E$105,0)</f>
        <v>0</v>
      </c>
      <c r="BG72" s="44" t="n">
        <f aca="false">IF(BG7&gt;=Assumptions!$E$106,Assumptions!$E$105,0)</f>
        <v>0</v>
      </c>
      <c r="BH72" s="44" t="n">
        <f aca="false">IF(BH7&gt;=Assumptions!$E$106,Assumptions!$E$105,0)</f>
        <v>0</v>
      </c>
      <c r="BI72" s="44" t="n">
        <f aca="false">IF(BI7&gt;=Assumptions!$E$106,Assumptions!$E$105,0)</f>
        <v>0</v>
      </c>
      <c r="BJ72" s="44" t="n">
        <f aca="false">IF(BJ7&gt;=Assumptions!$E$106,Assumptions!$E$105,0)</f>
        <v>0</v>
      </c>
      <c r="BK72" s="44" t="n">
        <f aca="false">IF(BK7&gt;=Assumptions!$E$106,Assumptions!$E$105,0)</f>
        <v>0</v>
      </c>
    </row>
    <row r="73" customFormat="false" ht="15" hidden="false" customHeight="false" outlineLevel="0" collapsed="false">
      <c r="A73" s="28" t="s">
        <v>656</v>
      </c>
      <c r="B73" s="6" t="s">
        <v>657</v>
      </c>
      <c r="C73" s="43"/>
      <c r="D73" s="22" t="n">
        <f aca="false">Assumptions!C$144</f>
        <v>3500</v>
      </c>
      <c r="E73" s="22" t="n">
        <f aca="false">Assumptions!D$144</f>
        <v>1500</v>
      </c>
      <c r="F73" s="22" t="n">
        <f aca="false">Assumptions!E$144</f>
        <v>3000</v>
      </c>
      <c r="G73" s="22" t="n">
        <f aca="false">Assumptions!F$144</f>
        <v>0</v>
      </c>
      <c r="H73" s="22" t="n">
        <f aca="false">Assumptions!G$144</f>
        <v>0</v>
      </c>
      <c r="I73" s="22" t="n">
        <f aca="false">Assumptions!H$144</f>
        <v>0</v>
      </c>
      <c r="J73" s="22" t="n">
        <f aca="false">Assumptions!I$144</f>
        <v>0</v>
      </c>
      <c r="K73" s="22" t="n">
        <f aca="false">Assumptions!J$144</f>
        <v>0</v>
      </c>
      <c r="L73" s="22" t="n">
        <f aca="false">Assumptions!K$144</f>
        <v>0</v>
      </c>
      <c r="M73" s="22" t="n">
        <f aca="false">Assumptions!L$144</f>
        <v>0</v>
      </c>
      <c r="N73" s="22" t="n">
        <f aca="false">Assumptions!M$144</f>
        <v>0</v>
      </c>
      <c r="O73" s="22" t="n">
        <f aca="false">Assumptions!N$144</f>
        <v>0</v>
      </c>
      <c r="P73" s="22" t="n">
        <f aca="false">Assumptions!O$144</f>
        <v>0</v>
      </c>
      <c r="Q73" s="22" t="n">
        <f aca="false">Assumptions!P$144</f>
        <v>0</v>
      </c>
      <c r="R73" s="22" t="n">
        <f aca="false">Assumptions!Q$144</f>
        <v>0</v>
      </c>
      <c r="S73" s="22" t="n">
        <f aca="false">Assumptions!R$144</f>
        <v>0</v>
      </c>
      <c r="T73" s="22" t="n">
        <f aca="false">Assumptions!S$144</f>
        <v>0</v>
      </c>
      <c r="U73" s="22" t="n">
        <f aca="false">Assumptions!T$144</f>
        <v>0</v>
      </c>
      <c r="V73" s="22" t="n">
        <f aca="false">Assumptions!U$144</f>
        <v>0</v>
      </c>
      <c r="W73" s="22" t="n">
        <f aca="false">Assumptions!V$144</f>
        <v>0</v>
      </c>
      <c r="X73" s="22" t="n">
        <f aca="false">Assumptions!W$144</f>
        <v>0</v>
      </c>
      <c r="Y73" s="22" t="n">
        <f aca="false">Assumptions!X$144</f>
        <v>0</v>
      </c>
      <c r="Z73" s="22" t="n">
        <f aca="false">Assumptions!Y$144</f>
        <v>0</v>
      </c>
      <c r="AA73" s="22" t="n">
        <f aca="false">Assumptions!Z$144</f>
        <v>0</v>
      </c>
      <c r="AB73" s="22" t="n">
        <f aca="false">Assumptions!AA$144</f>
        <v>0</v>
      </c>
      <c r="AC73" s="22" t="n">
        <f aca="false">Assumptions!AB$144</f>
        <v>0</v>
      </c>
      <c r="AD73" s="22" t="n">
        <f aca="false">Assumptions!AC$144</f>
        <v>0</v>
      </c>
      <c r="AE73" s="22" t="n">
        <f aca="false">Assumptions!AD$144</f>
        <v>0</v>
      </c>
      <c r="AF73" s="22" t="n">
        <f aca="false">Assumptions!AE$144</f>
        <v>0</v>
      </c>
      <c r="AG73" s="22" t="n">
        <f aca="false">Assumptions!AF$144</f>
        <v>0</v>
      </c>
      <c r="AH73" s="22" t="n">
        <f aca="false">Assumptions!AG$144</f>
        <v>0</v>
      </c>
      <c r="AI73" s="22" t="n">
        <f aca="false">Assumptions!AH$144</f>
        <v>0</v>
      </c>
      <c r="AJ73" s="22" t="n">
        <f aca="false">Assumptions!AI$144</f>
        <v>0</v>
      </c>
      <c r="AK73" s="22" t="n">
        <f aca="false">Assumptions!AJ$144</f>
        <v>0</v>
      </c>
      <c r="AL73" s="22" t="n">
        <f aca="false">Assumptions!AK$144</f>
        <v>0</v>
      </c>
      <c r="AM73" s="22" t="n">
        <f aca="false">Assumptions!AL$144</f>
        <v>0</v>
      </c>
      <c r="AN73" s="49" t="n">
        <f aca="false">Assumptions!AM$144</f>
        <v>0</v>
      </c>
      <c r="AO73" s="49" t="n">
        <f aca="false">Assumptions!AN$144</f>
        <v>0</v>
      </c>
      <c r="AP73" s="49" t="n">
        <f aca="false">Assumptions!AO$144</f>
        <v>0</v>
      </c>
      <c r="AQ73" s="49" t="n">
        <f aca="false">Assumptions!AP$144</f>
        <v>0</v>
      </c>
      <c r="AR73" s="49" t="n">
        <f aca="false">Assumptions!AQ$144</f>
        <v>0</v>
      </c>
      <c r="AS73" s="49" t="n">
        <f aca="false">Assumptions!AR$144</f>
        <v>0</v>
      </c>
      <c r="AT73" s="49" t="n">
        <f aca="false">Assumptions!AS$144</f>
        <v>0</v>
      </c>
      <c r="AU73" s="49" t="n">
        <f aca="false">Assumptions!AT$144</f>
        <v>0</v>
      </c>
      <c r="AV73" s="49" t="n">
        <f aca="false">Assumptions!AU$144</f>
        <v>0</v>
      </c>
      <c r="AW73" s="49" t="n">
        <f aca="false">Assumptions!AV$144</f>
        <v>0</v>
      </c>
      <c r="AX73" s="49" t="n">
        <f aca="false">Assumptions!AW$144</f>
        <v>0</v>
      </c>
      <c r="AY73" s="49" t="n">
        <f aca="false">Assumptions!AX$144</f>
        <v>0</v>
      </c>
      <c r="AZ73" s="49" t="n">
        <f aca="false">Assumptions!AY$144</f>
        <v>0</v>
      </c>
      <c r="BA73" s="49" t="n">
        <f aca="false">Assumptions!AZ$144</f>
        <v>0</v>
      </c>
      <c r="BB73" s="49" t="n">
        <f aca="false">Assumptions!BA$144</f>
        <v>0</v>
      </c>
      <c r="BC73" s="49" t="n">
        <f aca="false">Assumptions!BB$144</f>
        <v>0</v>
      </c>
      <c r="BD73" s="49" t="n">
        <f aca="false">Assumptions!BC$144</f>
        <v>0</v>
      </c>
      <c r="BE73" s="49" t="n">
        <f aca="false">Assumptions!BD$144</f>
        <v>0</v>
      </c>
      <c r="BF73" s="49" t="n">
        <f aca="false">Assumptions!BE$144</f>
        <v>0</v>
      </c>
      <c r="BG73" s="49" t="n">
        <f aca="false">Assumptions!BF$144</f>
        <v>0</v>
      </c>
      <c r="BH73" s="49" t="n">
        <f aca="false">Assumptions!BG$144</f>
        <v>0</v>
      </c>
      <c r="BI73" s="49" t="n">
        <f aca="false">Assumptions!BH$144</f>
        <v>0</v>
      </c>
      <c r="BJ73" s="49" t="n">
        <f aca="false">Assumptions!BI$144</f>
        <v>0</v>
      </c>
      <c r="BK73" s="49" t="n">
        <f aca="false">Assumptions!BJ$144</f>
        <v>0</v>
      </c>
    </row>
    <row r="74" customFormat="false" ht="15" hidden="false" customHeight="false" outlineLevel="0" collapsed="false">
      <c r="A74" s="28" t="s">
        <v>658</v>
      </c>
      <c r="B74" s="5" t="s">
        <v>659</v>
      </c>
      <c r="C74" s="43"/>
      <c r="D74" s="45" t="n">
        <f aca="false">D69+D70+D71+D72+D73</f>
        <v>8965</v>
      </c>
      <c r="E74" s="45" t="n">
        <f aca="false">E69+E70+E71+E72+E73</f>
        <v>6965</v>
      </c>
      <c r="F74" s="45" t="n">
        <f aca="false">F69+F70+F71+F72+F73</f>
        <v>8465</v>
      </c>
      <c r="G74" s="45" t="n">
        <f aca="false">G69+G70+G71+G72+G73</f>
        <v>5465</v>
      </c>
      <c r="H74" s="45" t="n">
        <f aca="false">H69+H70+H71+H72+H73</f>
        <v>5465</v>
      </c>
      <c r="I74" s="45" t="n">
        <f aca="false">I69+I70+I71+I72+I73</f>
        <v>5465</v>
      </c>
      <c r="J74" s="45" t="n">
        <f aca="false">J69+J70+J71+J72+J73</f>
        <v>5465</v>
      </c>
      <c r="K74" s="45" t="n">
        <f aca="false">K69+K70+K71+K72+K73</f>
        <v>5465</v>
      </c>
      <c r="L74" s="45" t="n">
        <f aca="false">L69+L70+L71+L72+L73</f>
        <v>5465</v>
      </c>
      <c r="M74" s="45" t="n">
        <f aca="false">M69+M70+M71+M72+M73</f>
        <v>5465</v>
      </c>
      <c r="N74" s="45" t="n">
        <f aca="false">N69+N70+N71+N72+N73</f>
        <v>5465</v>
      </c>
      <c r="O74" s="45" t="n">
        <f aca="false">O69+O70+O71+O72+O73</f>
        <v>5465</v>
      </c>
      <c r="P74" s="45" t="n">
        <f aca="false">P69+P70+P71+P72+P73</f>
        <v>6465</v>
      </c>
      <c r="Q74" s="45" t="n">
        <f aca="false">Q69+Q70+Q71+Q72+Q73</f>
        <v>6465</v>
      </c>
      <c r="R74" s="45" t="n">
        <f aca="false">R69+R70+R71+R72+R73</f>
        <v>6465</v>
      </c>
      <c r="S74" s="45" t="n">
        <f aca="false">S69+S70+S71+S72+S73</f>
        <v>6465</v>
      </c>
      <c r="T74" s="45" t="n">
        <f aca="false">T69+T70+T71+T72+T73</f>
        <v>6465</v>
      </c>
      <c r="U74" s="45" t="n">
        <f aca="false">U69+U70+U71+U72+U73</f>
        <v>6465</v>
      </c>
      <c r="V74" s="45" t="n">
        <f aca="false">V69+V70+V71+V72+V73</f>
        <v>6465</v>
      </c>
      <c r="W74" s="45" t="n">
        <f aca="false">W69+W70+W71+W72+W73</f>
        <v>6465</v>
      </c>
      <c r="X74" s="45" t="n">
        <f aca="false">X69+X70+X71+X72+X73</f>
        <v>6465</v>
      </c>
      <c r="Y74" s="45" t="n">
        <f aca="false">Y69+Y70+Y71+Y72+Y73</f>
        <v>6465</v>
      </c>
      <c r="Z74" s="45" t="n">
        <f aca="false">Z69+Z70+Z71+Z72+Z73</f>
        <v>6465</v>
      </c>
      <c r="AA74" s="45" t="n">
        <f aca="false">AA69+AA70+AA71+AA72+AA73</f>
        <v>6465</v>
      </c>
      <c r="AB74" s="45" t="n">
        <f aca="false">AB69+AB70+AB71+AB72+AB73</f>
        <v>7465</v>
      </c>
      <c r="AC74" s="45" t="n">
        <f aca="false">AC69+AC70+AC71+AC72+AC73</f>
        <v>7465</v>
      </c>
      <c r="AD74" s="45" t="n">
        <f aca="false">AD69+AD70+AD71+AD72+AD73</f>
        <v>7465</v>
      </c>
      <c r="AE74" s="45" t="n">
        <f aca="false">AE69+AE70+AE71+AE72+AE73</f>
        <v>7465</v>
      </c>
      <c r="AF74" s="45" t="n">
        <f aca="false">AF69+AF70+AF71+AF72+AF73</f>
        <v>7465</v>
      </c>
      <c r="AG74" s="45" t="n">
        <f aca="false">AG69+AG70+AG71+AG72+AG73</f>
        <v>7465</v>
      </c>
      <c r="AH74" s="45" t="n">
        <f aca="false">AH69+AH70+AH71+AH72+AH73</f>
        <v>7465</v>
      </c>
      <c r="AI74" s="45" t="n">
        <f aca="false">AI69+AI70+AI71+AI72+AI73</f>
        <v>7465</v>
      </c>
      <c r="AJ74" s="45" t="n">
        <f aca="false">AJ69+AJ70+AJ71+AJ72+AJ73</f>
        <v>7465</v>
      </c>
      <c r="AK74" s="45" t="n">
        <f aca="false">AK69+AK70+AK71+AK72+AK73</f>
        <v>7465</v>
      </c>
      <c r="AL74" s="45" t="n">
        <f aca="false">AL69+AL70+AL71+AL72+AL73</f>
        <v>7465</v>
      </c>
      <c r="AM74" s="45" t="n">
        <f aca="false">AM69+AM70+AM71+AM72+AM73</f>
        <v>7465</v>
      </c>
      <c r="AN74" s="46" t="n">
        <f aca="false">AN69+AN70+AN71+AN72+AN73</f>
        <v>7465</v>
      </c>
      <c r="AO74" s="46" t="n">
        <f aca="false">AO69+AO70+AO71+AO72+AO73</f>
        <v>7465</v>
      </c>
      <c r="AP74" s="46" t="n">
        <f aca="false">AP69+AP70+AP71+AP72+AP73</f>
        <v>7465</v>
      </c>
      <c r="AQ74" s="46" t="n">
        <f aca="false">AQ69+AQ70+AQ71+AQ72+AQ73</f>
        <v>7465</v>
      </c>
      <c r="AR74" s="46" t="n">
        <f aca="false">AR69+AR70+AR71+AR72+AR73</f>
        <v>7465</v>
      </c>
      <c r="AS74" s="46" t="n">
        <f aca="false">AS69+AS70+AS71+AS72+AS73</f>
        <v>7465</v>
      </c>
      <c r="AT74" s="46" t="n">
        <f aca="false">AT69+AT70+AT71+AT72+AT73</f>
        <v>7465</v>
      </c>
      <c r="AU74" s="46" t="n">
        <f aca="false">AU69+AU70+AU71+AU72+AU73</f>
        <v>7465</v>
      </c>
      <c r="AV74" s="46" t="n">
        <f aca="false">AV69+AV70+AV71+AV72+AV73</f>
        <v>7465</v>
      </c>
      <c r="AW74" s="46" t="n">
        <f aca="false">AW69+AW70+AW71+AW72+AW73</f>
        <v>7465</v>
      </c>
      <c r="AX74" s="46" t="n">
        <f aca="false">AX69+AX70+AX71+AX72+AX73</f>
        <v>7465</v>
      </c>
      <c r="AY74" s="46" t="n">
        <f aca="false">AY69+AY70+AY71+AY72+AY73</f>
        <v>7465</v>
      </c>
      <c r="AZ74" s="46" t="n">
        <f aca="false">AZ69+AZ70+AZ71+AZ72+AZ73</f>
        <v>7465</v>
      </c>
      <c r="BA74" s="46" t="n">
        <f aca="false">BA69+BA70+BA71+BA72+BA73</f>
        <v>7465</v>
      </c>
      <c r="BB74" s="46" t="n">
        <f aca="false">BB69+BB70+BB71+BB72+BB73</f>
        <v>7465</v>
      </c>
      <c r="BC74" s="46" t="n">
        <f aca="false">BC69+BC70+BC71+BC72+BC73</f>
        <v>7465</v>
      </c>
      <c r="BD74" s="46" t="n">
        <f aca="false">BD69+BD70+BD71+BD72+BD73</f>
        <v>7465</v>
      </c>
      <c r="BE74" s="46" t="n">
        <f aca="false">BE69+BE70+BE71+BE72+BE73</f>
        <v>7465</v>
      </c>
      <c r="BF74" s="46" t="n">
        <f aca="false">BF69+BF70+BF71+BF72+BF73</f>
        <v>7465</v>
      </c>
      <c r="BG74" s="46" t="n">
        <f aca="false">BG69+BG70+BG71+BG72+BG73</f>
        <v>7465</v>
      </c>
      <c r="BH74" s="46" t="n">
        <f aca="false">BH69+BH70+BH71+BH72+BH73</f>
        <v>7465</v>
      </c>
      <c r="BI74" s="46" t="n">
        <f aca="false">BI69+BI70+BI71+BI72+BI73</f>
        <v>7465</v>
      </c>
      <c r="BJ74" s="46" t="n">
        <f aca="false">BJ69+BJ70+BJ71+BJ72+BJ73</f>
        <v>7465</v>
      </c>
      <c r="BK74" s="46" t="n">
        <f aca="false">BK69+BK70+BK71+BK72+BK73</f>
        <v>7465</v>
      </c>
    </row>
    <row r="75" customFormat="false" ht="15" hidden="false" customHeight="false" outlineLevel="0" collapsed="false">
      <c r="B75" s="5" t="s">
        <v>660</v>
      </c>
    </row>
    <row r="76" customFormat="false" ht="15" hidden="false" customHeight="false" outlineLevel="0" collapsed="false">
      <c r="A76" s="28" t="s">
        <v>661</v>
      </c>
      <c r="B76" s="5" t="s">
        <v>662</v>
      </c>
      <c r="C76" s="43"/>
      <c r="D76" s="45" t="n">
        <f aca="false">D59-D67-D74</f>
        <v>-8965</v>
      </c>
      <c r="E76" s="45" t="n">
        <f aca="false">E59-E67-E74</f>
        <v>-6965</v>
      </c>
      <c r="F76" s="45" t="n">
        <f aca="false">F59-F67-F74</f>
        <v>-8465</v>
      </c>
      <c r="G76" s="45" t="n">
        <f aca="false">G59-G67-G74</f>
        <v>-5465</v>
      </c>
      <c r="H76" s="45" t="n">
        <f aca="false">H59-H67-H74</f>
        <v>-6819.27066666667</v>
      </c>
      <c r="I76" s="45" t="n">
        <f aca="false">I59-I67-I74</f>
        <v>-6031.62809083333</v>
      </c>
      <c r="J76" s="45" t="n">
        <f aca="false">J59-J67-J74</f>
        <v>-5888.24731452083</v>
      </c>
      <c r="K76" s="45" t="n">
        <f aca="false">K59-K67-K74</f>
        <v>-7135.02390780885</v>
      </c>
      <c r="L76" s="45" t="n">
        <f aca="false">L59-L67-L74</f>
        <v>-6256.60329257051</v>
      </c>
      <c r="M76" s="45" t="n">
        <f aca="false">M59-M67-M74</f>
        <v>-6089.97641740317</v>
      </c>
      <c r="N76" s="45" t="n">
        <f aca="false">N59-N67-N74</f>
        <v>-7240.72805357925</v>
      </c>
      <c r="O76" s="45" t="n">
        <f aca="false">O59-O67-O74</f>
        <v>-7731.18403365969</v>
      </c>
      <c r="P76" s="45" t="n">
        <f aca="false">P59-P67-P74</f>
        <v>-7765.6835921474</v>
      </c>
      <c r="Q76" s="45" t="n">
        <f aca="false">Q59-Q67-Q74</f>
        <v>-8748.74454039888</v>
      </c>
      <c r="R76" s="45" t="n">
        <f aca="false">R59-R67-R74</f>
        <v>-9087.95917914841</v>
      </c>
      <c r="S76" s="45" t="n">
        <f aca="false">S59-S67-S74</f>
        <v>-8002.63078160234</v>
      </c>
      <c r="T76" s="45" t="n">
        <f aca="false">T59-T67-T74</f>
        <v>-8953.66246715797</v>
      </c>
      <c r="U76" s="45" t="n">
        <f aca="false">U59-U67-U74</f>
        <v>-9187.53064269997</v>
      </c>
      <c r="V76" s="45" t="n">
        <f aca="false">V59-V67-V74</f>
        <v>-9453.41253374469</v>
      </c>
      <c r="W76" s="45" t="n">
        <f aca="false">W59-W67-W74</f>
        <v>-8994.7963458152</v>
      </c>
      <c r="X76" s="45" t="n">
        <f aca="false">X59-X67-X74</f>
        <v>-8846.73132743095</v>
      </c>
      <c r="Y76" s="45" t="n">
        <f aca="false">Y59-Y67-Y74</f>
        <v>-8894.8072059804</v>
      </c>
      <c r="Z76" s="45" t="n">
        <f aca="false">Z59-Z67-Z74</f>
        <v>-8709.21959338887</v>
      </c>
      <c r="AA76" s="45" t="n">
        <f aca="false">AA59-AA67-AA74</f>
        <v>-8546.35486503619</v>
      </c>
      <c r="AB76" s="45" t="n">
        <f aca="false">AB59-AB67-AB74</f>
        <v>-9343.48846909427</v>
      </c>
      <c r="AC76" s="45" t="n">
        <f aca="false">AC59-AC67-AC74</f>
        <v>-9133.39713378886</v>
      </c>
      <c r="AD76" s="45" t="n">
        <f aca="false">AD59-AD67-AD74</f>
        <v>-8916.85393559062</v>
      </c>
      <c r="AE76" s="45" t="n">
        <f aca="false">AE59-AE67-AE74</f>
        <v>-8669.57379655663</v>
      </c>
      <c r="AF76" s="45" t="n">
        <f aca="false">AF59-AF67-AF74</f>
        <v>-9813.76607395909</v>
      </c>
      <c r="AG76" s="45" t="n">
        <f aca="false">AG59-AG67-AG74</f>
        <v>-8785.93371725</v>
      </c>
      <c r="AH76" s="45" t="n">
        <f aca="false">AH59-AH67-AH74</f>
        <v>-8365.44602343801</v>
      </c>
      <c r="AI76" s="45" t="n">
        <f aca="false">AI59-AI67-AI74</f>
        <v>-9372.29889172671</v>
      </c>
      <c r="AJ76" s="45" t="n">
        <f aca="false">AJ59-AJ67-AJ74</f>
        <v>-8224.44125426146</v>
      </c>
      <c r="AK76" s="45" t="n">
        <f aca="false">AK59-AK67-AK74</f>
        <v>-7537.30438670441</v>
      </c>
      <c r="AL76" s="45" t="n">
        <f aca="false">AL59-AL67-AL74</f>
        <v>-8022.7920979498</v>
      </c>
      <c r="AM76" s="45" t="n">
        <f aca="false">AM59-AM67-AM74</f>
        <v>-6629.49119840982</v>
      </c>
      <c r="AN76" s="46" t="n">
        <f aca="false">AN59-AN67-AN74</f>
        <v>-5849.60245374901</v>
      </c>
      <c r="AO76" s="46" t="n">
        <f aca="false">AO59-AO67-AO74</f>
        <v>-6249.81894355087</v>
      </c>
      <c r="AP76" s="46" t="n">
        <f aca="false">AP59-AP67-AP74</f>
        <v>-4722.27943372578</v>
      </c>
      <c r="AQ76" s="46" t="n">
        <f aca="false">AQ59-AQ67-AQ74</f>
        <v>-4147.60220434566</v>
      </c>
      <c r="AR76" s="46" t="n">
        <f aca="false">AR59-AR67-AR74</f>
        <v>-4774.28004021953</v>
      </c>
      <c r="AS76" s="46" t="n">
        <f aca="false">AS59-AS67-AS74</f>
        <v>-3474.29152851966</v>
      </c>
      <c r="AT76" s="46" t="n">
        <f aca="false">AT59-AT67-AT74</f>
        <v>-2888.9826525084</v>
      </c>
      <c r="AU76" s="46" t="n">
        <f aca="false">AU59-AU67-AU74</f>
        <v>-3506.71222493813</v>
      </c>
      <c r="AV76" s="46" t="n">
        <f aca="false">AV59-AV67-AV74</f>
        <v>-2199.25076394396</v>
      </c>
      <c r="AW76" s="46" t="n">
        <f aca="false">AW59-AW67-AW74</f>
        <v>-1607.77822705984</v>
      </c>
      <c r="AX76" s="46" t="n">
        <f aca="false">AX59-AX67-AX74</f>
        <v>-2220.51701719777</v>
      </c>
      <c r="AY76" s="46" t="n">
        <f aca="false">AY59-AY67-AY74</f>
        <v>-958.509885372702</v>
      </c>
      <c r="AZ76" s="46" t="n">
        <f aca="false">AZ59-AZ67-AZ74</f>
        <v>-361.092388514315</v>
      </c>
      <c r="BA76" s="46" t="n">
        <f aca="false">BA59-BA67-BA74</f>
        <v>-977.669786505335</v>
      </c>
      <c r="BB76" s="46" t="n">
        <f aca="false">BB59-BB67-BB74</f>
        <v>337.632597883641</v>
      </c>
      <c r="BC76" s="46" t="n">
        <f aca="false">BC59-BC67-BC74</f>
        <v>960.637449648297</v>
      </c>
      <c r="BD76" s="46" t="n">
        <f aca="false">BD59-BD67-BD74</f>
        <v>344.529995475481</v>
      </c>
      <c r="BE76" s="46" t="n">
        <f aca="false">BE59-BE67-BE74</f>
        <v>1659.28295105906</v>
      </c>
      <c r="BF76" s="46" t="n">
        <f aca="false">BF59-BF67-BF74</f>
        <v>2280.85901351881</v>
      </c>
      <c r="BG76" s="46" t="n">
        <f aca="false">BG59-BG67-BG74</f>
        <v>1662.55390443968</v>
      </c>
      <c r="BH76" s="46" t="n">
        <f aca="false">BH59-BH67-BH74</f>
        <v>2974.43018339714</v>
      </c>
      <c r="BI76" s="46" t="n">
        <f aca="false">BI59-BI67-BI74</f>
        <v>3592.52561146181</v>
      </c>
      <c r="BJ76" s="46" t="n">
        <f aca="false">BJ59-BJ67-BJ74</f>
        <v>2970.20011047355</v>
      </c>
      <c r="BK76" s="46" t="n">
        <f aca="false">BK59-BK67-BK74</f>
        <v>4226.56964271736</v>
      </c>
    </row>
    <row r="77" customFormat="false" ht="15" hidden="false" customHeight="false" outlineLevel="0" collapsed="false">
      <c r="A77" s="28" t="s">
        <v>663</v>
      </c>
      <c r="B77" s="5" t="s">
        <v>664</v>
      </c>
      <c r="C77" s="50" t="n">
        <f aca="false">Assumptions!$E$9</f>
        <v>0</v>
      </c>
      <c r="D77" s="45" t="n">
        <f aca="false">C77+D76</f>
        <v>-8965</v>
      </c>
      <c r="E77" s="45" t="n">
        <f aca="false">D77+E76</f>
        <v>-15930</v>
      </c>
      <c r="F77" s="45" t="n">
        <f aca="false">E77+F76</f>
        <v>-24395</v>
      </c>
      <c r="G77" s="45" t="n">
        <f aca="false">F77+G76</f>
        <v>-29860</v>
      </c>
      <c r="H77" s="45" t="n">
        <f aca="false">G77+H76</f>
        <v>-36679.2706666667</v>
      </c>
      <c r="I77" s="45" t="n">
        <f aca="false">H77+I76</f>
        <v>-42710.8987575</v>
      </c>
      <c r="J77" s="45" t="n">
        <f aca="false">I77+J76</f>
        <v>-48599.1460720208</v>
      </c>
      <c r="K77" s="45" t="n">
        <f aca="false">J77+K76</f>
        <v>-55734.1699798297</v>
      </c>
      <c r="L77" s="45" t="n">
        <f aca="false">K77+L76</f>
        <v>-61990.7732724002</v>
      </c>
      <c r="M77" s="45" t="n">
        <f aca="false">L77+M76</f>
        <v>-68080.7496898034</v>
      </c>
      <c r="N77" s="45" t="n">
        <f aca="false">M77+N76</f>
        <v>-75321.4777433826</v>
      </c>
      <c r="O77" s="45" t="n">
        <f aca="false">N77+O76</f>
        <v>-83052.6617770423</v>
      </c>
      <c r="P77" s="45" t="n">
        <f aca="false">O77+P76</f>
        <v>-90818.3453691897</v>
      </c>
      <c r="Q77" s="45" t="n">
        <f aca="false">P77+Q76</f>
        <v>-99567.0899095886</v>
      </c>
      <c r="R77" s="45" t="n">
        <f aca="false">Q77+R76</f>
        <v>-108655.049088737</v>
      </c>
      <c r="S77" s="45" t="n">
        <f aca="false">R77+S76</f>
        <v>-116657.679870339</v>
      </c>
      <c r="T77" s="45" t="n">
        <f aca="false">S77+T76</f>
        <v>-125611.342337497</v>
      </c>
      <c r="U77" s="45" t="n">
        <f aca="false">T77+U76</f>
        <v>-134798.872980197</v>
      </c>
      <c r="V77" s="45" t="n">
        <f aca="false">U77+V76</f>
        <v>-144252.285513942</v>
      </c>
      <c r="W77" s="45" t="n">
        <f aca="false">V77+W76</f>
        <v>-153247.081859757</v>
      </c>
      <c r="X77" s="45" t="n">
        <f aca="false">W77+X76</f>
        <v>-162093.813187188</v>
      </c>
      <c r="Y77" s="45" t="n">
        <f aca="false">X77+Y76</f>
        <v>-170988.620393169</v>
      </c>
      <c r="Z77" s="45" t="n">
        <f aca="false">Y77+Z76</f>
        <v>-179697.839986557</v>
      </c>
      <c r="AA77" s="45" t="n">
        <f aca="false">Z77+AA76</f>
        <v>-188244.194851594</v>
      </c>
      <c r="AB77" s="45" t="n">
        <f aca="false">AA77+AB76</f>
        <v>-197587.683320688</v>
      </c>
      <c r="AC77" s="45" t="n">
        <f aca="false">AB77+AC76</f>
        <v>-206721.080454477</v>
      </c>
      <c r="AD77" s="45" t="n">
        <f aca="false">AC77+AD76</f>
        <v>-215637.934390067</v>
      </c>
      <c r="AE77" s="45" t="n">
        <f aca="false">AD77+AE76</f>
        <v>-224307.508186624</v>
      </c>
      <c r="AF77" s="45" t="n">
        <f aca="false">AE77+AF76</f>
        <v>-234121.274260583</v>
      </c>
      <c r="AG77" s="45" t="n">
        <f aca="false">AF77+AG76</f>
        <v>-242907.207977833</v>
      </c>
      <c r="AH77" s="45" t="n">
        <f aca="false">AG77+AH76</f>
        <v>-251272.654001271</v>
      </c>
      <c r="AI77" s="45" t="n">
        <f aca="false">AH77+AI76</f>
        <v>-260644.952892998</v>
      </c>
      <c r="AJ77" s="45" t="n">
        <f aca="false">AI77+AJ76</f>
        <v>-268869.394147259</v>
      </c>
      <c r="AK77" s="45" t="n">
        <f aca="false">AJ77+AK76</f>
        <v>-276406.698533964</v>
      </c>
      <c r="AL77" s="45" t="n">
        <f aca="false">AK77+AL76</f>
        <v>-284429.490631913</v>
      </c>
      <c r="AM77" s="45" t="n">
        <f aca="false">AL77+AM76</f>
        <v>-291058.981830323</v>
      </c>
      <c r="AN77" s="46" t="n">
        <f aca="false">AM77+AN76</f>
        <v>-296908.584284072</v>
      </c>
      <c r="AO77" s="46" t="n">
        <f aca="false">AN77+AO76</f>
        <v>-303158.403227623</v>
      </c>
      <c r="AP77" s="46" t="n">
        <f aca="false">AO77+AP76</f>
        <v>-307880.682661349</v>
      </c>
      <c r="AQ77" s="46" t="n">
        <f aca="false">AP77+AQ76</f>
        <v>-312028.284865695</v>
      </c>
      <c r="AR77" s="46" t="n">
        <f aca="false">AQ77+AR76</f>
        <v>-316802.564905914</v>
      </c>
      <c r="AS77" s="46" t="n">
        <f aca="false">AR77+AS76</f>
        <v>-320276.856434434</v>
      </c>
      <c r="AT77" s="46" t="n">
        <f aca="false">AS77+AT76</f>
        <v>-323165.839086942</v>
      </c>
      <c r="AU77" s="46" t="n">
        <f aca="false">AT77+AU76</f>
        <v>-326672.55131188</v>
      </c>
      <c r="AV77" s="46" t="n">
        <f aca="false">AU77+AV76</f>
        <v>-328871.802075824</v>
      </c>
      <c r="AW77" s="46" t="n">
        <f aca="false">AV77+AW76</f>
        <v>-330479.580302884</v>
      </c>
      <c r="AX77" s="46" t="n">
        <f aca="false">AW77+AX76</f>
        <v>-332700.097320082</v>
      </c>
      <c r="AY77" s="46" t="n">
        <f aca="false">AX77+AY76</f>
        <v>-333658.607205455</v>
      </c>
      <c r="AZ77" s="46" t="n">
        <f aca="false">AY77+AZ76</f>
        <v>-334019.699593969</v>
      </c>
      <c r="BA77" s="46" t="n">
        <f aca="false">AZ77+BA76</f>
        <v>-334997.369380474</v>
      </c>
      <c r="BB77" s="46" t="n">
        <f aca="false">BA77+BB76</f>
        <v>-334659.736782591</v>
      </c>
      <c r="BC77" s="46" t="n">
        <f aca="false">BB77+BC76</f>
        <v>-333699.099332942</v>
      </c>
      <c r="BD77" s="46" t="n">
        <f aca="false">BC77+BD76</f>
        <v>-333354.569337467</v>
      </c>
      <c r="BE77" s="46" t="n">
        <f aca="false">BD77+BE76</f>
        <v>-331695.286386408</v>
      </c>
      <c r="BF77" s="46" t="n">
        <f aca="false">BE77+BF76</f>
        <v>-329414.427372889</v>
      </c>
      <c r="BG77" s="46" t="n">
        <f aca="false">BF77+BG76</f>
        <v>-327751.873468449</v>
      </c>
      <c r="BH77" s="46" t="n">
        <f aca="false">BG77+BH76</f>
        <v>-324777.443285052</v>
      </c>
      <c r="BI77" s="46" t="n">
        <f aca="false">BH77+BI76</f>
        <v>-321184.917673591</v>
      </c>
      <c r="BJ77" s="46" t="n">
        <f aca="false">BI77+BJ76</f>
        <v>-318214.717563117</v>
      </c>
      <c r="BK77" s="46" t="n">
        <f aca="false">BJ77+BK76</f>
        <v>-313988.1479204</v>
      </c>
    </row>
    <row r="78" customFormat="false" ht="15" hidden="false" customHeight="false" outlineLevel="0" collapsed="false">
      <c r="A78" s="28" t="s">
        <v>665</v>
      </c>
      <c r="B78" s="6" t="s">
        <v>666</v>
      </c>
      <c r="C78" s="43"/>
      <c r="D78" s="17" t="n">
        <f aca="false">D39*Assumptions!$E$49+D39/Assumptions!$E$48*Assumptions!$E$50</f>
        <v>0</v>
      </c>
      <c r="E78" s="17" t="n">
        <f aca="false">E39*Assumptions!$E$49+E39/Assumptions!$E$48*Assumptions!$E$50</f>
        <v>0</v>
      </c>
      <c r="F78" s="17" t="n">
        <f aca="false">F39*Assumptions!$E$49+F39/Assumptions!$E$48*Assumptions!$E$50</f>
        <v>0</v>
      </c>
      <c r="G78" s="17" t="n">
        <f aca="false">G39*Assumptions!$E$49+G39/Assumptions!$E$48*Assumptions!$E$50</f>
        <v>0</v>
      </c>
      <c r="H78" s="17" t="n">
        <f aca="false">H39*Assumptions!$E$49+H39/Assumptions!$E$48*Assumptions!$E$50</f>
        <v>0</v>
      </c>
      <c r="I78" s="17" t="n">
        <f aca="false">I39*Assumptions!$E$49+I39/Assumptions!$E$48*Assumptions!$E$50</f>
        <v>0</v>
      </c>
      <c r="J78" s="17" t="n">
        <f aca="false">J39*Assumptions!$E$49+J39/Assumptions!$E$48*Assumptions!$E$50</f>
        <v>0</v>
      </c>
      <c r="K78" s="17" t="n">
        <f aca="false">K39*Assumptions!$E$49+K39/Assumptions!$E$48*Assumptions!$E$50</f>
        <v>0</v>
      </c>
      <c r="L78" s="17" t="n">
        <f aca="false">L39*Assumptions!$E$49+L39/Assumptions!$E$48*Assumptions!$E$50</f>
        <v>0</v>
      </c>
      <c r="M78" s="17" t="n">
        <f aca="false">M39*Assumptions!$E$49+M39/Assumptions!$E$48*Assumptions!$E$50</f>
        <v>0</v>
      </c>
      <c r="N78" s="17" t="n">
        <f aca="false">N39*Assumptions!$E$49+N39/Assumptions!$E$48*Assumptions!$E$50</f>
        <v>0</v>
      </c>
      <c r="O78" s="17" t="n">
        <f aca="false">O39*Assumptions!$E$49+O39/Assumptions!$E$48*Assumptions!$E$50</f>
        <v>0</v>
      </c>
      <c r="P78" s="17" t="n">
        <f aca="false">P39*Assumptions!$E$49+P39/Assumptions!$E$48*Assumptions!$E$50</f>
        <v>51.8204846554384</v>
      </c>
      <c r="Q78" s="17" t="n">
        <f aca="false">Q39*Assumptions!$E$49+Q39/Assumptions!$E$48*Assumptions!$E$50</f>
        <v>108.971252232708</v>
      </c>
      <c r="R78" s="17" t="n">
        <f aca="false">R39*Assumptions!$E$49+R39/Assumptions!$E$48*Assumptions!$E$50</f>
        <v>173.437455814394</v>
      </c>
      <c r="S78" s="17" t="n">
        <f aca="false">S39*Assumptions!$E$49+S39/Assumptions!$E$48*Assumptions!$E$50</f>
        <v>241.530275923408</v>
      </c>
      <c r="T78" s="17" t="n">
        <f aca="false">T39*Assumptions!$E$49+T39/Assumptions!$E$48*Assumptions!$E$50</f>
        <v>314.40051106673</v>
      </c>
      <c r="U78" s="17" t="n">
        <f aca="false">U39*Assumptions!$E$49+U39/Assumptions!$E$48*Assumptions!$E$50</f>
        <v>393.282751730966</v>
      </c>
      <c r="V78" s="17" t="n">
        <f aca="false">V39*Assumptions!$E$49+V39/Assumptions!$E$48*Assumptions!$E$50</f>
        <v>479.486180752455</v>
      </c>
      <c r="W78" s="17" t="n">
        <f aca="false">W39*Assumptions!$E$49+W39/Assumptions!$E$48*Assumptions!$E$50</f>
        <v>757.525824700853</v>
      </c>
      <c r="X78" s="17" t="n">
        <f aca="false">X39*Assumptions!$E$49+X39/Assumptions!$E$48*Assumptions!$E$50</f>
        <v>1050.49914128241</v>
      </c>
      <c r="Y78" s="17" t="n">
        <f aca="false">Y39*Assumptions!$E$49+Y39/Assumptions!$E$48*Assumptions!$E$50</f>
        <v>1359.16657364</v>
      </c>
      <c r="Z78" s="17" t="n">
        <f aca="false">Z39*Assumptions!$E$49+Z39/Assumptions!$E$48*Assumptions!$E$50</f>
        <v>1682.32558993161</v>
      </c>
      <c r="AA78" s="17" t="n">
        <f aca="false">AA39*Assumptions!$E$49+AA39/Assumptions!$E$48*Assumptions!$E$50</f>
        <v>2018.86261511766</v>
      </c>
      <c r="AB78" s="17" t="n">
        <f aca="false">AB39*Assumptions!$E$49+AB39/Assumptions!$E$48*Assumptions!$E$50</f>
        <v>2367.74642220577</v>
      </c>
      <c r="AC78" s="17" t="n">
        <f aca="false">AC39*Assumptions!$E$49+AC39/Assumptions!$E$48*Assumptions!$E$50</f>
        <v>2728.02201914761</v>
      </c>
      <c r="AD78" s="17" t="n">
        <f aca="false">AD39*Assumptions!$E$49+AD39/Assumptions!$E$48*Assumptions!$E$50</f>
        <v>3098.80499389742</v>
      </c>
      <c r="AE78" s="17" t="n">
        <f aca="false">AE39*Assumptions!$E$49+AE39/Assumptions!$E$48*Assumptions!$E$50</f>
        <v>3478.80590560147</v>
      </c>
      <c r="AF78" s="17" t="n">
        <f aca="false">AF39*Assumptions!$E$49+AF39/Assumptions!$E$48*Assumptions!$E$50</f>
        <v>3879.06666442558</v>
      </c>
      <c r="AG78" s="17" t="n">
        <f aca="false">AG39*Assumptions!$E$49+AG39/Assumptions!$E$48*Assumptions!$E$50</f>
        <v>4296.48578212133</v>
      </c>
      <c r="AH78" s="17" t="n">
        <f aca="false">AH39*Assumptions!$E$49+AH39/Assumptions!$E$48*Assumptions!$E$50</f>
        <v>4725.859748103</v>
      </c>
      <c r="AI78" s="17" t="n">
        <f aca="false">AI39*Assumptions!$E$49+AI39/Assumptions!$E$48*Assumptions!$E$50</f>
        <v>5175.59187608254</v>
      </c>
      <c r="AJ78" s="17" t="n">
        <f aca="false">AJ39*Assumptions!$E$49+AJ39/Assumptions!$E$48*Assumptions!$E$50</f>
        <v>5640.63979740181</v>
      </c>
      <c r="AK78" s="17" t="n">
        <f aca="false">AK39*Assumptions!$E$49+AK39/Assumptions!$E$48*Assumptions!$E$50</f>
        <v>6115.43935474685</v>
      </c>
      <c r="AL78" s="17" t="n">
        <f aca="false">AL39*Assumptions!$E$49+AL39/Assumptions!$E$48*Assumptions!$E$50</f>
        <v>6606.18490519716</v>
      </c>
      <c r="AM78" s="17" t="n">
        <f aca="false">AM39*Assumptions!$E$49+AM39/Assumptions!$E$48*Assumptions!$E$50</f>
        <v>7108.17180669129</v>
      </c>
      <c r="AN78" s="44" t="n">
        <f aca="false">AN39*Assumptions!$E$49+AN39/Assumptions!$E$48*Assumptions!$E$50</f>
        <v>7616.14849596716</v>
      </c>
      <c r="AO78" s="44" t="n">
        <f aca="false">AO39*Assumptions!$E$49+AO39/Assumptions!$E$48*Assumptions!$E$50</f>
        <v>8136.59866887457</v>
      </c>
      <c r="AP78" s="44" t="n">
        <f aca="false">AP39*Assumptions!$E$49+AP39/Assumptions!$E$48*Assumptions!$E$50</f>
        <v>8665.08550277121</v>
      </c>
      <c r="AQ78" s="44" t="n">
        <f aca="false">AQ39*Assumptions!$E$49+AQ39/Assumptions!$E$48*Assumptions!$E$50</f>
        <v>9196.60533977634</v>
      </c>
      <c r="AR78" s="44" t="n">
        <f aca="false">AR39*Assumptions!$E$49+AR39/Assumptions!$E$48*Assumptions!$E$50</f>
        <v>9737.87135167863</v>
      </c>
      <c r="AS78" s="44" t="n">
        <f aca="false">AS39*Assumptions!$E$49+AS39/Assumptions!$E$48*Assumptions!$E$50</f>
        <v>10284.1887579592</v>
      </c>
      <c r="AT78" s="44" t="n">
        <f aca="false">AT39*Assumptions!$E$49+AT39/Assumptions!$E$48*Assumptions!$E$50</f>
        <v>10830.7915637911</v>
      </c>
      <c r="AU78" s="44" t="n">
        <f aca="false">AU39*Assumptions!$E$49+AU39/Assumptions!$E$48*Assumptions!$E$50</f>
        <v>11384.6128814537</v>
      </c>
      <c r="AV78" s="44" t="n">
        <f aca="false">AV39*Assumptions!$E$49+AV39/Assumptions!$E$48*Assumptions!$E$50</f>
        <v>11941.1614670907</v>
      </c>
      <c r="AW78" s="44" t="n">
        <f aca="false">AW39*Assumptions!$E$49+AW39/Assumptions!$E$48*Assumptions!$E$50</f>
        <v>12495.8596785667</v>
      </c>
      <c r="AX78" s="44" t="n">
        <f aca="false">AX39*Assumptions!$E$49+AX39/Assumptions!$E$48*Assumptions!$E$50</f>
        <v>13055.8149253313</v>
      </c>
      <c r="AY78" s="44" t="n">
        <f aca="false">AY39*Assumptions!$E$49+AY39/Assumptions!$E$48*Assumptions!$E$50</f>
        <v>13616.697249123</v>
      </c>
      <c r="AZ78" s="44" t="n">
        <f aca="false">AZ39*Assumptions!$E$49+AZ39/Assumptions!$E$48*Assumptions!$E$50</f>
        <v>14174.0782476469</v>
      </c>
      <c r="BA78" s="44" t="n">
        <f aca="false">BA39*Assumptions!$E$49+BA39/Assumptions!$E$48*Assumptions!$E$50</f>
        <v>14735.2034180284</v>
      </c>
      <c r="BB78" s="44" t="n">
        <f aca="false">BB39*Assumptions!$E$49+BB39/Assumptions!$E$48*Assumptions!$E$50</f>
        <v>15295.8705643223</v>
      </c>
      <c r="BC78" s="44" t="n">
        <f aca="false">BC39*Assumptions!$E$49+BC39/Assumptions!$E$48*Assumptions!$E$50</f>
        <v>15851.2991088486</v>
      </c>
      <c r="BD78" s="44" t="n">
        <f aca="false">BD39*Assumptions!$E$49+BD39/Assumptions!$E$48*Assumptions!$E$50</f>
        <v>16408.8849284489</v>
      </c>
      <c r="BE78" s="44" t="n">
        <f aca="false">BE39*Assumptions!$E$49+BE39/Assumptions!$E$48*Assumptions!$E$50</f>
        <v>16964.5648990771</v>
      </c>
      <c r="BF78" s="44" t="n">
        <f aca="false">BF39*Assumptions!$E$49+BF39/Assumptions!$E$48*Assumptions!$E$50</f>
        <v>17513.6870457277</v>
      </c>
      <c r="BG78" s="44" t="n">
        <f aca="false">BG39*Assumptions!$E$49+BG39/Assumptions!$E$48*Assumptions!$E$50</f>
        <v>18063.766154697</v>
      </c>
      <c r="BH78" s="44" t="n">
        <f aca="false">BH39*Assumptions!$E$49+BH39/Assumptions!$E$48*Assumptions!$E$50</f>
        <v>18610.849036302</v>
      </c>
      <c r="BI78" s="44" t="n">
        <f aca="false">BI39*Assumptions!$E$49+BI39/Assumptions!$E$48*Assumptions!$E$50</f>
        <v>19150.3853394127</v>
      </c>
      <c r="BJ78" s="44" t="n">
        <f aca="false">BJ39*Assumptions!$E$49+BJ39/Assumptions!$E$48*Assumptions!$E$50</f>
        <v>19689.9837788171</v>
      </c>
      <c r="BK78" s="44" t="n">
        <f aca="false">BK39*Assumptions!$E$49+BK39/Assumptions!$E$48*Assumptions!$E$50</f>
        <v>20225.7779672627</v>
      </c>
    </row>
    <row r="79" customFormat="false" ht="15" hidden="false" customHeight="false" outlineLevel="0" collapsed="false">
      <c r="B79" s="5" t="s">
        <v>667</v>
      </c>
    </row>
    <row r="80" customFormat="false" ht="15" hidden="false" customHeight="false" outlineLevel="0" collapsed="false">
      <c r="A80" s="28" t="s">
        <v>668</v>
      </c>
      <c r="B80" s="6" t="s">
        <v>669</v>
      </c>
      <c r="C80" s="51"/>
      <c r="D80" s="39" t="n">
        <f aca="false">IF(D76&gt;=0,1,0)</f>
        <v>0</v>
      </c>
      <c r="E80" s="39" t="n">
        <f aca="false">IF(E76&gt;=0,1,0)</f>
        <v>0</v>
      </c>
      <c r="F80" s="39" t="n">
        <f aca="false">IF(F76&gt;=0,1,0)</f>
        <v>0</v>
      </c>
      <c r="G80" s="39" t="n">
        <f aca="false">IF(G76&gt;=0,1,0)</f>
        <v>0</v>
      </c>
      <c r="H80" s="39" t="n">
        <f aca="false">IF(H76&gt;=0,1,0)</f>
        <v>0</v>
      </c>
      <c r="I80" s="39" t="n">
        <f aca="false">IF(I76&gt;=0,1,0)</f>
        <v>0</v>
      </c>
      <c r="J80" s="39" t="n">
        <f aca="false">IF(J76&gt;=0,1,0)</f>
        <v>0</v>
      </c>
      <c r="K80" s="39" t="n">
        <f aca="false">IF(K76&gt;=0,1,0)</f>
        <v>0</v>
      </c>
      <c r="L80" s="39" t="n">
        <f aca="false">IF(L76&gt;=0,1,0)</f>
        <v>0</v>
      </c>
      <c r="M80" s="39" t="n">
        <f aca="false">IF(M76&gt;=0,1,0)</f>
        <v>0</v>
      </c>
      <c r="N80" s="39" t="n">
        <f aca="false">IF(N76&gt;=0,1,0)</f>
        <v>0</v>
      </c>
      <c r="O80" s="39" t="n">
        <f aca="false">IF(O76&gt;=0,1,0)</f>
        <v>0</v>
      </c>
      <c r="P80" s="39" t="n">
        <f aca="false">IF(P76&gt;=0,1,0)</f>
        <v>0</v>
      </c>
      <c r="Q80" s="39" t="n">
        <f aca="false">IF(Q76&gt;=0,1,0)</f>
        <v>0</v>
      </c>
      <c r="R80" s="39" t="n">
        <f aca="false">IF(R76&gt;=0,1,0)</f>
        <v>0</v>
      </c>
      <c r="S80" s="39" t="n">
        <f aca="false">IF(S76&gt;=0,1,0)</f>
        <v>0</v>
      </c>
      <c r="T80" s="39" t="n">
        <f aca="false">IF(T76&gt;=0,1,0)</f>
        <v>0</v>
      </c>
      <c r="U80" s="39" t="n">
        <f aca="false">IF(U76&gt;=0,1,0)</f>
        <v>0</v>
      </c>
      <c r="V80" s="39" t="n">
        <f aca="false">IF(V76&gt;=0,1,0)</f>
        <v>0</v>
      </c>
      <c r="W80" s="39" t="n">
        <f aca="false">IF(W76&gt;=0,1,0)</f>
        <v>0</v>
      </c>
      <c r="X80" s="39" t="n">
        <f aca="false">IF(X76&gt;=0,1,0)</f>
        <v>0</v>
      </c>
      <c r="Y80" s="39" t="n">
        <f aca="false">IF(Y76&gt;=0,1,0)</f>
        <v>0</v>
      </c>
      <c r="Z80" s="39" t="n">
        <f aca="false">IF(Z76&gt;=0,1,0)</f>
        <v>0</v>
      </c>
      <c r="AA80" s="39" t="n">
        <f aca="false">IF(AA76&gt;=0,1,0)</f>
        <v>0</v>
      </c>
      <c r="AB80" s="39" t="n">
        <f aca="false">IF(AB76&gt;=0,1,0)</f>
        <v>0</v>
      </c>
      <c r="AC80" s="39" t="n">
        <f aca="false">IF(AC76&gt;=0,1,0)</f>
        <v>0</v>
      </c>
      <c r="AD80" s="39" t="n">
        <f aca="false">IF(AD76&gt;=0,1,0)</f>
        <v>0</v>
      </c>
      <c r="AE80" s="39" t="n">
        <f aca="false">IF(AE76&gt;=0,1,0)</f>
        <v>0</v>
      </c>
      <c r="AF80" s="39" t="n">
        <f aca="false">IF(AF76&gt;=0,1,0)</f>
        <v>0</v>
      </c>
      <c r="AG80" s="39" t="n">
        <f aca="false">IF(AG76&gt;=0,1,0)</f>
        <v>0</v>
      </c>
      <c r="AH80" s="39" t="n">
        <f aca="false">IF(AH76&gt;=0,1,0)</f>
        <v>0</v>
      </c>
      <c r="AI80" s="39" t="n">
        <f aca="false">IF(AI76&gt;=0,1,0)</f>
        <v>0</v>
      </c>
      <c r="AJ80" s="39" t="n">
        <f aca="false">IF(AJ76&gt;=0,1,0)</f>
        <v>0</v>
      </c>
      <c r="AK80" s="39" t="n">
        <f aca="false">IF(AK76&gt;=0,1,0)</f>
        <v>0</v>
      </c>
      <c r="AL80" s="39" t="n">
        <f aca="false">IF(AL76&gt;=0,1,0)</f>
        <v>0</v>
      </c>
      <c r="AM80" s="39" t="n">
        <f aca="false">IF(AM76&gt;=0,1,0)</f>
        <v>0</v>
      </c>
      <c r="AN80" s="40" t="n">
        <f aca="false">IF(AN76&gt;=0,1,0)</f>
        <v>0</v>
      </c>
      <c r="AO80" s="40" t="n">
        <f aca="false">IF(AO76&gt;=0,1,0)</f>
        <v>0</v>
      </c>
      <c r="AP80" s="40" t="n">
        <f aca="false">IF(AP76&gt;=0,1,0)</f>
        <v>0</v>
      </c>
      <c r="AQ80" s="40" t="n">
        <f aca="false">IF(AQ76&gt;=0,1,0)</f>
        <v>0</v>
      </c>
      <c r="AR80" s="40" t="n">
        <f aca="false">IF(AR76&gt;=0,1,0)</f>
        <v>0</v>
      </c>
      <c r="AS80" s="40" t="n">
        <f aca="false">IF(AS76&gt;=0,1,0)</f>
        <v>0</v>
      </c>
      <c r="AT80" s="40" t="n">
        <f aca="false">IF(AT76&gt;=0,1,0)</f>
        <v>0</v>
      </c>
      <c r="AU80" s="40" t="n">
        <f aca="false">IF(AU76&gt;=0,1,0)</f>
        <v>0</v>
      </c>
      <c r="AV80" s="40" t="n">
        <f aca="false">IF(AV76&gt;=0,1,0)</f>
        <v>0</v>
      </c>
      <c r="AW80" s="40" t="n">
        <f aca="false">IF(AW76&gt;=0,1,0)</f>
        <v>0</v>
      </c>
      <c r="AX80" s="40" t="n">
        <f aca="false">IF(AX76&gt;=0,1,0)</f>
        <v>0</v>
      </c>
      <c r="AY80" s="40" t="n">
        <f aca="false">IF(AY76&gt;=0,1,0)</f>
        <v>0</v>
      </c>
      <c r="AZ80" s="40" t="n">
        <f aca="false">IF(AZ76&gt;=0,1,0)</f>
        <v>0</v>
      </c>
      <c r="BA80" s="40" t="n">
        <f aca="false">IF(BA76&gt;=0,1,0)</f>
        <v>0</v>
      </c>
      <c r="BB80" s="40" t="n">
        <f aca="false">IF(BB76&gt;=0,1,0)</f>
        <v>1</v>
      </c>
      <c r="BC80" s="40" t="n">
        <f aca="false">IF(BC76&gt;=0,1,0)</f>
        <v>1</v>
      </c>
      <c r="BD80" s="40" t="n">
        <f aca="false">IF(BD76&gt;=0,1,0)</f>
        <v>1</v>
      </c>
      <c r="BE80" s="40" t="n">
        <f aca="false">IF(BE76&gt;=0,1,0)</f>
        <v>1</v>
      </c>
      <c r="BF80" s="40" t="n">
        <f aca="false">IF(BF76&gt;=0,1,0)</f>
        <v>1</v>
      </c>
      <c r="BG80" s="40" t="n">
        <f aca="false">IF(BG76&gt;=0,1,0)</f>
        <v>1</v>
      </c>
      <c r="BH80" s="40" t="n">
        <f aca="false">IF(BH76&gt;=0,1,0)</f>
        <v>1</v>
      </c>
      <c r="BI80" s="40" t="n">
        <f aca="false">IF(BI76&gt;=0,1,0)</f>
        <v>1</v>
      </c>
      <c r="BJ80" s="40" t="n">
        <f aca="false">IF(BJ76&gt;=0,1,0)</f>
        <v>1</v>
      </c>
      <c r="BK80" s="40" t="n">
        <f aca="false">IF(BK76&gt;=0,1,0)</f>
        <v>1</v>
      </c>
    </row>
    <row r="81" customFormat="false" ht="15" hidden="false" customHeight="false" outlineLevel="0" collapsed="false">
      <c r="A81" s="28" t="s">
        <v>670</v>
      </c>
      <c r="B81" s="6" t="s">
        <v>671</v>
      </c>
      <c r="C81" s="51"/>
      <c r="D81" s="39" t="n">
        <f aca="false">IF(AND(D80=1,E81=1),1,0)</f>
        <v>0</v>
      </c>
      <c r="E81" s="39" t="n">
        <f aca="false">IF(AND(E80=1,F81=1),1,0)</f>
        <v>0</v>
      </c>
      <c r="F81" s="39" t="n">
        <f aca="false">IF(AND(F80=1,G81=1),1,0)</f>
        <v>0</v>
      </c>
      <c r="G81" s="39" t="n">
        <f aca="false">IF(AND(G80=1,H81=1),1,0)</f>
        <v>0</v>
      </c>
      <c r="H81" s="39" t="n">
        <f aca="false">IF(AND(H80=1,I81=1),1,0)</f>
        <v>0</v>
      </c>
      <c r="I81" s="39" t="n">
        <f aca="false">IF(AND(I80=1,J81=1),1,0)</f>
        <v>0</v>
      </c>
      <c r="J81" s="39" t="n">
        <f aca="false">IF(AND(J80=1,K81=1),1,0)</f>
        <v>0</v>
      </c>
      <c r="K81" s="39" t="n">
        <f aca="false">IF(AND(K80=1,L81=1),1,0)</f>
        <v>0</v>
      </c>
      <c r="L81" s="39" t="n">
        <f aca="false">IF(AND(L80=1,M81=1),1,0)</f>
        <v>0</v>
      </c>
      <c r="M81" s="39" t="n">
        <f aca="false">IF(AND(M80=1,N81=1),1,0)</f>
        <v>0</v>
      </c>
      <c r="N81" s="39" t="n">
        <f aca="false">IF(AND(N80=1,O81=1),1,0)</f>
        <v>0</v>
      </c>
      <c r="O81" s="39" t="n">
        <f aca="false">IF(AND(O80=1,P81=1),1,0)</f>
        <v>0</v>
      </c>
      <c r="P81" s="39" t="n">
        <f aca="false">IF(AND(P80=1,Q81=1),1,0)</f>
        <v>0</v>
      </c>
      <c r="Q81" s="39" t="n">
        <f aca="false">IF(AND(Q80=1,R81=1),1,0)</f>
        <v>0</v>
      </c>
      <c r="R81" s="39" t="n">
        <f aca="false">IF(AND(R80=1,S81=1),1,0)</f>
        <v>0</v>
      </c>
      <c r="S81" s="39" t="n">
        <f aca="false">IF(AND(S80=1,T81=1),1,0)</f>
        <v>0</v>
      </c>
      <c r="T81" s="39" t="n">
        <f aca="false">IF(AND(T80=1,U81=1),1,0)</f>
        <v>0</v>
      </c>
      <c r="U81" s="39" t="n">
        <f aca="false">IF(AND(U80=1,V81=1),1,0)</f>
        <v>0</v>
      </c>
      <c r="V81" s="39" t="n">
        <f aca="false">IF(AND(V80=1,W81=1),1,0)</f>
        <v>0</v>
      </c>
      <c r="W81" s="39" t="n">
        <f aca="false">IF(AND(W80=1,X81=1),1,0)</f>
        <v>0</v>
      </c>
      <c r="X81" s="39" t="n">
        <f aca="false">IF(AND(X80=1,Y81=1),1,0)</f>
        <v>0</v>
      </c>
      <c r="Y81" s="39" t="n">
        <f aca="false">IF(AND(Y80=1,Z81=1),1,0)</f>
        <v>0</v>
      </c>
      <c r="Z81" s="39" t="n">
        <f aca="false">IF(AND(Z80=1,AA81=1),1,0)</f>
        <v>0</v>
      </c>
      <c r="AA81" s="39" t="n">
        <f aca="false">IF(AND(AA80=1,AB81=1),1,0)</f>
        <v>0</v>
      </c>
      <c r="AB81" s="39" t="n">
        <f aca="false">IF(AND(AB80=1,AC81=1),1,0)</f>
        <v>0</v>
      </c>
      <c r="AC81" s="39" t="n">
        <f aca="false">IF(AND(AC80=1,AD81=1),1,0)</f>
        <v>0</v>
      </c>
      <c r="AD81" s="39" t="n">
        <f aca="false">IF(AND(AD80=1,AE81=1),1,0)</f>
        <v>0</v>
      </c>
      <c r="AE81" s="39" t="n">
        <f aca="false">IF(AND(AE80=1,AF81=1),1,0)</f>
        <v>0</v>
      </c>
      <c r="AF81" s="39" t="n">
        <f aca="false">IF(AND(AF80=1,AG81=1),1,0)</f>
        <v>0</v>
      </c>
      <c r="AG81" s="39" t="n">
        <f aca="false">IF(AND(AG80=1,AH81=1),1,0)</f>
        <v>0</v>
      </c>
      <c r="AH81" s="39" t="n">
        <f aca="false">IF(AND(AH80=1,AI81=1),1,0)</f>
        <v>0</v>
      </c>
      <c r="AI81" s="39" t="n">
        <f aca="false">IF(AND(AI80=1,AJ81=1),1,0)</f>
        <v>0</v>
      </c>
      <c r="AJ81" s="39" t="n">
        <f aca="false">IF(AND(AJ80=1,AK81=1),1,0)</f>
        <v>0</v>
      </c>
      <c r="AK81" s="39" t="n">
        <f aca="false">IF(AND(AK80=1,AL81=1),1,0)</f>
        <v>0</v>
      </c>
      <c r="AL81" s="39" t="n">
        <f aca="false">IF(AND(AL80=1,AM81=1),1,0)</f>
        <v>0</v>
      </c>
      <c r="AM81" s="39" t="n">
        <f aca="false">AM80</f>
        <v>0</v>
      </c>
    </row>
    <row r="82" customFormat="false" ht="15" hidden="false" customHeight="false" outlineLevel="0" collapsed="false">
      <c r="A82" s="28" t="s">
        <v>672</v>
      </c>
      <c r="B82" s="6" t="s">
        <v>673</v>
      </c>
      <c r="C82" s="51"/>
      <c r="D82" s="39" t="n">
        <f aca="false">IF(AND(D80=1,E82=1),1,0)</f>
        <v>0</v>
      </c>
      <c r="E82" s="39" t="n">
        <f aca="false">IF(AND(E80=1,F82=1),1,0)</f>
        <v>0</v>
      </c>
      <c r="F82" s="39" t="n">
        <f aca="false">IF(AND(F80=1,G82=1),1,0)</f>
        <v>0</v>
      </c>
      <c r="G82" s="39" t="n">
        <f aca="false">IF(AND(G80=1,H82=1),1,0)</f>
        <v>0</v>
      </c>
      <c r="H82" s="39" t="n">
        <f aca="false">IF(AND(H80=1,I82=1),1,0)</f>
        <v>0</v>
      </c>
      <c r="I82" s="39" t="n">
        <f aca="false">IF(AND(I80=1,J82=1),1,0)</f>
        <v>0</v>
      </c>
      <c r="J82" s="39" t="n">
        <f aca="false">IF(AND(J80=1,K82=1),1,0)</f>
        <v>0</v>
      </c>
      <c r="K82" s="39" t="n">
        <f aca="false">IF(AND(K80=1,L82=1),1,0)</f>
        <v>0</v>
      </c>
      <c r="L82" s="39" t="n">
        <f aca="false">IF(AND(L80=1,M82=1),1,0)</f>
        <v>0</v>
      </c>
      <c r="M82" s="39" t="n">
        <f aca="false">IF(AND(M80=1,N82=1),1,0)</f>
        <v>0</v>
      </c>
      <c r="N82" s="39" t="n">
        <f aca="false">IF(AND(N80=1,O82=1),1,0)</f>
        <v>0</v>
      </c>
      <c r="O82" s="39" t="n">
        <f aca="false">IF(AND(O80=1,P82=1),1,0)</f>
        <v>0</v>
      </c>
      <c r="P82" s="39" t="n">
        <f aca="false">IF(AND(P80=1,Q82=1),1,0)</f>
        <v>0</v>
      </c>
      <c r="Q82" s="39" t="n">
        <f aca="false">IF(AND(Q80=1,R82=1),1,0)</f>
        <v>0</v>
      </c>
      <c r="R82" s="39" t="n">
        <f aca="false">IF(AND(R80=1,S82=1),1,0)</f>
        <v>0</v>
      </c>
      <c r="S82" s="39" t="n">
        <f aca="false">IF(AND(S80=1,T82=1),1,0)</f>
        <v>0</v>
      </c>
      <c r="T82" s="39" t="n">
        <f aca="false">IF(AND(T80=1,U82=1),1,0)</f>
        <v>0</v>
      </c>
      <c r="U82" s="39" t="n">
        <f aca="false">IF(AND(U80=1,V82=1),1,0)</f>
        <v>0</v>
      </c>
      <c r="V82" s="39" t="n">
        <f aca="false">IF(AND(V80=1,W82=1),1,0)</f>
        <v>0</v>
      </c>
      <c r="W82" s="39" t="n">
        <f aca="false">IF(AND(W80=1,X82=1),1,0)</f>
        <v>0</v>
      </c>
      <c r="X82" s="39" t="n">
        <f aca="false">IF(AND(X80=1,Y82=1),1,0)</f>
        <v>0</v>
      </c>
      <c r="Y82" s="39" t="n">
        <f aca="false">IF(AND(Y80=1,Z82=1),1,0)</f>
        <v>0</v>
      </c>
      <c r="Z82" s="39" t="n">
        <f aca="false">IF(AND(Z80=1,AA82=1),1,0)</f>
        <v>0</v>
      </c>
      <c r="AA82" s="39" t="n">
        <f aca="false">IF(AND(AA80=1,AB82=1),1,0)</f>
        <v>0</v>
      </c>
      <c r="AB82" s="39" t="n">
        <f aca="false">IF(AND(AB80=1,AC82=1),1,0)</f>
        <v>0</v>
      </c>
      <c r="AC82" s="39" t="n">
        <f aca="false">IF(AND(AC80=1,AD82=1),1,0)</f>
        <v>0</v>
      </c>
      <c r="AD82" s="39" t="n">
        <f aca="false">IF(AND(AD80=1,AE82=1),1,0)</f>
        <v>0</v>
      </c>
      <c r="AE82" s="39" t="n">
        <f aca="false">IF(AND(AE80=1,AF82=1),1,0)</f>
        <v>0</v>
      </c>
      <c r="AF82" s="39" t="n">
        <f aca="false">IF(AND(AF80=1,AG82=1),1,0)</f>
        <v>0</v>
      </c>
      <c r="AG82" s="39" t="n">
        <f aca="false">IF(AND(AG80=1,AH82=1),1,0)</f>
        <v>0</v>
      </c>
      <c r="AH82" s="39" t="n">
        <f aca="false">IF(AND(AH80=1,AI82=1),1,0)</f>
        <v>0</v>
      </c>
      <c r="AI82" s="39" t="n">
        <f aca="false">IF(AND(AI80=1,AJ82=1),1,0)</f>
        <v>0</v>
      </c>
      <c r="AJ82" s="39" t="n">
        <f aca="false">IF(AND(AJ80=1,AK82=1),1,0)</f>
        <v>0</v>
      </c>
      <c r="AK82" s="39" t="n">
        <f aca="false">IF(AND(AK80=1,AL82=1),1,0)</f>
        <v>0</v>
      </c>
      <c r="AL82" s="39" t="n">
        <f aca="false">IF(AND(AL80=1,AM82=1),1,0)</f>
        <v>0</v>
      </c>
      <c r="AM82" s="39" t="n">
        <f aca="false">IF(AND(AM80=1,AN82=1),1,0)</f>
        <v>0</v>
      </c>
      <c r="AN82" s="39" t="n">
        <f aca="false">IF(AND(AN80=1,AO82=1),1,0)</f>
        <v>0</v>
      </c>
      <c r="AO82" s="39" t="n">
        <f aca="false">IF(AND(AO80=1,AP82=1),1,0)</f>
        <v>0</v>
      </c>
      <c r="AP82" s="39" t="n">
        <f aca="false">IF(AND(AP80=1,AQ82=1),1,0)</f>
        <v>0</v>
      </c>
      <c r="AQ82" s="39" t="n">
        <f aca="false">IF(AND(AQ80=1,AR82=1),1,0)</f>
        <v>0</v>
      </c>
      <c r="AR82" s="39" t="n">
        <f aca="false">IF(AND(AR80=1,AS82=1),1,0)</f>
        <v>0</v>
      </c>
      <c r="AS82" s="39" t="n">
        <f aca="false">IF(AND(AS80=1,AT82=1),1,0)</f>
        <v>0</v>
      </c>
      <c r="AT82" s="39" t="n">
        <f aca="false">IF(AND(AT80=1,AU82=1),1,0)</f>
        <v>0</v>
      </c>
      <c r="AU82" s="39" t="n">
        <f aca="false">IF(AND(AU80=1,AV82=1),1,0)</f>
        <v>0</v>
      </c>
      <c r="AV82" s="39" t="n">
        <f aca="false">IF(AND(AV80=1,AW82=1),1,0)</f>
        <v>0</v>
      </c>
      <c r="AW82" s="39" t="n">
        <f aca="false">IF(AND(AW80=1,AX82=1),1,0)</f>
        <v>0</v>
      </c>
      <c r="AX82" s="39" t="n">
        <f aca="false">IF(AND(AX80=1,AY82=1),1,0)</f>
        <v>0</v>
      </c>
      <c r="AY82" s="39" t="n">
        <f aca="false">IF(AND(AY80=1,AZ82=1),1,0)</f>
        <v>0</v>
      </c>
      <c r="AZ82" s="39" t="n">
        <f aca="false">IF(AND(AZ80=1,BA82=1),1,0)</f>
        <v>0</v>
      </c>
      <c r="BA82" s="39" t="n">
        <f aca="false">IF(AND(BA80=1,BB82=1),1,0)</f>
        <v>0</v>
      </c>
      <c r="BB82" s="39" t="n">
        <f aca="false">IF(AND(BB80=1,BC82=1),1,0)</f>
        <v>1</v>
      </c>
      <c r="BC82" s="39" t="n">
        <f aca="false">IF(AND(BC80=1,BD82=1),1,0)</f>
        <v>1</v>
      </c>
      <c r="BD82" s="39" t="n">
        <f aca="false">IF(AND(BD80=1,BE82=1),1,0)</f>
        <v>1</v>
      </c>
      <c r="BE82" s="39" t="n">
        <f aca="false">IF(AND(BE80=1,BF82=1),1,0)</f>
        <v>1</v>
      </c>
      <c r="BF82" s="39" t="n">
        <f aca="false">IF(AND(BF80=1,BG82=1),1,0)</f>
        <v>1</v>
      </c>
      <c r="BG82" s="39" t="n">
        <f aca="false">IF(AND(BG80=1,BH82=1),1,0)</f>
        <v>1</v>
      </c>
      <c r="BH82" s="39" t="n">
        <f aca="false">IF(AND(BH80=1,BI82=1),1,0)</f>
        <v>1</v>
      </c>
      <c r="BI82" s="39" t="n">
        <f aca="false">IF(AND(BI80=1,BJ82=1),1,0)</f>
        <v>1</v>
      </c>
      <c r="BJ82" s="39" t="n">
        <f aca="false">IF(AND(BJ80=1,BK82=1),1,0)</f>
        <v>1</v>
      </c>
      <c r="BK82" s="39" t="n">
        <f aca="false">BK80</f>
        <v>1</v>
      </c>
    </row>
    <row r="84" customFormat="false" ht="17.35" hidden="false" customHeight="false" outlineLevel="0" collapsed="false">
      <c r="B84" s="1" t="s">
        <v>674</v>
      </c>
    </row>
    <row r="85" customFormat="false" ht="15" hidden="false" customHeight="false" outlineLevel="0" collapsed="false">
      <c r="B85" s="5" t="s">
        <v>675</v>
      </c>
      <c r="C85" s="52" t="str">
        <f aca="false">IFERROR(MATCH(1,D81:AM81,0),"none")</f>
        <v>none</v>
      </c>
    </row>
    <row r="86" customFormat="false" ht="15" hidden="false" customHeight="false" outlineLevel="0" collapsed="false">
      <c r="B86" s="5" t="s">
        <v>676</v>
      </c>
      <c r="C86" s="52" t="n">
        <f aca="false">IFERROR(MATCH(1,D82:BK82,0),"none")</f>
        <v>51</v>
      </c>
    </row>
    <row r="87" customFormat="false" ht="15" hidden="false" customHeight="false" outlineLevel="0" collapsed="false">
      <c r="B87" s="5" t="s">
        <v>677</v>
      </c>
      <c r="C87" s="52" t="str">
        <f aca="false">IFERROR(MATCH(1,D80:AM80,0),"none")</f>
        <v>none</v>
      </c>
    </row>
    <row r="88" customFormat="false" ht="15" hidden="false" customHeight="false" outlineLevel="0" collapsed="false">
      <c r="B88" s="5" t="s">
        <v>486</v>
      </c>
      <c r="C88" s="53" t="n">
        <f aca="false">-MIN(0,MIN(D77:AM77))</f>
        <v>291058.981830323</v>
      </c>
    </row>
    <row r="89" customFormat="false" ht="15" hidden="false" customHeight="false" outlineLevel="0" collapsed="false">
      <c r="B89" s="5" t="s">
        <v>678</v>
      </c>
      <c r="C89" s="52" t="n">
        <f aca="false">MATCH(MIN(D77:AM77),D77:AM77,0)</f>
        <v>36</v>
      </c>
    </row>
    <row r="90" customFormat="false" ht="15" hidden="false" customHeight="false" outlineLevel="0" collapsed="false">
      <c r="B90" s="5" t="s">
        <v>679</v>
      </c>
      <c r="C90" s="53" t="n">
        <f aca="false">-MIN(0,MIN(D77:BK77))</f>
        <v>334997.369380474</v>
      </c>
    </row>
    <row r="91" customFormat="false" ht="15" hidden="false" customHeight="false" outlineLevel="0" collapsed="false">
      <c r="B91" s="5" t="s">
        <v>489</v>
      </c>
      <c r="C91" s="52" t="n">
        <f aca="false">IFERROR(MATCH(1,D16:AM16,0),"none")</f>
        <v>20</v>
      </c>
    </row>
    <row r="92" customFormat="false" ht="15" hidden="false" customHeight="false" outlineLevel="0" collapsed="false">
      <c r="B92" s="5" t="s">
        <v>490</v>
      </c>
      <c r="C92" s="52" t="n">
        <f aca="false">IFERROR(MATCH(1,D17:AM17,0),"none")</f>
        <v>13</v>
      </c>
    </row>
    <row r="93" customFormat="false" ht="15" hidden="false" customHeight="false" outlineLevel="0" collapsed="false">
      <c r="B93" s="5" t="s">
        <v>680</v>
      </c>
      <c r="C93" s="52" t="n">
        <f aca="false">IFERROR(MATCH(1,D18:AM18,0),"none")</f>
        <v>20</v>
      </c>
    </row>
    <row r="94" customFormat="false" ht="15" hidden="false" customHeight="false" outlineLevel="0" collapsed="false">
      <c r="B94" s="5" t="s">
        <v>492</v>
      </c>
      <c r="C94" s="52" t="n">
        <f aca="false">IFERROR(MATCH(1,D19:AM19,0),"none")</f>
        <v>34</v>
      </c>
    </row>
    <row r="95" customFormat="false" ht="15" hidden="false" customHeight="false" outlineLevel="0" collapsed="false">
      <c r="B95" s="5" t="s">
        <v>493</v>
      </c>
      <c r="C95" s="54" t="n">
        <f aca="false">AM13</f>
        <v>338.946407731599</v>
      </c>
    </row>
    <row r="96" customFormat="false" ht="15" hidden="false" customHeight="false" outlineLevel="0" collapsed="false">
      <c r="B96" s="5" t="s">
        <v>494</v>
      </c>
      <c r="C96" s="54" t="n">
        <f aca="false">AM32</f>
        <v>90.0053576101844</v>
      </c>
    </row>
    <row r="97" customFormat="false" ht="15" hidden="false" customHeight="false" outlineLevel="0" collapsed="false">
      <c r="B97" s="5" t="s">
        <v>495</v>
      </c>
      <c r="C97" s="54" t="n">
        <f aca="false">AM24</f>
        <v>16553.7425473492</v>
      </c>
    </row>
    <row r="98" customFormat="false" ht="15" hidden="false" customHeight="false" outlineLevel="0" collapsed="false">
      <c r="B98" s="5" t="s">
        <v>496</v>
      </c>
      <c r="C98" s="53" t="n">
        <f aca="false">AM46</f>
        <v>10702.3868110042</v>
      </c>
    </row>
    <row r="99" customFormat="false" ht="15" hidden="false" customHeight="false" outlineLevel="0" collapsed="false">
      <c r="B99" s="5" t="s">
        <v>497</v>
      </c>
      <c r="C99" s="53" t="n">
        <f aca="false">AM76</f>
        <v>-6629.49119840982</v>
      </c>
    </row>
    <row r="100" customFormat="false" ht="15" hidden="false" customHeight="false" outlineLevel="0" collapsed="false">
      <c r="B100" s="5" t="s">
        <v>498</v>
      </c>
      <c r="C100" s="53" t="n">
        <f aca="false">SUM(D46:O46)</f>
        <v>0</v>
      </c>
    </row>
    <row r="101" customFormat="false" ht="15" hidden="false" customHeight="false" outlineLevel="0" collapsed="false">
      <c r="B101" s="5" t="s">
        <v>499</v>
      </c>
      <c r="C101" s="53" t="n">
        <f aca="false">SUM(P46:AA46)</f>
        <v>13064.8970513457</v>
      </c>
    </row>
    <row r="102" customFormat="false" ht="15" hidden="false" customHeight="false" outlineLevel="0" collapsed="false">
      <c r="B102" s="5" t="s">
        <v>500</v>
      </c>
      <c r="C102" s="53" t="n">
        <f aca="false">SUM(AB46:AM46)</f>
        <v>80785.7410244381</v>
      </c>
    </row>
    <row r="103" customFormat="false" ht="15" hidden="false" customHeight="false" outlineLevel="0" collapsed="false">
      <c r="B103" s="5" t="s">
        <v>501</v>
      </c>
      <c r="C103" s="53" t="n">
        <f aca="false">SUM(D76:O76)</f>
        <v>-83052.6617770423</v>
      </c>
    </row>
    <row r="104" customFormat="false" ht="15" hidden="false" customHeight="false" outlineLevel="0" collapsed="false">
      <c r="B104" s="5" t="s">
        <v>502</v>
      </c>
      <c r="C104" s="53" t="n">
        <f aca="false">SUM(P76:AA76)</f>
        <v>-105191.533074551</v>
      </c>
    </row>
    <row r="105" customFormat="false" ht="15" hidden="false" customHeight="false" outlineLevel="0" collapsed="false">
      <c r="B105" s="5" t="s">
        <v>503</v>
      </c>
      <c r="C105" s="53" t="n">
        <f aca="false">SUM(AB76:AM76)</f>
        <v>-102814.78697873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6"/>
    <col collapsed="false" customWidth="true" hidden="false" outlineLevel="0" max="63" min="3" style="0" width="11"/>
  </cols>
  <sheetData>
    <row r="1" customFormat="false" ht="17.35" hidden="false" customHeight="false" outlineLevel="0" collapsed="false">
      <c r="A1" s="1" t="s">
        <v>685</v>
      </c>
    </row>
    <row r="2" customFormat="false" ht="15" hidden="false" customHeight="false" outlineLevel="0" collapsed="false">
      <c r="A2" s="3" t="s">
        <v>686</v>
      </c>
    </row>
    <row r="4" customFormat="false" ht="15" hidden="false" customHeight="false" outlineLevel="0" collapsed="false">
      <c r="B4" s="5" t="s">
        <v>532</v>
      </c>
      <c r="C4" s="4" t="n">
        <v>0</v>
      </c>
      <c r="D4" s="4" t="n">
        <v>1</v>
      </c>
      <c r="E4" s="4" t="n">
        <v>2</v>
      </c>
      <c r="F4" s="4" t="n">
        <v>3</v>
      </c>
      <c r="G4" s="4" t="n">
        <v>4</v>
      </c>
      <c r="H4" s="4" t="n">
        <v>5</v>
      </c>
      <c r="I4" s="4" t="n">
        <v>6</v>
      </c>
      <c r="J4" s="4" t="n">
        <v>7</v>
      </c>
      <c r="K4" s="4" t="n">
        <v>8</v>
      </c>
      <c r="L4" s="4" t="n">
        <v>9</v>
      </c>
      <c r="M4" s="4" t="n">
        <v>10</v>
      </c>
      <c r="N4" s="4" t="n">
        <v>11</v>
      </c>
      <c r="O4" s="4" t="n">
        <v>12</v>
      </c>
      <c r="P4" s="4" t="n">
        <v>13</v>
      </c>
      <c r="Q4" s="4" t="n">
        <v>14</v>
      </c>
      <c r="R4" s="4" t="n">
        <v>15</v>
      </c>
      <c r="S4" s="4" t="n">
        <v>16</v>
      </c>
      <c r="T4" s="4" t="n">
        <v>17</v>
      </c>
      <c r="U4" s="4" t="n">
        <v>18</v>
      </c>
      <c r="V4" s="4" t="n">
        <v>19</v>
      </c>
      <c r="W4" s="4" t="n">
        <v>20</v>
      </c>
      <c r="X4" s="4" t="n">
        <v>21</v>
      </c>
      <c r="Y4" s="4" t="n">
        <v>22</v>
      </c>
      <c r="Z4" s="4" t="n">
        <v>23</v>
      </c>
      <c r="AA4" s="4" t="n">
        <v>24</v>
      </c>
      <c r="AB4" s="4" t="n">
        <v>25</v>
      </c>
      <c r="AC4" s="4" t="n">
        <v>26</v>
      </c>
      <c r="AD4" s="4" t="n">
        <v>27</v>
      </c>
      <c r="AE4" s="4" t="n">
        <v>28</v>
      </c>
      <c r="AF4" s="4" t="n">
        <v>29</v>
      </c>
      <c r="AG4" s="4" t="n">
        <v>30</v>
      </c>
      <c r="AH4" s="4" t="n">
        <v>31</v>
      </c>
      <c r="AI4" s="4" t="n">
        <v>32</v>
      </c>
      <c r="AJ4" s="4" t="n">
        <v>33</v>
      </c>
      <c r="AK4" s="4" t="n">
        <v>34</v>
      </c>
      <c r="AL4" s="4" t="n">
        <v>35</v>
      </c>
      <c r="AM4" s="4" t="n">
        <v>36</v>
      </c>
      <c r="AN4" s="19" t="n">
        <v>37</v>
      </c>
      <c r="AO4" s="19" t="n">
        <v>38</v>
      </c>
      <c r="AP4" s="19" t="n">
        <v>39</v>
      </c>
      <c r="AQ4" s="19" t="n">
        <v>40</v>
      </c>
      <c r="AR4" s="19" t="n">
        <v>41</v>
      </c>
      <c r="AS4" s="19" t="n">
        <v>42</v>
      </c>
      <c r="AT4" s="19" t="n">
        <v>43</v>
      </c>
      <c r="AU4" s="19" t="n">
        <v>44</v>
      </c>
      <c r="AV4" s="19" t="n">
        <v>45</v>
      </c>
      <c r="AW4" s="19" t="n">
        <v>46</v>
      </c>
      <c r="AX4" s="19" t="n">
        <v>47</v>
      </c>
      <c r="AY4" s="19" t="n">
        <v>48</v>
      </c>
      <c r="AZ4" s="19" t="n">
        <v>49</v>
      </c>
      <c r="BA4" s="19" t="n">
        <v>50</v>
      </c>
      <c r="BB4" s="19" t="n">
        <v>51</v>
      </c>
      <c r="BC4" s="19" t="n">
        <v>52</v>
      </c>
      <c r="BD4" s="19" t="n">
        <v>53</v>
      </c>
      <c r="BE4" s="19" t="n">
        <v>54</v>
      </c>
      <c r="BF4" s="19" t="n">
        <v>55</v>
      </c>
      <c r="BG4" s="19" t="n">
        <v>56</v>
      </c>
      <c r="BH4" s="19" t="n">
        <v>57</v>
      </c>
      <c r="BI4" s="19" t="n">
        <v>58</v>
      </c>
      <c r="BJ4" s="19" t="n">
        <v>59</v>
      </c>
      <c r="BK4" s="19" t="n">
        <v>60</v>
      </c>
    </row>
    <row r="5" customFormat="false" ht="15" hidden="false" customHeight="false" outlineLevel="0" collapsed="false">
      <c r="B5" s="5" t="s">
        <v>403</v>
      </c>
      <c r="C5" s="5" t="s">
        <v>533</v>
      </c>
      <c r="D5" s="5" t="s">
        <v>404</v>
      </c>
      <c r="E5" s="5" t="s">
        <v>405</v>
      </c>
      <c r="F5" s="5" t="s">
        <v>406</v>
      </c>
      <c r="G5" s="5" t="s">
        <v>407</v>
      </c>
      <c r="H5" s="5" t="s">
        <v>408</v>
      </c>
      <c r="I5" s="5" t="s">
        <v>409</v>
      </c>
      <c r="J5" s="5" t="s">
        <v>410</v>
      </c>
      <c r="K5" s="5" t="s">
        <v>411</v>
      </c>
      <c r="L5" s="5" t="s">
        <v>412</v>
      </c>
      <c r="M5" s="5" t="s">
        <v>413</v>
      </c>
      <c r="N5" s="5" t="s">
        <v>414</v>
      </c>
      <c r="O5" s="5" t="s">
        <v>415</v>
      </c>
      <c r="P5" s="5" t="s">
        <v>416</v>
      </c>
      <c r="Q5" s="5" t="s">
        <v>417</v>
      </c>
      <c r="R5" s="5" t="s">
        <v>418</v>
      </c>
      <c r="S5" s="5" t="s">
        <v>419</v>
      </c>
      <c r="T5" s="5" t="s">
        <v>420</v>
      </c>
      <c r="U5" s="5" t="s">
        <v>421</v>
      </c>
      <c r="V5" s="5" t="s">
        <v>422</v>
      </c>
      <c r="W5" s="5" t="s">
        <v>423</v>
      </c>
      <c r="X5" s="5" t="s">
        <v>424</v>
      </c>
      <c r="Y5" s="5" t="s">
        <v>425</v>
      </c>
      <c r="Z5" s="5" t="s">
        <v>426</v>
      </c>
      <c r="AA5" s="5" t="s">
        <v>427</v>
      </c>
      <c r="AB5" s="5" t="s">
        <v>428</v>
      </c>
      <c r="AC5" s="5" t="s">
        <v>429</v>
      </c>
      <c r="AD5" s="5" t="s">
        <v>430</v>
      </c>
      <c r="AE5" s="5" t="s">
        <v>431</v>
      </c>
      <c r="AF5" s="5" t="s">
        <v>432</v>
      </c>
      <c r="AG5" s="5" t="s">
        <v>433</v>
      </c>
      <c r="AH5" s="5" t="s">
        <v>434</v>
      </c>
      <c r="AI5" s="5" t="s">
        <v>435</v>
      </c>
      <c r="AJ5" s="5" t="s">
        <v>436</v>
      </c>
      <c r="AK5" s="5" t="s">
        <v>437</v>
      </c>
      <c r="AL5" s="5" t="s">
        <v>438</v>
      </c>
      <c r="AM5" s="5" t="s">
        <v>439</v>
      </c>
      <c r="AN5" s="5" t="s">
        <v>440</v>
      </c>
      <c r="AO5" s="5" t="s">
        <v>441</v>
      </c>
      <c r="AP5" s="5" t="s">
        <v>442</v>
      </c>
      <c r="AQ5" s="5" t="s">
        <v>443</v>
      </c>
      <c r="AR5" s="5" t="s">
        <v>444</v>
      </c>
      <c r="AS5" s="5" t="s">
        <v>445</v>
      </c>
      <c r="AT5" s="5" t="s">
        <v>446</v>
      </c>
      <c r="AU5" s="5" t="s">
        <v>447</v>
      </c>
      <c r="AV5" s="5" t="s">
        <v>448</v>
      </c>
      <c r="AW5" s="5" t="s">
        <v>449</v>
      </c>
      <c r="AX5" s="5" t="s">
        <v>450</v>
      </c>
      <c r="AY5" s="5" t="s">
        <v>451</v>
      </c>
      <c r="AZ5" s="5" t="s">
        <v>452</v>
      </c>
      <c r="BA5" s="5" t="s">
        <v>453</v>
      </c>
      <c r="BB5" s="5" t="s">
        <v>454</v>
      </c>
      <c r="BC5" s="5" t="s">
        <v>455</v>
      </c>
      <c r="BD5" s="5" t="s">
        <v>456</v>
      </c>
      <c r="BE5" s="5" t="s">
        <v>457</v>
      </c>
      <c r="BF5" s="5" t="s">
        <v>458</v>
      </c>
      <c r="BG5" s="5" t="s">
        <v>459</v>
      </c>
      <c r="BH5" s="5" t="s">
        <v>460</v>
      </c>
      <c r="BI5" s="5" t="s">
        <v>461</v>
      </c>
      <c r="BJ5" s="5" t="s">
        <v>462</v>
      </c>
      <c r="BK5" s="5" t="s">
        <v>463</v>
      </c>
    </row>
    <row r="6" customFormat="false" ht="15" hidden="false" customHeight="false" outlineLevel="0" collapsed="false">
      <c r="B6" s="5" t="s">
        <v>534</v>
      </c>
    </row>
    <row r="7" customFormat="false" ht="15" hidden="false" customHeight="false" outlineLevel="0" collapsed="false">
      <c r="A7" s="28" t="s">
        <v>535</v>
      </c>
      <c r="B7" s="6" t="s">
        <v>532</v>
      </c>
      <c r="C7" s="29" t="n">
        <v>0</v>
      </c>
      <c r="D7" s="30" t="n">
        <v>1</v>
      </c>
      <c r="E7" s="30" t="n">
        <v>2</v>
      </c>
      <c r="F7" s="30" t="n">
        <v>3</v>
      </c>
      <c r="G7" s="30" t="n">
        <v>4</v>
      </c>
      <c r="H7" s="30" t="n">
        <v>5</v>
      </c>
      <c r="I7" s="30" t="n">
        <v>6</v>
      </c>
      <c r="J7" s="30" t="n">
        <v>7</v>
      </c>
      <c r="K7" s="30" t="n">
        <v>8</v>
      </c>
      <c r="L7" s="30" t="n">
        <v>9</v>
      </c>
      <c r="M7" s="30" t="n">
        <v>10</v>
      </c>
      <c r="N7" s="30" t="n">
        <v>11</v>
      </c>
      <c r="O7" s="30" t="n">
        <v>12</v>
      </c>
      <c r="P7" s="30" t="n">
        <v>13</v>
      </c>
      <c r="Q7" s="30" t="n">
        <v>14</v>
      </c>
      <c r="R7" s="30" t="n">
        <v>15</v>
      </c>
      <c r="S7" s="30" t="n">
        <v>16</v>
      </c>
      <c r="T7" s="30" t="n">
        <v>17</v>
      </c>
      <c r="U7" s="30" t="n">
        <v>18</v>
      </c>
      <c r="V7" s="30" t="n">
        <v>19</v>
      </c>
      <c r="W7" s="30" t="n">
        <v>20</v>
      </c>
      <c r="X7" s="30" t="n">
        <v>21</v>
      </c>
      <c r="Y7" s="30" t="n">
        <v>22</v>
      </c>
      <c r="Z7" s="30" t="n">
        <v>23</v>
      </c>
      <c r="AA7" s="30" t="n">
        <v>24</v>
      </c>
      <c r="AB7" s="30" t="n">
        <v>25</v>
      </c>
      <c r="AC7" s="30" t="n">
        <v>26</v>
      </c>
      <c r="AD7" s="30" t="n">
        <v>27</v>
      </c>
      <c r="AE7" s="30" t="n">
        <v>28</v>
      </c>
      <c r="AF7" s="30" t="n">
        <v>29</v>
      </c>
      <c r="AG7" s="30" t="n">
        <v>30</v>
      </c>
      <c r="AH7" s="30" t="n">
        <v>31</v>
      </c>
      <c r="AI7" s="30" t="n">
        <v>32</v>
      </c>
      <c r="AJ7" s="30" t="n">
        <v>33</v>
      </c>
      <c r="AK7" s="30" t="n">
        <v>34</v>
      </c>
      <c r="AL7" s="30" t="n">
        <v>35</v>
      </c>
      <c r="AM7" s="30" t="n">
        <v>36</v>
      </c>
      <c r="AN7" s="31" t="n">
        <v>37</v>
      </c>
      <c r="AO7" s="31" t="n">
        <v>38</v>
      </c>
      <c r="AP7" s="31" t="n">
        <v>39</v>
      </c>
      <c r="AQ7" s="31" t="n">
        <v>40</v>
      </c>
      <c r="AR7" s="31" t="n">
        <v>41</v>
      </c>
      <c r="AS7" s="31" t="n">
        <v>42</v>
      </c>
      <c r="AT7" s="31" t="n">
        <v>43</v>
      </c>
      <c r="AU7" s="31" t="n">
        <v>44</v>
      </c>
      <c r="AV7" s="31" t="n">
        <v>45</v>
      </c>
      <c r="AW7" s="31" t="n">
        <v>46</v>
      </c>
      <c r="AX7" s="31" t="n">
        <v>47</v>
      </c>
      <c r="AY7" s="31" t="n">
        <v>48</v>
      </c>
      <c r="AZ7" s="31" t="n">
        <v>49</v>
      </c>
      <c r="BA7" s="31" t="n">
        <v>50</v>
      </c>
      <c r="BB7" s="31" t="n">
        <v>51</v>
      </c>
      <c r="BC7" s="31" t="n">
        <v>52</v>
      </c>
      <c r="BD7" s="31" t="n">
        <v>53</v>
      </c>
      <c r="BE7" s="31" t="n">
        <v>54</v>
      </c>
      <c r="BF7" s="31" t="n">
        <v>55</v>
      </c>
      <c r="BG7" s="31" t="n">
        <v>56</v>
      </c>
      <c r="BH7" s="31" t="n">
        <v>57</v>
      </c>
      <c r="BI7" s="31" t="n">
        <v>58</v>
      </c>
      <c r="BJ7" s="31" t="n">
        <v>59</v>
      </c>
      <c r="BK7" s="31" t="n">
        <v>60</v>
      </c>
    </row>
    <row r="8" customFormat="false" ht="15" hidden="false" customHeight="false" outlineLevel="0" collapsed="false">
      <c r="A8" s="28" t="s">
        <v>536</v>
      </c>
      <c r="B8" s="6" t="s">
        <v>537</v>
      </c>
      <c r="C8" s="32" t="n">
        <v>0</v>
      </c>
      <c r="D8" s="23" t="n">
        <f aca="false">Assumptions!C$142</f>
        <v>0</v>
      </c>
      <c r="E8" s="23" t="n">
        <f aca="false">Assumptions!D$142</f>
        <v>0</v>
      </c>
      <c r="F8" s="23" t="n">
        <f aca="false">Assumptions!E$142</f>
        <v>0</v>
      </c>
      <c r="G8" s="23" t="n">
        <f aca="false">Assumptions!F$142</f>
        <v>0</v>
      </c>
      <c r="H8" s="23" t="n">
        <f aca="false">Assumptions!G$142</f>
        <v>1</v>
      </c>
      <c r="I8" s="23" t="n">
        <f aca="false">Assumptions!H$142</f>
        <v>0</v>
      </c>
      <c r="J8" s="23" t="n">
        <f aca="false">Assumptions!I$142</f>
        <v>0</v>
      </c>
      <c r="K8" s="23" t="n">
        <f aca="false">Assumptions!J$142</f>
        <v>1</v>
      </c>
      <c r="L8" s="23" t="n">
        <f aca="false">Assumptions!K$142</f>
        <v>1</v>
      </c>
      <c r="M8" s="23" t="n">
        <f aca="false">Assumptions!L$142</f>
        <v>0</v>
      </c>
      <c r="N8" s="23" t="n">
        <f aca="false">Assumptions!M$142</f>
        <v>1</v>
      </c>
      <c r="O8" s="23" t="n">
        <f aca="false">Assumptions!N$142</f>
        <v>1</v>
      </c>
      <c r="P8" s="23" t="n">
        <f aca="false">Assumptions!O$142</f>
        <v>1</v>
      </c>
      <c r="Q8" s="23" t="n">
        <f aca="false">Assumptions!P$142</f>
        <v>1</v>
      </c>
      <c r="R8" s="23" t="n">
        <f aca="false">Assumptions!Q$142</f>
        <v>1</v>
      </c>
      <c r="S8" s="23" t="n">
        <f aca="false">Assumptions!R$142</f>
        <v>1</v>
      </c>
      <c r="T8" s="23" t="n">
        <f aca="false">Assumptions!S$142</f>
        <v>1</v>
      </c>
      <c r="U8" s="23" t="n">
        <f aca="false">Assumptions!T$142</f>
        <v>1</v>
      </c>
      <c r="V8" s="23" t="n">
        <f aca="false">Assumptions!U$142</f>
        <v>1</v>
      </c>
      <c r="W8" s="23" t="n">
        <f aca="false">Assumptions!V$142</f>
        <v>2</v>
      </c>
      <c r="X8" s="23" t="n">
        <f aca="false">Assumptions!W$142</f>
        <v>1</v>
      </c>
      <c r="Y8" s="23" t="n">
        <f aca="false">Assumptions!X$142</f>
        <v>1</v>
      </c>
      <c r="Z8" s="23" t="n">
        <f aca="false">Assumptions!Y$142</f>
        <v>2</v>
      </c>
      <c r="AA8" s="23" t="n">
        <f aca="false">Assumptions!Z$142</f>
        <v>1</v>
      </c>
      <c r="AB8" s="23" t="n">
        <f aca="false">Assumptions!AA$142</f>
        <v>1</v>
      </c>
      <c r="AC8" s="23" t="n">
        <f aca="false">Assumptions!AB$142</f>
        <v>2</v>
      </c>
      <c r="AD8" s="23" t="n">
        <f aca="false">Assumptions!AC$142</f>
        <v>2</v>
      </c>
      <c r="AE8" s="23" t="n">
        <f aca="false">Assumptions!AD$142</f>
        <v>1</v>
      </c>
      <c r="AF8" s="23" t="n">
        <f aca="false">Assumptions!AE$142</f>
        <v>2</v>
      </c>
      <c r="AG8" s="23" t="n">
        <f aca="false">Assumptions!AF$142</f>
        <v>2</v>
      </c>
      <c r="AH8" s="23" t="n">
        <f aca="false">Assumptions!AG$142</f>
        <v>1</v>
      </c>
      <c r="AI8" s="23" t="n">
        <f aca="false">Assumptions!AH$142</f>
        <v>2</v>
      </c>
      <c r="AJ8" s="23" t="n">
        <f aca="false">Assumptions!AI$142</f>
        <v>2</v>
      </c>
      <c r="AK8" s="23" t="n">
        <f aca="false">Assumptions!AJ$142</f>
        <v>2</v>
      </c>
      <c r="AL8" s="23" t="n">
        <f aca="false">Assumptions!AK$142</f>
        <v>2</v>
      </c>
      <c r="AM8" s="23" t="n">
        <f aca="false">Assumptions!AL$142</f>
        <v>2</v>
      </c>
      <c r="AN8" s="33" t="n">
        <f aca="false">Assumptions!AM$142</f>
        <v>2</v>
      </c>
      <c r="AO8" s="33" t="n">
        <f aca="false">Assumptions!AN$142</f>
        <v>2</v>
      </c>
      <c r="AP8" s="33" t="n">
        <f aca="false">Assumptions!AO$142</f>
        <v>2</v>
      </c>
      <c r="AQ8" s="33" t="n">
        <f aca="false">Assumptions!AP$142</f>
        <v>2</v>
      </c>
      <c r="AR8" s="33" t="n">
        <f aca="false">Assumptions!AQ$142</f>
        <v>2</v>
      </c>
      <c r="AS8" s="33" t="n">
        <f aca="false">Assumptions!AR$142</f>
        <v>2</v>
      </c>
      <c r="AT8" s="33" t="n">
        <f aca="false">Assumptions!AS$142</f>
        <v>2</v>
      </c>
      <c r="AU8" s="33" t="n">
        <f aca="false">Assumptions!AT$142</f>
        <v>2</v>
      </c>
      <c r="AV8" s="33" t="n">
        <f aca="false">Assumptions!AU$142</f>
        <v>2</v>
      </c>
      <c r="AW8" s="33" t="n">
        <f aca="false">Assumptions!AV$142</f>
        <v>2</v>
      </c>
      <c r="AX8" s="33" t="n">
        <f aca="false">Assumptions!AW$142</f>
        <v>2</v>
      </c>
      <c r="AY8" s="33" t="n">
        <f aca="false">Assumptions!AX$142</f>
        <v>2</v>
      </c>
      <c r="AZ8" s="33" t="n">
        <f aca="false">Assumptions!AY$142</f>
        <v>2</v>
      </c>
      <c r="BA8" s="33" t="n">
        <f aca="false">Assumptions!AZ$142</f>
        <v>2</v>
      </c>
      <c r="BB8" s="33" t="n">
        <f aca="false">Assumptions!BA$142</f>
        <v>2</v>
      </c>
      <c r="BC8" s="33" t="n">
        <f aca="false">Assumptions!BB$142</f>
        <v>2</v>
      </c>
      <c r="BD8" s="33" t="n">
        <f aca="false">Assumptions!BC$142</f>
        <v>2</v>
      </c>
      <c r="BE8" s="33" t="n">
        <f aca="false">Assumptions!BD$142</f>
        <v>2</v>
      </c>
      <c r="BF8" s="33" t="n">
        <f aca="false">Assumptions!BE$142</f>
        <v>2</v>
      </c>
      <c r="BG8" s="33" t="n">
        <f aca="false">Assumptions!BF$142</f>
        <v>2</v>
      </c>
      <c r="BH8" s="33" t="n">
        <f aca="false">Assumptions!BG$142</f>
        <v>2</v>
      </c>
      <c r="BI8" s="33" t="n">
        <f aca="false">Assumptions!BH$142</f>
        <v>2</v>
      </c>
      <c r="BJ8" s="33" t="n">
        <f aca="false">Assumptions!BI$142</f>
        <v>2</v>
      </c>
      <c r="BK8" s="33" t="n">
        <f aca="false">Assumptions!BJ$142</f>
        <v>2</v>
      </c>
    </row>
    <row r="9" customFormat="false" ht="15" hidden="false" customHeight="false" outlineLevel="0" collapsed="false">
      <c r="A9" s="28" t="s">
        <v>538</v>
      </c>
      <c r="B9" s="6" t="s">
        <v>539</v>
      </c>
      <c r="C9" s="32" t="n">
        <v>0</v>
      </c>
      <c r="D9" s="34" t="n">
        <f aca="false">C9+D8</f>
        <v>0</v>
      </c>
      <c r="E9" s="34" t="n">
        <f aca="false">D9+E8</f>
        <v>0</v>
      </c>
      <c r="F9" s="34" t="n">
        <f aca="false">E9+F8</f>
        <v>0</v>
      </c>
      <c r="G9" s="34" t="n">
        <f aca="false">F9+G8</f>
        <v>0</v>
      </c>
      <c r="H9" s="34" t="n">
        <f aca="false">G9+H8</f>
        <v>1</v>
      </c>
      <c r="I9" s="34" t="n">
        <f aca="false">H9+I8</f>
        <v>1</v>
      </c>
      <c r="J9" s="34" t="n">
        <f aca="false">I9+J8</f>
        <v>1</v>
      </c>
      <c r="K9" s="34" t="n">
        <f aca="false">J9+K8</f>
        <v>2</v>
      </c>
      <c r="L9" s="34" t="n">
        <f aca="false">K9+L8</f>
        <v>3</v>
      </c>
      <c r="M9" s="34" t="n">
        <f aca="false">L9+M8</f>
        <v>3</v>
      </c>
      <c r="N9" s="34" t="n">
        <f aca="false">M9+N8</f>
        <v>4</v>
      </c>
      <c r="O9" s="34" t="n">
        <f aca="false">N9+O8</f>
        <v>5</v>
      </c>
      <c r="P9" s="34" t="n">
        <f aca="false">O9+P8</f>
        <v>6</v>
      </c>
      <c r="Q9" s="34" t="n">
        <f aca="false">P9+Q8</f>
        <v>7</v>
      </c>
      <c r="R9" s="34" t="n">
        <f aca="false">Q9+R8</f>
        <v>8</v>
      </c>
      <c r="S9" s="34" t="n">
        <f aca="false">R9+S8</f>
        <v>9</v>
      </c>
      <c r="T9" s="34" t="n">
        <f aca="false">S9+T8</f>
        <v>10</v>
      </c>
      <c r="U9" s="34" t="n">
        <f aca="false">T9+U8</f>
        <v>11</v>
      </c>
      <c r="V9" s="34" t="n">
        <f aca="false">U9+V8</f>
        <v>12</v>
      </c>
      <c r="W9" s="34" t="n">
        <f aca="false">V9+W8</f>
        <v>14</v>
      </c>
      <c r="X9" s="34" t="n">
        <f aca="false">W9+X8</f>
        <v>15</v>
      </c>
      <c r="Y9" s="34" t="n">
        <f aca="false">X9+Y8</f>
        <v>16</v>
      </c>
      <c r="Z9" s="34" t="n">
        <f aca="false">Y9+Z8</f>
        <v>18</v>
      </c>
      <c r="AA9" s="34" t="n">
        <f aca="false">Z9+AA8</f>
        <v>19</v>
      </c>
      <c r="AB9" s="34" t="n">
        <f aca="false">AA9+AB8</f>
        <v>20</v>
      </c>
      <c r="AC9" s="34" t="n">
        <f aca="false">AB9+AC8</f>
        <v>22</v>
      </c>
      <c r="AD9" s="34" t="n">
        <f aca="false">AC9+AD8</f>
        <v>24</v>
      </c>
      <c r="AE9" s="34" t="n">
        <f aca="false">AD9+AE8</f>
        <v>25</v>
      </c>
      <c r="AF9" s="34" t="n">
        <f aca="false">AE9+AF8</f>
        <v>27</v>
      </c>
      <c r="AG9" s="34" t="n">
        <f aca="false">AF9+AG8</f>
        <v>29</v>
      </c>
      <c r="AH9" s="34" t="n">
        <f aca="false">AG9+AH8</f>
        <v>30</v>
      </c>
      <c r="AI9" s="34" t="n">
        <f aca="false">AH9+AI8</f>
        <v>32</v>
      </c>
      <c r="AJ9" s="34" t="n">
        <f aca="false">AI9+AJ8</f>
        <v>34</v>
      </c>
      <c r="AK9" s="34" t="n">
        <f aca="false">AJ9+AK8</f>
        <v>36</v>
      </c>
      <c r="AL9" s="34" t="n">
        <f aca="false">AK9+AL8</f>
        <v>38</v>
      </c>
      <c r="AM9" s="34" t="n">
        <f aca="false">AL9+AM8</f>
        <v>40</v>
      </c>
      <c r="AN9" s="35" t="n">
        <f aca="false">AM9+AN8</f>
        <v>42</v>
      </c>
      <c r="AO9" s="35" t="n">
        <f aca="false">AN9+AO8</f>
        <v>44</v>
      </c>
      <c r="AP9" s="35" t="n">
        <f aca="false">AO9+AP8</f>
        <v>46</v>
      </c>
      <c r="AQ9" s="35" t="n">
        <f aca="false">AP9+AQ8</f>
        <v>48</v>
      </c>
      <c r="AR9" s="35" t="n">
        <f aca="false">AQ9+AR8</f>
        <v>50</v>
      </c>
      <c r="AS9" s="35" t="n">
        <f aca="false">AR9+AS8</f>
        <v>52</v>
      </c>
      <c r="AT9" s="35" t="n">
        <f aca="false">AS9+AT8</f>
        <v>54</v>
      </c>
      <c r="AU9" s="35" t="n">
        <f aca="false">AT9+AU8</f>
        <v>56</v>
      </c>
      <c r="AV9" s="35" t="n">
        <f aca="false">AU9+AV8</f>
        <v>58</v>
      </c>
      <c r="AW9" s="35" t="n">
        <f aca="false">AV9+AW8</f>
        <v>60</v>
      </c>
      <c r="AX9" s="35" t="n">
        <f aca="false">AW9+AX8</f>
        <v>62</v>
      </c>
      <c r="AY9" s="35" t="n">
        <f aca="false">AX9+AY8</f>
        <v>64</v>
      </c>
      <c r="AZ9" s="35" t="n">
        <f aca="false">AY9+AZ8</f>
        <v>66</v>
      </c>
      <c r="BA9" s="35" t="n">
        <f aca="false">AZ9+BA8</f>
        <v>68</v>
      </c>
      <c r="BB9" s="35" t="n">
        <f aca="false">BA9+BB8</f>
        <v>70</v>
      </c>
      <c r="BC9" s="35" t="n">
        <f aca="false">BB9+BC8</f>
        <v>72</v>
      </c>
      <c r="BD9" s="35" t="n">
        <f aca="false">BC9+BD8</f>
        <v>74</v>
      </c>
      <c r="BE9" s="35" t="n">
        <f aca="false">BD9+BE8</f>
        <v>76</v>
      </c>
      <c r="BF9" s="35" t="n">
        <f aca="false">BE9+BF8</f>
        <v>78</v>
      </c>
      <c r="BG9" s="35" t="n">
        <f aca="false">BF9+BG8</f>
        <v>80</v>
      </c>
      <c r="BH9" s="35" t="n">
        <f aca="false">BG9+BH8</f>
        <v>82</v>
      </c>
      <c r="BI9" s="35" t="n">
        <f aca="false">BH9+BI8</f>
        <v>84</v>
      </c>
      <c r="BJ9" s="35" t="n">
        <f aca="false">BI9+BJ8</f>
        <v>86</v>
      </c>
      <c r="BK9" s="35" t="n">
        <f aca="false">BJ9+BK8</f>
        <v>88</v>
      </c>
    </row>
    <row r="10" customFormat="false" ht="15" hidden="false" customHeight="false" outlineLevel="0" collapsed="false">
      <c r="A10" s="28" t="s">
        <v>540</v>
      </c>
      <c r="B10" s="6" t="s">
        <v>541</v>
      </c>
      <c r="C10" s="32" t="n">
        <v>0</v>
      </c>
      <c r="D10" s="34" t="n">
        <f aca="false">IF(D7&gt;Assumptions!$F$79,INDEX($D$9:$BK$9,D7-Assumptions!$F$79),0)</f>
        <v>0</v>
      </c>
      <c r="E10" s="34" t="n">
        <f aca="false">IF(E7&gt;Assumptions!$F$79,INDEX($D$9:$BK$9,E7-Assumptions!$F$79),0)</f>
        <v>0</v>
      </c>
      <c r="F10" s="34" t="n">
        <f aca="false">IF(F7&gt;Assumptions!$F$79,INDEX($D$9:$BK$9,F7-Assumptions!$F$79),0)</f>
        <v>0</v>
      </c>
      <c r="G10" s="34" t="n">
        <f aca="false">IF(G7&gt;Assumptions!$F$79,INDEX($D$9:$BK$9,G7-Assumptions!$F$79),0)</f>
        <v>0</v>
      </c>
      <c r="H10" s="34" t="n">
        <f aca="false">IF(H7&gt;Assumptions!$F$79,INDEX($D$9:$BK$9,H7-Assumptions!$F$79),0)</f>
        <v>0</v>
      </c>
      <c r="I10" s="34" t="n">
        <f aca="false">IF(I7&gt;Assumptions!$F$79,INDEX($D$9:$BK$9,I7-Assumptions!$F$79),0)</f>
        <v>0</v>
      </c>
      <c r="J10" s="34" t="n">
        <f aca="false">IF(J7&gt;Assumptions!$F$79,INDEX($D$9:$BK$9,J7-Assumptions!$F$79),0)</f>
        <v>0</v>
      </c>
      <c r="K10" s="34" t="n">
        <f aca="false">IF(K7&gt;Assumptions!$F$79,INDEX($D$9:$BK$9,K7-Assumptions!$F$79),0)</f>
        <v>0</v>
      </c>
      <c r="L10" s="34" t="n">
        <f aca="false">IF(L7&gt;Assumptions!$F$79,INDEX($D$9:$BK$9,L7-Assumptions!$F$79),0)</f>
        <v>0</v>
      </c>
      <c r="M10" s="34" t="n">
        <f aca="false">IF(M7&gt;Assumptions!$F$79,INDEX($D$9:$BK$9,M7-Assumptions!$F$79),0)</f>
        <v>0</v>
      </c>
      <c r="N10" s="34" t="n">
        <f aca="false">IF(N7&gt;Assumptions!$F$79,INDEX($D$9:$BK$9,N7-Assumptions!$F$79),0)</f>
        <v>1</v>
      </c>
      <c r="O10" s="34" t="n">
        <f aca="false">IF(O7&gt;Assumptions!$F$79,INDEX($D$9:$BK$9,O7-Assumptions!$F$79),0)</f>
        <v>1</v>
      </c>
      <c r="P10" s="34" t="n">
        <f aca="false">IF(P7&gt;Assumptions!$F$79,INDEX($D$9:$BK$9,P7-Assumptions!$F$79),0)</f>
        <v>1</v>
      </c>
      <c r="Q10" s="34" t="n">
        <f aca="false">IF(Q7&gt;Assumptions!$F$79,INDEX($D$9:$BK$9,Q7-Assumptions!$F$79),0)</f>
        <v>2</v>
      </c>
      <c r="R10" s="34" t="n">
        <f aca="false">IF(R7&gt;Assumptions!$F$79,INDEX($D$9:$BK$9,R7-Assumptions!$F$79),0)</f>
        <v>3</v>
      </c>
      <c r="S10" s="34" t="n">
        <f aca="false">IF(S7&gt;Assumptions!$F$79,INDEX($D$9:$BK$9,S7-Assumptions!$F$79),0)</f>
        <v>3</v>
      </c>
      <c r="T10" s="34" t="n">
        <f aca="false">IF(T7&gt;Assumptions!$F$79,INDEX($D$9:$BK$9,T7-Assumptions!$F$79),0)</f>
        <v>4</v>
      </c>
      <c r="U10" s="34" t="n">
        <f aca="false">IF(U7&gt;Assumptions!$F$79,INDEX($D$9:$BK$9,U7-Assumptions!$F$79),0)</f>
        <v>5</v>
      </c>
      <c r="V10" s="34" t="n">
        <f aca="false">IF(V7&gt;Assumptions!$F$79,INDEX($D$9:$BK$9,V7-Assumptions!$F$79),0)</f>
        <v>6</v>
      </c>
      <c r="W10" s="34" t="n">
        <f aca="false">IF(W7&gt;Assumptions!$F$79,INDEX($D$9:$BK$9,W7-Assumptions!$F$79),0)</f>
        <v>7</v>
      </c>
      <c r="X10" s="34" t="n">
        <f aca="false">IF(X7&gt;Assumptions!$F$79,INDEX($D$9:$BK$9,X7-Assumptions!$F$79),0)</f>
        <v>8</v>
      </c>
      <c r="Y10" s="34" t="n">
        <f aca="false">IF(Y7&gt;Assumptions!$F$79,INDEX($D$9:$BK$9,Y7-Assumptions!$F$79),0)</f>
        <v>9</v>
      </c>
      <c r="Z10" s="34" t="n">
        <f aca="false">IF(Z7&gt;Assumptions!$F$79,INDEX($D$9:$BK$9,Z7-Assumptions!$F$79),0)</f>
        <v>10</v>
      </c>
      <c r="AA10" s="34" t="n">
        <f aca="false">IF(AA7&gt;Assumptions!$F$79,INDEX($D$9:$BK$9,AA7-Assumptions!$F$79),0)</f>
        <v>11</v>
      </c>
      <c r="AB10" s="34" t="n">
        <f aca="false">IF(AB7&gt;Assumptions!$F$79,INDEX($D$9:$BK$9,AB7-Assumptions!$F$79),0)</f>
        <v>12</v>
      </c>
      <c r="AC10" s="34" t="n">
        <f aca="false">IF(AC7&gt;Assumptions!$F$79,INDEX($D$9:$BK$9,AC7-Assumptions!$F$79),0)</f>
        <v>14</v>
      </c>
      <c r="AD10" s="34" t="n">
        <f aca="false">IF(AD7&gt;Assumptions!$F$79,INDEX($D$9:$BK$9,AD7-Assumptions!$F$79),0)</f>
        <v>15</v>
      </c>
      <c r="AE10" s="34" t="n">
        <f aca="false">IF(AE7&gt;Assumptions!$F$79,INDEX($D$9:$BK$9,AE7-Assumptions!$F$79),0)</f>
        <v>16</v>
      </c>
      <c r="AF10" s="34" t="n">
        <f aca="false">IF(AF7&gt;Assumptions!$F$79,INDEX($D$9:$BK$9,AF7-Assumptions!$F$79),0)</f>
        <v>18</v>
      </c>
      <c r="AG10" s="34" t="n">
        <f aca="false">IF(AG7&gt;Assumptions!$F$79,INDEX($D$9:$BK$9,AG7-Assumptions!$F$79),0)</f>
        <v>19</v>
      </c>
      <c r="AH10" s="34" t="n">
        <f aca="false">IF(AH7&gt;Assumptions!$F$79,INDEX($D$9:$BK$9,AH7-Assumptions!$F$79),0)</f>
        <v>20</v>
      </c>
      <c r="AI10" s="34" t="n">
        <f aca="false">IF(AI7&gt;Assumptions!$F$79,INDEX($D$9:$BK$9,AI7-Assumptions!$F$79),0)</f>
        <v>22</v>
      </c>
      <c r="AJ10" s="34" t="n">
        <f aca="false">IF(AJ7&gt;Assumptions!$F$79,INDEX($D$9:$BK$9,AJ7-Assumptions!$F$79),0)</f>
        <v>24</v>
      </c>
      <c r="AK10" s="34" t="n">
        <f aca="false">IF(AK7&gt;Assumptions!$F$79,INDEX($D$9:$BK$9,AK7-Assumptions!$F$79),0)</f>
        <v>25</v>
      </c>
      <c r="AL10" s="34" t="n">
        <f aca="false">IF(AL7&gt;Assumptions!$F$79,INDEX($D$9:$BK$9,AL7-Assumptions!$F$79),0)</f>
        <v>27</v>
      </c>
      <c r="AM10" s="34" t="n">
        <f aca="false">IF(AM7&gt;Assumptions!$F$79,INDEX($D$9:$BK$9,AM7-Assumptions!$F$79),0)</f>
        <v>29</v>
      </c>
      <c r="AN10" s="35" t="n">
        <f aca="false">IF(AN7&gt;Assumptions!$F$79,INDEX($D$9:$BK$9,AN7-Assumptions!$F$79),0)</f>
        <v>30</v>
      </c>
      <c r="AO10" s="35" t="n">
        <f aca="false">IF(AO7&gt;Assumptions!$F$79,INDEX($D$9:$BK$9,AO7-Assumptions!$F$79),0)</f>
        <v>32</v>
      </c>
      <c r="AP10" s="35" t="n">
        <f aca="false">IF(AP7&gt;Assumptions!$F$79,INDEX($D$9:$BK$9,AP7-Assumptions!$F$79),0)</f>
        <v>34</v>
      </c>
      <c r="AQ10" s="35" t="n">
        <f aca="false">IF(AQ7&gt;Assumptions!$F$79,INDEX($D$9:$BK$9,AQ7-Assumptions!$F$79),0)</f>
        <v>36</v>
      </c>
      <c r="AR10" s="35" t="n">
        <f aca="false">IF(AR7&gt;Assumptions!$F$79,INDEX($D$9:$BK$9,AR7-Assumptions!$F$79),0)</f>
        <v>38</v>
      </c>
      <c r="AS10" s="35" t="n">
        <f aca="false">IF(AS7&gt;Assumptions!$F$79,INDEX($D$9:$BK$9,AS7-Assumptions!$F$79),0)</f>
        <v>40</v>
      </c>
      <c r="AT10" s="35" t="n">
        <f aca="false">IF(AT7&gt;Assumptions!$F$79,INDEX($D$9:$BK$9,AT7-Assumptions!$F$79),0)</f>
        <v>42</v>
      </c>
      <c r="AU10" s="35" t="n">
        <f aca="false">IF(AU7&gt;Assumptions!$F$79,INDEX($D$9:$BK$9,AU7-Assumptions!$F$79),0)</f>
        <v>44</v>
      </c>
      <c r="AV10" s="35" t="n">
        <f aca="false">IF(AV7&gt;Assumptions!$F$79,INDEX($D$9:$BK$9,AV7-Assumptions!$F$79),0)</f>
        <v>46</v>
      </c>
      <c r="AW10" s="35" t="n">
        <f aca="false">IF(AW7&gt;Assumptions!$F$79,INDEX($D$9:$BK$9,AW7-Assumptions!$F$79),0)</f>
        <v>48</v>
      </c>
      <c r="AX10" s="35" t="n">
        <f aca="false">IF(AX7&gt;Assumptions!$F$79,INDEX($D$9:$BK$9,AX7-Assumptions!$F$79),0)</f>
        <v>50</v>
      </c>
      <c r="AY10" s="35" t="n">
        <f aca="false">IF(AY7&gt;Assumptions!$F$79,INDEX($D$9:$BK$9,AY7-Assumptions!$F$79),0)</f>
        <v>52</v>
      </c>
      <c r="AZ10" s="35" t="n">
        <f aca="false">IF(AZ7&gt;Assumptions!$F$79,INDEX($D$9:$BK$9,AZ7-Assumptions!$F$79),0)</f>
        <v>54</v>
      </c>
      <c r="BA10" s="35" t="n">
        <f aca="false">IF(BA7&gt;Assumptions!$F$79,INDEX($D$9:$BK$9,BA7-Assumptions!$F$79),0)</f>
        <v>56</v>
      </c>
      <c r="BB10" s="35" t="n">
        <f aca="false">IF(BB7&gt;Assumptions!$F$79,INDEX($D$9:$BK$9,BB7-Assumptions!$F$79),0)</f>
        <v>58</v>
      </c>
      <c r="BC10" s="35" t="n">
        <f aca="false">IF(BC7&gt;Assumptions!$F$79,INDEX($D$9:$BK$9,BC7-Assumptions!$F$79),0)</f>
        <v>60</v>
      </c>
      <c r="BD10" s="35" t="n">
        <f aca="false">IF(BD7&gt;Assumptions!$F$79,INDEX($D$9:$BK$9,BD7-Assumptions!$F$79),0)</f>
        <v>62</v>
      </c>
      <c r="BE10" s="35" t="n">
        <f aca="false">IF(BE7&gt;Assumptions!$F$79,INDEX($D$9:$BK$9,BE7-Assumptions!$F$79),0)</f>
        <v>64</v>
      </c>
      <c r="BF10" s="35" t="n">
        <f aca="false">IF(BF7&gt;Assumptions!$F$79,INDEX($D$9:$BK$9,BF7-Assumptions!$F$79),0)</f>
        <v>66</v>
      </c>
      <c r="BG10" s="35" t="n">
        <f aca="false">IF(BG7&gt;Assumptions!$F$79,INDEX($D$9:$BK$9,BG7-Assumptions!$F$79),0)</f>
        <v>68</v>
      </c>
      <c r="BH10" s="35" t="n">
        <f aca="false">IF(BH7&gt;Assumptions!$F$79,INDEX($D$9:$BK$9,BH7-Assumptions!$F$79),0)</f>
        <v>70</v>
      </c>
      <c r="BI10" s="35" t="n">
        <f aca="false">IF(BI7&gt;Assumptions!$F$79,INDEX($D$9:$BK$9,BI7-Assumptions!$F$79),0)</f>
        <v>72</v>
      </c>
      <c r="BJ10" s="35" t="n">
        <f aca="false">IF(BJ7&gt;Assumptions!$F$79,INDEX($D$9:$BK$9,BJ7-Assumptions!$F$79),0)</f>
        <v>74</v>
      </c>
      <c r="BK10" s="35" t="n">
        <f aca="false">IF(BK7&gt;Assumptions!$F$79,INDEX($D$9:$BK$9,BK7-Assumptions!$F$79),0)</f>
        <v>76</v>
      </c>
    </row>
    <row r="11" customFormat="false" ht="15" hidden="false" customHeight="false" outlineLevel="0" collapsed="false">
      <c r="A11" s="28" t="s">
        <v>542</v>
      </c>
      <c r="B11" s="6" t="s">
        <v>543</v>
      </c>
      <c r="C11" s="36" t="n">
        <v>0</v>
      </c>
      <c r="D11" s="26" t="n">
        <f aca="false">Assumptions!$F$10*(D8*Assumptions!$F$111)</f>
        <v>0</v>
      </c>
      <c r="E11" s="26" t="n">
        <f aca="false">Assumptions!$F$10*(E8*Assumptions!$F$111+D8*Assumptions!$F$112)</f>
        <v>0</v>
      </c>
      <c r="F11" s="26" t="n">
        <f aca="false">Assumptions!$F$10*(F8*Assumptions!$F$111+E8*Assumptions!$F$112+D8*Assumptions!$F$113)</f>
        <v>0</v>
      </c>
      <c r="G11" s="26" t="n">
        <f aca="false">Assumptions!$F$10*(G8*Assumptions!$F$111+F8*Assumptions!$F$112+E8*Assumptions!$F$113+D8*Assumptions!$F$114)</f>
        <v>0</v>
      </c>
      <c r="H11" s="26" t="n">
        <f aca="false">Assumptions!$F$10*(H8*Assumptions!$F$111+G8*Assumptions!$F$112+F8*Assumptions!$F$113+E8*Assumptions!$F$114+D8*Assumptions!$F$115)</f>
        <v>6.8</v>
      </c>
      <c r="I11" s="26" t="n">
        <f aca="false">Assumptions!$F$10*(I8*Assumptions!$F$111+H8*Assumptions!$F$112+G8*Assumptions!$F$113+F8*Assumptions!$F$114+E8*Assumptions!$F$115+D8*Assumptions!$F$116)</f>
        <v>5.984</v>
      </c>
      <c r="J11" s="26" t="n">
        <f aca="false">Assumptions!$F$10*(J8*Assumptions!$F$111+I8*Assumptions!$F$112+H8*Assumptions!$F$113+G8*Assumptions!$F$114+F8*Assumptions!$F$115+E8*Assumptions!$F$116+D8*Assumptions!$F$117)</f>
        <v>4.08</v>
      </c>
      <c r="K11" s="26" t="n">
        <f aca="false">Assumptions!$F$10*(K8*Assumptions!$F$111+J8*Assumptions!$F$112+I8*Assumptions!$F$113+H8*Assumptions!$F$114+G8*Assumptions!$F$115+F8*Assumptions!$F$116+E8*Assumptions!$F$117+D8*Assumptions!$F$118)</f>
        <v>9.52</v>
      </c>
      <c r="L11" s="26" t="n">
        <f aca="false">Assumptions!$F$10*(L8*Assumptions!$F$111+K8*Assumptions!$F$112+J8*Assumptions!$F$113+I8*Assumptions!$F$114+H8*Assumptions!$F$115+G8*Assumptions!$F$116+F8*Assumptions!$F$117+E8*Assumptions!$F$118+D8*Assumptions!$F$119)</f>
        <v>14.416</v>
      </c>
      <c r="M11" s="26" t="n">
        <f aca="false">Assumptions!$F$10*(M8*Assumptions!$F$111+L8*Assumptions!$F$112+K8*Assumptions!$F$113+J8*Assumptions!$F$114+I8*Assumptions!$F$115+H8*Assumptions!$F$116+G8*Assumptions!$F$117+F8*Assumptions!$F$118+E8*Assumptions!$F$119+D8*Assumptions!$F$120)</f>
        <v>11.424</v>
      </c>
      <c r="N11" s="26" t="n">
        <f aca="false">Assumptions!$F$10*(N8*Assumptions!$F$111+M8*Assumptions!$F$112+L8*Assumptions!$F$113+K8*Assumptions!$F$114+J8*Assumptions!$F$115+I8*Assumptions!$F$116+H8*Assumptions!$F$117+G8*Assumptions!$F$118+F8*Assumptions!$F$119+E8*Assumptions!$F$120+D8*Assumptions!$F$121)</f>
        <v>13.872</v>
      </c>
      <c r="O11" s="26" t="n">
        <f aca="false">Assumptions!$F$10*(O8*Assumptions!$F$111+N8*Assumptions!$F$112+M8*Assumptions!$F$113+L8*Assumptions!$F$114+K8*Assumptions!$F$115+J8*Assumptions!$F$116+I8*Assumptions!$F$117+H8*Assumptions!$F$118+G8*Assumptions!$F$119+F8*Assumptions!$F$120+E8*Assumptions!$F$121+D8*Assumptions!$F$122)</f>
        <v>17.408</v>
      </c>
      <c r="P11" s="26" t="n">
        <f aca="false">Assumptions!$F$10*(P8*Assumptions!$F$111+O8*Assumptions!$F$112+N8*Assumptions!$F$113+M8*Assumptions!$F$114+L8*Assumptions!$F$115+K8*Assumptions!$F$116+J8*Assumptions!$F$117+I8*Assumptions!$F$118+H8*Assumptions!$F$119+G8*Assumptions!$F$120+F8*Assumptions!$F$121+E8*Assumptions!$F$122+D8*Assumptions!$F$123)</f>
        <v>20.128</v>
      </c>
      <c r="Q11" s="26" t="n">
        <f aca="false">Assumptions!$F$10*(Q8*Assumptions!$F$111+P8*Assumptions!$F$112+O8*Assumptions!$F$113+N8*Assumptions!$F$114+M8*Assumptions!$F$115+L8*Assumptions!$F$116+K8*Assumptions!$F$117+J8*Assumptions!$F$118+I8*Assumptions!$F$119+H8*Assumptions!$F$120+G8*Assumptions!$F$121+F8*Assumptions!$F$122+E8*Assumptions!$F$123+D8*Assumptions!$F$124)</f>
        <v>21.488</v>
      </c>
      <c r="R11" s="26" t="n">
        <f aca="false">Assumptions!$F$10*(R8*Assumptions!$F$111+Q8*Assumptions!$F$112+P8*Assumptions!$F$113+O8*Assumptions!$F$114+N8*Assumptions!$F$115+M8*Assumptions!$F$116+L8*Assumptions!$F$117+K8*Assumptions!$F$118+J8*Assumptions!$F$119+I8*Assumptions!$F$120+H8*Assumptions!$F$121+G8*Assumptions!$F$122+F8*Assumptions!$F$123+E8*Assumptions!$F$124+D8*Assumptions!$F$125)</f>
        <v>22.032</v>
      </c>
      <c r="S11" s="26" t="n">
        <f aca="false">Assumptions!$F$10*(S8*Assumptions!$F$111+R8*Assumptions!$F$112+Q8*Assumptions!$F$113+P8*Assumptions!$F$114+O8*Assumptions!$F$115+N8*Assumptions!$F$116+M8*Assumptions!$F$117+L8*Assumptions!$F$118+K8*Assumptions!$F$119+J8*Assumptions!$F$120+I8*Assumptions!$F$121+H8*Assumptions!$F$122+G8*Assumptions!$F$123+F8*Assumptions!$F$124+E8*Assumptions!$F$125+D8*Assumptions!$F$126)</f>
        <v>23.392</v>
      </c>
      <c r="T11" s="26" t="n">
        <f aca="false">Assumptions!$F$10*(T8*Assumptions!$F$111+S8*Assumptions!$F$112+R8*Assumptions!$F$113+Q8*Assumptions!$F$114+P8*Assumptions!$F$115+O8*Assumptions!$F$116+N8*Assumptions!$F$117+M8*Assumptions!$F$118+L8*Assumptions!$F$119+K8*Assumptions!$F$120+J8*Assumptions!$F$121+I8*Assumptions!$F$122+H8*Assumptions!$F$123+G8*Assumptions!$F$124+F8*Assumptions!$F$125+E8*Assumptions!$F$126+D8*Assumptions!$F$127)</f>
        <v>23.664</v>
      </c>
      <c r="U11" s="26" t="n">
        <f aca="false">Assumptions!$F$10*(U8*Assumptions!$F$111+T8*Assumptions!$F$112+S8*Assumptions!$F$113+R8*Assumptions!$F$114+Q8*Assumptions!$F$115+P8*Assumptions!$F$116+O8*Assumptions!$F$117+N8*Assumptions!$F$118+M8*Assumptions!$F$119+L8*Assumptions!$F$120+K8*Assumptions!$F$121+J8*Assumptions!$F$122+I8*Assumptions!$F$123+H8*Assumptions!$F$124+G8*Assumptions!$F$125+F8*Assumptions!$F$126+E8*Assumptions!$F$127+D8*Assumptions!$F$128)</f>
        <v>23.936</v>
      </c>
      <c r="V11" s="26" t="n">
        <f aca="false">Assumptions!$F$10*(V8*Assumptions!$F$111+U8*Assumptions!$F$112+T8*Assumptions!$F$113+S8*Assumptions!$F$114+R8*Assumptions!$F$115+Q8*Assumptions!$F$116+P8*Assumptions!$F$117+O8*Assumptions!$F$118+N8*Assumptions!$F$119+M8*Assumptions!$F$120+L8*Assumptions!$F$121+K8*Assumptions!$F$122+J8*Assumptions!$F$123+I8*Assumptions!$F$124+H8*Assumptions!$F$125+G8*Assumptions!$F$126+F8*Assumptions!$F$127+E8*Assumptions!$F$128+D8*Assumptions!$F$129)</f>
        <v>24.208</v>
      </c>
      <c r="W11" s="26" t="n">
        <f aca="false">Assumptions!$F$10*(W8*Assumptions!$F$111+V8*Assumptions!$F$112+U8*Assumptions!$F$113+T8*Assumptions!$F$114+S8*Assumptions!$F$115+R8*Assumptions!$F$116+Q8*Assumptions!$F$117+P8*Assumptions!$F$118+O8*Assumptions!$F$119+N8*Assumptions!$F$120+M8*Assumptions!$F$121+L8*Assumptions!$F$122+K8*Assumptions!$F$123+J8*Assumptions!$F$124+I8*Assumptions!$F$125+H8*Assumptions!$F$126+G8*Assumptions!$F$127+F8*Assumptions!$F$128+E8*Assumptions!$F$129+D8*Assumptions!$F$130)</f>
        <v>31.28</v>
      </c>
      <c r="X11" s="26" t="n">
        <f aca="false">Assumptions!$F$10*(X8*Assumptions!$F$111+W8*Assumptions!$F$112+V8*Assumptions!$F$113+U8*Assumptions!$F$114+T8*Assumptions!$F$115+S8*Assumptions!$F$116+R8*Assumptions!$F$117+Q8*Assumptions!$F$118+P8*Assumptions!$F$119+O8*Assumptions!$F$120+N8*Assumptions!$F$121+M8*Assumptions!$F$122+L8*Assumptions!$F$123+K8*Assumptions!$F$124+J8*Assumptions!$F$125+I8*Assumptions!$F$126+H8*Assumptions!$F$127+G8*Assumptions!$F$128+F8*Assumptions!$F$129+E8*Assumptions!$F$130+D8*Assumptions!$F$131)</f>
        <v>30.736</v>
      </c>
      <c r="Y11" s="26" t="n">
        <f aca="false">Assumptions!$F$10*(Y8*Assumptions!$F$111+X8*Assumptions!$F$112+W8*Assumptions!$F$113+V8*Assumptions!$F$114+U8*Assumptions!$F$115+T8*Assumptions!$F$116+S8*Assumptions!$F$117+R8*Assumptions!$F$118+Q8*Assumptions!$F$119+P8*Assumptions!$F$120+O8*Assumptions!$F$121+N8*Assumptions!$F$122+M8*Assumptions!$F$123+L8*Assumptions!$F$124+K8*Assumptions!$F$125+J8*Assumptions!$F$126+I8*Assumptions!$F$127+H8*Assumptions!$F$128+G8*Assumptions!$F$129+F8*Assumptions!$F$130+E8*Assumptions!$F$131+D8*Assumptions!$F$132)</f>
        <v>29.104</v>
      </c>
      <c r="Z11" s="26" t="n">
        <f aca="false">Assumptions!$F$10*(Z8*Assumptions!$F$111+Y8*Assumptions!$F$112+X8*Assumptions!$F$113+W8*Assumptions!$F$114+V8*Assumptions!$F$115+U8*Assumptions!$F$116+T8*Assumptions!$F$117+S8*Assumptions!$F$118+R8*Assumptions!$F$119+Q8*Assumptions!$F$120+P8*Assumptions!$F$121+O8*Assumptions!$F$122+N8*Assumptions!$F$123+M8*Assumptions!$F$124+L8*Assumptions!$F$125+K8*Assumptions!$F$126+J8*Assumptions!$F$127+I8*Assumptions!$F$128+H8*Assumptions!$F$129+G8*Assumptions!$F$130+F8*Assumptions!$F$131+E8*Assumptions!$F$132+D8*Assumptions!$F$133)</f>
        <v>34.816</v>
      </c>
      <c r="AA11" s="26" t="n">
        <f aca="false">Assumptions!$F$10*(AA8*Assumptions!$F$111+Z8*Assumptions!$F$112+Y8*Assumptions!$F$113+X8*Assumptions!$F$114+W8*Assumptions!$F$115+V8*Assumptions!$F$116+U8*Assumptions!$F$117+T8*Assumptions!$F$118+S8*Assumptions!$F$119+R8*Assumptions!$F$120+Q8*Assumptions!$F$121+P8*Assumptions!$F$122+O8*Assumptions!$F$123+N8*Assumptions!$F$124+M8*Assumptions!$F$125+L8*Assumptions!$F$126+K8*Assumptions!$F$127+J8*Assumptions!$F$128+I8*Assumptions!$F$129+H8*Assumptions!$F$130+G8*Assumptions!$F$131+F8*Assumptions!$F$132+E8*Assumptions!$F$133)</f>
        <v>33.184</v>
      </c>
      <c r="AB11" s="26" t="n">
        <f aca="false">Assumptions!$F$10*(AB8*Assumptions!$F$111+AA8*Assumptions!$F$112+Z8*Assumptions!$F$113+Y8*Assumptions!$F$114+X8*Assumptions!$F$115+W8*Assumptions!$F$116+V8*Assumptions!$F$117+U8*Assumptions!$F$118+T8*Assumptions!$F$119+S8*Assumptions!$F$120+R8*Assumptions!$F$121+Q8*Assumptions!$F$122+P8*Assumptions!$F$123+O8*Assumptions!$F$124+N8*Assumptions!$F$125+M8*Assumptions!$F$126+L8*Assumptions!$F$127+K8*Assumptions!$F$128+J8*Assumptions!$F$129+I8*Assumptions!$F$130+H8*Assumptions!$F$131+G8*Assumptions!$F$132+F8*Assumptions!$F$133)</f>
        <v>31.28</v>
      </c>
      <c r="AC11" s="26" t="n">
        <f aca="false">Assumptions!$F$10*(AC8*Assumptions!$F$111+AB8*Assumptions!$F$112+AA8*Assumptions!$F$113+Z8*Assumptions!$F$114+Y8*Assumptions!$F$115+X8*Assumptions!$F$116+W8*Assumptions!$F$117+V8*Assumptions!$F$118+U8*Assumptions!$F$119+T8*Assumptions!$F$120+S8*Assumptions!$F$121+R8*Assumptions!$F$122+Q8*Assumptions!$F$123+P8*Assumptions!$F$124+O8*Assumptions!$F$125+N8*Assumptions!$F$126+M8*Assumptions!$F$127+L8*Assumptions!$F$128+K8*Assumptions!$F$129+J8*Assumptions!$F$130+I8*Assumptions!$F$131+H8*Assumptions!$F$132+G8*Assumptions!$F$133)</f>
        <v>35.904</v>
      </c>
      <c r="AD11" s="26" t="n">
        <f aca="false">Assumptions!$F$10*(AD8*Assumptions!$F$111+AC8*Assumptions!$F$112+AB8*Assumptions!$F$113+AA8*Assumptions!$F$114+Z8*Assumptions!$F$115+Y8*Assumptions!$F$116+X8*Assumptions!$F$117+W8*Assumptions!$F$118+V8*Assumptions!$F$119+U8*Assumptions!$F$120+T8*Assumptions!$F$121+S8*Assumptions!$F$122+R8*Assumptions!$F$123+Q8*Assumptions!$F$124+P8*Assumptions!$F$125+O8*Assumptions!$F$126+N8*Assumptions!$F$127+M8*Assumptions!$F$128+L8*Assumptions!$F$129+K8*Assumptions!$F$130+J8*Assumptions!$F$131+I8*Assumptions!$F$132+H8*Assumptions!$F$133)</f>
        <v>41.072</v>
      </c>
      <c r="AE11" s="26" t="n">
        <f aca="false">Assumptions!$F$10*(AE8*Assumptions!$F$111+AD8*Assumptions!$F$112+AC8*Assumptions!$F$113+AB8*Assumptions!$F$114+AA8*Assumptions!$F$115+Z8*Assumptions!$F$116+Y8*Assumptions!$F$117+X8*Assumptions!$F$118+W8*Assumptions!$F$119+V8*Assumptions!$F$120+U8*Assumptions!$F$121+T8*Assumptions!$F$122+S8*Assumptions!$F$123+R8*Assumptions!$F$124+Q8*Assumptions!$F$125+P8*Assumptions!$F$126+O8*Assumptions!$F$127+N8*Assumptions!$F$128+M8*Assumptions!$F$129+L8*Assumptions!$F$130+K8*Assumptions!$F$131+J8*Assumptions!$F$132+I8*Assumptions!$F$133)</f>
        <v>38.08</v>
      </c>
      <c r="AF11" s="26" t="n">
        <f aca="false">Assumptions!$F$10*(AF8*Assumptions!$F$111+AE8*Assumptions!$F$112+AD8*Assumptions!$F$113+AC8*Assumptions!$F$114+AB8*Assumptions!$F$115+AA8*Assumptions!$F$116+Z8*Assumptions!$F$117+Y8*Assumptions!$F$118+X8*Assumptions!$F$119+W8*Assumptions!$F$120+V8*Assumptions!$F$121+U8*Assumptions!$F$122+T8*Assumptions!$F$123+S8*Assumptions!$F$124+R8*Assumptions!$F$125+Q8*Assumptions!$F$126+P8*Assumptions!$F$127+O8*Assumptions!$F$128+N8*Assumptions!$F$129+M8*Assumptions!$F$130+L8*Assumptions!$F$131+K8*Assumptions!$F$132+J8*Assumptions!$F$133)</f>
        <v>40.8</v>
      </c>
      <c r="AG11" s="26" t="n">
        <f aca="false">Assumptions!$F$10*(AG8*Assumptions!$F$111+AF8*Assumptions!$F$112+AE8*Assumptions!$F$113+AD8*Assumptions!$F$114+AC8*Assumptions!$F$115+AB8*Assumptions!$F$116+AA8*Assumptions!$F$117+Z8*Assumptions!$F$118+Y8*Assumptions!$F$119+X8*Assumptions!$F$120+W8*Assumptions!$F$121+V8*Assumptions!$F$122+U8*Assumptions!$F$123+T8*Assumptions!$F$124+S8*Assumptions!$F$125+R8*Assumptions!$F$126+Q8*Assumptions!$F$127+P8*Assumptions!$F$128+O8*Assumptions!$F$129+N8*Assumptions!$F$130+M8*Assumptions!$F$131+L8*Assumptions!$F$132+K8*Assumptions!$F$133)</f>
        <v>44.608</v>
      </c>
      <c r="AH11" s="26" t="n">
        <f aca="false">Assumptions!$F$10*(AH8*Assumptions!$F$111+AG8*Assumptions!$F$112+AF8*Assumptions!$F$113+AE8*Assumptions!$F$114+AD8*Assumptions!$F$115+AC8*Assumptions!$F$116+AB8*Assumptions!$F$117+AA8*Assumptions!$F$118+Z8*Assumptions!$F$119+Y8*Assumptions!$F$120+X8*Assumptions!$F$121+W8*Assumptions!$F$122+V8*Assumptions!$F$123+U8*Assumptions!$F$124+T8*Assumptions!$F$125+S8*Assumptions!$F$126+R8*Assumptions!$F$127+Q8*Assumptions!$F$128+P8*Assumptions!$F$129+O8*Assumptions!$F$130+N8*Assumptions!$F$131+M8*Assumptions!$F$132+L8*Assumptions!$F$133)</f>
        <v>40.528</v>
      </c>
      <c r="AI11" s="26" t="n">
        <f aca="false">Assumptions!$F$10*(AI8*Assumptions!$F$111+AH8*Assumptions!$F$112+AG8*Assumptions!$F$113+AF8*Assumptions!$F$114+AE8*Assumptions!$F$115+AD8*Assumptions!$F$116+AC8*Assumptions!$F$117+AB8*Assumptions!$F$118+AA8*Assumptions!$F$119+Z8*Assumptions!$F$120+Y8*Assumptions!$F$121+X8*Assumptions!$F$122+W8*Assumptions!$F$123+V8*Assumptions!$F$124+U8*Assumptions!$F$125+T8*Assumptions!$F$126+S8*Assumptions!$F$127+R8*Assumptions!$F$128+Q8*Assumptions!$F$129+P8*Assumptions!$F$130+O8*Assumptions!$F$131+N8*Assumptions!$F$132+M8*Assumptions!$F$133)</f>
        <v>42.704</v>
      </c>
      <c r="AJ11" s="26" t="n">
        <f aca="false">Assumptions!$F$10*(AJ8*Assumptions!$F$111+AI8*Assumptions!$F$112+AH8*Assumptions!$F$113+AG8*Assumptions!$F$114+AF8*Assumptions!$F$115+AE8*Assumptions!$F$116+AD8*Assumptions!$F$117+AC8*Assumptions!$F$118+AB8*Assumptions!$F$119+AA8*Assumptions!$F$120+Z8*Assumptions!$F$121+Y8*Assumptions!$F$122+X8*Assumptions!$F$123+W8*Assumptions!$F$124+V8*Assumptions!$F$125+U8*Assumptions!$F$126+T8*Assumptions!$F$127+S8*Assumptions!$F$128+R8*Assumptions!$F$129+Q8*Assumptions!$F$130+P8*Assumptions!$F$131+O8*Assumptions!$F$132+N8*Assumptions!$F$133)</f>
        <v>45.424</v>
      </c>
      <c r="AK11" s="26" t="n">
        <f aca="false">Assumptions!$F$10*(AK8*Assumptions!$F$111+AJ8*Assumptions!$F$112+AI8*Assumptions!$F$113+AH8*Assumptions!$F$114+AG8*Assumptions!$F$115+AF8*Assumptions!$F$116+AE8*Assumptions!$F$117+AD8*Assumptions!$F$118+AC8*Assumptions!$F$119+AB8*Assumptions!$F$120+AA8*Assumptions!$F$121+Z8*Assumptions!$F$122+Y8*Assumptions!$F$123+X8*Assumptions!$F$124+W8*Assumptions!$F$125+V8*Assumptions!$F$126+U8*Assumptions!$F$127+T8*Assumptions!$F$128+S8*Assumptions!$F$129+R8*Assumptions!$F$130+Q8*Assumptions!$F$131+P8*Assumptions!$F$132+O8*Assumptions!$F$133)</f>
        <v>48.144</v>
      </c>
      <c r="AL11" s="26" t="n">
        <f aca="false">Assumptions!$F$10*(AL8*Assumptions!$F$111+AK8*Assumptions!$F$112+AJ8*Assumptions!$F$113+AI8*Assumptions!$F$114+AH8*Assumptions!$F$115+AG8*Assumptions!$F$116+AF8*Assumptions!$F$117+AE8*Assumptions!$F$118+AD8*Assumptions!$F$119+AC8*Assumptions!$F$120+AB8*Assumptions!$F$121+AA8*Assumptions!$F$122+Z8*Assumptions!$F$123+Y8*Assumptions!$F$124+X8*Assumptions!$F$125+W8*Assumptions!$F$126+V8*Assumptions!$F$127+U8*Assumptions!$F$128+T8*Assumptions!$F$129+S8*Assumptions!$F$130+R8*Assumptions!$F$131+Q8*Assumptions!$F$132+P8*Assumptions!$F$133)</f>
        <v>49.504</v>
      </c>
      <c r="AM11" s="26" t="n">
        <f aca="false">Assumptions!$F$10*(AM8*Assumptions!$F$111+AL8*Assumptions!$F$112+AK8*Assumptions!$F$113+AJ8*Assumptions!$F$114+AI8*Assumptions!$F$115+AH8*Assumptions!$F$116+AG8*Assumptions!$F$117+AF8*Assumptions!$F$118+AE8*Assumptions!$F$119+AD8*Assumptions!$F$120+AC8*Assumptions!$F$121+AB8*Assumptions!$F$122+AA8*Assumptions!$F$123+Z8*Assumptions!$F$124+Y8*Assumptions!$F$125+X8*Assumptions!$F$126+W8*Assumptions!$F$127+V8*Assumptions!$F$128+U8*Assumptions!$F$129+T8*Assumptions!$F$130+S8*Assumptions!$F$131+R8*Assumptions!$F$132+Q8*Assumptions!$F$133)</f>
        <v>50.048</v>
      </c>
      <c r="AN11" s="37" t="n">
        <f aca="false">Assumptions!$F$10*(AN8*Assumptions!$F$111+AM8*Assumptions!$F$112+AL8*Assumptions!$F$113+AK8*Assumptions!$F$114+AJ8*Assumptions!$F$115+AI8*Assumptions!$F$116+AH8*Assumptions!$F$117+AG8*Assumptions!$F$118+AF8*Assumptions!$F$119+AE8*Assumptions!$F$120+AD8*Assumptions!$F$121+AC8*Assumptions!$F$122+AB8*Assumptions!$F$123+AA8*Assumptions!$F$124+Z8*Assumptions!$F$125+Y8*Assumptions!$F$126+X8*Assumptions!$F$127+W8*Assumptions!$F$128+V8*Assumptions!$F$129+U8*Assumptions!$F$130+T8*Assumptions!$F$131+S8*Assumptions!$F$132+R8*Assumptions!$F$133)</f>
        <v>51.408</v>
      </c>
      <c r="AO11" s="37" t="n">
        <f aca="false">Assumptions!$F$10*(AO8*Assumptions!$F$111+AN8*Assumptions!$F$112+AM8*Assumptions!$F$113+AL8*Assumptions!$F$114+AK8*Assumptions!$F$115+AJ8*Assumptions!$F$116+AI8*Assumptions!$F$117+AH8*Assumptions!$F$118+AG8*Assumptions!$F$119+AF8*Assumptions!$F$120+AE8*Assumptions!$F$121+AD8*Assumptions!$F$122+AC8*Assumptions!$F$123+AB8*Assumptions!$F$124+AA8*Assumptions!$F$125+Z8*Assumptions!$F$126+Y8*Assumptions!$F$127+X8*Assumptions!$F$128+W8*Assumptions!$F$129+V8*Assumptions!$F$130+U8*Assumptions!$F$131+T8*Assumptions!$F$132+S8*Assumptions!$F$133)</f>
        <v>51.68</v>
      </c>
      <c r="AP11" s="37" t="n">
        <f aca="false">Assumptions!$F$10*(AP8*Assumptions!$F$111+AO8*Assumptions!$F$112+AN8*Assumptions!$F$113+AM8*Assumptions!$F$114+AL8*Assumptions!$F$115+AK8*Assumptions!$F$116+AJ8*Assumptions!$F$117+AI8*Assumptions!$F$118+AH8*Assumptions!$F$119+AG8*Assumptions!$F$120+AF8*Assumptions!$F$121+AE8*Assumptions!$F$122+AD8*Assumptions!$F$123+AC8*Assumptions!$F$124+AB8*Assumptions!$F$125+AA8*Assumptions!$F$126+Z8*Assumptions!$F$127+Y8*Assumptions!$F$128+X8*Assumptions!$F$129+W8*Assumptions!$F$130+V8*Assumptions!$F$131+U8*Assumptions!$F$132+T8*Assumptions!$F$133)</f>
        <v>51.952</v>
      </c>
      <c r="AQ11" s="37" t="n">
        <f aca="false">Assumptions!$F$10*(AQ8*Assumptions!$F$111+AP8*Assumptions!$F$112+AO8*Assumptions!$F$113+AN8*Assumptions!$F$114+AM8*Assumptions!$F$115+AL8*Assumptions!$F$116+AK8*Assumptions!$F$117+AJ8*Assumptions!$F$118+AI8*Assumptions!$F$119+AH8*Assumptions!$F$120+AG8*Assumptions!$F$121+AF8*Assumptions!$F$122+AE8*Assumptions!$F$123+AD8*Assumptions!$F$124+AC8*Assumptions!$F$125+AB8*Assumptions!$F$126+AA8*Assumptions!$F$127+Z8*Assumptions!$F$128+Y8*Assumptions!$F$129+X8*Assumptions!$F$130+W8*Assumptions!$F$131+V8*Assumptions!$F$132+U8*Assumptions!$F$133)</f>
        <v>52.224</v>
      </c>
      <c r="AR11" s="37" t="n">
        <f aca="false">Assumptions!$F$10*(AR8*Assumptions!$F$111+AQ8*Assumptions!$F$112+AP8*Assumptions!$F$113+AO8*Assumptions!$F$114+AN8*Assumptions!$F$115+AM8*Assumptions!$F$116+AL8*Assumptions!$F$117+AK8*Assumptions!$F$118+AJ8*Assumptions!$F$119+AI8*Assumptions!$F$120+AH8*Assumptions!$F$121+AG8*Assumptions!$F$122+AF8*Assumptions!$F$123+AE8*Assumptions!$F$124+AD8*Assumptions!$F$125+AC8*Assumptions!$F$126+AB8*Assumptions!$F$127+AA8*Assumptions!$F$128+Z8*Assumptions!$F$129+Y8*Assumptions!$F$130+X8*Assumptions!$F$131+W8*Assumptions!$F$132+V8*Assumptions!$F$133)</f>
        <v>52.496</v>
      </c>
      <c r="AS11" s="37" t="n">
        <f aca="false">Assumptions!$F$10*(AS8*Assumptions!$F$111+AR8*Assumptions!$F$112+AQ8*Assumptions!$F$113+AP8*Assumptions!$F$114+AO8*Assumptions!$F$115+AN8*Assumptions!$F$116+AM8*Assumptions!$F$117+AL8*Assumptions!$F$118+AK8*Assumptions!$F$119+AJ8*Assumptions!$F$120+AI8*Assumptions!$F$121+AH8*Assumptions!$F$122+AG8*Assumptions!$F$123+AF8*Assumptions!$F$124+AE8*Assumptions!$F$125+AD8*Assumptions!$F$126+AC8*Assumptions!$F$127+AB8*Assumptions!$F$128+AA8*Assumptions!$F$129+Z8*Assumptions!$F$130+Y8*Assumptions!$F$131+X8*Assumptions!$F$132+W8*Assumptions!$F$133)</f>
        <v>52.768</v>
      </c>
      <c r="AT11" s="37" t="n">
        <f aca="false">Assumptions!$F$10*(AT8*Assumptions!$F$111+AS8*Assumptions!$F$112+AR8*Assumptions!$F$113+AQ8*Assumptions!$F$114+AP8*Assumptions!$F$115+AO8*Assumptions!$F$116+AN8*Assumptions!$F$117+AM8*Assumptions!$F$118+AL8*Assumptions!$F$119+AK8*Assumptions!$F$120+AJ8*Assumptions!$F$121+AI8*Assumptions!$F$122+AH8*Assumptions!$F$123+AG8*Assumptions!$F$124+AF8*Assumptions!$F$125+AE8*Assumptions!$F$126+AD8*Assumptions!$F$127+AC8*Assumptions!$F$128+AB8*Assumptions!$F$129+AA8*Assumptions!$F$130+Z8*Assumptions!$F$131+Y8*Assumptions!$F$132+X8*Assumptions!$F$133)</f>
        <v>52.768</v>
      </c>
      <c r="AU11" s="37" t="n">
        <f aca="false">Assumptions!$F$10*(AU8*Assumptions!$F$111+AT8*Assumptions!$F$112+AS8*Assumptions!$F$113+AR8*Assumptions!$F$114+AQ8*Assumptions!$F$115+AP8*Assumptions!$F$116+AO8*Assumptions!$F$117+AN8*Assumptions!$F$118+AM8*Assumptions!$F$119+AL8*Assumptions!$F$120+AK8*Assumptions!$F$121+AJ8*Assumptions!$F$122+AI8*Assumptions!$F$123+AH8*Assumptions!$F$124+AG8*Assumptions!$F$125+AF8*Assumptions!$F$126+AE8*Assumptions!$F$127+AD8*Assumptions!$F$128+AC8*Assumptions!$F$129+AB8*Assumptions!$F$130+AA8*Assumptions!$F$131+Z8*Assumptions!$F$132+Y8*Assumptions!$F$133)</f>
        <v>53.04</v>
      </c>
      <c r="AV11" s="37" t="n">
        <f aca="false">Assumptions!$F$10*(AV8*Assumptions!$F$111+AU8*Assumptions!$F$112+AT8*Assumptions!$F$113+AS8*Assumptions!$F$114+AR8*Assumptions!$F$115+AQ8*Assumptions!$F$116+AP8*Assumptions!$F$117+AO8*Assumptions!$F$118+AN8*Assumptions!$F$119+AM8*Assumptions!$F$120+AL8*Assumptions!$F$121+AK8*Assumptions!$F$122+AJ8*Assumptions!$F$123+AI8*Assumptions!$F$124+AH8*Assumptions!$F$125+AG8*Assumptions!$F$126+AF8*Assumptions!$F$127+AE8*Assumptions!$F$128+AD8*Assumptions!$F$129+AC8*Assumptions!$F$130+AB8*Assumptions!$F$131+AA8*Assumptions!$F$132+Z8*Assumptions!$F$133)</f>
        <v>53.312</v>
      </c>
      <c r="AW11" s="37" t="n">
        <f aca="false">Assumptions!$F$10*(AW8*Assumptions!$F$111+AV8*Assumptions!$F$112+AU8*Assumptions!$F$113+AT8*Assumptions!$F$114+AS8*Assumptions!$F$115+AR8*Assumptions!$F$116+AQ8*Assumptions!$F$117+AP8*Assumptions!$F$118+AO8*Assumptions!$F$119+AN8*Assumptions!$F$120+AM8*Assumptions!$F$121+AL8*Assumptions!$F$122+AK8*Assumptions!$F$123+AJ8*Assumptions!$F$124+AI8*Assumptions!$F$125+AH8*Assumptions!$F$126+AG8*Assumptions!$F$127+AF8*Assumptions!$F$128+AE8*Assumptions!$F$129+AD8*Assumptions!$F$130+AC8*Assumptions!$F$131+AB8*Assumptions!$F$132+AA8*Assumptions!$F$133)</f>
        <v>53.312</v>
      </c>
      <c r="AX11" s="37" t="n">
        <f aca="false">Assumptions!$F$10*(AX8*Assumptions!$F$111+AW8*Assumptions!$F$112+AV8*Assumptions!$F$113+AU8*Assumptions!$F$114+AT8*Assumptions!$F$115+AS8*Assumptions!$F$116+AR8*Assumptions!$F$117+AQ8*Assumptions!$F$118+AP8*Assumptions!$F$119+AO8*Assumptions!$F$120+AN8*Assumptions!$F$121+AM8*Assumptions!$F$122+AL8*Assumptions!$F$123+AK8*Assumptions!$F$124+AJ8*Assumptions!$F$125+AI8*Assumptions!$F$126+AH8*Assumptions!$F$127+AG8*Assumptions!$F$128+AF8*Assumptions!$F$129+AE8*Assumptions!$F$130+AD8*Assumptions!$F$131+AC8*Assumptions!$F$132+AB8*Assumptions!$F$133)</f>
        <v>53.584</v>
      </c>
      <c r="AY11" s="37" t="n">
        <f aca="false">Assumptions!$F$10*(AY8*Assumptions!$F$111+AX8*Assumptions!$F$112+AW8*Assumptions!$F$113+AV8*Assumptions!$F$114+AU8*Assumptions!$F$115+AT8*Assumptions!$F$116+AS8*Assumptions!$F$117+AR8*Assumptions!$F$118+AQ8*Assumptions!$F$119+AP8*Assumptions!$F$120+AO8*Assumptions!$F$121+AN8*Assumptions!$F$122+AM8*Assumptions!$F$123+AL8*Assumptions!$F$124+AK8*Assumptions!$F$125+AJ8*Assumptions!$F$126+AI8*Assumptions!$F$127+AH8*Assumptions!$F$128+AG8*Assumptions!$F$129+AF8*Assumptions!$F$130+AE8*Assumptions!$F$131+AD8*Assumptions!$F$132+AC8*Assumptions!$F$133)</f>
        <v>53.856</v>
      </c>
      <c r="AZ11" s="37" t="n">
        <f aca="false">Assumptions!$F$10*(AZ8*Assumptions!$F$111+AY8*Assumptions!$F$112+AX8*Assumptions!$F$113+AW8*Assumptions!$F$114+AV8*Assumptions!$F$115+AU8*Assumptions!$F$116+AT8*Assumptions!$F$117+AS8*Assumptions!$F$118+AR8*Assumptions!$F$119+AQ8*Assumptions!$F$120+AP8*Assumptions!$F$121+AO8*Assumptions!$F$122+AN8*Assumptions!$F$123+AM8*Assumptions!$F$124+AL8*Assumptions!$F$125+AK8*Assumptions!$F$126+AJ8*Assumptions!$F$127+AI8*Assumptions!$F$128+AH8*Assumptions!$F$129+AG8*Assumptions!$F$130+AF8*Assumptions!$F$131+AE8*Assumptions!$F$132+AD8*Assumptions!$F$133)</f>
        <v>53.856</v>
      </c>
      <c r="BA11" s="37" t="n">
        <f aca="false">Assumptions!$F$10*(BA8*Assumptions!$F$111+AZ8*Assumptions!$F$112+AY8*Assumptions!$F$113+AX8*Assumptions!$F$114+AW8*Assumptions!$F$115+AV8*Assumptions!$F$116+AU8*Assumptions!$F$117+AT8*Assumptions!$F$118+AS8*Assumptions!$F$119+AR8*Assumptions!$F$120+AQ8*Assumptions!$F$121+AP8*Assumptions!$F$122+AO8*Assumptions!$F$123+AN8*Assumptions!$F$124+AM8*Assumptions!$F$125+AL8*Assumptions!$F$126+AK8*Assumptions!$F$127+AJ8*Assumptions!$F$128+AI8*Assumptions!$F$129+AH8*Assumptions!$F$130+AG8*Assumptions!$F$131+AF8*Assumptions!$F$132+AE8*Assumptions!$F$133)</f>
        <v>53.856</v>
      </c>
      <c r="BB11" s="37" t="n">
        <f aca="false">Assumptions!$F$10*(BB8*Assumptions!$F$111+BA8*Assumptions!$F$112+AZ8*Assumptions!$F$113+AY8*Assumptions!$F$114+AX8*Assumptions!$F$115+AW8*Assumptions!$F$116+AV8*Assumptions!$F$117+AU8*Assumptions!$F$118+AT8*Assumptions!$F$119+AS8*Assumptions!$F$120+AR8*Assumptions!$F$121+AQ8*Assumptions!$F$122+AP8*Assumptions!$F$123+AO8*Assumptions!$F$124+AN8*Assumptions!$F$125+AM8*Assumptions!$F$126+AL8*Assumptions!$F$127+AK8*Assumptions!$F$128+AJ8*Assumptions!$F$129+AI8*Assumptions!$F$130+AH8*Assumptions!$F$131+AG8*Assumptions!$F$132+AF8*Assumptions!$F$133)</f>
        <v>54.128</v>
      </c>
      <c r="BC11" s="37" t="n">
        <f aca="false">Assumptions!$F$10*(BC8*Assumptions!$F$111+BB8*Assumptions!$F$112+BA8*Assumptions!$F$113+AZ8*Assumptions!$F$114+AY8*Assumptions!$F$115+AX8*Assumptions!$F$116+AW8*Assumptions!$F$117+AV8*Assumptions!$F$118+AU8*Assumptions!$F$119+AT8*Assumptions!$F$120+AS8*Assumptions!$F$121+AR8*Assumptions!$F$122+AQ8*Assumptions!$F$123+AP8*Assumptions!$F$124+AO8*Assumptions!$F$125+AN8*Assumptions!$F$126+AM8*Assumptions!$F$127+AL8*Assumptions!$F$128+AK8*Assumptions!$F$129+AJ8*Assumptions!$F$130+AI8*Assumptions!$F$131+AH8*Assumptions!$F$132+AG8*Assumptions!$F$133)</f>
        <v>54.128</v>
      </c>
      <c r="BD11" s="37" t="n">
        <f aca="false">Assumptions!$F$10*(BD8*Assumptions!$F$111+BC8*Assumptions!$F$112+BB8*Assumptions!$F$113+BA8*Assumptions!$F$114+AZ8*Assumptions!$F$115+AY8*Assumptions!$F$116+AX8*Assumptions!$F$117+AW8*Assumptions!$F$118+AV8*Assumptions!$F$119+AU8*Assumptions!$F$120+AT8*Assumptions!$F$121+AS8*Assumptions!$F$122+AR8*Assumptions!$F$123+AQ8*Assumptions!$F$124+AP8*Assumptions!$F$125+AO8*Assumptions!$F$126+AN8*Assumptions!$F$127+AM8*Assumptions!$F$128+AL8*Assumptions!$F$129+AK8*Assumptions!$F$130+AJ8*Assumptions!$F$131+AI8*Assumptions!$F$132+AH8*Assumptions!$F$133)</f>
        <v>54.128</v>
      </c>
      <c r="BE11" s="37" t="n">
        <f aca="false">Assumptions!$F$10*(BE8*Assumptions!$F$111+BD8*Assumptions!$F$112+BC8*Assumptions!$F$113+BB8*Assumptions!$F$114+BA8*Assumptions!$F$115+AZ8*Assumptions!$F$116+AY8*Assumptions!$F$117+AX8*Assumptions!$F$118+AW8*Assumptions!$F$119+AV8*Assumptions!$F$120+AU8*Assumptions!$F$121+AT8*Assumptions!$F$122+AS8*Assumptions!$F$123+AR8*Assumptions!$F$124+AQ8*Assumptions!$F$125+AP8*Assumptions!$F$126+AO8*Assumptions!$F$127+AN8*Assumptions!$F$128+AM8*Assumptions!$F$129+AL8*Assumptions!$F$130+AK8*Assumptions!$F$131+AJ8*Assumptions!$F$132+AI8*Assumptions!$F$133)</f>
        <v>54.4</v>
      </c>
      <c r="BF11" s="37" t="n">
        <f aca="false">Assumptions!$F$10*(BF8*Assumptions!$F$111+BE8*Assumptions!$F$112+BD8*Assumptions!$F$113+BC8*Assumptions!$F$114+BB8*Assumptions!$F$115+BA8*Assumptions!$F$116+AZ8*Assumptions!$F$117+AY8*Assumptions!$F$118+AX8*Assumptions!$F$119+AW8*Assumptions!$F$120+AV8*Assumptions!$F$121+AU8*Assumptions!$F$122+AT8*Assumptions!$F$123+AS8*Assumptions!$F$124+AR8*Assumptions!$F$125+AQ8*Assumptions!$F$126+AP8*Assumptions!$F$127+AO8*Assumptions!$F$128+AN8*Assumptions!$F$129+AM8*Assumptions!$F$130+AL8*Assumptions!$F$131+AK8*Assumptions!$F$132+AJ8*Assumptions!$F$133)</f>
        <v>54.4</v>
      </c>
      <c r="BG11" s="37" t="n">
        <f aca="false">Assumptions!$F$10*(BG8*Assumptions!$F$111+BF8*Assumptions!$F$112+BE8*Assumptions!$F$113+BD8*Assumptions!$F$114+BC8*Assumptions!$F$115+BB8*Assumptions!$F$116+BA8*Assumptions!$F$117+AZ8*Assumptions!$F$118+AY8*Assumptions!$F$119+AX8*Assumptions!$F$120+AW8*Assumptions!$F$121+AV8*Assumptions!$F$122+AU8*Assumptions!$F$123+AT8*Assumptions!$F$124+AS8*Assumptions!$F$125+AR8*Assumptions!$F$126+AQ8*Assumptions!$F$127+AP8*Assumptions!$F$128+AO8*Assumptions!$F$129+AN8*Assumptions!$F$130+AM8*Assumptions!$F$131+AL8*Assumptions!$F$132+AK8*Assumptions!$F$133)</f>
        <v>54.4</v>
      </c>
      <c r="BH11" s="37" t="n">
        <f aca="false">Assumptions!$F$10*(BH8*Assumptions!$F$111+BG8*Assumptions!$F$112+BF8*Assumptions!$F$113+BE8*Assumptions!$F$114+BD8*Assumptions!$F$115+BC8*Assumptions!$F$116+BB8*Assumptions!$F$117+BA8*Assumptions!$F$118+AZ8*Assumptions!$F$119+AY8*Assumptions!$F$120+AX8*Assumptions!$F$121+AW8*Assumptions!$F$122+AV8*Assumptions!$F$123+AU8*Assumptions!$F$124+AT8*Assumptions!$F$125+AS8*Assumptions!$F$126+AR8*Assumptions!$F$127+AQ8*Assumptions!$F$128+AP8*Assumptions!$F$129+AO8*Assumptions!$F$130+AN8*Assumptions!$F$131+AM8*Assumptions!$F$132+AL8*Assumptions!$F$133)</f>
        <v>54.4</v>
      </c>
      <c r="BI11" s="37" t="n">
        <f aca="false">Assumptions!$F$10*(BI8*Assumptions!$F$111+BH8*Assumptions!$F$112+BG8*Assumptions!$F$113+BF8*Assumptions!$F$114+BE8*Assumptions!$F$115+BD8*Assumptions!$F$116+BC8*Assumptions!$F$117+BB8*Assumptions!$F$118+BA8*Assumptions!$F$119+AZ8*Assumptions!$F$120+AY8*Assumptions!$F$121+AX8*Assumptions!$F$122+AW8*Assumptions!$F$123+AV8*Assumptions!$F$124+AU8*Assumptions!$F$125+AT8*Assumptions!$F$126+AS8*Assumptions!$F$127+AR8*Assumptions!$F$128+AQ8*Assumptions!$F$129+AP8*Assumptions!$F$130+AO8*Assumptions!$F$131+AN8*Assumptions!$F$132+AM8*Assumptions!$F$133)</f>
        <v>54.4</v>
      </c>
      <c r="BJ11" s="37" t="n">
        <f aca="false">Assumptions!$F$10*(BJ8*Assumptions!$F$111+BI8*Assumptions!$F$112+BH8*Assumptions!$F$113+BG8*Assumptions!$F$114+BF8*Assumptions!$F$115+BE8*Assumptions!$F$116+BD8*Assumptions!$F$117+BC8*Assumptions!$F$118+BB8*Assumptions!$F$119+BA8*Assumptions!$F$120+AZ8*Assumptions!$F$121+AY8*Assumptions!$F$122+AX8*Assumptions!$F$123+AW8*Assumptions!$F$124+AV8*Assumptions!$F$125+AU8*Assumptions!$F$126+AT8*Assumptions!$F$127+AS8*Assumptions!$F$128+AR8*Assumptions!$F$129+AQ8*Assumptions!$F$130+AP8*Assumptions!$F$131+AO8*Assumptions!$F$132+AN8*Assumptions!$F$133)</f>
        <v>54.4</v>
      </c>
      <c r="BK11" s="37" t="n">
        <f aca="false">Assumptions!$F$10*(BK8*Assumptions!$F$111+BJ8*Assumptions!$F$112+BI8*Assumptions!$F$113+BH8*Assumptions!$F$114+BG8*Assumptions!$F$115+BF8*Assumptions!$F$116+BE8*Assumptions!$F$117+BD8*Assumptions!$F$118+BC8*Assumptions!$F$119+BB8*Assumptions!$F$120+BA8*Assumptions!$F$121+AZ8*Assumptions!$F$122+AY8*Assumptions!$F$123+AX8*Assumptions!$F$124+AW8*Assumptions!$F$125+AV8*Assumptions!$F$126+AU8*Assumptions!$F$127+AT8*Assumptions!$F$128+AS8*Assumptions!$F$129+AR8*Assumptions!$F$130+AQ8*Assumptions!$F$131+AP8*Assumptions!$F$132+AO8*Assumptions!$F$133)</f>
        <v>54.4</v>
      </c>
    </row>
    <row r="12" customFormat="false" ht="15" hidden="false" customHeight="false" outlineLevel="0" collapsed="false">
      <c r="A12" s="28" t="s">
        <v>544</v>
      </c>
      <c r="B12" s="6" t="s">
        <v>545</v>
      </c>
      <c r="C12" s="36" t="n">
        <v>0</v>
      </c>
      <c r="D12" s="26" t="n">
        <f aca="false">C12*(1-Assumptions!$F$12)+D11</f>
        <v>0</v>
      </c>
      <c r="E12" s="26" t="n">
        <f aca="false">D12*(1-Assumptions!$F$12)+E11</f>
        <v>0</v>
      </c>
      <c r="F12" s="26" t="n">
        <f aca="false">E12*(1-Assumptions!$F$12)+F11</f>
        <v>0</v>
      </c>
      <c r="G12" s="26" t="n">
        <f aca="false">F12*(1-Assumptions!$F$12)+G11</f>
        <v>0</v>
      </c>
      <c r="H12" s="26" t="n">
        <f aca="false">G12*(1-Assumptions!$F$12)+H11</f>
        <v>6.8</v>
      </c>
      <c r="I12" s="26" t="n">
        <f aca="false">H12*(1-Assumptions!$F$12)+I11</f>
        <v>12.682</v>
      </c>
      <c r="J12" s="26" t="n">
        <f aca="false">I12*(1-Assumptions!$F$12)+J11</f>
        <v>16.57177</v>
      </c>
      <c r="K12" s="26" t="n">
        <f aca="false">J12*(1-Assumptions!$F$12)+K11</f>
        <v>25.84319345</v>
      </c>
      <c r="L12" s="26" t="n">
        <f aca="false">K12*(1-Assumptions!$F$12)+L11</f>
        <v>39.87154554825</v>
      </c>
      <c r="M12" s="26" t="n">
        <f aca="false">L12*(1-Assumptions!$F$12)+M11</f>
        <v>50.6974723650262</v>
      </c>
      <c r="N12" s="26" t="n">
        <f aca="false">M12*(1-Assumptions!$F$12)+N11</f>
        <v>63.8090102795509</v>
      </c>
      <c r="O12" s="26" t="n">
        <f aca="false">N12*(1-Assumptions!$F$12)+O11</f>
        <v>80.2598751253576</v>
      </c>
      <c r="P12" s="26" t="n">
        <f aca="false">O12*(1-Assumptions!$F$12)+P11</f>
        <v>99.1839769984772</v>
      </c>
      <c r="Q12" s="26" t="n">
        <f aca="false">P12*(1-Assumptions!$F$12)+Q11</f>
        <v>119.1842173435</v>
      </c>
      <c r="R12" s="26" t="n">
        <f aca="false">Q12*(1-Assumptions!$F$12)+R11</f>
        <v>139.428454083348</v>
      </c>
      <c r="S12" s="26" t="n">
        <f aca="false">R12*(1-Assumptions!$F$12)+S11</f>
        <v>160.729027272097</v>
      </c>
      <c r="T12" s="26" t="n">
        <f aca="false">S12*(1-Assumptions!$F$12)+T11</f>
        <v>181.982091863016</v>
      </c>
      <c r="U12" s="26" t="n">
        <f aca="false">T12*(1-Assumptions!$F$12)+U11</f>
        <v>203.188360485071</v>
      </c>
      <c r="V12" s="26" t="n">
        <f aca="false">U12*(1-Assumptions!$F$12)+V11</f>
        <v>224.348535077795</v>
      </c>
      <c r="W12" s="26" t="n">
        <f aca="false">V12*(1-Assumptions!$F$12)+W11</f>
        <v>252.263307051628</v>
      </c>
      <c r="X12" s="26" t="n">
        <f aca="false">W12*(1-Assumptions!$F$12)+X11</f>
        <v>279.215357445853</v>
      </c>
      <c r="Y12" s="26" t="n">
        <f aca="false">X12*(1-Assumptions!$F$12)+Y11</f>
        <v>304.131127084165</v>
      </c>
      <c r="Z12" s="26" t="n">
        <f aca="false">Y12*(1-Assumptions!$F$12)+Z11</f>
        <v>334.385160177903</v>
      </c>
      <c r="AA12" s="26" t="n">
        <f aca="false">Z12*(1-Assumptions!$F$12)+AA11</f>
        <v>362.553382775234</v>
      </c>
      <c r="AB12" s="26" t="n">
        <f aca="false">AA12*(1-Assumptions!$F$12)+AB11</f>
        <v>388.395082033606</v>
      </c>
      <c r="AC12" s="26" t="n">
        <f aca="false">AB12*(1-Assumptions!$F$12)+AC11</f>
        <v>418.473155803102</v>
      </c>
      <c r="AD12" s="26" t="n">
        <f aca="false">AC12*(1-Assumptions!$F$12)+AD11</f>
        <v>453.268058466055</v>
      </c>
      <c r="AE12" s="26" t="n">
        <f aca="false">AD12*(1-Assumptions!$F$12)+AE11</f>
        <v>484.549037589064</v>
      </c>
      <c r="AF12" s="26" t="n">
        <f aca="false">AE12*(1-Assumptions!$F$12)+AF11</f>
        <v>518.080802025228</v>
      </c>
      <c r="AG12" s="26" t="n">
        <f aca="false">AF12*(1-Assumptions!$F$12)+AG11</f>
        <v>554.91758999485</v>
      </c>
      <c r="AH12" s="26" t="n">
        <f aca="false">AG12*(1-Assumptions!$F$12)+AH11</f>
        <v>587.121826144927</v>
      </c>
      <c r="AI12" s="26" t="n">
        <f aca="false">AH12*(1-Assumptions!$F$12)+AI11</f>
        <v>621.018998752753</v>
      </c>
      <c r="AJ12" s="26" t="n">
        <f aca="false">AI12*(1-Assumptions!$F$12)+AJ11</f>
        <v>657.127713771462</v>
      </c>
      <c r="AK12" s="26" t="n">
        <f aca="false">AJ12*(1-Assumptions!$F$12)+AK11</f>
        <v>695.41479806489</v>
      </c>
      <c r="AL12" s="26" t="n">
        <f aca="false">AK12*(1-Assumptions!$F$12)+AL11</f>
        <v>734.487576093917</v>
      </c>
      <c r="AM12" s="26" t="n">
        <f aca="false">AL12*(1-Assumptions!$F$12)+AM11</f>
        <v>773.518262452508</v>
      </c>
      <c r="AN12" s="37" t="n">
        <f aca="false">AM12*(1-Assumptions!$F$12)+AN11</f>
        <v>813.32348851572</v>
      </c>
      <c r="AO12" s="37" t="n">
        <f aca="false">AN12*(1-Assumptions!$F$12)+AO11</f>
        <v>852.803636187985</v>
      </c>
      <c r="AP12" s="37" t="n">
        <f aca="false">AO12*(1-Assumptions!$F$12)+AP11</f>
        <v>891.963581645165</v>
      </c>
      <c r="AQ12" s="37" t="n">
        <f aca="false">AP12*(1-Assumptions!$F$12)+AQ11</f>
        <v>930.808127920487</v>
      </c>
      <c r="AR12" s="37" t="n">
        <f aca="false">AQ12*(1-Assumptions!$F$12)+AR11</f>
        <v>969.34200600168</v>
      </c>
      <c r="AS12" s="37" t="n">
        <f aca="false">AR12*(1-Assumptions!$F$12)+AS11</f>
        <v>1007.56987591165</v>
      </c>
      <c r="AT12" s="37" t="n">
        <f aca="false">AS12*(1-Assumptions!$F$12)+AT11</f>
        <v>1045.22432777298</v>
      </c>
      <c r="AU12" s="37" t="n">
        <f aca="false">AT12*(1-Assumptions!$F$12)+AU11</f>
        <v>1082.58596285639</v>
      </c>
      <c r="AV12" s="37" t="n">
        <f aca="false">AU12*(1-Assumptions!$F$12)+AV11</f>
        <v>1119.65917341354</v>
      </c>
      <c r="AW12" s="37" t="n">
        <f aca="false">AV12*(1-Assumptions!$F$12)+AW11</f>
        <v>1156.17628581234</v>
      </c>
      <c r="AX12" s="37" t="n">
        <f aca="false">AW12*(1-Assumptions!$F$12)+AX11</f>
        <v>1192.41764152515</v>
      </c>
      <c r="AY12" s="37" t="n">
        <f aca="false">AX12*(1-Assumptions!$F$12)+AY11</f>
        <v>1228.38737690227</v>
      </c>
      <c r="AZ12" s="37" t="n">
        <f aca="false">AY12*(1-Assumptions!$F$12)+AZ11</f>
        <v>1263.81756624874</v>
      </c>
      <c r="BA12" s="37" t="n">
        <f aca="false">AZ12*(1-Assumptions!$F$12)+BA11</f>
        <v>1298.71630275501</v>
      </c>
      <c r="BB12" s="37" t="n">
        <f aca="false">BA12*(1-Assumptions!$F$12)+BB11</f>
        <v>1333.36355821368</v>
      </c>
      <c r="BC12" s="37" t="n">
        <f aca="false">BB12*(1-Assumptions!$F$12)+BC11</f>
        <v>1367.49110484048</v>
      </c>
      <c r="BD12" s="37" t="n">
        <f aca="false">BC12*(1-Assumptions!$F$12)+BD11</f>
        <v>1401.10673826787</v>
      </c>
      <c r="BE12" s="37" t="n">
        <f aca="false">BD12*(1-Assumptions!$F$12)+BE11</f>
        <v>1434.49013719385</v>
      </c>
      <c r="BF12" s="37" t="n">
        <f aca="false">BE12*(1-Assumptions!$F$12)+BF11</f>
        <v>1467.37278513595</v>
      </c>
      <c r="BG12" s="37" t="n">
        <f aca="false">BF12*(1-Assumptions!$F$12)+BG11</f>
        <v>1499.76219335891</v>
      </c>
      <c r="BH12" s="37" t="n">
        <f aca="false">BG12*(1-Assumptions!$F$12)+BH11</f>
        <v>1531.66576045852</v>
      </c>
      <c r="BI12" s="37" t="n">
        <f aca="false">BH12*(1-Assumptions!$F$12)+BI11</f>
        <v>1563.09077405165</v>
      </c>
      <c r="BJ12" s="37" t="n">
        <f aca="false">BI12*(1-Assumptions!$F$12)+BJ11</f>
        <v>1594.04441244087</v>
      </c>
      <c r="BK12" s="37" t="n">
        <f aca="false">BJ12*(1-Assumptions!$F$12)+BK11</f>
        <v>1624.53374625426</v>
      </c>
    </row>
    <row r="13" customFormat="false" ht="15" hidden="false" customHeight="false" outlineLevel="0" collapsed="false">
      <c r="A13" s="28" t="s">
        <v>546</v>
      </c>
      <c r="B13" s="6" t="s">
        <v>547</v>
      </c>
      <c r="C13" s="36" t="n">
        <v>0</v>
      </c>
      <c r="D13" s="26" t="n">
        <f aca="false">D12*Assumptions!$F$11</f>
        <v>0</v>
      </c>
      <c r="E13" s="26" t="n">
        <f aca="false">E12*Assumptions!$F$11</f>
        <v>0</v>
      </c>
      <c r="F13" s="26" t="n">
        <f aca="false">F12*Assumptions!$F$11</f>
        <v>0</v>
      </c>
      <c r="G13" s="26" t="n">
        <f aca="false">G12*Assumptions!$F$11</f>
        <v>0</v>
      </c>
      <c r="H13" s="26" t="n">
        <f aca="false">H12*Assumptions!$F$11</f>
        <v>4.08</v>
      </c>
      <c r="I13" s="26" t="n">
        <f aca="false">I12*Assumptions!$F$11</f>
        <v>7.6092</v>
      </c>
      <c r="J13" s="26" t="n">
        <f aca="false">J12*Assumptions!$F$11</f>
        <v>9.943062</v>
      </c>
      <c r="K13" s="26" t="n">
        <f aca="false">K12*Assumptions!$F$11</f>
        <v>15.50591607</v>
      </c>
      <c r="L13" s="26" t="n">
        <f aca="false">L12*Assumptions!$F$11</f>
        <v>23.92292732895</v>
      </c>
      <c r="M13" s="26" t="n">
        <f aca="false">M12*Assumptions!$F$11</f>
        <v>30.4184834190157</v>
      </c>
      <c r="N13" s="26" t="n">
        <f aca="false">N12*Assumptions!$F$11</f>
        <v>38.2854061677305</v>
      </c>
      <c r="O13" s="26" t="n">
        <f aca="false">O12*Assumptions!$F$11</f>
        <v>48.1559250752146</v>
      </c>
      <c r="P13" s="26" t="n">
        <f aca="false">P12*Assumptions!$F$11</f>
        <v>59.5103861990863</v>
      </c>
      <c r="Q13" s="26" t="n">
        <f aca="false">Q12*Assumptions!$F$11</f>
        <v>71.5105304061</v>
      </c>
      <c r="R13" s="26" t="n">
        <f aca="false">R12*Assumptions!$F$11</f>
        <v>83.6570724500085</v>
      </c>
      <c r="S13" s="26" t="n">
        <f aca="false">S12*Assumptions!$F$11</f>
        <v>96.4374163632584</v>
      </c>
      <c r="T13" s="26" t="n">
        <f aca="false">T12*Assumptions!$F$11</f>
        <v>109.18925511781</v>
      </c>
      <c r="U13" s="26" t="n">
        <f aca="false">U12*Assumptions!$F$11</f>
        <v>121.913016291042</v>
      </c>
      <c r="V13" s="26" t="n">
        <f aca="false">V12*Assumptions!$F$11</f>
        <v>134.609121046677</v>
      </c>
      <c r="W13" s="26" t="n">
        <f aca="false">W12*Assumptions!$F$11</f>
        <v>151.357984230977</v>
      </c>
      <c r="X13" s="26" t="n">
        <f aca="false">X12*Assumptions!$F$11</f>
        <v>167.529214467512</v>
      </c>
      <c r="Y13" s="26" t="n">
        <f aca="false">Y12*Assumptions!$F$11</f>
        <v>182.478676250499</v>
      </c>
      <c r="Z13" s="26" t="n">
        <f aca="false">Z12*Assumptions!$F$11</f>
        <v>200.631096106742</v>
      </c>
      <c r="AA13" s="26" t="n">
        <f aca="false">AA12*Assumptions!$F$11</f>
        <v>217.532029665141</v>
      </c>
      <c r="AB13" s="26" t="n">
        <f aca="false">AB12*Assumptions!$F$11</f>
        <v>233.037049220163</v>
      </c>
      <c r="AC13" s="26" t="n">
        <f aca="false">AC12*Assumptions!$F$11</f>
        <v>251.083893481861</v>
      </c>
      <c r="AD13" s="26" t="n">
        <f aca="false">AD12*Assumptions!$F$11</f>
        <v>271.960835079633</v>
      </c>
      <c r="AE13" s="26" t="n">
        <f aca="false">AE12*Assumptions!$F$11</f>
        <v>290.729422553439</v>
      </c>
      <c r="AF13" s="26" t="n">
        <f aca="false">AF12*Assumptions!$F$11</f>
        <v>310.848481215137</v>
      </c>
      <c r="AG13" s="26" t="n">
        <f aca="false">AG12*Assumptions!$F$11</f>
        <v>332.95055399691</v>
      </c>
      <c r="AH13" s="26" t="n">
        <f aca="false">AH12*Assumptions!$F$11</f>
        <v>352.273095686956</v>
      </c>
      <c r="AI13" s="26" t="n">
        <f aca="false">AI12*Assumptions!$F$11</f>
        <v>372.611399251652</v>
      </c>
      <c r="AJ13" s="26" t="n">
        <f aca="false">AJ12*Assumptions!$F$11</f>
        <v>394.276628262877</v>
      </c>
      <c r="AK13" s="26" t="n">
        <f aca="false">AK12*Assumptions!$F$11</f>
        <v>417.248878838934</v>
      </c>
      <c r="AL13" s="26" t="n">
        <f aca="false">AL12*Assumptions!$F$11</f>
        <v>440.69254565635</v>
      </c>
      <c r="AM13" s="26" t="n">
        <f aca="false">AM12*Assumptions!$F$11</f>
        <v>464.110957471505</v>
      </c>
      <c r="AN13" s="37" t="n">
        <f aca="false">AN12*Assumptions!$F$11</f>
        <v>487.994093109432</v>
      </c>
      <c r="AO13" s="37" t="n">
        <f aca="false">AO12*Assumptions!$F$11</f>
        <v>511.682181712791</v>
      </c>
      <c r="AP13" s="37" t="n">
        <f aca="false">AP12*Assumptions!$F$11</f>
        <v>535.178148987099</v>
      </c>
      <c r="AQ13" s="37" t="n">
        <f aca="false">AQ12*Assumptions!$F$11</f>
        <v>558.484876752292</v>
      </c>
      <c r="AR13" s="37" t="n">
        <f aca="false">AR12*Assumptions!$F$11</f>
        <v>581.605203601008</v>
      </c>
      <c r="AS13" s="37" t="n">
        <f aca="false">AS12*Assumptions!$F$11</f>
        <v>604.541925546993</v>
      </c>
      <c r="AT13" s="37" t="n">
        <f aca="false">AT12*Assumptions!$F$11</f>
        <v>627.134596663788</v>
      </c>
      <c r="AU13" s="37" t="n">
        <f aca="false">AU12*Assumptions!$F$11</f>
        <v>649.551577713831</v>
      </c>
      <c r="AV13" s="37" t="n">
        <f aca="false">AV12*Assumptions!$F$11</f>
        <v>671.795504048124</v>
      </c>
      <c r="AW13" s="37" t="n">
        <f aca="false">AW12*Assumptions!$F$11</f>
        <v>693.705771487402</v>
      </c>
      <c r="AX13" s="37" t="n">
        <f aca="false">AX12*Assumptions!$F$11</f>
        <v>715.450584915091</v>
      </c>
      <c r="AY13" s="37" t="n">
        <f aca="false">AY12*Assumptions!$F$11</f>
        <v>737.032426141365</v>
      </c>
      <c r="AZ13" s="37" t="n">
        <f aca="false">AZ12*Assumptions!$F$11</f>
        <v>758.290539749244</v>
      </c>
      <c r="BA13" s="37" t="n">
        <f aca="false">BA12*Assumptions!$F$11</f>
        <v>779.229781653006</v>
      </c>
      <c r="BB13" s="37" t="n">
        <f aca="false">BB12*Assumptions!$F$11</f>
        <v>800.01813492821</v>
      </c>
      <c r="BC13" s="37" t="n">
        <f aca="false">BC12*Assumptions!$F$11</f>
        <v>820.494662904287</v>
      </c>
      <c r="BD13" s="37" t="n">
        <f aca="false">BD12*Assumptions!$F$11</f>
        <v>840.664042960723</v>
      </c>
      <c r="BE13" s="37" t="n">
        <f aca="false">BE12*Assumptions!$F$11</f>
        <v>860.694082316312</v>
      </c>
      <c r="BF13" s="37" t="n">
        <f aca="false">BF12*Assumptions!$F$11</f>
        <v>880.423671081567</v>
      </c>
      <c r="BG13" s="37" t="n">
        <f aca="false">BG12*Assumptions!$F$11</f>
        <v>899.857316015344</v>
      </c>
      <c r="BH13" s="37" t="n">
        <f aca="false">BH12*Assumptions!$F$11</f>
        <v>918.999456275114</v>
      </c>
      <c r="BI13" s="37" t="n">
        <f aca="false">BI12*Assumptions!$F$11</f>
        <v>937.854464430987</v>
      </c>
      <c r="BJ13" s="37" t="n">
        <f aca="false">BJ12*Assumptions!$F$11</f>
        <v>956.426647464522</v>
      </c>
      <c r="BK13" s="37" t="n">
        <f aca="false">BK12*Assumptions!$F$11</f>
        <v>974.720247752555</v>
      </c>
    </row>
    <row r="14" customFormat="false" ht="15" hidden="false" customHeight="false" outlineLevel="0" collapsed="false">
      <c r="A14" s="28" t="s">
        <v>548</v>
      </c>
      <c r="B14" s="6" t="s">
        <v>549</v>
      </c>
      <c r="C14" s="36" t="n">
        <v>0</v>
      </c>
      <c r="D14" s="26" t="n">
        <f aca="false">D11*Assumptions!$F$11</f>
        <v>0</v>
      </c>
      <c r="E14" s="26" t="n">
        <f aca="false">E11*Assumptions!$F$11</f>
        <v>0</v>
      </c>
      <c r="F14" s="26" t="n">
        <f aca="false">F11*Assumptions!$F$11</f>
        <v>0</v>
      </c>
      <c r="G14" s="26" t="n">
        <f aca="false">G11*Assumptions!$F$11</f>
        <v>0</v>
      </c>
      <c r="H14" s="26" t="n">
        <f aca="false">H11*Assumptions!$F$11</f>
        <v>4.08</v>
      </c>
      <c r="I14" s="26" t="n">
        <f aca="false">I11*Assumptions!$F$11</f>
        <v>3.5904</v>
      </c>
      <c r="J14" s="26" t="n">
        <f aca="false">J11*Assumptions!$F$11</f>
        <v>2.448</v>
      </c>
      <c r="K14" s="26" t="n">
        <f aca="false">K11*Assumptions!$F$11</f>
        <v>5.712</v>
      </c>
      <c r="L14" s="26" t="n">
        <f aca="false">L11*Assumptions!$F$11</f>
        <v>8.6496</v>
      </c>
      <c r="M14" s="26" t="n">
        <f aca="false">M11*Assumptions!$F$11</f>
        <v>6.8544</v>
      </c>
      <c r="N14" s="26" t="n">
        <f aca="false">N11*Assumptions!$F$11</f>
        <v>8.3232</v>
      </c>
      <c r="O14" s="26" t="n">
        <f aca="false">O11*Assumptions!$F$11</f>
        <v>10.4448</v>
      </c>
      <c r="P14" s="26" t="n">
        <f aca="false">P11*Assumptions!$F$11</f>
        <v>12.0768</v>
      </c>
      <c r="Q14" s="26" t="n">
        <f aca="false">Q11*Assumptions!$F$11</f>
        <v>12.8928</v>
      </c>
      <c r="R14" s="26" t="n">
        <f aca="false">R11*Assumptions!$F$11</f>
        <v>13.2192</v>
      </c>
      <c r="S14" s="26" t="n">
        <f aca="false">S11*Assumptions!$F$11</f>
        <v>14.0352</v>
      </c>
      <c r="T14" s="26" t="n">
        <f aca="false">T11*Assumptions!$F$11</f>
        <v>14.1984</v>
      </c>
      <c r="U14" s="26" t="n">
        <f aca="false">U11*Assumptions!$F$11</f>
        <v>14.3616</v>
      </c>
      <c r="V14" s="26" t="n">
        <f aca="false">V11*Assumptions!$F$11</f>
        <v>14.5248</v>
      </c>
      <c r="W14" s="26" t="n">
        <f aca="false">W11*Assumptions!$F$11</f>
        <v>18.768</v>
      </c>
      <c r="X14" s="26" t="n">
        <f aca="false">X11*Assumptions!$F$11</f>
        <v>18.4416</v>
      </c>
      <c r="Y14" s="26" t="n">
        <f aca="false">Y11*Assumptions!$F$11</f>
        <v>17.4624</v>
      </c>
      <c r="Z14" s="26" t="n">
        <f aca="false">Z11*Assumptions!$F$11</f>
        <v>20.8896</v>
      </c>
      <c r="AA14" s="26" t="n">
        <f aca="false">AA11*Assumptions!$F$11</f>
        <v>19.9104</v>
      </c>
      <c r="AB14" s="26" t="n">
        <f aca="false">AB11*Assumptions!$F$11</f>
        <v>18.768</v>
      </c>
      <c r="AC14" s="26" t="n">
        <f aca="false">AC11*Assumptions!$F$11</f>
        <v>21.5424</v>
      </c>
      <c r="AD14" s="26" t="n">
        <f aca="false">AD11*Assumptions!$F$11</f>
        <v>24.6432</v>
      </c>
      <c r="AE14" s="26" t="n">
        <f aca="false">AE11*Assumptions!$F$11</f>
        <v>22.848</v>
      </c>
      <c r="AF14" s="26" t="n">
        <f aca="false">AF11*Assumptions!$F$11</f>
        <v>24.48</v>
      </c>
      <c r="AG14" s="26" t="n">
        <f aca="false">AG11*Assumptions!$F$11</f>
        <v>26.7648</v>
      </c>
      <c r="AH14" s="26" t="n">
        <f aca="false">AH11*Assumptions!$F$11</f>
        <v>24.3168</v>
      </c>
      <c r="AI14" s="26" t="n">
        <f aca="false">AI11*Assumptions!$F$11</f>
        <v>25.6224</v>
      </c>
      <c r="AJ14" s="26" t="n">
        <f aca="false">AJ11*Assumptions!$F$11</f>
        <v>27.2544</v>
      </c>
      <c r="AK14" s="26" t="n">
        <f aca="false">AK11*Assumptions!$F$11</f>
        <v>28.8864</v>
      </c>
      <c r="AL14" s="26" t="n">
        <f aca="false">AL11*Assumptions!$F$11</f>
        <v>29.7024</v>
      </c>
      <c r="AM14" s="26" t="n">
        <f aca="false">AM11*Assumptions!$F$11</f>
        <v>30.0288</v>
      </c>
      <c r="AN14" s="37" t="n">
        <f aca="false">AN11*Assumptions!$F$11</f>
        <v>30.8448</v>
      </c>
      <c r="AO14" s="37" t="n">
        <f aca="false">AO11*Assumptions!$F$11</f>
        <v>31.008</v>
      </c>
      <c r="AP14" s="37" t="n">
        <f aca="false">AP11*Assumptions!$F$11</f>
        <v>31.1712</v>
      </c>
      <c r="AQ14" s="37" t="n">
        <f aca="false">AQ11*Assumptions!$F$11</f>
        <v>31.3344</v>
      </c>
      <c r="AR14" s="37" t="n">
        <f aca="false">AR11*Assumptions!$F$11</f>
        <v>31.4976</v>
      </c>
      <c r="AS14" s="37" t="n">
        <f aca="false">AS11*Assumptions!$F$11</f>
        <v>31.6608</v>
      </c>
      <c r="AT14" s="37" t="n">
        <f aca="false">AT11*Assumptions!$F$11</f>
        <v>31.6608</v>
      </c>
      <c r="AU14" s="37" t="n">
        <f aca="false">AU11*Assumptions!$F$11</f>
        <v>31.824</v>
      </c>
      <c r="AV14" s="37" t="n">
        <f aca="false">AV11*Assumptions!$F$11</f>
        <v>31.9872</v>
      </c>
      <c r="AW14" s="37" t="n">
        <f aca="false">AW11*Assumptions!$F$11</f>
        <v>31.9872</v>
      </c>
      <c r="AX14" s="37" t="n">
        <f aca="false">AX11*Assumptions!$F$11</f>
        <v>32.1504</v>
      </c>
      <c r="AY14" s="37" t="n">
        <f aca="false">AY11*Assumptions!$F$11</f>
        <v>32.3136</v>
      </c>
      <c r="AZ14" s="37" t="n">
        <f aca="false">AZ11*Assumptions!$F$11</f>
        <v>32.3136</v>
      </c>
      <c r="BA14" s="37" t="n">
        <f aca="false">BA11*Assumptions!$F$11</f>
        <v>32.3136</v>
      </c>
      <c r="BB14" s="37" t="n">
        <f aca="false">BB11*Assumptions!$F$11</f>
        <v>32.4768</v>
      </c>
      <c r="BC14" s="37" t="n">
        <f aca="false">BC11*Assumptions!$F$11</f>
        <v>32.4768</v>
      </c>
      <c r="BD14" s="37" t="n">
        <f aca="false">BD11*Assumptions!$F$11</f>
        <v>32.4768</v>
      </c>
      <c r="BE14" s="37" t="n">
        <f aca="false">BE11*Assumptions!$F$11</f>
        <v>32.64</v>
      </c>
      <c r="BF14" s="37" t="n">
        <f aca="false">BF11*Assumptions!$F$11</f>
        <v>32.64</v>
      </c>
      <c r="BG14" s="37" t="n">
        <f aca="false">BG11*Assumptions!$F$11</f>
        <v>32.64</v>
      </c>
      <c r="BH14" s="37" t="n">
        <f aca="false">BH11*Assumptions!$F$11</f>
        <v>32.64</v>
      </c>
      <c r="BI14" s="37" t="n">
        <f aca="false">BI11*Assumptions!$F$11</f>
        <v>32.64</v>
      </c>
      <c r="BJ14" s="37" t="n">
        <f aca="false">BJ11*Assumptions!$F$11</f>
        <v>32.64</v>
      </c>
      <c r="BK14" s="37" t="n">
        <f aca="false">BK11*Assumptions!$F$11</f>
        <v>32.64</v>
      </c>
    </row>
    <row r="15" customFormat="false" ht="15" hidden="false" customHeight="false" outlineLevel="0" collapsed="false">
      <c r="B15" s="5" t="s">
        <v>550</v>
      </c>
    </row>
    <row r="16" customFormat="false" ht="15" hidden="false" customHeight="false" outlineLevel="0" collapsed="false">
      <c r="A16" s="28" t="s">
        <v>551</v>
      </c>
      <c r="B16" s="6" t="s">
        <v>552</v>
      </c>
      <c r="C16" s="38" t="n">
        <v>0</v>
      </c>
      <c r="D16" s="39" t="n">
        <f aca="false">IF(OR(C16=1,AND(D13&gt;=Assumptions!$F$18,D7&gt;=Assumptions!$F$19)),1,0)</f>
        <v>0</v>
      </c>
      <c r="E16" s="39" t="n">
        <f aca="false">IF(OR(D16=1,AND(E13&gt;=Assumptions!$F$18,E7&gt;=Assumptions!$F$19)),1,0)</f>
        <v>0</v>
      </c>
      <c r="F16" s="39" t="n">
        <f aca="false">IF(OR(E16=1,AND(F13&gt;=Assumptions!$F$18,F7&gt;=Assumptions!$F$19)),1,0)</f>
        <v>0</v>
      </c>
      <c r="G16" s="39" t="n">
        <f aca="false">IF(OR(F16=1,AND(G13&gt;=Assumptions!$F$18,G7&gt;=Assumptions!$F$19)),1,0)</f>
        <v>0</v>
      </c>
      <c r="H16" s="39" t="n">
        <f aca="false">IF(OR(G16=1,AND(H13&gt;=Assumptions!$F$18,H7&gt;=Assumptions!$F$19)),1,0)</f>
        <v>0</v>
      </c>
      <c r="I16" s="39" t="n">
        <f aca="false">IF(OR(H16=1,AND(I13&gt;=Assumptions!$F$18,I7&gt;=Assumptions!$F$19)),1,0)</f>
        <v>0</v>
      </c>
      <c r="J16" s="39" t="n">
        <f aca="false">IF(OR(I16=1,AND(J13&gt;=Assumptions!$F$18,J7&gt;=Assumptions!$F$19)),1,0)</f>
        <v>0</v>
      </c>
      <c r="K16" s="39" t="n">
        <f aca="false">IF(OR(J16=1,AND(K13&gt;=Assumptions!$F$18,K7&gt;=Assumptions!$F$19)),1,0)</f>
        <v>0</v>
      </c>
      <c r="L16" s="39" t="n">
        <f aca="false">IF(OR(K16=1,AND(L13&gt;=Assumptions!$F$18,L7&gt;=Assumptions!$F$19)),1,0)</f>
        <v>0</v>
      </c>
      <c r="M16" s="39" t="n">
        <f aca="false">IF(OR(L16=1,AND(M13&gt;=Assumptions!$F$18,M7&gt;=Assumptions!$F$19)),1,0)</f>
        <v>0</v>
      </c>
      <c r="N16" s="39" t="n">
        <f aca="false">IF(OR(M16=1,AND(N13&gt;=Assumptions!$F$18,N7&gt;=Assumptions!$F$19)),1,0)</f>
        <v>0</v>
      </c>
      <c r="O16" s="39" t="n">
        <f aca="false">IF(OR(N16=1,AND(O13&gt;=Assumptions!$F$18,O7&gt;=Assumptions!$F$19)),1,0)</f>
        <v>0</v>
      </c>
      <c r="P16" s="39" t="n">
        <f aca="false">IF(OR(O16=1,AND(P13&gt;=Assumptions!$F$18,P7&gt;=Assumptions!$F$19)),1,0)</f>
        <v>0</v>
      </c>
      <c r="Q16" s="39" t="n">
        <f aca="false">IF(OR(P16=1,AND(Q13&gt;=Assumptions!$F$18,Q7&gt;=Assumptions!$F$19)),1,0)</f>
        <v>0</v>
      </c>
      <c r="R16" s="39" t="n">
        <f aca="false">IF(OR(Q16=1,AND(R13&gt;=Assumptions!$F$18,R7&gt;=Assumptions!$F$19)),1,0)</f>
        <v>0</v>
      </c>
      <c r="S16" s="39" t="n">
        <f aca="false">IF(OR(R16=1,AND(S13&gt;=Assumptions!$F$18,S7&gt;=Assumptions!$F$19)),1,0)</f>
        <v>0</v>
      </c>
      <c r="T16" s="39" t="n">
        <f aca="false">IF(OR(S16=1,AND(T13&gt;=Assumptions!$F$18,T7&gt;=Assumptions!$F$19)),1,0)</f>
        <v>1</v>
      </c>
      <c r="U16" s="39" t="n">
        <f aca="false">IF(OR(T16=1,AND(U13&gt;=Assumptions!$F$18,U7&gt;=Assumptions!$F$19)),1,0)</f>
        <v>1</v>
      </c>
      <c r="V16" s="39" t="n">
        <f aca="false">IF(OR(U16=1,AND(V13&gt;=Assumptions!$F$18,V7&gt;=Assumptions!$F$19)),1,0)</f>
        <v>1</v>
      </c>
      <c r="W16" s="39" t="n">
        <f aca="false">IF(OR(V16=1,AND(W13&gt;=Assumptions!$F$18,W7&gt;=Assumptions!$F$19)),1,0)</f>
        <v>1</v>
      </c>
      <c r="X16" s="39" t="n">
        <f aca="false">IF(OR(W16=1,AND(X13&gt;=Assumptions!$F$18,X7&gt;=Assumptions!$F$19)),1,0)</f>
        <v>1</v>
      </c>
      <c r="Y16" s="39" t="n">
        <f aca="false">IF(OR(X16=1,AND(Y13&gt;=Assumptions!$F$18,Y7&gt;=Assumptions!$F$19)),1,0)</f>
        <v>1</v>
      </c>
      <c r="Z16" s="39" t="n">
        <f aca="false">IF(OR(Y16=1,AND(Z13&gt;=Assumptions!$F$18,Z7&gt;=Assumptions!$F$19)),1,0)</f>
        <v>1</v>
      </c>
      <c r="AA16" s="39" t="n">
        <f aca="false">IF(OR(Z16=1,AND(AA13&gt;=Assumptions!$F$18,AA7&gt;=Assumptions!$F$19)),1,0)</f>
        <v>1</v>
      </c>
      <c r="AB16" s="39" t="n">
        <f aca="false">IF(OR(AA16=1,AND(AB13&gt;=Assumptions!$F$18,AB7&gt;=Assumptions!$F$19)),1,0)</f>
        <v>1</v>
      </c>
      <c r="AC16" s="39" t="n">
        <f aca="false">IF(OR(AB16=1,AND(AC13&gt;=Assumptions!$F$18,AC7&gt;=Assumptions!$F$19)),1,0)</f>
        <v>1</v>
      </c>
      <c r="AD16" s="39" t="n">
        <f aca="false">IF(OR(AC16=1,AND(AD13&gt;=Assumptions!$F$18,AD7&gt;=Assumptions!$F$19)),1,0)</f>
        <v>1</v>
      </c>
      <c r="AE16" s="39" t="n">
        <f aca="false">IF(OR(AD16=1,AND(AE13&gt;=Assumptions!$F$18,AE7&gt;=Assumptions!$F$19)),1,0)</f>
        <v>1</v>
      </c>
      <c r="AF16" s="39" t="n">
        <f aca="false">IF(OR(AE16=1,AND(AF13&gt;=Assumptions!$F$18,AF7&gt;=Assumptions!$F$19)),1,0)</f>
        <v>1</v>
      </c>
      <c r="AG16" s="39" t="n">
        <f aca="false">IF(OR(AF16=1,AND(AG13&gt;=Assumptions!$F$18,AG7&gt;=Assumptions!$F$19)),1,0)</f>
        <v>1</v>
      </c>
      <c r="AH16" s="39" t="n">
        <f aca="false">IF(OR(AG16=1,AND(AH13&gt;=Assumptions!$F$18,AH7&gt;=Assumptions!$F$19)),1,0)</f>
        <v>1</v>
      </c>
      <c r="AI16" s="39" t="n">
        <f aca="false">IF(OR(AH16=1,AND(AI13&gt;=Assumptions!$F$18,AI7&gt;=Assumptions!$F$19)),1,0)</f>
        <v>1</v>
      </c>
      <c r="AJ16" s="39" t="n">
        <f aca="false">IF(OR(AI16=1,AND(AJ13&gt;=Assumptions!$F$18,AJ7&gt;=Assumptions!$F$19)),1,0)</f>
        <v>1</v>
      </c>
      <c r="AK16" s="39" t="n">
        <f aca="false">IF(OR(AJ16=1,AND(AK13&gt;=Assumptions!$F$18,AK7&gt;=Assumptions!$F$19)),1,0)</f>
        <v>1</v>
      </c>
      <c r="AL16" s="39" t="n">
        <f aca="false">IF(OR(AK16=1,AND(AL13&gt;=Assumptions!$F$18,AL7&gt;=Assumptions!$F$19)),1,0)</f>
        <v>1</v>
      </c>
      <c r="AM16" s="39" t="n">
        <f aca="false">IF(OR(AL16=1,AND(AM13&gt;=Assumptions!$F$18,AM7&gt;=Assumptions!$F$19)),1,0)</f>
        <v>1</v>
      </c>
      <c r="AN16" s="40" t="n">
        <f aca="false">IF(OR(AM16=1,AND(AN13&gt;=Assumptions!$F$18,AN7&gt;=Assumptions!$F$19)),1,0)</f>
        <v>1</v>
      </c>
      <c r="AO16" s="40" t="n">
        <f aca="false">IF(OR(AN16=1,AND(AO13&gt;=Assumptions!$F$18,AO7&gt;=Assumptions!$F$19)),1,0)</f>
        <v>1</v>
      </c>
      <c r="AP16" s="40" t="n">
        <f aca="false">IF(OR(AO16=1,AND(AP13&gt;=Assumptions!$F$18,AP7&gt;=Assumptions!$F$19)),1,0)</f>
        <v>1</v>
      </c>
      <c r="AQ16" s="40" t="n">
        <f aca="false">IF(OR(AP16=1,AND(AQ13&gt;=Assumptions!$F$18,AQ7&gt;=Assumptions!$F$19)),1,0)</f>
        <v>1</v>
      </c>
      <c r="AR16" s="40" t="n">
        <f aca="false">IF(OR(AQ16=1,AND(AR13&gt;=Assumptions!$F$18,AR7&gt;=Assumptions!$F$19)),1,0)</f>
        <v>1</v>
      </c>
      <c r="AS16" s="40" t="n">
        <f aca="false">IF(OR(AR16=1,AND(AS13&gt;=Assumptions!$F$18,AS7&gt;=Assumptions!$F$19)),1,0)</f>
        <v>1</v>
      </c>
      <c r="AT16" s="40" t="n">
        <f aca="false">IF(OR(AS16=1,AND(AT13&gt;=Assumptions!$F$18,AT7&gt;=Assumptions!$F$19)),1,0)</f>
        <v>1</v>
      </c>
      <c r="AU16" s="40" t="n">
        <f aca="false">IF(OR(AT16=1,AND(AU13&gt;=Assumptions!$F$18,AU7&gt;=Assumptions!$F$19)),1,0)</f>
        <v>1</v>
      </c>
      <c r="AV16" s="40" t="n">
        <f aca="false">IF(OR(AU16=1,AND(AV13&gt;=Assumptions!$F$18,AV7&gt;=Assumptions!$F$19)),1,0)</f>
        <v>1</v>
      </c>
      <c r="AW16" s="40" t="n">
        <f aca="false">IF(OR(AV16=1,AND(AW13&gt;=Assumptions!$F$18,AW7&gt;=Assumptions!$F$19)),1,0)</f>
        <v>1</v>
      </c>
      <c r="AX16" s="40" t="n">
        <f aca="false">IF(OR(AW16=1,AND(AX13&gt;=Assumptions!$F$18,AX7&gt;=Assumptions!$F$19)),1,0)</f>
        <v>1</v>
      </c>
      <c r="AY16" s="40" t="n">
        <f aca="false">IF(OR(AX16=1,AND(AY13&gt;=Assumptions!$F$18,AY7&gt;=Assumptions!$F$19)),1,0)</f>
        <v>1</v>
      </c>
      <c r="AZ16" s="40" t="n">
        <f aca="false">IF(OR(AY16=1,AND(AZ13&gt;=Assumptions!$F$18,AZ7&gt;=Assumptions!$F$19)),1,0)</f>
        <v>1</v>
      </c>
      <c r="BA16" s="40" t="n">
        <f aca="false">IF(OR(AZ16=1,AND(BA13&gt;=Assumptions!$F$18,BA7&gt;=Assumptions!$F$19)),1,0)</f>
        <v>1</v>
      </c>
      <c r="BB16" s="40" t="n">
        <f aca="false">IF(OR(BA16=1,AND(BB13&gt;=Assumptions!$F$18,BB7&gt;=Assumptions!$F$19)),1,0)</f>
        <v>1</v>
      </c>
      <c r="BC16" s="40" t="n">
        <f aca="false">IF(OR(BB16=1,AND(BC13&gt;=Assumptions!$F$18,BC7&gt;=Assumptions!$F$19)),1,0)</f>
        <v>1</v>
      </c>
      <c r="BD16" s="40" t="n">
        <f aca="false">IF(OR(BC16=1,AND(BD13&gt;=Assumptions!$F$18,BD7&gt;=Assumptions!$F$19)),1,0)</f>
        <v>1</v>
      </c>
      <c r="BE16" s="40" t="n">
        <f aca="false">IF(OR(BD16=1,AND(BE13&gt;=Assumptions!$F$18,BE7&gt;=Assumptions!$F$19)),1,0)</f>
        <v>1</v>
      </c>
      <c r="BF16" s="40" t="n">
        <f aca="false">IF(OR(BE16=1,AND(BF13&gt;=Assumptions!$F$18,BF7&gt;=Assumptions!$F$19)),1,0)</f>
        <v>1</v>
      </c>
      <c r="BG16" s="40" t="n">
        <f aca="false">IF(OR(BF16=1,AND(BG13&gt;=Assumptions!$F$18,BG7&gt;=Assumptions!$F$19)),1,0)</f>
        <v>1</v>
      </c>
      <c r="BH16" s="40" t="n">
        <f aca="false">IF(OR(BG16=1,AND(BH13&gt;=Assumptions!$F$18,BH7&gt;=Assumptions!$F$19)),1,0)</f>
        <v>1</v>
      </c>
      <c r="BI16" s="40" t="n">
        <f aca="false">IF(OR(BH16=1,AND(BI13&gt;=Assumptions!$F$18,BI7&gt;=Assumptions!$F$19)),1,0)</f>
        <v>1</v>
      </c>
      <c r="BJ16" s="40" t="n">
        <f aca="false">IF(OR(BI16=1,AND(BJ13&gt;=Assumptions!$F$18,BJ7&gt;=Assumptions!$F$19)),1,0)</f>
        <v>1</v>
      </c>
      <c r="BK16" s="40" t="n">
        <f aca="false">IF(OR(BJ16=1,AND(BK13&gt;=Assumptions!$F$18,BK7&gt;=Assumptions!$F$19)),1,0)</f>
        <v>1</v>
      </c>
    </row>
    <row r="17" customFormat="false" ht="15" hidden="false" customHeight="false" outlineLevel="0" collapsed="false">
      <c r="A17" s="28" t="s">
        <v>553</v>
      </c>
      <c r="B17" s="6" t="s">
        <v>554</v>
      </c>
      <c r="C17" s="38" t="n">
        <v>0</v>
      </c>
      <c r="D17" s="39" t="n">
        <f aca="false">IF(OR(C17=1,AND(D13&gt;=Assumptions!$F$20,D7&gt;=Assumptions!$F$21)),1,0)</f>
        <v>0</v>
      </c>
      <c r="E17" s="39" t="n">
        <f aca="false">IF(OR(D17=1,AND(E13&gt;=Assumptions!$F$20,E7&gt;=Assumptions!$F$21)),1,0)</f>
        <v>0</v>
      </c>
      <c r="F17" s="39" t="n">
        <f aca="false">IF(OR(E17=1,AND(F13&gt;=Assumptions!$F$20,F7&gt;=Assumptions!$F$21)),1,0)</f>
        <v>0</v>
      </c>
      <c r="G17" s="39" t="n">
        <f aca="false">IF(OR(F17=1,AND(G13&gt;=Assumptions!$F$20,G7&gt;=Assumptions!$F$21)),1,0)</f>
        <v>0</v>
      </c>
      <c r="H17" s="39" t="n">
        <f aca="false">IF(OR(G17=1,AND(H13&gt;=Assumptions!$F$20,H7&gt;=Assumptions!$F$21)),1,0)</f>
        <v>0</v>
      </c>
      <c r="I17" s="39" t="n">
        <f aca="false">IF(OR(H17=1,AND(I13&gt;=Assumptions!$F$20,I7&gt;=Assumptions!$F$21)),1,0)</f>
        <v>0</v>
      </c>
      <c r="J17" s="39" t="n">
        <f aca="false">IF(OR(I17=1,AND(J13&gt;=Assumptions!$F$20,J7&gt;=Assumptions!$F$21)),1,0)</f>
        <v>0</v>
      </c>
      <c r="K17" s="39" t="n">
        <f aca="false">IF(OR(J17=1,AND(K13&gt;=Assumptions!$F$20,K7&gt;=Assumptions!$F$21)),1,0)</f>
        <v>0</v>
      </c>
      <c r="L17" s="39" t="n">
        <f aca="false">IF(OR(K17=1,AND(L13&gt;=Assumptions!$F$20,L7&gt;=Assumptions!$F$21)),1,0)</f>
        <v>0</v>
      </c>
      <c r="M17" s="39" t="n">
        <f aca="false">IF(OR(L17=1,AND(M13&gt;=Assumptions!$F$20,M7&gt;=Assumptions!$F$21)),1,0)</f>
        <v>0</v>
      </c>
      <c r="N17" s="39" t="n">
        <f aca="false">IF(OR(M17=1,AND(N13&gt;=Assumptions!$F$20,N7&gt;=Assumptions!$F$21)),1,0)</f>
        <v>0</v>
      </c>
      <c r="O17" s="39" t="n">
        <f aca="false">IF(OR(N17=1,AND(O13&gt;=Assumptions!$F$20,O7&gt;=Assumptions!$F$21)),1,0)</f>
        <v>1</v>
      </c>
      <c r="P17" s="39" t="n">
        <f aca="false">IF(OR(O17=1,AND(P13&gt;=Assumptions!$F$20,P7&gt;=Assumptions!$F$21)),1,0)</f>
        <v>1</v>
      </c>
      <c r="Q17" s="39" t="n">
        <f aca="false">IF(OR(P17=1,AND(Q13&gt;=Assumptions!$F$20,Q7&gt;=Assumptions!$F$21)),1,0)</f>
        <v>1</v>
      </c>
      <c r="R17" s="39" t="n">
        <f aca="false">IF(OR(Q17=1,AND(R13&gt;=Assumptions!$F$20,R7&gt;=Assumptions!$F$21)),1,0)</f>
        <v>1</v>
      </c>
      <c r="S17" s="39" t="n">
        <f aca="false">IF(OR(R17=1,AND(S13&gt;=Assumptions!$F$20,S7&gt;=Assumptions!$F$21)),1,0)</f>
        <v>1</v>
      </c>
      <c r="T17" s="39" t="n">
        <f aca="false">IF(OR(S17=1,AND(T13&gt;=Assumptions!$F$20,T7&gt;=Assumptions!$F$21)),1,0)</f>
        <v>1</v>
      </c>
      <c r="U17" s="39" t="n">
        <f aca="false">IF(OR(T17=1,AND(U13&gt;=Assumptions!$F$20,U7&gt;=Assumptions!$F$21)),1,0)</f>
        <v>1</v>
      </c>
      <c r="V17" s="39" t="n">
        <f aca="false">IF(OR(U17=1,AND(V13&gt;=Assumptions!$F$20,V7&gt;=Assumptions!$F$21)),1,0)</f>
        <v>1</v>
      </c>
      <c r="W17" s="39" t="n">
        <f aca="false">IF(OR(V17=1,AND(W13&gt;=Assumptions!$F$20,W7&gt;=Assumptions!$F$21)),1,0)</f>
        <v>1</v>
      </c>
      <c r="X17" s="39" t="n">
        <f aca="false">IF(OR(W17=1,AND(X13&gt;=Assumptions!$F$20,X7&gt;=Assumptions!$F$21)),1,0)</f>
        <v>1</v>
      </c>
      <c r="Y17" s="39" t="n">
        <f aca="false">IF(OR(X17=1,AND(Y13&gt;=Assumptions!$F$20,Y7&gt;=Assumptions!$F$21)),1,0)</f>
        <v>1</v>
      </c>
      <c r="Z17" s="39" t="n">
        <f aca="false">IF(OR(Y17=1,AND(Z13&gt;=Assumptions!$F$20,Z7&gt;=Assumptions!$F$21)),1,0)</f>
        <v>1</v>
      </c>
      <c r="AA17" s="39" t="n">
        <f aca="false">IF(OR(Z17=1,AND(AA13&gt;=Assumptions!$F$20,AA7&gt;=Assumptions!$F$21)),1,0)</f>
        <v>1</v>
      </c>
      <c r="AB17" s="39" t="n">
        <f aca="false">IF(OR(AA17=1,AND(AB13&gt;=Assumptions!$F$20,AB7&gt;=Assumptions!$F$21)),1,0)</f>
        <v>1</v>
      </c>
      <c r="AC17" s="39" t="n">
        <f aca="false">IF(OR(AB17=1,AND(AC13&gt;=Assumptions!$F$20,AC7&gt;=Assumptions!$F$21)),1,0)</f>
        <v>1</v>
      </c>
      <c r="AD17" s="39" t="n">
        <f aca="false">IF(OR(AC17=1,AND(AD13&gt;=Assumptions!$F$20,AD7&gt;=Assumptions!$F$21)),1,0)</f>
        <v>1</v>
      </c>
      <c r="AE17" s="39" t="n">
        <f aca="false">IF(OR(AD17=1,AND(AE13&gt;=Assumptions!$F$20,AE7&gt;=Assumptions!$F$21)),1,0)</f>
        <v>1</v>
      </c>
      <c r="AF17" s="39" t="n">
        <f aca="false">IF(OR(AE17=1,AND(AF13&gt;=Assumptions!$F$20,AF7&gt;=Assumptions!$F$21)),1,0)</f>
        <v>1</v>
      </c>
      <c r="AG17" s="39" t="n">
        <f aca="false">IF(OR(AF17=1,AND(AG13&gt;=Assumptions!$F$20,AG7&gt;=Assumptions!$F$21)),1,0)</f>
        <v>1</v>
      </c>
      <c r="AH17" s="39" t="n">
        <f aca="false">IF(OR(AG17=1,AND(AH13&gt;=Assumptions!$F$20,AH7&gt;=Assumptions!$F$21)),1,0)</f>
        <v>1</v>
      </c>
      <c r="AI17" s="39" t="n">
        <f aca="false">IF(OR(AH17=1,AND(AI13&gt;=Assumptions!$F$20,AI7&gt;=Assumptions!$F$21)),1,0)</f>
        <v>1</v>
      </c>
      <c r="AJ17" s="39" t="n">
        <f aca="false">IF(OR(AI17=1,AND(AJ13&gt;=Assumptions!$F$20,AJ7&gt;=Assumptions!$F$21)),1,0)</f>
        <v>1</v>
      </c>
      <c r="AK17" s="39" t="n">
        <f aca="false">IF(OR(AJ17=1,AND(AK13&gt;=Assumptions!$F$20,AK7&gt;=Assumptions!$F$21)),1,0)</f>
        <v>1</v>
      </c>
      <c r="AL17" s="39" t="n">
        <f aca="false">IF(OR(AK17=1,AND(AL13&gt;=Assumptions!$F$20,AL7&gt;=Assumptions!$F$21)),1,0)</f>
        <v>1</v>
      </c>
      <c r="AM17" s="39" t="n">
        <f aca="false">IF(OR(AL17=1,AND(AM13&gt;=Assumptions!$F$20,AM7&gt;=Assumptions!$F$21)),1,0)</f>
        <v>1</v>
      </c>
      <c r="AN17" s="40" t="n">
        <f aca="false">IF(OR(AM17=1,AND(AN13&gt;=Assumptions!$F$20,AN7&gt;=Assumptions!$F$21)),1,0)</f>
        <v>1</v>
      </c>
      <c r="AO17" s="40" t="n">
        <f aca="false">IF(OR(AN17=1,AND(AO13&gt;=Assumptions!$F$20,AO7&gt;=Assumptions!$F$21)),1,0)</f>
        <v>1</v>
      </c>
      <c r="AP17" s="40" t="n">
        <f aca="false">IF(OR(AO17=1,AND(AP13&gt;=Assumptions!$F$20,AP7&gt;=Assumptions!$F$21)),1,0)</f>
        <v>1</v>
      </c>
      <c r="AQ17" s="40" t="n">
        <f aca="false">IF(OR(AP17=1,AND(AQ13&gt;=Assumptions!$F$20,AQ7&gt;=Assumptions!$F$21)),1,0)</f>
        <v>1</v>
      </c>
      <c r="AR17" s="40" t="n">
        <f aca="false">IF(OR(AQ17=1,AND(AR13&gt;=Assumptions!$F$20,AR7&gt;=Assumptions!$F$21)),1,0)</f>
        <v>1</v>
      </c>
      <c r="AS17" s="40" t="n">
        <f aca="false">IF(OR(AR17=1,AND(AS13&gt;=Assumptions!$F$20,AS7&gt;=Assumptions!$F$21)),1,0)</f>
        <v>1</v>
      </c>
      <c r="AT17" s="40" t="n">
        <f aca="false">IF(OR(AS17=1,AND(AT13&gt;=Assumptions!$F$20,AT7&gt;=Assumptions!$F$21)),1,0)</f>
        <v>1</v>
      </c>
      <c r="AU17" s="40" t="n">
        <f aca="false">IF(OR(AT17=1,AND(AU13&gt;=Assumptions!$F$20,AU7&gt;=Assumptions!$F$21)),1,0)</f>
        <v>1</v>
      </c>
      <c r="AV17" s="40" t="n">
        <f aca="false">IF(OR(AU17=1,AND(AV13&gt;=Assumptions!$F$20,AV7&gt;=Assumptions!$F$21)),1,0)</f>
        <v>1</v>
      </c>
      <c r="AW17" s="40" t="n">
        <f aca="false">IF(OR(AV17=1,AND(AW13&gt;=Assumptions!$F$20,AW7&gt;=Assumptions!$F$21)),1,0)</f>
        <v>1</v>
      </c>
      <c r="AX17" s="40" t="n">
        <f aca="false">IF(OR(AW17=1,AND(AX13&gt;=Assumptions!$F$20,AX7&gt;=Assumptions!$F$21)),1,0)</f>
        <v>1</v>
      </c>
      <c r="AY17" s="40" t="n">
        <f aca="false">IF(OR(AX17=1,AND(AY13&gt;=Assumptions!$F$20,AY7&gt;=Assumptions!$F$21)),1,0)</f>
        <v>1</v>
      </c>
      <c r="AZ17" s="40" t="n">
        <f aca="false">IF(OR(AY17=1,AND(AZ13&gt;=Assumptions!$F$20,AZ7&gt;=Assumptions!$F$21)),1,0)</f>
        <v>1</v>
      </c>
      <c r="BA17" s="40" t="n">
        <f aca="false">IF(OR(AZ17=1,AND(BA13&gt;=Assumptions!$F$20,BA7&gt;=Assumptions!$F$21)),1,0)</f>
        <v>1</v>
      </c>
      <c r="BB17" s="40" t="n">
        <f aca="false">IF(OR(BA17=1,AND(BB13&gt;=Assumptions!$F$20,BB7&gt;=Assumptions!$F$21)),1,0)</f>
        <v>1</v>
      </c>
      <c r="BC17" s="40" t="n">
        <f aca="false">IF(OR(BB17=1,AND(BC13&gt;=Assumptions!$F$20,BC7&gt;=Assumptions!$F$21)),1,0)</f>
        <v>1</v>
      </c>
      <c r="BD17" s="40" t="n">
        <f aca="false">IF(OR(BC17=1,AND(BD13&gt;=Assumptions!$F$20,BD7&gt;=Assumptions!$F$21)),1,0)</f>
        <v>1</v>
      </c>
      <c r="BE17" s="40" t="n">
        <f aca="false">IF(OR(BD17=1,AND(BE13&gt;=Assumptions!$F$20,BE7&gt;=Assumptions!$F$21)),1,0)</f>
        <v>1</v>
      </c>
      <c r="BF17" s="40" t="n">
        <f aca="false">IF(OR(BE17=1,AND(BF13&gt;=Assumptions!$F$20,BF7&gt;=Assumptions!$F$21)),1,0)</f>
        <v>1</v>
      </c>
      <c r="BG17" s="40" t="n">
        <f aca="false">IF(OR(BF17=1,AND(BG13&gt;=Assumptions!$F$20,BG7&gt;=Assumptions!$F$21)),1,0)</f>
        <v>1</v>
      </c>
      <c r="BH17" s="40" t="n">
        <f aca="false">IF(OR(BG17=1,AND(BH13&gt;=Assumptions!$F$20,BH7&gt;=Assumptions!$F$21)),1,0)</f>
        <v>1</v>
      </c>
      <c r="BI17" s="40" t="n">
        <f aca="false">IF(OR(BH17=1,AND(BI13&gt;=Assumptions!$F$20,BI7&gt;=Assumptions!$F$21)),1,0)</f>
        <v>1</v>
      </c>
      <c r="BJ17" s="40" t="n">
        <f aca="false">IF(OR(BI17=1,AND(BJ13&gt;=Assumptions!$F$20,BJ7&gt;=Assumptions!$F$21)),1,0)</f>
        <v>1</v>
      </c>
      <c r="BK17" s="40" t="n">
        <f aca="false">IF(OR(BJ17=1,AND(BK13&gt;=Assumptions!$F$20,BK7&gt;=Assumptions!$F$21)),1,0)</f>
        <v>1</v>
      </c>
    </row>
    <row r="18" customFormat="false" ht="15" hidden="false" customHeight="false" outlineLevel="0" collapsed="false">
      <c r="A18" s="28" t="s">
        <v>555</v>
      </c>
      <c r="B18" s="6" t="s">
        <v>556</v>
      </c>
      <c r="C18" s="38" t="n">
        <v>0</v>
      </c>
      <c r="D18" s="39" t="n">
        <f aca="false">IF(OR(C18=1,D13&gt;=Assumptions!$F$22),1,0)</f>
        <v>0</v>
      </c>
      <c r="E18" s="39" t="n">
        <f aca="false">IF(OR(D18=1,E13&gt;=Assumptions!$F$22),1,0)</f>
        <v>0</v>
      </c>
      <c r="F18" s="39" t="n">
        <f aca="false">IF(OR(E18=1,F13&gt;=Assumptions!$F$22),1,0)</f>
        <v>0</v>
      </c>
      <c r="G18" s="39" t="n">
        <f aca="false">IF(OR(F18=1,G13&gt;=Assumptions!$F$22),1,0)</f>
        <v>0</v>
      </c>
      <c r="H18" s="39" t="n">
        <f aca="false">IF(OR(G18=1,H13&gt;=Assumptions!$F$22),1,0)</f>
        <v>0</v>
      </c>
      <c r="I18" s="39" t="n">
        <f aca="false">IF(OR(H18=1,I13&gt;=Assumptions!$F$22),1,0)</f>
        <v>0</v>
      </c>
      <c r="J18" s="39" t="n">
        <f aca="false">IF(OR(I18=1,J13&gt;=Assumptions!$F$22),1,0)</f>
        <v>0</v>
      </c>
      <c r="K18" s="39" t="n">
        <f aca="false">IF(OR(J18=1,K13&gt;=Assumptions!$F$22),1,0)</f>
        <v>0</v>
      </c>
      <c r="L18" s="39" t="n">
        <f aca="false">IF(OR(K18=1,L13&gt;=Assumptions!$F$22),1,0)</f>
        <v>0</v>
      </c>
      <c r="M18" s="39" t="n">
        <f aca="false">IF(OR(L18=1,M13&gt;=Assumptions!$F$22),1,0)</f>
        <v>0</v>
      </c>
      <c r="N18" s="39" t="n">
        <f aca="false">IF(OR(M18=1,N13&gt;=Assumptions!$F$22),1,0)</f>
        <v>0</v>
      </c>
      <c r="O18" s="39" t="n">
        <f aca="false">IF(OR(N18=1,O13&gt;=Assumptions!$F$22),1,0)</f>
        <v>0</v>
      </c>
      <c r="P18" s="39" t="n">
        <f aca="false">IF(OR(O18=1,P13&gt;=Assumptions!$F$22),1,0)</f>
        <v>0</v>
      </c>
      <c r="Q18" s="39" t="n">
        <f aca="false">IF(OR(P18=1,Q13&gt;=Assumptions!$F$22),1,0)</f>
        <v>0</v>
      </c>
      <c r="R18" s="39" t="n">
        <f aca="false">IF(OR(Q18=1,R13&gt;=Assumptions!$F$22),1,0)</f>
        <v>0</v>
      </c>
      <c r="S18" s="39" t="n">
        <f aca="false">IF(OR(R18=1,S13&gt;=Assumptions!$F$22),1,0)</f>
        <v>0</v>
      </c>
      <c r="T18" s="39" t="n">
        <f aca="false">IF(OR(S18=1,T13&gt;=Assumptions!$F$22),1,0)</f>
        <v>1</v>
      </c>
      <c r="U18" s="39" t="n">
        <f aca="false">IF(OR(T18=1,U13&gt;=Assumptions!$F$22),1,0)</f>
        <v>1</v>
      </c>
      <c r="V18" s="39" t="n">
        <f aca="false">IF(OR(U18=1,V13&gt;=Assumptions!$F$22),1,0)</f>
        <v>1</v>
      </c>
      <c r="W18" s="39" t="n">
        <f aca="false">IF(OR(V18=1,W13&gt;=Assumptions!$F$22),1,0)</f>
        <v>1</v>
      </c>
      <c r="X18" s="39" t="n">
        <f aca="false">IF(OR(W18=1,X13&gt;=Assumptions!$F$22),1,0)</f>
        <v>1</v>
      </c>
      <c r="Y18" s="39" t="n">
        <f aca="false">IF(OR(X18=1,Y13&gt;=Assumptions!$F$22),1,0)</f>
        <v>1</v>
      </c>
      <c r="Z18" s="39" t="n">
        <f aca="false">IF(OR(Y18=1,Z13&gt;=Assumptions!$F$22),1,0)</f>
        <v>1</v>
      </c>
      <c r="AA18" s="39" t="n">
        <f aca="false">IF(OR(Z18=1,AA13&gt;=Assumptions!$F$22),1,0)</f>
        <v>1</v>
      </c>
      <c r="AB18" s="39" t="n">
        <f aca="false">IF(OR(AA18=1,AB13&gt;=Assumptions!$F$22),1,0)</f>
        <v>1</v>
      </c>
      <c r="AC18" s="39" t="n">
        <f aca="false">IF(OR(AB18=1,AC13&gt;=Assumptions!$F$22),1,0)</f>
        <v>1</v>
      </c>
      <c r="AD18" s="39" t="n">
        <f aca="false">IF(OR(AC18=1,AD13&gt;=Assumptions!$F$22),1,0)</f>
        <v>1</v>
      </c>
      <c r="AE18" s="39" t="n">
        <f aca="false">IF(OR(AD18=1,AE13&gt;=Assumptions!$F$22),1,0)</f>
        <v>1</v>
      </c>
      <c r="AF18" s="39" t="n">
        <f aca="false">IF(OR(AE18=1,AF13&gt;=Assumptions!$F$22),1,0)</f>
        <v>1</v>
      </c>
      <c r="AG18" s="39" t="n">
        <f aca="false">IF(OR(AF18=1,AG13&gt;=Assumptions!$F$22),1,0)</f>
        <v>1</v>
      </c>
      <c r="AH18" s="39" t="n">
        <f aca="false">IF(OR(AG18=1,AH13&gt;=Assumptions!$F$22),1,0)</f>
        <v>1</v>
      </c>
      <c r="AI18" s="39" t="n">
        <f aca="false">IF(OR(AH18=1,AI13&gt;=Assumptions!$F$22),1,0)</f>
        <v>1</v>
      </c>
      <c r="AJ18" s="39" t="n">
        <f aca="false">IF(OR(AI18=1,AJ13&gt;=Assumptions!$F$22),1,0)</f>
        <v>1</v>
      </c>
      <c r="AK18" s="39" t="n">
        <f aca="false">IF(OR(AJ18=1,AK13&gt;=Assumptions!$F$22),1,0)</f>
        <v>1</v>
      </c>
      <c r="AL18" s="39" t="n">
        <f aca="false">IF(OR(AK18=1,AL13&gt;=Assumptions!$F$22),1,0)</f>
        <v>1</v>
      </c>
      <c r="AM18" s="39" t="n">
        <f aca="false">IF(OR(AL18=1,AM13&gt;=Assumptions!$F$22),1,0)</f>
        <v>1</v>
      </c>
      <c r="AN18" s="40" t="n">
        <f aca="false">IF(OR(AM18=1,AN13&gt;=Assumptions!$F$22),1,0)</f>
        <v>1</v>
      </c>
      <c r="AO18" s="40" t="n">
        <f aca="false">IF(OR(AN18=1,AO13&gt;=Assumptions!$F$22),1,0)</f>
        <v>1</v>
      </c>
      <c r="AP18" s="40" t="n">
        <f aca="false">IF(OR(AO18=1,AP13&gt;=Assumptions!$F$22),1,0)</f>
        <v>1</v>
      </c>
      <c r="AQ18" s="40" t="n">
        <f aca="false">IF(OR(AP18=1,AQ13&gt;=Assumptions!$F$22),1,0)</f>
        <v>1</v>
      </c>
      <c r="AR18" s="40" t="n">
        <f aca="false">IF(OR(AQ18=1,AR13&gt;=Assumptions!$F$22),1,0)</f>
        <v>1</v>
      </c>
      <c r="AS18" s="40" t="n">
        <f aca="false">IF(OR(AR18=1,AS13&gt;=Assumptions!$F$22),1,0)</f>
        <v>1</v>
      </c>
      <c r="AT18" s="40" t="n">
        <f aca="false">IF(OR(AS18=1,AT13&gt;=Assumptions!$F$22),1,0)</f>
        <v>1</v>
      </c>
      <c r="AU18" s="40" t="n">
        <f aca="false">IF(OR(AT18=1,AU13&gt;=Assumptions!$F$22),1,0)</f>
        <v>1</v>
      </c>
      <c r="AV18" s="40" t="n">
        <f aca="false">IF(OR(AU18=1,AV13&gt;=Assumptions!$F$22),1,0)</f>
        <v>1</v>
      </c>
      <c r="AW18" s="40" t="n">
        <f aca="false">IF(OR(AV18=1,AW13&gt;=Assumptions!$F$22),1,0)</f>
        <v>1</v>
      </c>
      <c r="AX18" s="40" t="n">
        <f aca="false">IF(OR(AW18=1,AX13&gt;=Assumptions!$F$22),1,0)</f>
        <v>1</v>
      </c>
      <c r="AY18" s="40" t="n">
        <f aca="false">IF(OR(AX18=1,AY13&gt;=Assumptions!$F$22),1,0)</f>
        <v>1</v>
      </c>
      <c r="AZ18" s="40" t="n">
        <f aca="false">IF(OR(AY18=1,AZ13&gt;=Assumptions!$F$22),1,0)</f>
        <v>1</v>
      </c>
      <c r="BA18" s="40" t="n">
        <f aca="false">IF(OR(AZ18=1,BA13&gt;=Assumptions!$F$22),1,0)</f>
        <v>1</v>
      </c>
      <c r="BB18" s="40" t="n">
        <f aca="false">IF(OR(BA18=1,BB13&gt;=Assumptions!$F$22),1,0)</f>
        <v>1</v>
      </c>
      <c r="BC18" s="40" t="n">
        <f aca="false">IF(OR(BB18=1,BC13&gt;=Assumptions!$F$22),1,0)</f>
        <v>1</v>
      </c>
      <c r="BD18" s="40" t="n">
        <f aca="false">IF(OR(BC18=1,BD13&gt;=Assumptions!$F$22),1,0)</f>
        <v>1</v>
      </c>
      <c r="BE18" s="40" t="n">
        <f aca="false">IF(OR(BD18=1,BE13&gt;=Assumptions!$F$22),1,0)</f>
        <v>1</v>
      </c>
      <c r="BF18" s="40" t="n">
        <f aca="false">IF(OR(BE18=1,BF13&gt;=Assumptions!$F$22),1,0)</f>
        <v>1</v>
      </c>
      <c r="BG18" s="40" t="n">
        <f aca="false">IF(OR(BF18=1,BG13&gt;=Assumptions!$F$22),1,0)</f>
        <v>1</v>
      </c>
      <c r="BH18" s="40" t="n">
        <f aca="false">IF(OR(BG18=1,BH13&gt;=Assumptions!$F$22),1,0)</f>
        <v>1</v>
      </c>
      <c r="BI18" s="40" t="n">
        <f aca="false">IF(OR(BH18=1,BI13&gt;=Assumptions!$F$22),1,0)</f>
        <v>1</v>
      </c>
      <c r="BJ18" s="40" t="n">
        <f aca="false">IF(OR(BI18=1,BJ13&gt;=Assumptions!$F$22),1,0)</f>
        <v>1</v>
      </c>
      <c r="BK18" s="40" t="n">
        <f aca="false">IF(OR(BJ18=1,BK13&gt;=Assumptions!$F$22),1,0)</f>
        <v>1</v>
      </c>
    </row>
    <row r="19" customFormat="false" ht="15" hidden="false" customHeight="false" outlineLevel="0" collapsed="false">
      <c r="A19" s="28" t="s">
        <v>557</v>
      </c>
      <c r="B19" s="6" t="s">
        <v>558</v>
      </c>
      <c r="C19" s="38" t="n">
        <v>0</v>
      </c>
      <c r="D19" s="39" t="n">
        <f aca="false">IF(OR(C19=1,AND(D13&gt;=Assumptions!$F$23,D7&gt;=Assumptions!$F$24)),1,0)</f>
        <v>0</v>
      </c>
      <c r="E19" s="39" t="n">
        <f aca="false">IF(OR(D19=1,AND(E13&gt;=Assumptions!$F$23,E7&gt;=Assumptions!$F$24)),1,0)</f>
        <v>0</v>
      </c>
      <c r="F19" s="39" t="n">
        <f aca="false">IF(OR(E19=1,AND(F13&gt;=Assumptions!$F$23,F7&gt;=Assumptions!$F$24)),1,0)</f>
        <v>0</v>
      </c>
      <c r="G19" s="39" t="n">
        <f aca="false">IF(OR(F19=1,AND(G13&gt;=Assumptions!$F$23,G7&gt;=Assumptions!$F$24)),1,0)</f>
        <v>0</v>
      </c>
      <c r="H19" s="39" t="n">
        <f aca="false">IF(OR(G19=1,AND(H13&gt;=Assumptions!$F$23,H7&gt;=Assumptions!$F$24)),1,0)</f>
        <v>0</v>
      </c>
      <c r="I19" s="39" t="n">
        <f aca="false">IF(OR(H19=1,AND(I13&gt;=Assumptions!$F$23,I7&gt;=Assumptions!$F$24)),1,0)</f>
        <v>0</v>
      </c>
      <c r="J19" s="39" t="n">
        <f aca="false">IF(OR(I19=1,AND(J13&gt;=Assumptions!$F$23,J7&gt;=Assumptions!$F$24)),1,0)</f>
        <v>0</v>
      </c>
      <c r="K19" s="39" t="n">
        <f aca="false">IF(OR(J19=1,AND(K13&gt;=Assumptions!$F$23,K7&gt;=Assumptions!$F$24)),1,0)</f>
        <v>0</v>
      </c>
      <c r="L19" s="39" t="n">
        <f aca="false">IF(OR(K19=1,AND(L13&gt;=Assumptions!$F$23,L7&gt;=Assumptions!$F$24)),1,0)</f>
        <v>0</v>
      </c>
      <c r="M19" s="39" t="n">
        <f aca="false">IF(OR(L19=1,AND(M13&gt;=Assumptions!$F$23,M7&gt;=Assumptions!$F$24)),1,0)</f>
        <v>0</v>
      </c>
      <c r="N19" s="39" t="n">
        <f aca="false">IF(OR(M19=1,AND(N13&gt;=Assumptions!$F$23,N7&gt;=Assumptions!$F$24)),1,0)</f>
        <v>0</v>
      </c>
      <c r="O19" s="39" t="n">
        <f aca="false">IF(OR(N19=1,AND(O13&gt;=Assumptions!$F$23,O7&gt;=Assumptions!$F$24)),1,0)</f>
        <v>0</v>
      </c>
      <c r="P19" s="39" t="n">
        <f aca="false">IF(OR(O19=1,AND(P13&gt;=Assumptions!$F$23,P7&gt;=Assumptions!$F$24)),1,0)</f>
        <v>0</v>
      </c>
      <c r="Q19" s="39" t="n">
        <f aca="false">IF(OR(P19=1,AND(Q13&gt;=Assumptions!$F$23,Q7&gt;=Assumptions!$F$24)),1,0)</f>
        <v>0</v>
      </c>
      <c r="R19" s="39" t="n">
        <f aca="false">IF(OR(Q19=1,AND(R13&gt;=Assumptions!$F$23,R7&gt;=Assumptions!$F$24)),1,0)</f>
        <v>0</v>
      </c>
      <c r="S19" s="39" t="n">
        <f aca="false">IF(OR(R19=1,AND(S13&gt;=Assumptions!$F$23,S7&gt;=Assumptions!$F$24)),1,0)</f>
        <v>0</v>
      </c>
      <c r="T19" s="39" t="n">
        <f aca="false">IF(OR(S19=1,AND(T13&gt;=Assumptions!$F$23,T7&gt;=Assumptions!$F$24)),1,0)</f>
        <v>0</v>
      </c>
      <c r="U19" s="39" t="n">
        <f aca="false">IF(OR(T19=1,AND(U13&gt;=Assumptions!$F$23,U7&gt;=Assumptions!$F$24)),1,0)</f>
        <v>0</v>
      </c>
      <c r="V19" s="39" t="n">
        <f aca="false">IF(OR(U19=1,AND(V13&gt;=Assumptions!$F$23,V7&gt;=Assumptions!$F$24)),1,0)</f>
        <v>0</v>
      </c>
      <c r="W19" s="39" t="n">
        <f aca="false">IF(OR(V19=1,AND(W13&gt;=Assumptions!$F$23,W7&gt;=Assumptions!$F$24)),1,0)</f>
        <v>0</v>
      </c>
      <c r="X19" s="39" t="n">
        <f aca="false">IF(OR(W19=1,AND(X13&gt;=Assumptions!$F$23,X7&gt;=Assumptions!$F$24)),1,0)</f>
        <v>0</v>
      </c>
      <c r="Y19" s="39" t="n">
        <f aca="false">IF(OR(X19=1,AND(Y13&gt;=Assumptions!$F$23,Y7&gt;=Assumptions!$F$24)),1,0)</f>
        <v>0</v>
      </c>
      <c r="Z19" s="39" t="n">
        <f aca="false">IF(OR(Y19=1,AND(Z13&gt;=Assumptions!$F$23,Z7&gt;=Assumptions!$F$24)),1,0)</f>
        <v>0</v>
      </c>
      <c r="AA19" s="39" t="n">
        <f aca="false">IF(OR(Z19=1,AND(AA13&gt;=Assumptions!$F$23,AA7&gt;=Assumptions!$F$24)),1,0)</f>
        <v>0</v>
      </c>
      <c r="AB19" s="39" t="n">
        <f aca="false">IF(OR(AA19=1,AND(AB13&gt;=Assumptions!$F$23,AB7&gt;=Assumptions!$F$24)),1,0)</f>
        <v>0</v>
      </c>
      <c r="AC19" s="39" t="n">
        <f aca="false">IF(OR(AB19=1,AND(AC13&gt;=Assumptions!$F$23,AC7&gt;=Assumptions!$F$24)),1,0)</f>
        <v>0</v>
      </c>
      <c r="AD19" s="39" t="n">
        <f aca="false">IF(OR(AC19=1,AND(AD13&gt;=Assumptions!$F$23,AD7&gt;=Assumptions!$F$24)),1,0)</f>
        <v>0</v>
      </c>
      <c r="AE19" s="39" t="n">
        <f aca="false">IF(OR(AD19=1,AND(AE13&gt;=Assumptions!$F$23,AE7&gt;=Assumptions!$F$24)),1,0)</f>
        <v>0</v>
      </c>
      <c r="AF19" s="39" t="n">
        <f aca="false">IF(OR(AE19=1,AND(AF13&gt;=Assumptions!$F$23,AF7&gt;=Assumptions!$F$24)),1,0)</f>
        <v>1</v>
      </c>
      <c r="AG19" s="39" t="n">
        <f aca="false">IF(OR(AF19=1,AND(AG13&gt;=Assumptions!$F$23,AG7&gt;=Assumptions!$F$24)),1,0)</f>
        <v>1</v>
      </c>
      <c r="AH19" s="39" t="n">
        <f aca="false">IF(OR(AG19=1,AND(AH13&gt;=Assumptions!$F$23,AH7&gt;=Assumptions!$F$24)),1,0)</f>
        <v>1</v>
      </c>
      <c r="AI19" s="39" t="n">
        <f aca="false">IF(OR(AH19=1,AND(AI13&gt;=Assumptions!$F$23,AI7&gt;=Assumptions!$F$24)),1,0)</f>
        <v>1</v>
      </c>
      <c r="AJ19" s="39" t="n">
        <f aca="false">IF(OR(AI19=1,AND(AJ13&gt;=Assumptions!$F$23,AJ7&gt;=Assumptions!$F$24)),1,0)</f>
        <v>1</v>
      </c>
      <c r="AK19" s="39" t="n">
        <f aca="false">IF(OR(AJ19=1,AND(AK13&gt;=Assumptions!$F$23,AK7&gt;=Assumptions!$F$24)),1,0)</f>
        <v>1</v>
      </c>
      <c r="AL19" s="39" t="n">
        <f aca="false">IF(OR(AK19=1,AND(AL13&gt;=Assumptions!$F$23,AL7&gt;=Assumptions!$F$24)),1,0)</f>
        <v>1</v>
      </c>
      <c r="AM19" s="39" t="n">
        <f aca="false">IF(OR(AL19=1,AND(AM13&gt;=Assumptions!$F$23,AM7&gt;=Assumptions!$F$24)),1,0)</f>
        <v>1</v>
      </c>
      <c r="AN19" s="40" t="n">
        <f aca="false">IF(OR(AM19=1,AND(AN13&gt;=Assumptions!$F$23,AN7&gt;=Assumptions!$F$24)),1,0)</f>
        <v>1</v>
      </c>
      <c r="AO19" s="40" t="n">
        <f aca="false">IF(OR(AN19=1,AND(AO13&gt;=Assumptions!$F$23,AO7&gt;=Assumptions!$F$24)),1,0)</f>
        <v>1</v>
      </c>
      <c r="AP19" s="40" t="n">
        <f aca="false">IF(OR(AO19=1,AND(AP13&gt;=Assumptions!$F$23,AP7&gt;=Assumptions!$F$24)),1,0)</f>
        <v>1</v>
      </c>
      <c r="AQ19" s="40" t="n">
        <f aca="false">IF(OR(AP19=1,AND(AQ13&gt;=Assumptions!$F$23,AQ7&gt;=Assumptions!$F$24)),1,0)</f>
        <v>1</v>
      </c>
      <c r="AR19" s="40" t="n">
        <f aca="false">IF(OR(AQ19=1,AND(AR13&gt;=Assumptions!$F$23,AR7&gt;=Assumptions!$F$24)),1,0)</f>
        <v>1</v>
      </c>
      <c r="AS19" s="40" t="n">
        <f aca="false">IF(OR(AR19=1,AND(AS13&gt;=Assumptions!$F$23,AS7&gt;=Assumptions!$F$24)),1,0)</f>
        <v>1</v>
      </c>
      <c r="AT19" s="40" t="n">
        <f aca="false">IF(OR(AS19=1,AND(AT13&gt;=Assumptions!$F$23,AT7&gt;=Assumptions!$F$24)),1,0)</f>
        <v>1</v>
      </c>
      <c r="AU19" s="40" t="n">
        <f aca="false">IF(OR(AT19=1,AND(AU13&gt;=Assumptions!$F$23,AU7&gt;=Assumptions!$F$24)),1,0)</f>
        <v>1</v>
      </c>
      <c r="AV19" s="40" t="n">
        <f aca="false">IF(OR(AU19=1,AND(AV13&gt;=Assumptions!$F$23,AV7&gt;=Assumptions!$F$24)),1,0)</f>
        <v>1</v>
      </c>
      <c r="AW19" s="40" t="n">
        <f aca="false">IF(OR(AV19=1,AND(AW13&gt;=Assumptions!$F$23,AW7&gt;=Assumptions!$F$24)),1,0)</f>
        <v>1</v>
      </c>
      <c r="AX19" s="40" t="n">
        <f aca="false">IF(OR(AW19=1,AND(AX13&gt;=Assumptions!$F$23,AX7&gt;=Assumptions!$F$24)),1,0)</f>
        <v>1</v>
      </c>
      <c r="AY19" s="40" t="n">
        <f aca="false">IF(OR(AX19=1,AND(AY13&gt;=Assumptions!$F$23,AY7&gt;=Assumptions!$F$24)),1,0)</f>
        <v>1</v>
      </c>
      <c r="AZ19" s="40" t="n">
        <f aca="false">IF(OR(AY19=1,AND(AZ13&gt;=Assumptions!$F$23,AZ7&gt;=Assumptions!$F$24)),1,0)</f>
        <v>1</v>
      </c>
      <c r="BA19" s="40" t="n">
        <f aca="false">IF(OR(AZ19=1,AND(BA13&gt;=Assumptions!$F$23,BA7&gt;=Assumptions!$F$24)),1,0)</f>
        <v>1</v>
      </c>
      <c r="BB19" s="40" t="n">
        <f aca="false">IF(OR(BA19=1,AND(BB13&gt;=Assumptions!$F$23,BB7&gt;=Assumptions!$F$24)),1,0)</f>
        <v>1</v>
      </c>
      <c r="BC19" s="40" t="n">
        <f aca="false">IF(OR(BB19=1,AND(BC13&gt;=Assumptions!$F$23,BC7&gt;=Assumptions!$F$24)),1,0)</f>
        <v>1</v>
      </c>
      <c r="BD19" s="40" t="n">
        <f aca="false">IF(OR(BC19=1,AND(BD13&gt;=Assumptions!$F$23,BD7&gt;=Assumptions!$F$24)),1,0)</f>
        <v>1</v>
      </c>
      <c r="BE19" s="40" t="n">
        <f aca="false">IF(OR(BD19=1,AND(BE13&gt;=Assumptions!$F$23,BE7&gt;=Assumptions!$F$24)),1,0)</f>
        <v>1</v>
      </c>
      <c r="BF19" s="40" t="n">
        <f aca="false">IF(OR(BE19=1,AND(BF13&gt;=Assumptions!$F$23,BF7&gt;=Assumptions!$F$24)),1,0)</f>
        <v>1</v>
      </c>
      <c r="BG19" s="40" t="n">
        <f aca="false">IF(OR(BF19=1,AND(BG13&gt;=Assumptions!$F$23,BG7&gt;=Assumptions!$F$24)),1,0)</f>
        <v>1</v>
      </c>
      <c r="BH19" s="40" t="n">
        <f aca="false">IF(OR(BG19=1,AND(BH13&gt;=Assumptions!$F$23,BH7&gt;=Assumptions!$F$24)),1,0)</f>
        <v>1</v>
      </c>
      <c r="BI19" s="40" t="n">
        <f aca="false">IF(OR(BH19=1,AND(BI13&gt;=Assumptions!$F$23,BI7&gt;=Assumptions!$F$24)),1,0)</f>
        <v>1</v>
      </c>
      <c r="BJ19" s="40" t="n">
        <f aca="false">IF(OR(BI19=1,AND(BJ13&gt;=Assumptions!$F$23,BJ7&gt;=Assumptions!$F$24)),1,0)</f>
        <v>1</v>
      </c>
      <c r="BK19" s="40" t="n">
        <f aca="false">IF(OR(BJ19=1,AND(BK13&gt;=Assumptions!$F$23,BK7&gt;=Assumptions!$F$24)),1,0)</f>
        <v>1</v>
      </c>
    </row>
    <row r="20" customFormat="false" ht="15" hidden="false" customHeight="false" outlineLevel="0" collapsed="false">
      <c r="A20" s="28" t="s">
        <v>559</v>
      </c>
      <c r="B20" s="6" t="s">
        <v>560</v>
      </c>
      <c r="C20" s="32" t="n">
        <v>0</v>
      </c>
      <c r="D20" s="34" t="n">
        <f aca="false">IF(D19=1,C20+1,0)</f>
        <v>0</v>
      </c>
      <c r="E20" s="34" t="n">
        <f aca="false">IF(E19=1,D20+1,0)</f>
        <v>0</v>
      </c>
      <c r="F20" s="34" t="n">
        <f aca="false">IF(F19=1,E20+1,0)</f>
        <v>0</v>
      </c>
      <c r="G20" s="34" t="n">
        <f aca="false">IF(G19=1,F20+1,0)</f>
        <v>0</v>
      </c>
      <c r="H20" s="34" t="n">
        <f aca="false">IF(H19=1,G20+1,0)</f>
        <v>0</v>
      </c>
      <c r="I20" s="34" t="n">
        <f aca="false">IF(I19=1,H20+1,0)</f>
        <v>0</v>
      </c>
      <c r="J20" s="34" t="n">
        <f aca="false">IF(J19=1,I20+1,0)</f>
        <v>0</v>
      </c>
      <c r="K20" s="34" t="n">
        <f aca="false">IF(K19=1,J20+1,0)</f>
        <v>0</v>
      </c>
      <c r="L20" s="34" t="n">
        <f aca="false">IF(L19=1,K20+1,0)</f>
        <v>0</v>
      </c>
      <c r="M20" s="34" t="n">
        <f aca="false">IF(M19=1,L20+1,0)</f>
        <v>0</v>
      </c>
      <c r="N20" s="34" t="n">
        <f aca="false">IF(N19=1,M20+1,0)</f>
        <v>0</v>
      </c>
      <c r="O20" s="34" t="n">
        <f aca="false">IF(O19=1,N20+1,0)</f>
        <v>0</v>
      </c>
      <c r="P20" s="34" t="n">
        <f aca="false">IF(P19=1,O20+1,0)</f>
        <v>0</v>
      </c>
      <c r="Q20" s="34" t="n">
        <f aca="false">IF(Q19=1,P20+1,0)</f>
        <v>0</v>
      </c>
      <c r="R20" s="34" t="n">
        <f aca="false">IF(R19=1,Q20+1,0)</f>
        <v>0</v>
      </c>
      <c r="S20" s="34" t="n">
        <f aca="false">IF(S19=1,R20+1,0)</f>
        <v>0</v>
      </c>
      <c r="T20" s="34" t="n">
        <f aca="false">IF(T19=1,S20+1,0)</f>
        <v>0</v>
      </c>
      <c r="U20" s="34" t="n">
        <f aca="false">IF(U19=1,T20+1,0)</f>
        <v>0</v>
      </c>
      <c r="V20" s="34" t="n">
        <f aca="false">IF(V19=1,U20+1,0)</f>
        <v>0</v>
      </c>
      <c r="W20" s="34" t="n">
        <f aca="false">IF(W19=1,V20+1,0)</f>
        <v>0</v>
      </c>
      <c r="X20" s="34" t="n">
        <f aca="false">IF(X19=1,W20+1,0)</f>
        <v>0</v>
      </c>
      <c r="Y20" s="34" t="n">
        <f aca="false">IF(Y19=1,X20+1,0)</f>
        <v>0</v>
      </c>
      <c r="Z20" s="34" t="n">
        <f aca="false">IF(Z19=1,Y20+1,0)</f>
        <v>0</v>
      </c>
      <c r="AA20" s="34" t="n">
        <f aca="false">IF(AA19=1,Z20+1,0)</f>
        <v>0</v>
      </c>
      <c r="AB20" s="34" t="n">
        <f aca="false">IF(AB19=1,AA20+1,0)</f>
        <v>0</v>
      </c>
      <c r="AC20" s="34" t="n">
        <f aca="false">IF(AC19=1,AB20+1,0)</f>
        <v>0</v>
      </c>
      <c r="AD20" s="34" t="n">
        <f aca="false">IF(AD19=1,AC20+1,0)</f>
        <v>0</v>
      </c>
      <c r="AE20" s="34" t="n">
        <f aca="false">IF(AE19=1,AD20+1,0)</f>
        <v>0</v>
      </c>
      <c r="AF20" s="34" t="n">
        <f aca="false">IF(AF19=1,AE20+1,0)</f>
        <v>1</v>
      </c>
      <c r="AG20" s="34" t="n">
        <f aca="false">IF(AG19=1,AF20+1,0)</f>
        <v>2</v>
      </c>
      <c r="AH20" s="34" t="n">
        <f aca="false">IF(AH19=1,AG20+1,0)</f>
        <v>3</v>
      </c>
      <c r="AI20" s="34" t="n">
        <f aca="false">IF(AI19=1,AH20+1,0)</f>
        <v>4</v>
      </c>
      <c r="AJ20" s="34" t="n">
        <f aca="false">IF(AJ19=1,AI20+1,0)</f>
        <v>5</v>
      </c>
      <c r="AK20" s="34" t="n">
        <f aca="false">IF(AK19=1,AJ20+1,0)</f>
        <v>6</v>
      </c>
      <c r="AL20" s="34" t="n">
        <f aca="false">IF(AL19=1,AK20+1,0)</f>
        <v>7</v>
      </c>
      <c r="AM20" s="34" t="n">
        <f aca="false">IF(AM19=1,AL20+1,0)</f>
        <v>8</v>
      </c>
      <c r="AN20" s="35" t="n">
        <f aca="false">IF(AN19=1,AM20+1,0)</f>
        <v>9</v>
      </c>
      <c r="AO20" s="35" t="n">
        <f aca="false">IF(AO19=1,AN20+1,0)</f>
        <v>10</v>
      </c>
      <c r="AP20" s="35" t="n">
        <f aca="false">IF(AP19=1,AO20+1,0)</f>
        <v>11</v>
      </c>
      <c r="AQ20" s="35" t="n">
        <f aca="false">IF(AQ19=1,AP20+1,0)</f>
        <v>12</v>
      </c>
      <c r="AR20" s="35" t="n">
        <f aca="false">IF(AR19=1,AQ20+1,0)</f>
        <v>13</v>
      </c>
      <c r="AS20" s="35" t="n">
        <f aca="false">IF(AS19=1,AR20+1,0)</f>
        <v>14</v>
      </c>
      <c r="AT20" s="35" t="n">
        <f aca="false">IF(AT19=1,AS20+1,0)</f>
        <v>15</v>
      </c>
      <c r="AU20" s="35" t="n">
        <f aca="false">IF(AU19=1,AT20+1,0)</f>
        <v>16</v>
      </c>
      <c r="AV20" s="35" t="n">
        <f aca="false">IF(AV19=1,AU20+1,0)</f>
        <v>17</v>
      </c>
      <c r="AW20" s="35" t="n">
        <f aca="false">IF(AW19=1,AV20+1,0)</f>
        <v>18</v>
      </c>
      <c r="AX20" s="35" t="n">
        <f aca="false">IF(AX19=1,AW20+1,0)</f>
        <v>19</v>
      </c>
      <c r="AY20" s="35" t="n">
        <f aca="false">IF(AY19=1,AX20+1,0)</f>
        <v>20</v>
      </c>
      <c r="AZ20" s="35" t="n">
        <f aca="false">IF(AZ19=1,AY20+1,0)</f>
        <v>21</v>
      </c>
      <c r="BA20" s="35" t="n">
        <f aca="false">IF(BA19=1,AZ20+1,0)</f>
        <v>22</v>
      </c>
      <c r="BB20" s="35" t="n">
        <f aca="false">IF(BB19=1,BA20+1,0)</f>
        <v>23</v>
      </c>
      <c r="BC20" s="35" t="n">
        <f aca="false">IF(BC19=1,BB20+1,0)</f>
        <v>24</v>
      </c>
      <c r="BD20" s="35" t="n">
        <f aca="false">IF(BD19=1,BC20+1,0)</f>
        <v>25</v>
      </c>
      <c r="BE20" s="35" t="n">
        <f aca="false">IF(BE19=1,BD20+1,0)</f>
        <v>26</v>
      </c>
      <c r="BF20" s="35" t="n">
        <f aca="false">IF(BF19=1,BE20+1,0)</f>
        <v>27</v>
      </c>
      <c r="BG20" s="35" t="n">
        <f aca="false">IF(BG19=1,BF20+1,0)</f>
        <v>28</v>
      </c>
      <c r="BH20" s="35" t="n">
        <f aca="false">IF(BH19=1,BG20+1,0)</f>
        <v>29</v>
      </c>
      <c r="BI20" s="35" t="n">
        <f aca="false">IF(BI19=1,BH20+1,0)</f>
        <v>30</v>
      </c>
      <c r="BJ20" s="35" t="n">
        <f aca="false">IF(BJ19=1,BI20+1,0)</f>
        <v>31</v>
      </c>
      <c r="BK20" s="35" t="n">
        <f aca="false">IF(BK19=1,BJ20+1,0)</f>
        <v>32</v>
      </c>
    </row>
    <row r="21" customFormat="false" ht="15" hidden="false" customHeight="false" outlineLevel="0" collapsed="false">
      <c r="A21" s="28" t="s">
        <v>561</v>
      </c>
      <c r="B21" s="6" t="s">
        <v>562</v>
      </c>
      <c r="C21" s="18" t="n">
        <v>0</v>
      </c>
      <c r="D21" s="13" t="n">
        <f aca="false">MIN(1,D20/Assumptions!$F$77)</f>
        <v>0</v>
      </c>
      <c r="E21" s="13" t="n">
        <f aca="false">MIN(1,E20/Assumptions!$F$77)</f>
        <v>0</v>
      </c>
      <c r="F21" s="13" t="n">
        <f aca="false">MIN(1,F20/Assumptions!$F$77)</f>
        <v>0</v>
      </c>
      <c r="G21" s="13" t="n">
        <f aca="false">MIN(1,G20/Assumptions!$F$77)</f>
        <v>0</v>
      </c>
      <c r="H21" s="13" t="n">
        <f aca="false">MIN(1,H20/Assumptions!$F$77)</f>
        <v>0</v>
      </c>
      <c r="I21" s="13" t="n">
        <f aca="false">MIN(1,I20/Assumptions!$F$77)</f>
        <v>0</v>
      </c>
      <c r="J21" s="13" t="n">
        <f aca="false">MIN(1,J20/Assumptions!$F$77)</f>
        <v>0</v>
      </c>
      <c r="K21" s="13" t="n">
        <f aca="false">MIN(1,K20/Assumptions!$F$77)</f>
        <v>0</v>
      </c>
      <c r="L21" s="13" t="n">
        <f aca="false">MIN(1,L20/Assumptions!$F$77)</f>
        <v>0</v>
      </c>
      <c r="M21" s="13" t="n">
        <f aca="false">MIN(1,M20/Assumptions!$F$77)</f>
        <v>0</v>
      </c>
      <c r="N21" s="13" t="n">
        <f aca="false">MIN(1,N20/Assumptions!$F$77)</f>
        <v>0</v>
      </c>
      <c r="O21" s="13" t="n">
        <f aca="false">MIN(1,O20/Assumptions!$F$77)</f>
        <v>0</v>
      </c>
      <c r="P21" s="13" t="n">
        <f aca="false">MIN(1,P20/Assumptions!$F$77)</f>
        <v>0</v>
      </c>
      <c r="Q21" s="13" t="n">
        <f aca="false">MIN(1,Q20/Assumptions!$F$77)</f>
        <v>0</v>
      </c>
      <c r="R21" s="13" t="n">
        <f aca="false">MIN(1,R20/Assumptions!$F$77)</f>
        <v>0</v>
      </c>
      <c r="S21" s="13" t="n">
        <f aca="false">MIN(1,S20/Assumptions!$F$77)</f>
        <v>0</v>
      </c>
      <c r="T21" s="13" t="n">
        <f aca="false">MIN(1,T20/Assumptions!$F$77)</f>
        <v>0</v>
      </c>
      <c r="U21" s="13" t="n">
        <f aca="false">MIN(1,U20/Assumptions!$F$77)</f>
        <v>0</v>
      </c>
      <c r="V21" s="13" t="n">
        <f aca="false">MIN(1,V20/Assumptions!$F$77)</f>
        <v>0</v>
      </c>
      <c r="W21" s="13" t="n">
        <f aca="false">MIN(1,W20/Assumptions!$F$77)</f>
        <v>0</v>
      </c>
      <c r="X21" s="13" t="n">
        <f aca="false">MIN(1,X20/Assumptions!$F$77)</f>
        <v>0</v>
      </c>
      <c r="Y21" s="13" t="n">
        <f aca="false">MIN(1,Y20/Assumptions!$F$77)</f>
        <v>0</v>
      </c>
      <c r="Z21" s="13" t="n">
        <f aca="false">MIN(1,Z20/Assumptions!$F$77)</f>
        <v>0</v>
      </c>
      <c r="AA21" s="13" t="n">
        <f aca="false">MIN(1,AA20/Assumptions!$F$77)</f>
        <v>0</v>
      </c>
      <c r="AB21" s="13" t="n">
        <f aca="false">MIN(1,AB20/Assumptions!$F$77)</f>
        <v>0</v>
      </c>
      <c r="AC21" s="13" t="n">
        <f aca="false">MIN(1,AC20/Assumptions!$F$77)</f>
        <v>0</v>
      </c>
      <c r="AD21" s="13" t="n">
        <f aca="false">MIN(1,AD20/Assumptions!$F$77)</f>
        <v>0</v>
      </c>
      <c r="AE21" s="13" t="n">
        <f aca="false">MIN(1,AE20/Assumptions!$F$77)</f>
        <v>0</v>
      </c>
      <c r="AF21" s="13" t="n">
        <f aca="false">MIN(1,AF20/Assumptions!$F$77)</f>
        <v>0.166666666666667</v>
      </c>
      <c r="AG21" s="13" t="n">
        <f aca="false">MIN(1,AG20/Assumptions!$F$77)</f>
        <v>0.333333333333333</v>
      </c>
      <c r="AH21" s="13" t="n">
        <f aca="false">MIN(1,AH20/Assumptions!$F$77)</f>
        <v>0.5</v>
      </c>
      <c r="AI21" s="13" t="n">
        <f aca="false">MIN(1,AI20/Assumptions!$F$77)</f>
        <v>0.666666666666667</v>
      </c>
      <c r="AJ21" s="13" t="n">
        <f aca="false">MIN(1,AJ20/Assumptions!$F$77)</f>
        <v>0.833333333333333</v>
      </c>
      <c r="AK21" s="13" t="n">
        <f aca="false">MIN(1,AK20/Assumptions!$F$77)</f>
        <v>1</v>
      </c>
      <c r="AL21" s="13" t="n">
        <f aca="false">MIN(1,AL20/Assumptions!$F$77)</f>
        <v>1</v>
      </c>
      <c r="AM21" s="13" t="n">
        <f aca="false">MIN(1,AM20/Assumptions!$F$77)</f>
        <v>1</v>
      </c>
      <c r="AN21" s="41" t="n">
        <f aca="false">MIN(1,AN20/Assumptions!$F$77)</f>
        <v>1</v>
      </c>
      <c r="AO21" s="41" t="n">
        <f aca="false">MIN(1,AO20/Assumptions!$F$77)</f>
        <v>1</v>
      </c>
      <c r="AP21" s="41" t="n">
        <f aca="false">MIN(1,AP20/Assumptions!$F$77)</f>
        <v>1</v>
      </c>
      <c r="AQ21" s="41" t="n">
        <f aca="false">MIN(1,AQ20/Assumptions!$F$77)</f>
        <v>1</v>
      </c>
      <c r="AR21" s="41" t="n">
        <f aca="false">MIN(1,AR20/Assumptions!$F$77)</f>
        <v>1</v>
      </c>
      <c r="AS21" s="41" t="n">
        <f aca="false">MIN(1,AS20/Assumptions!$F$77)</f>
        <v>1</v>
      </c>
      <c r="AT21" s="41" t="n">
        <f aca="false">MIN(1,AT20/Assumptions!$F$77)</f>
        <v>1</v>
      </c>
      <c r="AU21" s="41" t="n">
        <f aca="false">MIN(1,AU20/Assumptions!$F$77)</f>
        <v>1</v>
      </c>
      <c r="AV21" s="41" t="n">
        <f aca="false">MIN(1,AV20/Assumptions!$F$77)</f>
        <v>1</v>
      </c>
      <c r="AW21" s="41" t="n">
        <f aca="false">MIN(1,AW20/Assumptions!$F$77)</f>
        <v>1</v>
      </c>
      <c r="AX21" s="41" t="n">
        <f aca="false">MIN(1,AX20/Assumptions!$F$77)</f>
        <v>1</v>
      </c>
      <c r="AY21" s="41" t="n">
        <f aca="false">MIN(1,AY20/Assumptions!$F$77)</f>
        <v>1</v>
      </c>
      <c r="AZ21" s="41" t="n">
        <f aca="false">MIN(1,AZ20/Assumptions!$F$77)</f>
        <v>1</v>
      </c>
      <c r="BA21" s="41" t="n">
        <f aca="false">MIN(1,BA20/Assumptions!$F$77)</f>
        <v>1</v>
      </c>
      <c r="BB21" s="41" t="n">
        <f aca="false">MIN(1,BB20/Assumptions!$F$77)</f>
        <v>1</v>
      </c>
      <c r="BC21" s="41" t="n">
        <f aca="false">MIN(1,BC20/Assumptions!$F$77)</f>
        <v>1</v>
      </c>
      <c r="BD21" s="41" t="n">
        <f aca="false">MIN(1,BD20/Assumptions!$F$77)</f>
        <v>1</v>
      </c>
      <c r="BE21" s="41" t="n">
        <f aca="false">MIN(1,BE20/Assumptions!$F$77)</f>
        <v>1</v>
      </c>
      <c r="BF21" s="41" t="n">
        <f aca="false">MIN(1,BF20/Assumptions!$F$77)</f>
        <v>1</v>
      </c>
      <c r="BG21" s="41" t="n">
        <f aca="false">MIN(1,BG20/Assumptions!$F$77)</f>
        <v>1</v>
      </c>
      <c r="BH21" s="41" t="n">
        <f aca="false">MIN(1,BH20/Assumptions!$F$77)</f>
        <v>1</v>
      </c>
      <c r="BI21" s="41" t="n">
        <f aca="false">MIN(1,BI20/Assumptions!$F$77)</f>
        <v>1</v>
      </c>
      <c r="BJ21" s="41" t="n">
        <f aca="false">MIN(1,BJ20/Assumptions!$F$77)</f>
        <v>1</v>
      </c>
      <c r="BK21" s="41" t="n">
        <f aca="false">MIN(1,BK20/Assumptions!$F$77)</f>
        <v>1</v>
      </c>
    </row>
    <row r="22" customFormat="false" ht="15" hidden="false" customHeight="false" outlineLevel="0" collapsed="false">
      <c r="B22" s="5" t="s">
        <v>563</v>
      </c>
    </row>
    <row r="23" customFormat="false" ht="15" hidden="false" customHeight="false" outlineLevel="0" collapsed="false">
      <c r="A23" s="28" t="s">
        <v>564</v>
      </c>
      <c r="B23" s="6" t="s">
        <v>565</v>
      </c>
      <c r="C23" s="32" t="n">
        <v>0</v>
      </c>
      <c r="D23" s="34" t="n">
        <f aca="false">C23+(D13*Assumptions!$F$13-C23)*Assumptions!$F$14</f>
        <v>0</v>
      </c>
      <c r="E23" s="34" t="n">
        <f aca="false">D23+(E13*Assumptions!$F$13-D23)*Assumptions!$F$14</f>
        <v>0</v>
      </c>
      <c r="F23" s="34" t="n">
        <f aca="false">E23+(F13*Assumptions!$F$13-E23)*Assumptions!$F$14</f>
        <v>0</v>
      </c>
      <c r="G23" s="34" t="n">
        <f aca="false">F23+(G13*Assumptions!$F$13-F23)*Assumptions!$F$14</f>
        <v>0</v>
      </c>
      <c r="H23" s="34" t="n">
        <f aca="false">G23+(H13*Assumptions!$F$13-G23)*Assumptions!$F$14</f>
        <v>107.1</v>
      </c>
      <c r="I23" s="34" t="n">
        <f aca="false">H23+(I13*Assumptions!$F$13-H23)*Assumptions!$F$14</f>
        <v>269.3565</v>
      </c>
      <c r="J23" s="34" t="n">
        <f aca="false">I23+(J13*Assumptions!$F$13-I23)*Assumptions!$F$14</f>
        <v>436.0871025</v>
      </c>
      <c r="K23" s="34" t="n">
        <f aca="false">J23+(K13*Assumptions!$F$13-J23)*Assumptions!$F$14</f>
        <v>690.4869134625</v>
      </c>
      <c r="L23" s="34" t="n">
        <f aca="false">K23+(L13*Assumptions!$F$13-K23)*Assumptions!$F$14</f>
        <v>1076.79333613556</v>
      </c>
      <c r="M23" s="34" t="n">
        <f aca="false">L23+(M13*Assumptions!$F$13-L23)*Assumptions!$F$14</f>
        <v>1498.40085823728</v>
      </c>
      <c r="N23" s="34" t="n">
        <f aca="false">M23+(N13*Assumptions!$F$13-M23)*Assumptions!$F$14</f>
        <v>1978.95246975716</v>
      </c>
      <c r="O23" s="34" t="n">
        <f aca="false">N23+(O13*Assumptions!$F$13-N23)*Assumptions!$F$14</f>
        <v>2550.41213856653</v>
      </c>
      <c r="P23" s="34" t="n">
        <f aca="false">O23+(P13*Assumptions!$F$13-O23)*Assumptions!$F$14</f>
        <v>3219.91552779426</v>
      </c>
      <c r="Q23" s="34" t="n">
        <f aca="false">P23+(Q13*Assumptions!$F$13-P23)*Assumptions!$F$14</f>
        <v>3970.0965162264</v>
      </c>
      <c r="R23" s="34" t="n">
        <f aca="false">Q23+(R13*Assumptions!$F$13-Q23)*Assumptions!$F$14</f>
        <v>4776.56088735988</v>
      </c>
      <c r="S23" s="34" t="n">
        <f aca="false">R23+(S13*Assumptions!$F$13-R23)*Assumptions!$F$14</f>
        <v>5636.24675631946</v>
      </c>
      <c r="T23" s="34" t="n">
        <f aca="false">S23+(T13*Assumptions!$F$13-S23)*Assumptions!$F$14</f>
        <v>6529.77833845015</v>
      </c>
      <c r="U23" s="34" t="n">
        <f aca="false">T23+(U13*Assumptions!$F$13-T23)*Assumptions!$F$14</f>
        <v>7444.57259763246</v>
      </c>
      <c r="V23" s="34" t="n">
        <f aca="false">U23+(V13*Assumptions!$F$13-U23)*Assumptions!$F$14</f>
        <v>8372.46161593636</v>
      </c>
      <c r="W23" s="34" t="n">
        <f aca="false">V23+(W13*Assumptions!$F$13-V23)*Assumptions!$F$14</f>
        <v>9415.24713642177</v>
      </c>
      <c r="X23" s="34" t="n">
        <f aca="false">W23+(X13*Assumptions!$F$13-W23)*Assumptions!$F$14</f>
        <v>10517.5525184463</v>
      </c>
      <c r="Y23" s="34" t="n">
        <f aca="false">X23+(Y13*Assumptions!$F$13-X23)*Assumptions!$F$14</f>
        <v>11626.4743885657</v>
      </c>
      <c r="Z23" s="34" t="n">
        <f aca="false">Y23+(Z13*Assumptions!$F$13-Y23)*Assumptions!$F$14</f>
        <v>12823.7746253697</v>
      </c>
      <c r="AA23" s="34" t="n">
        <f aca="false">Z23+(AA13*Assumptions!$F$13-Z23)*Assumptions!$F$14</f>
        <v>14045.6692852002</v>
      </c>
      <c r="AB23" s="34" t="n">
        <f aca="false">AA23+(AB13*Assumptions!$F$13-AA23)*Assumptions!$F$14</f>
        <v>15246.9075774094</v>
      </c>
      <c r="AC23" s="34" t="n">
        <f aca="false">AB23+(AC13*Assumptions!$F$13-AB23)*Assumptions!$F$14</f>
        <v>16501.442129215</v>
      </c>
      <c r="AD23" s="34" t="n">
        <f aca="false">AC23+(AD13*Assumptions!$F$13-AC23)*Assumptions!$F$14</f>
        <v>17864.9093048301</v>
      </c>
      <c r="AE23" s="34" t="n">
        <f aca="false">AD23+(AE13*Assumptions!$F$13-AD23)*Assumptions!$F$14</f>
        <v>19243.8383901673</v>
      </c>
      <c r="AF23" s="34" t="n">
        <f aca="false">AE23+(AF13*Assumptions!$F$13-AE23)*Assumptions!$F$14</f>
        <v>20668.2675855061</v>
      </c>
      <c r="AG23" s="34" t="n">
        <f aca="false">AF23+(AG13*Assumptions!$F$13-AF23)*Assumptions!$F$14</f>
        <v>22174.3259729979</v>
      </c>
      <c r="AH23" s="34" t="n">
        <f aca="false">AG23+(AH13*Assumptions!$F$13-AG23)*Assumptions!$F$14</f>
        <v>23660.4806442312</v>
      </c>
      <c r="AI23" s="34" t="n">
        <f aca="false">AH23+(AI13*Assumptions!$F$13-AH23)*Assumptions!$F$14</f>
        <v>25160.3616491062</v>
      </c>
      <c r="AJ23" s="34" t="n">
        <f aca="false">AI23+(AJ13*Assumptions!$F$13-AI23)*Assumptions!$F$14</f>
        <v>26703.9965638195</v>
      </c>
      <c r="AK23" s="34" t="n">
        <f aca="false">AJ23+(AK13*Assumptions!$F$13-AJ23)*Assumptions!$F$14</f>
        <v>28310.3808360047</v>
      </c>
      <c r="AL23" s="34" t="n">
        <f aca="false">AK23+(AL13*Assumptions!$F$13-AK23)*Assumptions!$F$14</f>
        <v>29969.9268668822</v>
      </c>
      <c r="AM23" s="34" t="n">
        <f aca="false">AL23+(AM13*Assumptions!$F$13-AL23)*Assumptions!$F$14</f>
        <v>31663.3650971005</v>
      </c>
      <c r="AN23" s="35" t="n">
        <f aca="false">AM23+(AN13*Assumptions!$F$13-AM23)*Assumptions!$F$14</f>
        <v>33391.0322572379</v>
      </c>
      <c r="AO23" s="35" t="n">
        <f aca="false">AN23+(AO13*Assumptions!$F$13-AN23)*Assumptions!$F$14</f>
        <v>35135.8282371654</v>
      </c>
      <c r="AP23" s="35" t="n">
        <f aca="false">AO23+(AP13*Assumptions!$F$13-AO23)*Assumptions!$F$14</f>
        <v>36886.7147650688</v>
      </c>
      <c r="AQ23" s="35" t="n">
        <f aca="false">AP23+(AQ13*Assumptions!$F$13-AP23)*Assumptions!$F$14</f>
        <v>38636.5926120424</v>
      </c>
      <c r="AR23" s="35" t="n">
        <f aca="false">AQ23+(AR13*Assumptions!$F$13-AQ23)*Assumptions!$F$14</f>
        <v>40380.921792354</v>
      </c>
      <c r="AS23" s="35" t="n">
        <f aca="false">AR23+(AS13*Assumptions!$F$13-AR23)*Assumptions!$F$14</f>
        <v>42116.8247106387</v>
      </c>
      <c r="AT23" s="35" t="n">
        <f aca="false">AS23+(AT13*Assumptions!$F$13-AS23)*Assumptions!$F$14</f>
        <v>43838.2192243396</v>
      </c>
      <c r="AU23" s="35" t="n">
        <f aca="false">AT23+(AU13*Assumptions!$F$13-AT23)*Assumptions!$F$14</f>
        <v>45545.5714108088</v>
      </c>
      <c r="AV23" s="35" t="n">
        <f aca="false">AU23+(AV13*Assumptions!$F$13-AU23)*Assumptions!$F$14</f>
        <v>47239.253398289</v>
      </c>
      <c r="AW23" s="35" t="n">
        <f aca="false">AV23+(AW13*Assumptions!$F$13-AV23)*Assumptions!$F$14</f>
        <v>48915.2912104321</v>
      </c>
      <c r="AX23" s="35" t="n">
        <f aca="false">AW23+(AX13*Assumptions!$F$13-AW23)*Assumptions!$F$14</f>
        <v>50575.517140802</v>
      </c>
      <c r="AY23" s="35" t="n">
        <f aca="false">AX23+(AY13*Assumptions!$F$13-AX23)*Assumptions!$F$14</f>
        <v>52221.1873277321</v>
      </c>
      <c r="AZ23" s="35" t="n">
        <f aca="false">AY23+(AZ13*Assumptions!$F$13-AY23)*Assumptions!$F$14</f>
        <v>53848.8984314435</v>
      </c>
      <c r="BA23" s="35" t="n">
        <f aca="false">AZ23+(BA13*Assumptions!$F$13-AZ23)*Assumptions!$F$14</f>
        <v>55456.5657488297</v>
      </c>
      <c r="BB23" s="35" t="n">
        <f aca="false">BA23+(BB13*Assumptions!$F$13-BA23)*Assumptions!$F$14</f>
        <v>57047.2437786048</v>
      </c>
      <c r="BC23" s="35" t="n">
        <f aca="false">BB23+(BC13*Assumptions!$F$13-BB23)*Assumptions!$F$14</f>
        <v>58618.6933573307</v>
      </c>
      <c r="BD23" s="35" t="n">
        <f aca="false">BC23+(BD13*Assumptions!$F$13-BC23)*Assumptions!$F$14</f>
        <v>60169.5818099839</v>
      </c>
      <c r="BE23" s="35" t="n">
        <f aca="false">BD23+(BE13*Assumptions!$F$13-BD23)*Assumptions!$F$14</f>
        <v>61703.4478372927</v>
      </c>
      <c r="BF23" s="35" t="n">
        <f aca="false">BE23+(BF13*Assumptions!$F$13-BE23)*Assumptions!$F$14</f>
        <v>63218.3624601314</v>
      </c>
      <c r="BG23" s="35" t="n">
        <f aca="false">BF23+(BG13*Assumptions!$F$13-BF23)*Assumptions!$F$14</f>
        <v>64713.1901444882</v>
      </c>
      <c r="BH23" s="35" t="n">
        <f aca="false">BG23+(BH13*Assumptions!$F$13-BG23)*Assumptions!$F$14</f>
        <v>66187.3093211391</v>
      </c>
      <c r="BI23" s="35" t="n">
        <f aca="false">BH23+(BI13*Assumptions!$F$13-BH23)*Assumptions!$F$14</f>
        <v>67640.4307500538</v>
      </c>
      <c r="BJ23" s="35" t="n">
        <f aca="false">BI23+(BJ13*Assumptions!$F$13-BI23)*Assumptions!$F$14</f>
        <v>69072.4794834787</v>
      </c>
      <c r="BK23" s="35" t="n">
        <f aca="false">BJ23+(BK13*Assumptions!$F$13-BJ23)*Assumptions!$F$14</f>
        <v>70483.5181677657</v>
      </c>
    </row>
    <row r="24" customFormat="false" ht="15" hidden="false" customHeight="false" outlineLevel="0" collapsed="false">
      <c r="A24" s="28" t="s">
        <v>566</v>
      </c>
      <c r="B24" s="6" t="s">
        <v>567</v>
      </c>
      <c r="C24" s="32" t="n">
        <v>0</v>
      </c>
      <c r="D24" s="34" t="n">
        <f aca="false">D23/Assumptions!$F$15</f>
        <v>0</v>
      </c>
      <c r="E24" s="34" t="n">
        <f aca="false">E23/Assumptions!$F$15</f>
        <v>0</v>
      </c>
      <c r="F24" s="34" t="n">
        <f aca="false">F23/Assumptions!$F$15</f>
        <v>0</v>
      </c>
      <c r="G24" s="34" t="n">
        <f aca="false">G23/Assumptions!$F$15</f>
        <v>0</v>
      </c>
      <c r="H24" s="34" t="n">
        <f aca="false">H23/Assumptions!$F$15</f>
        <v>76.5</v>
      </c>
      <c r="I24" s="34" t="n">
        <f aca="false">I23/Assumptions!$F$15</f>
        <v>192.3975</v>
      </c>
      <c r="J24" s="34" t="n">
        <f aca="false">J23/Assumptions!$F$15</f>
        <v>311.4907875</v>
      </c>
      <c r="K24" s="34" t="n">
        <f aca="false">K23/Assumptions!$F$15</f>
        <v>493.2049381875</v>
      </c>
      <c r="L24" s="34" t="n">
        <f aca="false">L23/Assumptions!$F$15</f>
        <v>769.138097239688</v>
      </c>
      <c r="M24" s="34" t="n">
        <f aca="false">M23/Assumptions!$F$15</f>
        <v>1070.28632731234</v>
      </c>
      <c r="N24" s="34" t="n">
        <f aca="false">N23/Assumptions!$F$15</f>
        <v>1413.53747839797</v>
      </c>
      <c r="O24" s="34" t="n">
        <f aca="false">O23/Assumptions!$F$15</f>
        <v>1821.72295611895</v>
      </c>
      <c r="P24" s="34" t="n">
        <f aca="false">P23/Assumptions!$F$15</f>
        <v>2299.93966271019</v>
      </c>
      <c r="Q24" s="34" t="n">
        <f aca="false">Q23/Assumptions!$F$15</f>
        <v>2835.783225876</v>
      </c>
      <c r="R24" s="34" t="n">
        <f aca="false">R23/Assumptions!$F$15</f>
        <v>3411.82920525706</v>
      </c>
      <c r="S24" s="34" t="n">
        <f aca="false">S23/Assumptions!$F$15</f>
        <v>4025.89054022818</v>
      </c>
      <c r="T24" s="34" t="n">
        <f aca="false">T23/Assumptions!$F$15</f>
        <v>4664.12738460725</v>
      </c>
      <c r="U24" s="34" t="n">
        <f aca="false">U23/Assumptions!$F$15</f>
        <v>5317.55185545176</v>
      </c>
      <c r="V24" s="34" t="n">
        <f aca="false">V23/Assumptions!$F$15</f>
        <v>5980.32972566883</v>
      </c>
      <c r="W24" s="34" t="n">
        <f aca="false">W23/Assumptions!$F$15</f>
        <v>6725.17652601555</v>
      </c>
      <c r="X24" s="34" t="n">
        <f aca="false">X23/Assumptions!$F$15</f>
        <v>7512.53751317596</v>
      </c>
      <c r="Y24" s="34" t="n">
        <f aca="false">Y23/Assumptions!$F$15</f>
        <v>8304.62456326123</v>
      </c>
      <c r="Z24" s="34" t="n">
        <f aca="false">Z23/Assumptions!$F$15</f>
        <v>9159.83901812121</v>
      </c>
      <c r="AA24" s="34" t="n">
        <f aca="false">AA23/Assumptions!$F$15</f>
        <v>10032.6209180002</v>
      </c>
      <c r="AB24" s="34" t="n">
        <f aca="false">AB23/Assumptions!$F$15</f>
        <v>10890.6482695782</v>
      </c>
      <c r="AC24" s="34" t="n">
        <f aca="false">AC23/Assumptions!$F$15</f>
        <v>11786.7443780107</v>
      </c>
      <c r="AD24" s="34" t="n">
        <f aca="false">AD23/Assumptions!$F$15</f>
        <v>12760.6495034501</v>
      </c>
      <c r="AE24" s="34" t="n">
        <f aca="false">AE23/Assumptions!$F$15</f>
        <v>13745.5988501195</v>
      </c>
      <c r="AF24" s="34" t="n">
        <f aca="false">AF23/Assumptions!$F$15</f>
        <v>14763.0482753615</v>
      </c>
      <c r="AG24" s="34" t="n">
        <f aca="false">AG23/Assumptions!$F$15</f>
        <v>15838.804266427</v>
      </c>
      <c r="AH24" s="34" t="n">
        <f aca="false">AH23/Assumptions!$F$15</f>
        <v>16900.343317308</v>
      </c>
      <c r="AI24" s="34" t="n">
        <f aca="false">AI23/Assumptions!$F$15</f>
        <v>17971.6868922187</v>
      </c>
      <c r="AJ24" s="34" t="n">
        <f aca="false">AJ23/Assumptions!$F$15</f>
        <v>19074.2832598711</v>
      </c>
      <c r="AK24" s="34" t="n">
        <f aca="false">AK23/Assumptions!$F$15</f>
        <v>20221.7005971462</v>
      </c>
      <c r="AL24" s="34" t="n">
        <f aca="false">AL23/Assumptions!$F$15</f>
        <v>21407.0906192016</v>
      </c>
      <c r="AM24" s="34" t="n">
        <f aca="false">AM23/Assumptions!$F$15</f>
        <v>22616.6893550718</v>
      </c>
      <c r="AN24" s="35" t="n">
        <f aca="false">AN23/Assumptions!$F$15</f>
        <v>23850.7373265985</v>
      </c>
      <c r="AO24" s="35" t="n">
        <f aca="false">AO23/Assumptions!$F$15</f>
        <v>25097.0201694038</v>
      </c>
      <c r="AP24" s="35" t="n">
        <f aca="false">AP23/Assumptions!$F$15</f>
        <v>26347.6534036206</v>
      </c>
      <c r="AQ24" s="35" t="n">
        <f aca="false">AQ23/Assumptions!$F$15</f>
        <v>27597.5661514589</v>
      </c>
      <c r="AR24" s="35" t="n">
        <f aca="false">AR23/Assumptions!$F$15</f>
        <v>28843.5155659672</v>
      </c>
      <c r="AS24" s="35" t="n">
        <f aca="false">AS23/Assumptions!$F$15</f>
        <v>30083.4462218848</v>
      </c>
      <c r="AT24" s="35" t="n">
        <f aca="false">AT23/Assumptions!$F$15</f>
        <v>31313.0137316711</v>
      </c>
      <c r="AU24" s="35" t="n">
        <f aca="false">AU23/Assumptions!$F$15</f>
        <v>32532.5510077206</v>
      </c>
      <c r="AV24" s="35" t="n">
        <f aca="false">AV23/Assumptions!$F$15</f>
        <v>33742.3238559207</v>
      </c>
      <c r="AW24" s="35" t="n">
        <f aca="false">AW23/Assumptions!$F$15</f>
        <v>34939.4937217372</v>
      </c>
      <c r="AX24" s="35" t="n">
        <f aca="false">AX23/Assumptions!$F$15</f>
        <v>36125.3693862872</v>
      </c>
      <c r="AY24" s="35" t="n">
        <f aca="false">AY23/Assumptions!$F$15</f>
        <v>37300.8480912372</v>
      </c>
      <c r="AZ24" s="35" t="n">
        <f aca="false">AZ23/Assumptions!$F$15</f>
        <v>38463.4988796025</v>
      </c>
      <c r="BA24" s="35" t="n">
        <f aca="false">BA23/Assumptions!$F$15</f>
        <v>39611.8326777355</v>
      </c>
      <c r="BB24" s="35" t="n">
        <f aca="false">BB23/Assumptions!$F$15</f>
        <v>40748.031270432</v>
      </c>
      <c r="BC24" s="35" t="n">
        <f aca="false">BC23/Assumptions!$F$15</f>
        <v>41870.4952552362</v>
      </c>
      <c r="BD24" s="35" t="n">
        <f aca="false">BD23/Assumptions!$F$15</f>
        <v>42978.2727214171</v>
      </c>
      <c r="BE24" s="35" t="n">
        <f aca="false">BE23/Assumptions!$F$15</f>
        <v>44073.891312352</v>
      </c>
      <c r="BF24" s="35" t="n">
        <f aca="false">BF23/Assumptions!$F$15</f>
        <v>45155.9731858082</v>
      </c>
      <c r="BG24" s="35" t="n">
        <f aca="false">BG23/Assumptions!$F$15</f>
        <v>46223.707246063</v>
      </c>
      <c r="BH24" s="35" t="n">
        <f aca="false">BH23/Assumptions!$F$15</f>
        <v>47276.6495150993</v>
      </c>
      <c r="BI24" s="35" t="n">
        <f aca="false">BI23/Assumptions!$F$15</f>
        <v>48314.5933928956</v>
      </c>
      <c r="BJ24" s="35" t="n">
        <f aca="false">BJ23/Assumptions!$F$15</f>
        <v>49337.4853453419</v>
      </c>
      <c r="BK24" s="35" t="n">
        <f aca="false">BK23/Assumptions!$F$15</f>
        <v>50345.3701198327</v>
      </c>
    </row>
    <row r="25" customFormat="false" ht="15" hidden="false" customHeight="false" outlineLevel="0" collapsed="false">
      <c r="A25" s="28" t="s">
        <v>568</v>
      </c>
      <c r="B25" s="6" t="s">
        <v>569</v>
      </c>
      <c r="C25" s="32" t="n">
        <v>0</v>
      </c>
      <c r="D25" s="34" t="n">
        <f aca="false">MAX(0,D24-C24)+C24*Assumptions!$F$16</f>
        <v>0</v>
      </c>
      <c r="E25" s="34" t="n">
        <f aca="false">MAX(0,E24-D24)+D24*Assumptions!$F$16</f>
        <v>0</v>
      </c>
      <c r="F25" s="34" t="n">
        <f aca="false">MAX(0,F24-E24)+E24*Assumptions!$F$16</f>
        <v>0</v>
      </c>
      <c r="G25" s="34" t="n">
        <f aca="false">MAX(0,G24-F24)+F24*Assumptions!$F$16</f>
        <v>0</v>
      </c>
      <c r="H25" s="34" t="n">
        <f aca="false">MAX(0,H24-G24)+G24*Assumptions!$F$16</f>
        <v>76.5</v>
      </c>
      <c r="I25" s="34" t="n">
        <f aca="false">MAX(0,I24-H24)+H24*Assumptions!$F$16</f>
        <v>118.9575</v>
      </c>
      <c r="J25" s="34" t="n">
        <f aca="false">MAX(0,J24-I24)+I24*Assumptions!$F$16</f>
        <v>126.7891875</v>
      </c>
      <c r="K25" s="34" t="n">
        <f aca="false">MAX(0,K24-J24)+J24*Assumptions!$F$16</f>
        <v>194.1737821875</v>
      </c>
      <c r="L25" s="34" t="n">
        <f aca="false">MAX(0,L24-K24)+K24*Assumptions!$F$16</f>
        <v>295.661356579688</v>
      </c>
      <c r="M25" s="34" t="n">
        <f aca="false">MAX(0,M24-L24)+L24*Assumptions!$F$16</f>
        <v>331.913753962242</v>
      </c>
      <c r="N25" s="34" t="n">
        <f aca="false">MAX(0,N24-M24)+M24*Assumptions!$F$16</f>
        <v>386.062604178121</v>
      </c>
      <c r="O25" s="34" t="n">
        <f aca="false">MAX(0,O24-N24)+N24*Assumptions!$F$16</f>
        <v>464.726976856902</v>
      </c>
      <c r="P25" s="34" t="n">
        <f aca="false">MAX(0,P24-O24)+O24*Assumptions!$F$16</f>
        <v>551.085624835994</v>
      </c>
      <c r="Q25" s="34" t="n">
        <f aca="false">MAX(0,Q24-P24)+P24*Assumptions!$F$16</f>
        <v>627.841149674217</v>
      </c>
      <c r="R25" s="34" t="n">
        <f aca="false">MAX(0,R24-Q24)+Q24*Assumptions!$F$16</f>
        <v>689.4773084161</v>
      </c>
      <c r="S25" s="34" t="n">
        <f aca="false">MAX(0,S24-R24)+R24*Assumptions!$F$16</f>
        <v>750.534503181408</v>
      </c>
      <c r="T25" s="34" t="n">
        <f aca="false">MAX(0,T24-S24)+S24*Assumptions!$F$16</f>
        <v>799.272465988191</v>
      </c>
      <c r="U25" s="34" t="n">
        <f aca="false">MAX(0,U24-T24)+T24*Assumptions!$F$16</f>
        <v>839.989566228798</v>
      </c>
      <c r="V25" s="34" t="n">
        <f aca="false">MAX(0,V24-U24)+U24*Assumptions!$F$16</f>
        <v>875.479944435145</v>
      </c>
      <c r="W25" s="34" t="n">
        <f aca="false">MAX(0,W24-V24)+V24*Assumptions!$F$16</f>
        <v>984.059989373474</v>
      </c>
      <c r="X25" s="34" t="n">
        <f aca="false">MAX(0,X24-W24)+W24*Assumptions!$F$16</f>
        <v>1056.36804820103</v>
      </c>
      <c r="Y25" s="34" t="n">
        <f aca="false">MAX(0,Y24-X24)+X24*Assumptions!$F$16</f>
        <v>1092.58855061231</v>
      </c>
      <c r="Z25" s="34" t="n">
        <f aca="false">MAX(0,Z24-Y24)+Y24*Assumptions!$F$16</f>
        <v>1187.39943739043</v>
      </c>
      <c r="AA25" s="34" t="n">
        <f aca="false">MAX(0,AA24-Z24)+Z24*Assumptions!$F$16</f>
        <v>1239.17546060381</v>
      </c>
      <c r="AB25" s="34" t="n">
        <f aca="false">MAX(0,AB24-AA24)+AA24*Assumptions!$F$16</f>
        <v>1259.33218829801</v>
      </c>
      <c r="AC25" s="34" t="n">
        <f aca="false">MAX(0,AC24-AB24)+AB24*Assumptions!$F$16</f>
        <v>1331.72203921566</v>
      </c>
      <c r="AD25" s="34" t="n">
        <f aca="false">MAX(0,AD24-AC24)+AC24*Assumptions!$F$16</f>
        <v>1445.3749005598</v>
      </c>
      <c r="AE25" s="34" t="n">
        <f aca="false">MAX(0,AE24-AD24)+AD24*Assumptions!$F$16</f>
        <v>1495.37532680745</v>
      </c>
      <c r="AF25" s="34" t="n">
        <f aca="false">MAX(0,AF24-AE24)+AE24*Assumptions!$F$16</f>
        <v>1567.27337924677</v>
      </c>
      <c r="AG25" s="34" t="n">
        <f aca="false">MAX(0,AG24-AF24)+AF24*Assumptions!$F$16</f>
        <v>1666.27792208</v>
      </c>
      <c r="AH25" s="34" t="n">
        <f aca="false">MAX(0,AH24-AG24)+AG24*Assumptions!$F$16</f>
        <v>1695.09122153805</v>
      </c>
      <c r="AI25" s="34" t="n">
        <f aca="false">MAX(0,AI24-AH24)+AH24*Assumptions!$F$16</f>
        <v>1747.35730760299</v>
      </c>
      <c r="AJ25" s="34" t="n">
        <f aca="false">MAX(0,AJ24-AI24)+AI24*Assumptions!$F$16</f>
        <v>1821.46384334116</v>
      </c>
      <c r="AK25" s="34" t="n">
        <f aca="false">MAX(0,AK24-AJ24)+AJ24*Assumptions!$F$16</f>
        <v>1910.38866766998</v>
      </c>
      <c r="AL25" s="34" t="n">
        <f aca="false">MAX(0,AL24-AK24)+AK24*Assumptions!$F$16</f>
        <v>1994.25804594123</v>
      </c>
      <c r="AM25" s="34" t="n">
        <f aca="false">MAX(0,AM24-AL24)+AL24*Assumptions!$F$16</f>
        <v>2065.88236063821</v>
      </c>
      <c r="AN25" s="35" t="n">
        <f aca="false">MAX(0,AN24-AM24)+AM24*Assumptions!$F$16</f>
        <v>2138.71554572961</v>
      </c>
      <c r="AO25" s="35" t="n">
        <f aca="false">MAX(0,AO24-AN24)+AN24*Assumptions!$F$16</f>
        <v>2200.31233586929</v>
      </c>
      <c r="AP25" s="35" t="n">
        <f aca="false">MAX(0,AP24-AO24)+AO24*Assumptions!$F$16</f>
        <v>2254.51404099291</v>
      </c>
      <c r="AQ25" s="35" t="n">
        <f aca="false">MAX(0,AQ24-AP24)+AP24*Assumptions!$F$16</f>
        <v>2303.8188839831</v>
      </c>
      <c r="AR25" s="35" t="n">
        <f aca="false">MAX(0,AR24-AQ24)+AQ24*Assumptions!$F$16</f>
        <v>2349.85206056665</v>
      </c>
      <c r="AS25" s="35" t="n">
        <f aca="false">MAX(0,AS24-AR24)+AR24*Assumptions!$F$16</f>
        <v>2393.67127855629</v>
      </c>
      <c r="AT25" s="35" t="n">
        <f aca="false">MAX(0,AT24-AS24)+AS24*Assumptions!$F$16</f>
        <v>2432.90535866175</v>
      </c>
      <c r="AU25" s="35" t="n">
        <f aca="false">MAX(0,AU24-AT24)+AT24*Assumptions!$F$16</f>
        <v>2472.05782531629</v>
      </c>
      <c r="AV25" s="35" t="n">
        <f aca="false">MAX(0,AV24-AU24)+AU24*Assumptions!$F$16</f>
        <v>2511.07488850895</v>
      </c>
      <c r="AW25" s="35" t="n">
        <f aca="false">MAX(0,AW24-AV24)+AV24*Assumptions!$F$16</f>
        <v>2546.86282005337</v>
      </c>
      <c r="AX25" s="35" t="n">
        <f aca="false">MAX(0,AX24-AW24)+AW24*Assumptions!$F$16</f>
        <v>2583.45541341941</v>
      </c>
      <c r="AY25" s="35" t="n">
        <f aca="false">MAX(0,AY24-AX24)+AX24*Assumptions!$F$16</f>
        <v>2620.49348040157</v>
      </c>
      <c r="AZ25" s="35" t="n">
        <f aca="false">MAX(0,AZ24-AY24)+AY24*Assumptions!$F$16</f>
        <v>2654.68471201478</v>
      </c>
      <c r="BA25" s="35" t="n">
        <f aca="false">MAX(0,BA24-AZ24)+AZ24*Assumptions!$F$16</f>
        <v>2686.87375331707</v>
      </c>
      <c r="BB25" s="35" t="n">
        <f aca="false">MAX(0,BB24-BA24)+BA24*Assumptions!$F$16</f>
        <v>2720.67189980594</v>
      </c>
      <c r="BC25" s="35" t="n">
        <f aca="false">MAX(0,BC24-BB24)+BB24*Assumptions!$F$16</f>
        <v>2752.38523562146</v>
      </c>
      <c r="BD25" s="35" t="n">
        <f aca="false">MAX(0,BD24-BC24)+BC24*Assumptions!$F$16</f>
        <v>2782.59727639033</v>
      </c>
      <c r="BE25" s="35" t="n">
        <f aca="false">MAX(0,BE24-BD24)+BD24*Assumptions!$F$16</f>
        <v>2814.74949979155</v>
      </c>
      <c r="BF25" s="35" t="n">
        <f aca="false">MAX(0,BF24-BE24)+BE24*Assumptions!$F$16</f>
        <v>2845.03752595028</v>
      </c>
      <c r="BG25" s="35" t="n">
        <f aca="false">MAX(0,BG24-BF24)+BF24*Assumptions!$F$16</f>
        <v>2873.97298768717</v>
      </c>
      <c r="BH25" s="35" t="n">
        <f aca="false">MAX(0,BH24-BG24)+BG24*Assumptions!$F$16</f>
        <v>2901.89055887886</v>
      </c>
      <c r="BI25" s="35" t="n">
        <f aca="false">MAX(0,BI24-BH24)+BH24*Assumptions!$F$16</f>
        <v>2929.00985840021</v>
      </c>
      <c r="BJ25" s="35" t="n">
        <f aca="false">MAX(0,BJ24-BI24)+BI24*Assumptions!$F$16</f>
        <v>2955.47568816217</v>
      </c>
      <c r="BK25" s="35" t="n">
        <f aca="false">MAX(0,BK24-BJ24)+BJ24*Assumptions!$F$16</f>
        <v>2981.38418830441</v>
      </c>
    </row>
    <row r="26" customFormat="false" ht="15" hidden="false" customHeight="false" outlineLevel="0" collapsed="false">
      <c r="B26" s="5" t="s">
        <v>570</v>
      </c>
    </row>
    <row r="27" customFormat="false" ht="15" hidden="false" customHeight="false" outlineLevel="0" collapsed="false">
      <c r="A27" s="28" t="s">
        <v>571</v>
      </c>
      <c r="B27" s="6" t="s">
        <v>572</v>
      </c>
      <c r="C27" s="36" t="n">
        <v>0</v>
      </c>
      <c r="D27" s="26" t="n">
        <f aca="false">C27*(1-Assumptions!$F$41)+D16*((1-(1-Assumptions!$F$30)^(1/12))*Assumptions!$F$40)*MAX(0,D13*Assumptions!$F$25-C27)</f>
        <v>0</v>
      </c>
      <c r="E27" s="26" t="n">
        <f aca="false">D27*(1-Assumptions!$F$41)+E16*((1-(1-Assumptions!$F$30)^(1/12))*Assumptions!$F$40)*MAX(0,E13*Assumptions!$F$25-D27)</f>
        <v>0</v>
      </c>
      <c r="F27" s="26" t="n">
        <f aca="false">E27*(1-Assumptions!$F$41)+F16*((1-(1-Assumptions!$F$30)^(1/12))*Assumptions!$F$40)*MAX(0,F13*Assumptions!$F$25-E27)</f>
        <v>0</v>
      </c>
      <c r="G27" s="26" t="n">
        <f aca="false">F27*(1-Assumptions!$F$41)+G16*((1-(1-Assumptions!$F$30)^(1/12))*Assumptions!$F$40)*MAX(0,G13*Assumptions!$F$25-F27)</f>
        <v>0</v>
      </c>
      <c r="H27" s="26" t="n">
        <f aca="false">G27*(1-Assumptions!$F$41)+H16*((1-(1-Assumptions!$F$30)^(1/12))*Assumptions!$F$40)*MAX(0,H13*Assumptions!$F$25-G27)</f>
        <v>0</v>
      </c>
      <c r="I27" s="26" t="n">
        <f aca="false">H27*(1-Assumptions!$F$41)+I16*((1-(1-Assumptions!$F$30)^(1/12))*Assumptions!$F$40)*MAX(0,I13*Assumptions!$F$25-H27)</f>
        <v>0</v>
      </c>
      <c r="J27" s="26" t="n">
        <f aca="false">I27*(1-Assumptions!$F$41)+J16*((1-(1-Assumptions!$F$30)^(1/12))*Assumptions!$F$40)*MAX(0,J13*Assumptions!$F$25-I27)</f>
        <v>0</v>
      </c>
      <c r="K27" s="26" t="n">
        <f aca="false">J27*(1-Assumptions!$F$41)+K16*((1-(1-Assumptions!$F$30)^(1/12))*Assumptions!$F$40)*MAX(0,K13*Assumptions!$F$25-J27)</f>
        <v>0</v>
      </c>
      <c r="L27" s="26" t="n">
        <f aca="false">K27*(1-Assumptions!$F$41)+L16*((1-(1-Assumptions!$F$30)^(1/12))*Assumptions!$F$40)*MAX(0,L13*Assumptions!$F$25-K27)</f>
        <v>0</v>
      </c>
      <c r="M27" s="26" t="n">
        <f aca="false">L27*(1-Assumptions!$F$41)+M16*((1-(1-Assumptions!$F$30)^(1/12))*Assumptions!$F$40)*MAX(0,M13*Assumptions!$F$25-L27)</f>
        <v>0</v>
      </c>
      <c r="N27" s="26" t="n">
        <f aca="false">M27*(1-Assumptions!$F$41)+N16*((1-(1-Assumptions!$F$30)^(1/12))*Assumptions!$F$40)*MAX(0,N13*Assumptions!$F$25-M27)</f>
        <v>0</v>
      </c>
      <c r="O27" s="26" t="n">
        <f aca="false">N27*(1-Assumptions!$F$41)+O16*((1-(1-Assumptions!$F$30)^(1/12))*Assumptions!$F$40)*MAX(0,O13*Assumptions!$F$25-N27)</f>
        <v>0</v>
      </c>
      <c r="P27" s="26" t="n">
        <f aca="false">O27*(1-Assumptions!$F$41)+P16*((1-(1-Assumptions!$F$30)^(1/12))*Assumptions!$F$40)*MAX(0,P13*Assumptions!$F$25-O27)</f>
        <v>0</v>
      </c>
      <c r="Q27" s="26" t="n">
        <f aca="false">P27*(1-Assumptions!$F$41)+Q16*((1-(1-Assumptions!$F$30)^(1/12))*Assumptions!$F$40)*MAX(0,Q13*Assumptions!$F$25-P27)</f>
        <v>0</v>
      </c>
      <c r="R27" s="26" t="n">
        <f aca="false">Q27*(1-Assumptions!$F$41)+R16*((1-(1-Assumptions!$F$30)^(1/12))*Assumptions!$F$40)*MAX(0,R13*Assumptions!$F$25-Q27)</f>
        <v>0</v>
      </c>
      <c r="S27" s="26" t="n">
        <f aca="false">R27*(1-Assumptions!$F$41)+S16*((1-(1-Assumptions!$F$30)^(1/12))*Assumptions!$F$40)*MAX(0,S13*Assumptions!$F$25-R27)</f>
        <v>0</v>
      </c>
      <c r="T27" s="26" t="n">
        <f aca="false">S27*(1-Assumptions!$F$41)+T16*((1-(1-Assumptions!$F$30)^(1/12))*Assumptions!$F$40)*MAX(0,T13*Assumptions!$F$25-S27)</f>
        <v>1.74889094261625</v>
      </c>
      <c r="U27" s="26" t="n">
        <f aca="false">T27*(1-Assumptions!$F$41)+U16*((1-(1-Assumptions!$F$30)^(1/12))*Assumptions!$F$40)*MAX(0,U13*Assumptions!$F$25-T27)</f>
        <v>3.56907786342936</v>
      </c>
      <c r="V27" s="26" t="n">
        <f aca="false">U27*(1-Assumptions!$F$41)+V16*((1-(1-Assumptions!$F$30)^(1/12))*Assumptions!$F$40)*MAX(0,V13*Assumptions!$F$25-U27)</f>
        <v>5.4547161885111</v>
      </c>
      <c r="W27" s="26" t="n">
        <f aca="false">V27*(1-Assumptions!$F$41)+W16*((1-(1-Assumptions!$F$30)^(1/12))*Assumptions!$F$40)*MAX(0,W13*Assumptions!$F$25-V27)</f>
        <v>7.46576039942582</v>
      </c>
      <c r="X27" s="26" t="n">
        <f aca="false">W27*(1-Assumptions!$F$41)+X16*((1-(1-Assumptions!$F$30)^(1/12))*Assumptions!$F$40)*MAX(0,X13*Assumptions!$F$25-W27)</f>
        <v>9.58345738409089</v>
      </c>
      <c r="Y27" s="26" t="n">
        <f aca="false">X27*(1-Assumptions!$F$41)+Y16*((1-(1-Assumptions!$F$30)^(1/12))*Assumptions!$F$40)*MAX(0,Y13*Assumptions!$F$25-X27)</f>
        <v>11.7801576654481</v>
      </c>
      <c r="Z27" s="26" t="n">
        <f aca="false">Y27*(1-Assumptions!$F$41)+Z16*((1-(1-Assumptions!$F$30)^(1/12))*Assumptions!$F$40)*MAX(0,Z13*Assumptions!$F$25-Y27)</f>
        <v>14.1011776886194</v>
      </c>
      <c r="AA27" s="26" t="n">
        <f aca="false">Z27*(1-Assumptions!$F$41)+AA16*((1-(1-Assumptions!$F$30)^(1/12))*Assumptions!$F$40)*MAX(0,AA13*Assumptions!$F$25-Z27)</f>
        <v>16.5170534809776</v>
      </c>
      <c r="AB27" s="26" t="n">
        <f aca="false">AA27*(1-Assumptions!$F$41)+AB16*((1-(1-Assumptions!$F$30)^(1/12))*Assumptions!$F$40)*MAX(0,AB13*Assumptions!$F$25-AA27)</f>
        <v>18.9982400424197</v>
      </c>
      <c r="AC27" s="26" t="n">
        <f aca="false">AB27*(1-Assumptions!$F$41)+AC16*((1-(1-Assumptions!$F$30)^(1/12))*Assumptions!$F$40)*MAX(0,AC13*Assumptions!$F$25-AB27)</f>
        <v>21.5805017921031</v>
      </c>
      <c r="AD27" s="26" t="n">
        <f aca="false">AC27*(1-Assumptions!$F$41)+AD16*((1-(1-Assumptions!$F$30)^(1/12))*Assumptions!$F$40)*MAX(0,AD13*Assumptions!$F$25-AC27)</f>
        <v>24.301510808633</v>
      </c>
      <c r="AE27" s="26" t="n">
        <f aca="false">AD27*(1-Assumptions!$F$41)+AE16*((1-(1-Assumptions!$F$30)^(1/12))*Assumptions!$F$40)*MAX(0,AE13*Assumptions!$F$25-AD27)</f>
        <v>27.1169855422511</v>
      </c>
      <c r="AF27" s="26" t="n">
        <f aca="false">AE27*(1-Assumptions!$F$41)+AF16*((1-(1-Assumptions!$F$30)^(1/12))*Assumptions!$F$40)*MAX(0,AF13*Assumptions!$F$25-AE27)</f>
        <v>30.0413995630902</v>
      </c>
      <c r="AG27" s="26" t="n">
        <f aca="false">AF27*(1-Assumptions!$F$41)+AG16*((1-(1-Assumptions!$F$30)^(1/12))*Assumptions!$F$40)*MAX(0,AG13*Assumptions!$F$25-AF27)</f>
        <v>33.0982613583712</v>
      </c>
      <c r="AH27" s="26" t="n">
        <f aca="false">AG27*(1-Assumptions!$F$41)+AH16*((1-(1-Assumptions!$F$30)^(1/12))*Assumptions!$F$40)*MAX(0,AH13*Assumptions!$F$25-AG27)</f>
        <v>36.2330163646449</v>
      </c>
      <c r="AI27" s="26" t="n">
        <f aca="false">AH27*(1-Assumptions!$F$41)+AI16*((1-(1-Assumptions!$F$30)^(1/12))*Assumptions!$F$40)*MAX(0,AI13*Assumptions!$F$25-AH27)</f>
        <v>39.4560326759019</v>
      </c>
      <c r="AJ27" s="26" t="n">
        <f aca="false">AI27*(1-Assumptions!$F$41)+AJ16*((1-(1-Assumptions!$F$30)^(1/12))*Assumptions!$F$40)*MAX(0,AJ13*Assumptions!$F$25-AI27)</f>
        <v>42.7818767937696</v>
      </c>
      <c r="AK27" s="26" t="n">
        <f aca="false">AJ27*(1-Assumptions!$F$41)+AK16*((1-(1-Assumptions!$F$30)^(1/12))*Assumptions!$F$40)*MAX(0,AK13*Assumptions!$F$25-AJ27)</f>
        <v>46.223692815877</v>
      </c>
      <c r="AL27" s="26" t="n">
        <f aca="false">AK27*(1-Assumptions!$F$41)+AL16*((1-(1-Assumptions!$F$30)^(1/12))*Assumptions!$F$40)*MAX(0,AL13*Assumptions!$F$25-AK27)</f>
        <v>49.7802450618707</v>
      </c>
      <c r="AM27" s="26" t="n">
        <f aca="false">AL27*(1-Assumptions!$F$41)+AM16*((1-(1-Assumptions!$F$30)^(1/12))*Assumptions!$F$40)*MAX(0,AM13*Assumptions!$F$25-AL27)</f>
        <v>53.442436256758</v>
      </c>
      <c r="AN27" s="37" t="n">
        <f aca="false">AM27*(1-Assumptions!$F$41)+AN16*((1-(1-Assumptions!$F$30)^(1/12))*Assumptions!$F$40)*MAX(0,AN13*Assumptions!$F$25-AM27)</f>
        <v>57.2097063833258</v>
      </c>
      <c r="AO27" s="37" t="n">
        <f aca="false">AN27*(1-Assumptions!$F$41)+AO16*((1-(1-Assumptions!$F$30)^(1/12))*Assumptions!$F$40)*MAX(0,AO13*Assumptions!$F$25-AN27)</f>
        <v>61.0709702629978</v>
      </c>
      <c r="AP27" s="37" t="n">
        <f aca="false">AO27*(1-Assumptions!$F$41)+AP16*((1-(1-Assumptions!$F$30)^(1/12))*Assumptions!$F$40)*MAX(0,AP13*Assumptions!$F$25-AO27)</f>
        <v>65.0160294251292</v>
      </c>
      <c r="AQ27" s="37" t="n">
        <f aca="false">AP27*(1-Assumptions!$F$41)+AQ16*((1-(1-Assumptions!$F$30)^(1/12))*Assumptions!$F$40)*MAX(0,AQ13*Assumptions!$F$25-AP27)</f>
        <v>69.0355042244076</v>
      </c>
      <c r="AR27" s="37" t="n">
        <f aca="false">AQ27*(1-Assumptions!$F$41)+AR16*((1-(1-Assumptions!$F$30)^(1/12))*Assumptions!$F$40)*MAX(0,AR13*Assumptions!$F$25-AQ27)</f>
        <v>73.12077111179</v>
      </c>
      <c r="AS27" s="37" t="n">
        <f aca="false">AR27*(1-Assumptions!$F$41)+AS16*((1-(1-Assumptions!$F$30)^(1/12))*Assumptions!$F$40)*MAX(0,AS13*Assumptions!$F$25-AR27)</f>
        <v>77.2639046683692</v>
      </c>
      <c r="AT27" s="37" t="n">
        <f aca="false">AS27*(1-Assumptions!$F$41)+AT16*((1-(1-Assumptions!$F$30)^(1/12))*Assumptions!$F$40)*MAX(0,AT13*Assumptions!$F$25-AS27)</f>
        <v>81.4550100568298</v>
      </c>
      <c r="AU27" s="37" t="n">
        <f aca="false">AT27*(1-Assumptions!$F$41)+AU16*((1-(1-Assumptions!$F$30)^(1/12))*Assumptions!$F$40)*MAX(0,AU13*Assumptions!$F$25-AT27)</f>
        <v>85.6876387472983</v>
      </c>
      <c r="AV27" s="37" t="n">
        <f aca="false">AU27*(1-Assumptions!$F$41)+AV16*((1-(1-Assumptions!$F$30)^(1/12))*Assumptions!$F$40)*MAX(0,AV13*Assumptions!$F$25-AU27)</f>
        <v>89.9558729806468</v>
      </c>
      <c r="AW27" s="37" t="n">
        <f aca="false">AV27*(1-Assumptions!$F$41)+AW16*((1-(1-Assumptions!$F$30)^(1/12))*Assumptions!$F$40)*MAX(0,AW13*Assumptions!$F$25-AV27)</f>
        <v>94.2516709382049</v>
      </c>
      <c r="AX27" s="37" t="n">
        <f aca="false">AW27*(1-Assumptions!$F$41)+AX16*((1-(1-Assumptions!$F$30)^(1/12))*Assumptions!$F$40)*MAX(0,AX13*Assumptions!$F$25-AW27)</f>
        <v>98.570294221711</v>
      </c>
      <c r="AY27" s="37" t="n">
        <f aca="false">AX27*(1-Assumptions!$F$41)+AY16*((1-(1-Assumptions!$F$30)^(1/12))*Assumptions!$F$40)*MAX(0,AY13*Assumptions!$F$25-AX27)</f>
        <v>102.907403179622</v>
      </c>
      <c r="AZ27" s="37" t="n">
        <f aca="false">AY27*(1-Assumptions!$F$41)+AZ16*((1-(1-Assumptions!$F$30)^(1/12))*Assumptions!$F$40)*MAX(0,AZ13*Assumptions!$F$25-AY27)</f>
        <v>107.256412116256</v>
      </c>
      <c r="BA27" s="37" t="n">
        <f aca="false">AZ27*(1-Assumptions!$F$41)+BA16*((1-(1-Assumptions!$F$30)^(1/12))*Assumptions!$F$40)*MAX(0,BA13*Assumptions!$F$25-AZ27)</f>
        <v>111.61131206567</v>
      </c>
      <c r="BB27" s="37" t="n">
        <f aca="false">BA27*(1-Assumptions!$F$41)+BB16*((1-(1-Assumptions!$F$30)^(1/12))*Assumptions!$F$40)*MAX(0,BB13*Assumptions!$F$25-BA27)</f>
        <v>115.969239914535</v>
      </c>
      <c r="BC27" s="37" t="n">
        <f aca="false">BB27*(1-Assumptions!$F$41)+BC16*((1-(1-Assumptions!$F$30)^(1/12))*Assumptions!$F$40)*MAX(0,BC13*Assumptions!$F$25-BB27)</f>
        <v>120.324971735224</v>
      </c>
      <c r="BD27" s="37" t="n">
        <f aca="false">BC27*(1-Assumptions!$F$41)+BD16*((1-(1-Assumptions!$F$30)^(1/12))*Assumptions!$F$40)*MAX(0,BD13*Assumptions!$F$25-BC27)</f>
        <v>124.673754298571</v>
      </c>
      <c r="BE27" s="37" t="n">
        <f aca="false">BD27*(1-Assumptions!$F$41)+BE16*((1-(1-Assumptions!$F$30)^(1/12))*Assumptions!$F$40)*MAX(0,BE13*Assumptions!$F$25-BD27)</f>
        <v>129.013882272891</v>
      </c>
      <c r="BF27" s="37" t="n">
        <f aca="false">BE27*(1-Assumptions!$F$41)+BF16*((1-(1-Assumptions!$F$30)^(1/12))*Assumptions!$F$40)*MAX(0,BF13*Assumptions!$F$25-BE27)</f>
        <v>133.341199020695</v>
      </c>
      <c r="BG27" s="37" t="n">
        <f aca="false">BF27*(1-Assumptions!$F$41)+BG16*((1-(1-Assumptions!$F$30)^(1/12))*Assumptions!$F$40)*MAX(0,BG13*Assumptions!$F$25-BF27)</f>
        <v>137.65193500898</v>
      </c>
      <c r="BH27" s="37" t="n">
        <f aca="false">BG27*(1-Assumptions!$F$41)+BH16*((1-(1-Assumptions!$F$30)^(1/12))*Assumptions!$F$40)*MAX(0,BH13*Assumptions!$F$25-BG27)</f>
        <v>141.942677398244</v>
      </c>
      <c r="BI27" s="37" t="n">
        <f aca="false">BH27*(1-Assumptions!$F$41)+BI16*((1-(1-Assumptions!$F$30)^(1/12))*Assumptions!$F$40)*MAX(0,BI13*Assumptions!$F$25-BH27)</f>
        <v>146.21034195177</v>
      </c>
      <c r="BJ27" s="37" t="n">
        <f aca="false">BI27*(1-Assumptions!$F$41)+BJ16*((1-(1-Assumptions!$F$30)^(1/12))*Assumptions!$F$40)*MAX(0,BJ13*Assumptions!$F$25-BI27)</f>
        <v>150.45214708915</v>
      </c>
      <c r="BK27" s="37" t="n">
        <f aca="false">BJ27*(1-Assumptions!$F$41)+BK16*((1-(1-Assumptions!$F$30)^(1/12))*Assumptions!$F$40)*MAX(0,BK13*Assumptions!$F$25-BJ27)</f>
        <v>154.665589921347</v>
      </c>
    </row>
    <row r="28" customFormat="false" ht="15" hidden="false" customHeight="false" outlineLevel="0" collapsed="false">
      <c r="A28" s="28" t="s">
        <v>573</v>
      </c>
      <c r="B28" s="6" t="s">
        <v>574</v>
      </c>
      <c r="C28" s="36" t="n">
        <v>0</v>
      </c>
      <c r="D28" s="26" t="n">
        <f aca="false">C28*(1-Assumptions!$F$41)+D16*((1-(1-Assumptions!$F$31)^(1/12))*Assumptions!$F$40)*MAX(0,D13*Assumptions!$F$26-C28)</f>
        <v>0</v>
      </c>
      <c r="E28" s="26" t="n">
        <f aca="false">D28*(1-Assumptions!$F$41)+E16*((1-(1-Assumptions!$F$31)^(1/12))*Assumptions!$F$40)*MAX(0,E13*Assumptions!$F$26-D28)</f>
        <v>0</v>
      </c>
      <c r="F28" s="26" t="n">
        <f aca="false">E28*(1-Assumptions!$F$41)+F16*((1-(1-Assumptions!$F$31)^(1/12))*Assumptions!$F$40)*MAX(0,F13*Assumptions!$F$26-E28)</f>
        <v>0</v>
      </c>
      <c r="G28" s="26" t="n">
        <f aca="false">F28*(1-Assumptions!$F$41)+G16*((1-(1-Assumptions!$F$31)^(1/12))*Assumptions!$F$40)*MAX(0,G13*Assumptions!$F$26-F28)</f>
        <v>0</v>
      </c>
      <c r="H28" s="26" t="n">
        <f aca="false">G28*(1-Assumptions!$F$41)+H16*((1-(1-Assumptions!$F$31)^(1/12))*Assumptions!$F$40)*MAX(0,H13*Assumptions!$F$26-G28)</f>
        <v>0</v>
      </c>
      <c r="I28" s="26" t="n">
        <f aca="false">H28*(1-Assumptions!$F$41)+I16*((1-(1-Assumptions!$F$31)^(1/12))*Assumptions!$F$40)*MAX(0,I13*Assumptions!$F$26-H28)</f>
        <v>0</v>
      </c>
      <c r="J28" s="26" t="n">
        <f aca="false">I28*(1-Assumptions!$F$41)+J16*((1-(1-Assumptions!$F$31)^(1/12))*Assumptions!$F$40)*MAX(0,J13*Assumptions!$F$26-I28)</f>
        <v>0</v>
      </c>
      <c r="K28" s="26" t="n">
        <f aca="false">J28*(1-Assumptions!$F$41)+K16*((1-(1-Assumptions!$F$31)^(1/12))*Assumptions!$F$40)*MAX(0,K13*Assumptions!$F$26-J28)</f>
        <v>0</v>
      </c>
      <c r="L28" s="26" t="n">
        <f aca="false">K28*(1-Assumptions!$F$41)+L16*((1-(1-Assumptions!$F$31)^(1/12))*Assumptions!$F$40)*MAX(0,L13*Assumptions!$F$26-K28)</f>
        <v>0</v>
      </c>
      <c r="M28" s="26" t="n">
        <f aca="false">L28*(1-Assumptions!$F$41)+M16*((1-(1-Assumptions!$F$31)^(1/12))*Assumptions!$F$40)*MAX(0,M13*Assumptions!$F$26-L28)</f>
        <v>0</v>
      </c>
      <c r="N28" s="26" t="n">
        <f aca="false">M28*(1-Assumptions!$F$41)+N16*((1-(1-Assumptions!$F$31)^(1/12))*Assumptions!$F$40)*MAX(0,N13*Assumptions!$F$26-M28)</f>
        <v>0</v>
      </c>
      <c r="O28" s="26" t="n">
        <f aca="false">N28*(1-Assumptions!$F$41)+O16*((1-(1-Assumptions!$F$31)^(1/12))*Assumptions!$F$40)*MAX(0,O13*Assumptions!$F$26-N28)</f>
        <v>0</v>
      </c>
      <c r="P28" s="26" t="n">
        <f aca="false">O28*(1-Assumptions!$F$41)+P16*((1-(1-Assumptions!$F$31)^(1/12))*Assumptions!$F$40)*MAX(0,P13*Assumptions!$F$26-O28)</f>
        <v>0</v>
      </c>
      <c r="Q28" s="26" t="n">
        <f aca="false">P28*(1-Assumptions!$F$41)+Q16*((1-(1-Assumptions!$F$31)^(1/12))*Assumptions!$F$40)*MAX(0,Q13*Assumptions!$F$26-P28)</f>
        <v>0</v>
      </c>
      <c r="R28" s="26" t="n">
        <f aca="false">Q28*(1-Assumptions!$F$41)+R16*((1-(1-Assumptions!$F$31)^(1/12))*Assumptions!$F$40)*MAX(0,R13*Assumptions!$F$26-Q28)</f>
        <v>0</v>
      </c>
      <c r="S28" s="26" t="n">
        <f aca="false">R28*(1-Assumptions!$F$41)+S16*((1-(1-Assumptions!$F$31)^(1/12))*Assumptions!$F$40)*MAX(0,S13*Assumptions!$F$26-R28)</f>
        <v>0</v>
      </c>
      <c r="T28" s="26" t="n">
        <f aca="false">S28*(1-Assumptions!$F$41)+T16*((1-(1-Assumptions!$F$31)^(1/12))*Assumptions!$F$40)*MAX(0,T13*Assumptions!$F$26-S28)</f>
        <v>0.676424737522912</v>
      </c>
      <c r="U28" s="26" t="n">
        <f aca="false">T28*(1-Assumptions!$F$41)+U16*((1-(1-Assumptions!$F$31)^(1/12))*Assumptions!$F$40)*MAX(0,U13*Assumptions!$F$26-T28)</f>
        <v>1.39461838085853</v>
      </c>
      <c r="V28" s="26" t="n">
        <f aca="false">U28*(1-Assumptions!$F$41)+V16*((1-(1-Assumptions!$F$31)^(1/12))*Assumptions!$F$40)*MAX(0,V13*Assumptions!$F$26-U28)</f>
        <v>2.15212150265099</v>
      </c>
      <c r="W28" s="26" t="n">
        <f aca="false">V28*(1-Assumptions!$F$41)+W16*((1-(1-Assumptions!$F$31)^(1/12))*Assumptions!$F$40)*MAX(0,W13*Assumptions!$F$26-V28)</f>
        <v>2.97188747188251</v>
      </c>
      <c r="X28" s="26" t="n">
        <f aca="false">W28*(1-Assumptions!$F$41)+X16*((1-(1-Assumptions!$F$31)^(1/12))*Assumptions!$F$40)*MAX(0,X13*Assumptions!$F$26-W28)</f>
        <v>3.84692711408531</v>
      </c>
      <c r="Y28" s="26" t="n">
        <f aca="false">X28*(1-Assumptions!$F$41)+Y16*((1-(1-Assumptions!$F$31)^(1/12))*Assumptions!$F$40)*MAX(0,Y13*Assumptions!$F$26-X28)</f>
        <v>4.76664371753569</v>
      </c>
      <c r="Z28" s="26" t="n">
        <f aca="false">Y28*(1-Assumptions!$F$41)+Z16*((1-(1-Assumptions!$F$31)^(1/12))*Assumptions!$F$40)*MAX(0,Z13*Assumptions!$F$26-Y28)</f>
        <v>5.74843212883481</v>
      </c>
      <c r="AA28" s="26" t="n">
        <f aca="false">Z28*(1-Assumptions!$F$41)+AA16*((1-(1-Assumptions!$F$31)^(1/12))*Assumptions!$F$40)*MAX(0,AA13*Assumptions!$F$26-Z28)</f>
        <v>6.78113913379113</v>
      </c>
      <c r="AB28" s="26" t="n">
        <f aca="false">AA28*(1-Assumptions!$F$41)+AB16*((1-(1-Assumptions!$F$31)^(1/12))*Assumptions!$F$40)*MAX(0,AB13*Assumptions!$F$26-AA28)</f>
        <v>7.85332776411706</v>
      </c>
      <c r="AC28" s="26" t="n">
        <f aca="false">AB28*(1-Assumptions!$F$41)+AC16*((1-(1-Assumptions!$F$31)^(1/12))*Assumptions!$F$40)*MAX(0,AC13*Assumptions!$F$26-AB28)</f>
        <v>8.97858176152951</v>
      </c>
      <c r="AD28" s="26" t="n">
        <f aca="false">AC28*(1-Assumptions!$F$41)+AD16*((1-(1-Assumptions!$F$31)^(1/12))*Assumptions!$F$40)*MAX(0,AD13*Assumptions!$F$26-AC28)</f>
        <v>10.171526593533</v>
      </c>
      <c r="AE28" s="26" t="n">
        <f aca="false">AD28*(1-Assumptions!$F$41)+AE16*((1-(1-Assumptions!$F$31)^(1/12))*Assumptions!$F$40)*MAX(0,AE13*Assumptions!$F$26-AD28)</f>
        <v>11.4153929611956</v>
      </c>
      <c r="AF28" s="26" t="n">
        <f aca="false">AE28*(1-Assumptions!$F$41)+AF16*((1-(1-Assumptions!$F$31)^(1/12))*Assumptions!$F$40)*MAX(0,AF13*Assumptions!$F$26-AE28)</f>
        <v>12.7157575234674</v>
      </c>
      <c r="AG28" s="26" t="n">
        <f aca="false">AF28*(1-Assumptions!$F$41)+AG16*((1-(1-Assumptions!$F$31)^(1/12))*Assumptions!$F$40)*MAX(0,AG13*Assumptions!$F$26-AF28)</f>
        <v>14.0818100383077</v>
      </c>
      <c r="AH28" s="26" t="n">
        <f aca="false">AG28*(1-Assumptions!$F$41)+AH16*((1-(1-Assumptions!$F$31)^(1/12))*Assumptions!$F$40)*MAX(0,AH13*Assumptions!$F$26-AG28)</f>
        <v>15.4927329997325</v>
      </c>
      <c r="AI28" s="26" t="n">
        <f aca="false">AH28*(1-Assumptions!$F$41)+AI16*((1-(1-Assumptions!$F$31)^(1/12))*Assumptions!$F$40)*MAX(0,AI13*Assumptions!$F$26-AH28)</f>
        <v>16.9523610288281</v>
      </c>
      <c r="AJ28" s="26" t="n">
        <f aca="false">AI28*(1-Assumptions!$F$41)+AJ16*((1-(1-Assumptions!$F$31)^(1/12))*Assumptions!$F$40)*MAX(0,AJ13*Assumptions!$F$26-AI28)</f>
        <v>18.4662463371557</v>
      </c>
      <c r="AK28" s="26" t="n">
        <f aca="false">AJ28*(1-Assumptions!$F$41)+AK16*((1-(1-Assumptions!$F$31)^(1/12))*Assumptions!$F$40)*MAX(0,AK13*Assumptions!$F$26-AJ28)</f>
        <v>20.0395136826207</v>
      </c>
      <c r="AL28" s="26" t="n">
        <f aca="false">AK28*(1-Assumptions!$F$41)+AL16*((1-(1-Assumptions!$F$31)^(1/12))*Assumptions!$F$40)*MAX(0,AL13*Assumptions!$F$26-AK28)</f>
        <v>21.6718305350649</v>
      </c>
      <c r="AM28" s="26" t="n">
        <f aca="false">AL28*(1-Assumptions!$F$41)+AM16*((1-(1-Assumptions!$F$31)^(1/12))*Assumptions!$F$40)*MAX(0,AM13*Assumptions!$F$26-AL28)</f>
        <v>23.3598057142172</v>
      </c>
      <c r="AN28" s="37" t="n">
        <f aca="false">AM28*(1-Assumptions!$F$41)+AN16*((1-(1-Assumptions!$F$31)^(1/12))*Assumptions!$F$40)*MAX(0,AN13*Assumptions!$F$26-AM28)</f>
        <v>25.1032692150407</v>
      </c>
      <c r="AO28" s="37" t="n">
        <f aca="false">AN28*(1-Assumptions!$F$41)+AO16*((1-(1-Assumptions!$F$31)^(1/12))*Assumptions!$F$40)*MAX(0,AO13*Assumptions!$F$26-AN28)</f>
        <v>26.8979730811988</v>
      </c>
      <c r="AP28" s="37" t="n">
        <f aca="false">AO28*(1-Assumptions!$F$41)+AP16*((1-(1-Assumptions!$F$31)^(1/12))*Assumptions!$F$40)*MAX(0,AP13*Assumptions!$F$26-AO28)</f>
        <v>28.7399201836564</v>
      </c>
      <c r="AQ28" s="37" t="n">
        <f aca="false">AP28*(1-Assumptions!$F$41)+AQ16*((1-(1-Assumptions!$F$31)^(1/12))*Assumptions!$F$40)*MAX(0,AQ13*Assumptions!$F$26-AP28)</f>
        <v>30.6253502085152</v>
      </c>
      <c r="AR28" s="37" t="n">
        <f aca="false">AQ28*(1-Assumptions!$F$41)+AR16*((1-(1-Assumptions!$F$31)^(1/12))*Assumptions!$F$40)*MAX(0,AR13*Assumptions!$F$26-AQ28)</f>
        <v>32.5507264165119</v>
      </c>
      <c r="AS28" s="37" t="n">
        <f aca="false">AR28*(1-Assumptions!$F$41)+AS16*((1-(1-Assumptions!$F$31)^(1/12))*Assumptions!$F$40)*MAX(0,AS13*Assumptions!$F$26-AR28)</f>
        <v>34.5127231318465</v>
      </c>
      <c r="AT28" s="37" t="n">
        <f aca="false">AS28*(1-Assumptions!$F$41)+AT16*((1-(1-Assumptions!$F$31)^(1/12))*Assumptions!$F$40)*MAX(0,AT13*Assumptions!$F$26-AS28)</f>
        <v>36.5072029003605</v>
      </c>
      <c r="AU28" s="37" t="n">
        <f aca="false">AT28*(1-Assumptions!$F$41)+AU16*((1-(1-Assumptions!$F$31)^(1/12))*Assumptions!$F$40)*MAX(0,AU13*Assumptions!$F$26-AT28)</f>
        <v>38.531297907989</v>
      </c>
      <c r="AV28" s="37" t="n">
        <f aca="false">AU28*(1-Assumptions!$F$41)+AV16*((1-(1-Assumptions!$F$31)^(1/12))*Assumptions!$F$40)*MAX(0,AV13*Assumptions!$F$26-AU28)</f>
        <v>40.5823137651721</v>
      </c>
      <c r="AW28" s="37" t="n">
        <f aca="false">AV28*(1-Assumptions!$F$41)+AW16*((1-(1-Assumptions!$F$31)^(1/12))*Assumptions!$F$40)*MAX(0,AW13*Assumptions!$F$26-AV28)</f>
        <v>42.6567087418216</v>
      </c>
      <c r="AX28" s="37" t="n">
        <f aca="false">AW28*(1-Assumptions!$F$41)+AX16*((1-(1-Assumptions!$F$31)^(1/12))*Assumptions!$F$40)*MAX(0,AX13*Assumptions!$F$26-AW28)</f>
        <v>44.7521771485703</v>
      </c>
      <c r="AY28" s="37" t="n">
        <f aca="false">AX28*(1-Assumptions!$F$41)+AY16*((1-(1-Assumptions!$F$31)^(1/12))*Assumptions!$F$40)*MAX(0,AY13*Assumptions!$F$26-AX28)</f>
        <v>46.8665549762391</v>
      </c>
      <c r="AZ28" s="37" t="n">
        <f aca="false">AY28*(1-Assumptions!$F$41)+AZ16*((1-(1-Assumptions!$F$31)^(1/12))*Assumptions!$F$40)*MAX(0,AZ13*Assumptions!$F$26-AY28)</f>
        <v>48.9968008840218</v>
      </c>
      <c r="BA28" s="37" t="n">
        <f aca="false">AZ28*(1-Assumptions!$F$41)+BA16*((1-(1-Assumptions!$F$31)^(1/12))*Assumptions!$F$40)*MAX(0,BA13*Assumptions!$F$26-AZ28)</f>
        <v>51.1400702177302</v>
      </c>
      <c r="BB28" s="37" t="n">
        <f aca="false">BA28*(1-Assumptions!$F$41)+BB16*((1-(1-Assumptions!$F$31)^(1/12))*Assumptions!$F$40)*MAX(0,BB13*Assumptions!$F$26-BA28)</f>
        <v>53.2947148040536</v>
      </c>
      <c r="BC28" s="37" t="n">
        <f aca="false">BB28*(1-Assumptions!$F$41)+BC16*((1-(1-Assumptions!$F$31)^(1/12))*Assumptions!$F$40)*MAX(0,BC13*Assumptions!$F$26-BB28)</f>
        <v>55.4581797577546</v>
      </c>
      <c r="BD28" s="37" t="n">
        <f aca="false">BC28*(1-Assumptions!$F$41)+BD16*((1-(1-Assumptions!$F$31)^(1/12))*Assumptions!$F$40)*MAX(0,BD13*Assumptions!$F$26-BC28)</f>
        <v>57.6280791262071</v>
      </c>
      <c r="BE28" s="37" t="n">
        <f aca="false">BD28*(1-Assumptions!$F$41)+BE16*((1-(1-Assumptions!$F$31)^(1/12))*Assumptions!$F$40)*MAX(0,BE13*Assumptions!$F$26-BD28)</f>
        <v>59.8031972206083</v>
      </c>
      <c r="BF28" s="37" t="n">
        <f aca="false">BE28*(1-Assumptions!$F$41)+BF16*((1-(1-Assumptions!$F$31)^(1/12))*Assumptions!$F$40)*MAX(0,BF13*Assumptions!$F$26-BE28)</f>
        <v>61.9813868756831</v>
      </c>
      <c r="BG28" s="37" t="n">
        <f aca="false">BF28*(1-Assumptions!$F$41)+BG16*((1-(1-Assumptions!$F$31)^(1/12))*Assumptions!$F$40)*MAX(0,BG13*Assumptions!$F$26-BF28)</f>
        <v>64.1606464669178</v>
      </c>
      <c r="BH28" s="37" t="n">
        <f aca="false">BG28*(1-Assumptions!$F$41)+BH16*((1-(1-Assumptions!$F$31)^(1/12))*Assumptions!$F$40)*MAX(0,BH13*Assumptions!$F$26-BG28)</f>
        <v>66.3391115190624</v>
      </c>
      <c r="BI28" s="37" t="n">
        <f aca="false">BH28*(1-Assumptions!$F$41)+BI16*((1-(1-Assumptions!$F$31)^(1/12))*Assumptions!$F$40)*MAX(0,BI13*Assumptions!$F$26-BH28)</f>
        <v>68.515046780601</v>
      </c>
      <c r="BJ28" s="37" t="n">
        <f aca="false">BI28*(1-Assumptions!$F$41)+BJ16*((1-(1-Assumptions!$F$31)^(1/12))*Assumptions!$F$40)*MAX(0,BJ13*Assumptions!$F$26-BI28)</f>
        <v>70.6868387385681</v>
      </c>
      <c r="BK28" s="37" t="n">
        <f aca="false">BJ28*(1-Assumptions!$F$41)+BK16*((1-(1-Assumptions!$F$31)^(1/12))*Assumptions!$F$40)*MAX(0,BK13*Assumptions!$F$26-BJ28)</f>
        <v>72.8529885494991</v>
      </c>
    </row>
    <row r="29" customFormat="false" ht="15" hidden="false" customHeight="false" outlineLevel="0" collapsed="false">
      <c r="A29" s="28" t="s">
        <v>575</v>
      </c>
      <c r="B29" s="6" t="s">
        <v>576</v>
      </c>
      <c r="C29" s="36" t="n">
        <v>0</v>
      </c>
      <c r="D29" s="26" t="n">
        <f aca="false">C29*(1-Assumptions!$F$41)+D17*((1-(1-Assumptions!$F$32)^(1/12))*Assumptions!$F$40)*MAX(0,D13*Assumptions!$F$27-C29)</f>
        <v>0</v>
      </c>
      <c r="E29" s="26" t="n">
        <f aca="false">D29*(1-Assumptions!$F$41)+E17*((1-(1-Assumptions!$F$32)^(1/12))*Assumptions!$F$40)*MAX(0,E13*Assumptions!$F$27-D29)</f>
        <v>0</v>
      </c>
      <c r="F29" s="26" t="n">
        <f aca="false">E29*(1-Assumptions!$F$41)+F17*((1-(1-Assumptions!$F$32)^(1/12))*Assumptions!$F$40)*MAX(0,F13*Assumptions!$F$27-E29)</f>
        <v>0</v>
      </c>
      <c r="G29" s="26" t="n">
        <f aca="false">F29*(1-Assumptions!$F$41)+G17*((1-(1-Assumptions!$F$32)^(1/12))*Assumptions!$F$40)*MAX(0,G13*Assumptions!$F$27-F29)</f>
        <v>0</v>
      </c>
      <c r="H29" s="26" t="n">
        <f aca="false">G29*(1-Assumptions!$F$41)+H17*((1-(1-Assumptions!$F$32)^(1/12))*Assumptions!$F$40)*MAX(0,H13*Assumptions!$F$27-G29)</f>
        <v>0</v>
      </c>
      <c r="I29" s="26" t="n">
        <f aca="false">H29*(1-Assumptions!$F$41)+I17*((1-(1-Assumptions!$F$32)^(1/12))*Assumptions!$F$40)*MAX(0,I13*Assumptions!$F$27-H29)</f>
        <v>0</v>
      </c>
      <c r="J29" s="26" t="n">
        <f aca="false">I29*(1-Assumptions!$F$41)+J17*((1-(1-Assumptions!$F$32)^(1/12))*Assumptions!$F$40)*MAX(0,J13*Assumptions!$F$27-I29)</f>
        <v>0</v>
      </c>
      <c r="K29" s="26" t="n">
        <f aca="false">J29*(1-Assumptions!$F$41)+K17*((1-(1-Assumptions!$F$32)^(1/12))*Assumptions!$F$40)*MAX(0,K13*Assumptions!$F$27-J29)</f>
        <v>0</v>
      </c>
      <c r="L29" s="26" t="n">
        <f aca="false">K29*(1-Assumptions!$F$41)+L17*((1-(1-Assumptions!$F$32)^(1/12))*Assumptions!$F$40)*MAX(0,L13*Assumptions!$F$27-K29)</f>
        <v>0</v>
      </c>
      <c r="M29" s="26" t="n">
        <f aca="false">L29*(1-Assumptions!$F$41)+M17*((1-(1-Assumptions!$F$32)^(1/12))*Assumptions!$F$40)*MAX(0,M13*Assumptions!$F$27-L29)</f>
        <v>0</v>
      </c>
      <c r="N29" s="26" t="n">
        <f aca="false">M29*(1-Assumptions!$F$41)+N17*((1-(1-Assumptions!$F$32)^(1/12))*Assumptions!$F$40)*MAX(0,N13*Assumptions!$F$27-M29)</f>
        <v>0</v>
      </c>
      <c r="O29" s="26" t="n">
        <f aca="false">N29*(1-Assumptions!$F$41)+O17*((1-(1-Assumptions!$F$32)^(1/12))*Assumptions!$F$40)*MAX(0,O13*Assumptions!$F$27-N29)</f>
        <v>0.468066933312589</v>
      </c>
      <c r="P29" s="26" t="n">
        <f aca="false">O29*(1-Assumptions!$F$41)+P17*((1-(1-Assumptions!$F$32)^(1/12))*Assumptions!$F$40)*MAX(0,P13*Assumptions!$F$27-O29)</f>
        <v>1.00970754705406</v>
      </c>
      <c r="Q29" s="26" t="n">
        <f aca="false">P29*(1-Assumptions!$F$41)+Q17*((1-(1-Assumptions!$F$32)^(1/12))*Assumptions!$F$40)*MAX(0,Q13*Assumptions!$F$27-P29)</f>
        <v>1.62541493955985</v>
      </c>
      <c r="R29" s="26" t="n">
        <f aca="false">Q29*(1-Assumptions!$F$41)+R17*((1-(1-Assumptions!$F$32)^(1/12))*Assumptions!$F$40)*MAX(0,R13*Assumptions!$F$27-Q29)</f>
        <v>2.31079048925733</v>
      </c>
      <c r="S29" s="26" t="n">
        <f aca="false">R29*(1-Assumptions!$F$41)+S17*((1-(1-Assumptions!$F$32)^(1/12))*Assumptions!$F$40)*MAX(0,S13*Assumptions!$F$27-R29)</f>
        <v>3.06651878183544</v>
      </c>
      <c r="T29" s="26" t="n">
        <f aca="false">S29*(1-Assumptions!$F$41)+T17*((1-(1-Assumptions!$F$32)^(1/12))*Assumptions!$F$40)*MAX(0,T13*Assumptions!$F$27-S29)</f>
        <v>3.8867930899334</v>
      </c>
      <c r="U29" s="26" t="n">
        <f aca="false">T29*(1-Assumptions!$F$41)+U17*((1-(1-Assumptions!$F$32)^(1/12))*Assumptions!$F$40)*MAX(0,U13*Assumptions!$F$27-T29)</f>
        <v>4.76626724571605</v>
      </c>
      <c r="V29" s="26" t="n">
        <f aca="false">U29*(1-Assumptions!$F$41)+V17*((1-(1-Assumptions!$F$32)^(1/12))*Assumptions!$F$40)*MAX(0,V13*Assumptions!$F$27-U29)</f>
        <v>5.70001937896947</v>
      </c>
      <c r="W29" s="26" t="n">
        <f aca="false">V29*(1-Assumptions!$F$41)+W17*((1-(1-Assumptions!$F$32)^(1/12))*Assumptions!$F$40)*MAX(0,W13*Assumptions!$F$27-V29)</f>
        <v>6.72317537270236</v>
      </c>
      <c r="X29" s="26" t="n">
        <f aca="false">W29*(1-Assumptions!$F$41)+X17*((1-(1-Assumptions!$F$32)^(1/12))*Assumptions!$F$40)*MAX(0,X13*Assumptions!$F$27-W29)</f>
        <v>7.82309367546088</v>
      </c>
      <c r="Y29" s="26" t="n">
        <f aca="false">X29*(1-Assumptions!$F$41)+Y17*((1-(1-Assumptions!$F$32)^(1/12))*Assumptions!$F$40)*MAX(0,Y13*Assumptions!$F$27-X29)</f>
        <v>8.98186546906984</v>
      </c>
      <c r="Z29" s="26" t="n">
        <f aca="false">Y29*(1-Assumptions!$F$41)+Z17*((1-(1-Assumptions!$F$32)^(1/12))*Assumptions!$F$40)*MAX(0,Z13*Assumptions!$F$27-Y29)</f>
        <v>10.2259970986389</v>
      </c>
      <c r="AA29" s="26" t="n">
        <f aca="false">Z29*(1-Assumptions!$F$41)+AA17*((1-(1-Assumptions!$F$32)^(1/12))*Assumptions!$F$40)*MAX(0,AA13*Assumptions!$F$27-Z29)</f>
        <v>11.5366151360017</v>
      </c>
      <c r="AB29" s="26" t="n">
        <f aca="false">AA29*(1-Assumptions!$F$41)+AB17*((1-(1-Assumptions!$F$32)^(1/12))*Assumptions!$F$40)*MAX(0,AB13*Assumptions!$F$27-AA29)</f>
        <v>12.8949257761488</v>
      </c>
      <c r="AC29" s="26" t="n">
        <f aca="false">AB29*(1-Assumptions!$F$41)+AC17*((1-(1-Assumptions!$F$32)^(1/12))*Assumptions!$F$40)*MAX(0,AC13*Assumptions!$F$27-AB29)</f>
        <v>14.3218865025066</v>
      </c>
      <c r="AD29" s="26" t="n">
        <f aca="false">AC29*(1-Assumptions!$F$41)+AD17*((1-(1-Assumptions!$F$32)^(1/12))*Assumptions!$F$40)*MAX(0,AD13*Assumptions!$F$27-AC29)</f>
        <v>15.8396095172715</v>
      </c>
      <c r="AE29" s="26" t="n">
        <f aca="false">AD29*(1-Assumptions!$F$41)+AE17*((1-(1-Assumptions!$F$32)^(1/12))*Assumptions!$F$40)*MAX(0,AE13*Assumptions!$F$27-AD29)</f>
        <v>17.4204681631661</v>
      </c>
      <c r="AF29" s="26" t="n">
        <f aca="false">AE29*(1-Assumptions!$F$41)+AF17*((1-(1-Assumptions!$F$32)^(1/12))*Assumptions!$F$40)*MAX(0,AF13*Assumptions!$F$27-AE29)</f>
        <v>19.0726263734745</v>
      </c>
      <c r="AG29" s="26" t="n">
        <f aca="false">AF29*(1-Assumptions!$F$41)+AG17*((1-(1-Assumptions!$F$32)^(1/12))*Assumptions!$F$40)*MAX(0,AG13*Assumptions!$F$27-AF29)</f>
        <v>20.8097546072339</v>
      </c>
      <c r="AH29" s="26" t="n">
        <f aca="false">AG29*(1-Assumptions!$F$41)+AH17*((1-(1-Assumptions!$F$32)^(1/12))*Assumptions!$F$40)*MAX(0,AH13*Assumptions!$F$27-AG29)</f>
        <v>22.5981577545361</v>
      </c>
      <c r="AI29" s="26" t="n">
        <f aca="false">AH29*(1-Assumptions!$F$41)+AI17*((1-(1-Assumptions!$F$32)^(1/12))*Assumptions!$F$40)*MAX(0,AI13*Assumptions!$F$27-AH29)</f>
        <v>24.4436786760606</v>
      </c>
      <c r="AJ29" s="26" t="n">
        <f aca="false">AI29*(1-Assumptions!$F$41)+AJ17*((1-(1-Assumptions!$F$32)^(1/12))*Assumptions!$F$40)*MAX(0,AJ13*Assumptions!$F$27-AI29)</f>
        <v>26.3547254428619</v>
      </c>
      <c r="AK29" s="26" t="n">
        <f aca="false">AJ29*(1-Assumptions!$F$41)+AK17*((1-(1-Assumptions!$F$32)^(1/12))*Assumptions!$F$40)*MAX(0,AK13*Assumptions!$F$27-AJ29)</f>
        <v>28.3388517970169</v>
      </c>
      <c r="AL29" s="26" t="n">
        <f aca="false">AK29*(1-Assumptions!$F$41)+AL17*((1-(1-Assumptions!$F$32)^(1/12))*Assumptions!$F$40)*MAX(0,AL13*Assumptions!$F$27-AK29)</f>
        <v>30.3948958297637</v>
      </c>
      <c r="AM29" s="26" t="n">
        <f aca="false">AL29*(1-Assumptions!$F$41)+AM17*((1-(1-Assumptions!$F$32)^(1/12))*Assumptions!$F$40)*MAX(0,AM13*Assumptions!$F$27-AL29)</f>
        <v>32.5169594021376</v>
      </c>
      <c r="AN29" s="37" t="n">
        <f aca="false">AM29*(1-Assumptions!$F$41)+AN17*((1-(1-Assumptions!$F$32)^(1/12))*Assumptions!$F$40)*MAX(0,AN13*Assumptions!$F$27-AM29)</f>
        <v>34.7043704696756</v>
      </c>
      <c r="AO29" s="37" t="n">
        <f aca="false">AN29*(1-Assumptions!$F$41)+AO17*((1-(1-Assumptions!$F$32)^(1/12))*Assumptions!$F$40)*MAX(0,AO13*Assumptions!$F$27-AN29)</f>
        <v>36.9500969558984</v>
      </c>
      <c r="AP29" s="37" t="n">
        <f aca="false">AO29*(1-Assumptions!$F$41)+AP17*((1-(1-Assumptions!$F$32)^(1/12))*Assumptions!$F$40)*MAX(0,AP13*Assumptions!$F$27-AO29)</f>
        <v>39.2476879365478</v>
      </c>
      <c r="AQ29" s="37" t="n">
        <f aca="false">AP29*(1-Assumptions!$F$41)+AQ17*((1-(1-Assumptions!$F$32)^(1/12))*Assumptions!$F$40)*MAX(0,AQ13*Assumptions!$F$27-AP29)</f>
        <v>41.5912275349847</v>
      </c>
      <c r="AR29" s="37" t="n">
        <f aca="false">AQ29*(1-Assumptions!$F$41)+AR17*((1-(1-Assumptions!$F$32)^(1/12))*Assumptions!$F$40)*MAX(0,AR13*Assumptions!$F$27-AQ29)</f>
        <v>43.9752924477652</v>
      </c>
      <c r="AS29" s="37" t="n">
        <f aca="false">AR29*(1-Assumptions!$F$41)+AS17*((1-(1-Assumptions!$F$32)^(1/12))*Assumptions!$F$40)*MAX(0,AS13*Assumptions!$F$27-AR29)</f>
        <v>46.3949128149718</v>
      </c>
      <c r="AT29" s="37" t="n">
        <f aca="false">AS29*(1-Assumptions!$F$41)+AT17*((1-(1-Assumptions!$F$32)^(1/12))*Assumptions!$F$40)*MAX(0,AT13*Assumptions!$F$27-AS29)</f>
        <v>48.8439498976513</v>
      </c>
      <c r="AU29" s="37" t="n">
        <f aca="false">AT29*(1-Assumptions!$F$41)+AU17*((1-(1-Assumptions!$F$32)^(1/12))*Assumptions!$F$40)*MAX(0,AU13*Assumptions!$F$27-AT29)</f>
        <v>51.3183838925533</v>
      </c>
      <c r="AV29" s="37" t="n">
        <f aca="false">AU29*(1-Assumptions!$F$41)+AV17*((1-(1-Assumptions!$F$32)^(1/12))*Assumptions!$F$40)*MAX(0,AV13*Assumptions!$F$27-AU29)</f>
        <v>53.814536564487</v>
      </c>
      <c r="AW29" s="37" t="n">
        <f aca="false">AV29*(1-Assumptions!$F$41)+AW17*((1-(1-Assumptions!$F$32)^(1/12))*Assumptions!$F$40)*MAX(0,AW13*Assumptions!$F$27-AV29)</f>
        <v>56.327457740495</v>
      </c>
      <c r="AX29" s="37" t="n">
        <f aca="false">AW29*(1-Assumptions!$F$41)+AX17*((1-(1-Assumptions!$F$32)^(1/12))*Assumptions!$F$40)*MAX(0,AX13*Assumptions!$F$27-AW29)</f>
        <v>58.8542212479877</v>
      </c>
      <c r="AY29" s="37" t="n">
        <f aca="false">AX29*(1-Assumptions!$F$41)+AY17*((1-(1-Assumptions!$F$32)^(1/12))*Assumptions!$F$40)*MAX(0,AY13*Assumptions!$F$27-AX29)</f>
        <v>61.3921550316594</v>
      </c>
      <c r="AZ29" s="37" t="n">
        <f aca="false">AY29*(1-Assumptions!$F$41)+AZ17*((1-(1-Assumptions!$F$32)^(1/12))*Assumptions!$F$40)*MAX(0,AZ13*Assumptions!$F$27-AY29)</f>
        <v>63.9372345435997</v>
      </c>
      <c r="BA29" s="37" t="n">
        <f aca="false">AZ29*(1-Assumptions!$F$41)+BA17*((1-(1-Assumptions!$F$32)^(1/12))*Assumptions!$F$40)*MAX(0,BA13*Assumptions!$F$27-AZ29)</f>
        <v>66.4857987603597</v>
      </c>
      <c r="BB29" s="37" t="n">
        <f aca="false">BA29*(1-Assumptions!$F$41)+BB17*((1-(1-Assumptions!$F$32)^(1/12))*Assumptions!$F$40)*MAX(0,BB13*Assumptions!$F$27-BA29)</f>
        <v>69.0361071769335</v>
      </c>
      <c r="BC29" s="37" t="n">
        <f aca="false">BB29*(1-Assumptions!$F$41)+BC17*((1-(1-Assumptions!$F$32)^(1/12))*Assumptions!$F$40)*MAX(0,BC13*Assumptions!$F$27-BB29)</f>
        <v>71.5849918149423</v>
      </c>
      <c r="BD29" s="37" t="n">
        <f aca="false">BC29*(1-Assumptions!$F$41)+BD17*((1-(1-Assumptions!$F$32)^(1/12))*Assumptions!$F$40)*MAX(0,BD13*Assumptions!$F$27-BC29)</f>
        <v>74.1295791595475</v>
      </c>
      <c r="BE29" s="37" t="n">
        <f aca="false">BD29*(1-Assumptions!$F$41)+BE17*((1-(1-Assumptions!$F$32)^(1/12))*Assumptions!$F$40)*MAX(0,BE13*Assumptions!$F$27-BD29)</f>
        <v>76.6688526075886</v>
      </c>
      <c r="BF29" s="37" t="n">
        <f aca="false">BE29*(1-Assumptions!$F$41)+BF17*((1-(1-Assumptions!$F$32)^(1/12))*Assumptions!$F$40)*MAX(0,BF13*Assumptions!$F$27-BE29)</f>
        <v>79.2003095008411</v>
      </c>
      <c r="BG29" s="37" t="n">
        <f aca="false">BF29*(1-Assumptions!$F$41)+BG17*((1-(1-Assumptions!$F$32)^(1/12))*Assumptions!$F$40)*MAX(0,BG13*Assumptions!$F$27-BF29)</f>
        <v>81.7216876926531</v>
      </c>
      <c r="BH29" s="37" t="n">
        <f aca="false">BG29*(1-Assumptions!$F$41)+BH17*((1-(1-Assumptions!$F$32)^(1/12))*Assumptions!$F$40)*MAX(0,BH13*Assumptions!$F$27-BG29)</f>
        <v>84.2309459868781</v>
      </c>
      <c r="BI29" s="37" t="n">
        <f aca="false">BH29*(1-Assumptions!$F$41)+BI17*((1-(1-Assumptions!$F$32)^(1/12))*Assumptions!$F$40)*MAX(0,BI13*Assumptions!$F$27-BH29)</f>
        <v>86.726246124147</v>
      </c>
      <c r="BJ29" s="37" t="n">
        <f aca="false">BI29*(1-Assumptions!$F$41)+BJ17*((1-(1-Assumptions!$F$32)^(1/12))*Assumptions!$F$40)*MAX(0,BJ13*Assumptions!$F$27-BI29)</f>
        <v>89.205936193711</v>
      </c>
      <c r="BK29" s="37" t="n">
        <f aca="false">BJ29*(1-Assumptions!$F$41)+BK17*((1-(1-Assumptions!$F$32)^(1/12))*Assumptions!$F$40)*MAX(0,BK13*Assumptions!$F$27-BJ29)</f>
        <v>91.668535358661</v>
      </c>
    </row>
    <row r="30" customFormat="false" ht="15" hidden="false" customHeight="false" outlineLevel="0" collapsed="false">
      <c r="A30" s="28" t="s">
        <v>577</v>
      </c>
      <c r="B30" s="6" t="s">
        <v>578</v>
      </c>
      <c r="C30" s="36" t="n">
        <v>0</v>
      </c>
      <c r="D30" s="26" t="n">
        <f aca="false">C30*(1-Assumptions!$F$41)+D16*((1-(1-Assumptions!$F$33)^(1/12))*Assumptions!$F$40)*MAX(0,D13*Assumptions!$F$28-C30)</f>
        <v>0</v>
      </c>
      <c r="E30" s="26" t="n">
        <f aca="false">D30*(1-Assumptions!$F$41)+E16*((1-(1-Assumptions!$F$33)^(1/12))*Assumptions!$F$40)*MAX(0,E13*Assumptions!$F$28-D30)</f>
        <v>0</v>
      </c>
      <c r="F30" s="26" t="n">
        <f aca="false">E30*(1-Assumptions!$F$41)+F16*((1-(1-Assumptions!$F$33)^(1/12))*Assumptions!$F$40)*MAX(0,F13*Assumptions!$F$28-E30)</f>
        <v>0</v>
      </c>
      <c r="G30" s="26" t="n">
        <f aca="false">F30*(1-Assumptions!$F$41)+G16*((1-(1-Assumptions!$F$33)^(1/12))*Assumptions!$F$40)*MAX(0,G13*Assumptions!$F$28-F30)</f>
        <v>0</v>
      </c>
      <c r="H30" s="26" t="n">
        <f aca="false">G30*(1-Assumptions!$F$41)+H16*((1-(1-Assumptions!$F$33)^(1/12))*Assumptions!$F$40)*MAX(0,H13*Assumptions!$F$28-G30)</f>
        <v>0</v>
      </c>
      <c r="I30" s="26" t="n">
        <f aca="false">H30*(1-Assumptions!$F$41)+I16*((1-(1-Assumptions!$F$33)^(1/12))*Assumptions!$F$40)*MAX(0,I13*Assumptions!$F$28-H30)</f>
        <v>0</v>
      </c>
      <c r="J30" s="26" t="n">
        <f aca="false">I30*(1-Assumptions!$F$41)+J16*((1-(1-Assumptions!$F$33)^(1/12))*Assumptions!$F$40)*MAX(0,J13*Assumptions!$F$28-I30)</f>
        <v>0</v>
      </c>
      <c r="K30" s="26" t="n">
        <f aca="false">J30*(1-Assumptions!$F$41)+K16*((1-(1-Assumptions!$F$33)^(1/12))*Assumptions!$F$40)*MAX(0,K13*Assumptions!$F$28-J30)</f>
        <v>0</v>
      </c>
      <c r="L30" s="26" t="n">
        <f aca="false">K30*(1-Assumptions!$F$41)+L16*((1-(1-Assumptions!$F$33)^(1/12))*Assumptions!$F$40)*MAX(0,L13*Assumptions!$F$28-K30)</f>
        <v>0</v>
      </c>
      <c r="M30" s="26" t="n">
        <f aca="false">L30*(1-Assumptions!$F$41)+M16*((1-(1-Assumptions!$F$33)^(1/12))*Assumptions!$F$40)*MAX(0,M13*Assumptions!$F$28-L30)</f>
        <v>0</v>
      </c>
      <c r="N30" s="26" t="n">
        <f aca="false">M30*(1-Assumptions!$F$41)+N16*((1-(1-Assumptions!$F$33)^(1/12))*Assumptions!$F$40)*MAX(0,N13*Assumptions!$F$28-M30)</f>
        <v>0</v>
      </c>
      <c r="O30" s="26" t="n">
        <f aca="false">N30*(1-Assumptions!$F$41)+O16*((1-(1-Assumptions!$F$33)^(1/12))*Assumptions!$F$40)*MAX(0,O13*Assumptions!$F$28-N30)</f>
        <v>0</v>
      </c>
      <c r="P30" s="26" t="n">
        <f aca="false">O30*(1-Assumptions!$F$41)+P16*((1-(1-Assumptions!$F$33)^(1/12))*Assumptions!$F$40)*MAX(0,P13*Assumptions!$F$28-O30)</f>
        <v>0</v>
      </c>
      <c r="Q30" s="26" t="n">
        <f aca="false">P30*(1-Assumptions!$F$41)+Q16*((1-(1-Assumptions!$F$33)^(1/12))*Assumptions!$F$40)*MAX(0,Q13*Assumptions!$F$28-P30)</f>
        <v>0</v>
      </c>
      <c r="R30" s="26" t="n">
        <f aca="false">Q30*(1-Assumptions!$F$41)+R16*((1-(1-Assumptions!$F$33)^(1/12))*Assumptions!$F$40)*MAX(0,R13*Assumptions!$F$28-Q30)</f>
        <v>0</v>
      </c>
      <c r="S30" s="26" t="n">
        <f aca="false">R30*(1-Assumptions!$F$41)+S16*((1-(1-Assumptions!$F$33)^(1/12))*Assumptions!$F$40)*MAX(0,S13*Assumptions!$F$28-R30)</f>
        <v>0</v>
      </c>
      <c r="T30" s="26" t="n">
        <f aca="false">S30*(1-Assumptions!$F$41)+T16*((1-(1-Assumptions!$F$33)^(1/12))*Assumptions!$F$40)*MAX(0,T13*Assumptions!$F$28-S30)</f>
        <v>0.41440710146471</v>
      </c>
      <c r="U30" s="26" t="n">
        <f aca="false">T30*(1-Assumptions!$F$41)+U16*((1-(1-Assumptions!$F$33)^(1/12))*Assumptions!$F$40)*MAX(0,U13*Assumptions!$F$28-T30)</f>
        <v>0.851565915283454</v>
      </c>
      <c r="V30" s="26" t="n">
        <f aca="false">U30*(1-Assumptions!$F$41)+V16*((1-(1-Assumptions!$F$33)^(1/12))*Assumptions!$F$40)*MAX(0,V13*Assumptions!$F$28-U30)</f>
        <v>1.30996934366994</v>
      </c>
      <c r="W30" s="26" t="n">
        <f aca="false">V30*(1-Assumptions!$F$41)+W16*((1-(1-Assumptions!$F$33)^(1/12))*Assumptions!$F$40)*MAX(0,W13*Assumptions!$F$28-V30)</f>
        <v>1.80368960801291</v>
      </c>
      <c r="X30" s="26" t="n">
        <f aca="false">W30*(1-Assumptions!$F$41)+X16*((1-(1-Assumptions!$F$33)^(1/12))*Assumptions!$F$40)*MAX(0,X13*Assumptions!$F$28-W30)</f>
        <v>2.32835792072184</v>
      </c>
      <c r="Y30" s="26" t="n">
        <f aca="false">X30*(1-Assumptions!$F$41)+Y16*((1-(1-Assumptions!$F$33)^(1/12))*Assumptions!$F$40)*MAX(0,Y13*Assumptions!$F$28-X30)</f>
        <v>2.87743003793618</v>
      </c>
      <c r="Z30" s="26" t="n">
        <f aca="false">Y30*(1-Assumptions!$F$41)+Z16*((1-(1-Assumptions!$F$33)^(1/12))*Assumptions!$F$40)*MAX(0,Z13*Assumptions!$F$28-Y30)</f>
        <v>3.46155823177893</v>
      </c>
      <c r="AA30" s="26" t="n">
        <f aca="false">Z30*(1-Assumptions!$F$41)+AA16*((1-(1-Assumptions!$F$33)^(1/12))*Assumptions!$F$40)*MAX(0,AA13*Assumptions!$F$28-Z30)</f>
        <v>4.07383230208648</v>
      </c>
      <c r="AB30" s="26" t="n">
        <f aca="false">AA30*(1-Assumptions!$F$41)+AB16*((1-(1-Assumptions!$F$33)^(1/12))*Assumptions!$F$40)*MAX(0,AB13*Assumptions!$F$28-AA30)</f>
        <v>4.70721975969299</v>
      </c>
      <c r="AC30" s="26" t="n">
        <f aca="false">AB30*(1-Assumptions!$F$41)+AC16*((1-(1-Assumptions!$F$33)^(1/12))*Assumptions!$F$40)*MAX(0,AC13*Assumptions!$F$28-AB30)</f>
        <v>5.37006645093261</v>
      </c>
      <c r="AD30" s="26" t="n">
        <f aca="false">AC30*(1-Assumptions!$F$41)+AD16*((1-(1-Assumptions!$F$33)^(1/12))*Assumptions!$F$40)*MAX(0,AD13*Assumptions!$F$28-AC30)</f>
        <v>6.07129797185148</v>
      </c>
      <c r="AE30" s="26" t="n">
        <f aca="false">AD30*(1-Assumptions!$F$41)+AE16*((1-(1-Assumptions!$F$33)^(1/12))*Assumptions!$F$40)*MAX(0,AE13*Assumptions!$F$28-AD30)</f>
        <v>6.80054690001078</v>
      </c>
      <c r="AF30" s="26" t="n">
        <f aca="false">AE30*(1-Assumptions!$F$41)+AF16*((1-(1-Assumptions!$F$33)^(1/12))*Assumptions!$F$40)*MAX(0,AF13*Assumptions!$F$28-AE30)</f>
        <v>7.56121204741818</v>
      </c>
      <c r="AG30" s="26" t="n">
        <f aca="false">AF30*(1-Assumptions!$F$41)+AG16*((1-(1-Assumptions!$F$33)^(1/12))*Assumptions!$F$40)*MAX(0,AG13*Assumptions!$F$28-AF30)</f>
        <v>8.35888346219098</v>
      </c>
      <c r="AH30" s="26" t="n">
        <f aca="false">AG30*(1-Assumptions!$F$41)+AH16*((1-(1-Assumptions!$F$33)^(1/12))*Assumptions!$F$40)*MAX(0,AH13*Assumptions!$F$28-AG30)</f>
        <v>9.18073135451777</v>
      </c>
      <c r="AI30" s="26" t="n">
        <f aca="false">AH30*(1-Assumptions!$F$41)+AI16*((1-(1-Assumptions!$F$33)^(1/12))*Assumptions!$F$40)*MAX(0,AI13*Assumptions!$F$28-AH30)</f>
        <v>10.0291209179348</v>
      </c>
      <c r="AJ30" s="26" t="n">
        <f aca="false">AI30*(1-Assumptions!$F$41)+AJ16*((1-(1-Assumptions!$F$33)^(1/12))*Assumptions!$F$40)*MAX(0,AJ13*Assumptions!$F$28-AI30)</f>
        <v>10.9074525471115</v>
      </c>
      <c r="AK30" s="26" t="n">
        <f aca="false">AJ30*(1-Assumptions!$F$41)+AK16*((1-(1-Assumptions!$F$33)^(1/12))*Assumptions!$F$40)*MAX(0,AK13*Assumptions!$F$28-AJ30)</f>
        <v>11.8188415371974</v>
      </c>
      <c r="AL30" s="26" t="n">
        <f aca="false">AK30*(1-Assumptions!$F$41)+AL16*((1-(1-Assumptions!$F$33)^(1/12))*Assumptions!$F$40)*MAX(0,AL13*Assumptions!$F$28-AK30)</f>
        <v>12.7630398137563</v>
      </c>
      <c r="AM30" s="26" t="n">
        <f aca="false">AL30*(1-Assumptions!$F$41)+AM16*((1-(1-Assumptions!$F$33)^(1/12))*Assumptions!$F$40)*MAX(0,AM13*Assumptions!$F$28-AL30)</f>
        <v>13.7379295691084</v>
      </c>
      <c r="AN30" s="37" t="n">
        <f aca="false">AM30*(1-Assumptions!$F$41)+AN16*((1-(1-Assumptions!$F$33)^(1/12))*Assumptions!$F$40)*MAX(0,AN13*Assumptions!$F$28-AM30)</f>
        <v>14.7433831326151</v>
      </c>
      <c r="AO30" s="37" t="n">
        <f aca="false">AN30*(1-Assumptions!$F$41)+AO16*((1-(1-Assumptions!$F$33)^(1/12))*Assumptions!$F$40)*MAX(0,AO13*Assumptions!$F$28-AN30)</f>
        <v>15.7767766665598</v>
      </c>
      <c r="AP30" s="37" t="n">
        <f aca="false">AO30*(1-Assumptions!$F$41)+AP16*((1-(1-Assumptions!$F$33)^(1/12))*Assumptions!$F$40)*MAX(0,AP13*Assumptions!$F$28-AO30)</f>
        <v>16.8356591379692</v>
      </c>
      <c r="AQ30" s="37" t="n">
        <f aca="false">AP30*(1-Assumptions!$F$41)+AQ16*((1-(1-Assumptions!$F$33)^(1/12))*Assumptions!$F$40)*MAX(0,AQ13*Assumptions!$F$28-AP30)</f>
        <v>17.9177415025154</v>
      </c>
      <c r="AR30" s="37" t="n">
        <f aca="false">AQ30*(1-Assumptions!$F$41)+AR16*((1-(1-Assumptions!$F$33)^(1/12))*Assumptions!$F$40)*MAX(0,AR13*Assumptions!$F$28-AQ30)</f>
        <v>19.0208865574853</v>
      </c>
      <c r="AS30" s="37" t="n">
        <f aca="false">AR30*(1-Assumptions!$F$41)+AS16*((1-(1-Assumptions!$F$33)^(1/12))*Assumptions!$F$40)*MAX(0,AS13*Assumptions!$F$28-AR30)</f>
        <v>20.143099422549</v>
      </c>
      <c r="AT30" s="37" t="n">
        <f aca="false">AS30*(1-Assumptions!$F$41)+AT16*((1-(1-Assumptions!$F$33)^(1/12))*Assumptions!$F$40)*MAX(0,AT13*Assumptions!$F$28-AS30)</f>
        <v>21.2818992149617</v>
      </c>
      <c r="AU30" s="37" t="n">
        <f aca="false">AT30*(1-Assumptions!$F$41)+AU16*((1-(1-Assumptions!$F$33)^(1/12))*Assumptions!$F$40)*MAX(0,AU13*Assumptions!$F$28-AT30)</f>
        <v>22.4355969241238</v>
      </c>
      <c r="AV30" s="37" t="n">
        <f aca="false">AU30*(1-Assumptions!$F$41)+AV16*((1-(1-Assumptions!$F$33)^(1/12))*Assumptions!$F$40)*MAX(0,AV13*Assumptions!$F$28-AU30)</f>
        <v>23.6026176310553</v>
      </c>
      <c r="AW30" s="37" t="n">
        <f aca="false">AV30*(1-Assumptions!$F$41)+AW16*((1-(1-Assumptions!$F$33)^(1/12))*Assumptions!$F$40)*MAX(0,AW13*Assumptions!$F$28-AV30)</f>
        <v>24.7808739325395</v>
      </c>
      <c r="AX30" s="37" t="n">
        <f aca="false">AW30*(1-Assumptions!$F$41)+AX16*((1-(1-Assumptions!$F$33)^(1/12))*Assumptions!$F$40)*MAX(0,AX13*Assumptions!$F$28-AW30)</f>
        <v>25.9690454567018</v>
      </c>
      <c r="AY30" s="37" t="n">
        <f aca="false">AX30*(1-Assumptions!$F$41)+AY16*((1-(1-Assumptions!$F$33)^(1/12))*Assumptions!$F$40)*MAX(0,AY13*Assumptions!$F$28-AX30)</f>
        <v>27.165902622238</v>
      </c>
      <c r="AZ30" s="37" t="n">
        <f aca="false">AY30*(1-Assumptions!$F$41)+AZ16*((1-(1-Assumptions!$F$33)^(1/12))*Assumptions!$F$40)*MAX(0,AZ13*Assumptions!$F$28-AY30)</f>
        <v>28.3696815072855</v>
      </c>
      <c r="BA30" s="37" t="n">
        <f aca="false">AZ30*(1-Assumptions!$F$41)+BA16*((1-(1-Assumptions!$F$33)^(1/12))*Assumptions!$F$40)*MAX(0,BA13*Assumptions!$F$28-AZ30)</f>
        <v>29.578745325929</v>
      </c>
      <c r="BB30" s="37" t="n">
        <f aca="false">BA30*(1-Assumptions!$F$41)+BB16*((1-(1-Assumptions!$F$33)^(1/12))*Assumptions!$F$40)*MAX(0,BB13*Assumptions!$F$28-BA30)</f>
        <v>30.792195711309</v>
      </c>
      <c r="BC30" s="37" t="n">
        <f aca="false">BB30*(1-Assumptions!$F$41)+BC16*((1-(1-Assumptions!$F$33)^(1/12))*Assumptions!$F$40)*MAX(0,BC13*Assumptions!$F$28-BB30)</f>
        <v>32.008578856148</v>
      </c>
      <c r="BD30" s="37" t="n">
        <f aca="false">BC30*(1-Assumptions!$F$41)+BD16*((1-(1-Assumptions!$F$33)^(1/12))*Assumptions!$F$40)*MAX(0,BD13*Assumptions!$F$28-BC30)</f>
        <v>33.2265482999071</v>
      </c>
      <c r="BE30" s="37" t="n">
        <f aca="false">BD30*(1-Assumptions!$F$41)+BE16*((1-(1-Assumptions!$F$33)^(1/12))*Assumptions!$F$40)*MAX(0,BE13*Assumptions!$F$28-BD30)</f>
        <v>34.4454774416207</v>
      </c>
      <c r="BF30" s="37" t="n">
        <f aca="false">BE30*(1-Assumptions!$F$41)+BF16*((1-(1-Assumptions!$F$33)^(1/12))*Assumptions!$F$40)*MAX(0,BF13*Assumptions!$F$28-BE30)</f>
        <v>35.6641668342095</v>
      </c>
      <c r="BG30" s="37" t="n">
        <f aca="false">BF30*(1-Assumptions!$F$41)+BG16*((1-(1-Assumptions!$F$33)^(1/12))*Assumptions!$F$40)*MAX(0,BG13*Assumptions!$F$28-BF30)</f>
        <v>36.8815080541698</v>
      </c>
      <c r="BH30" s="37" t="n">
        <f aca="false">BG30*(1-Assumptions!$F$41)+BH16*((1-(1-Assumptions!$F$33)^(1/12))*Assumptions!$F$40)*MAX(0,BH13*Assumptions!$F$28-BG30)</f>
        <v>38.0964778354423</v>
      </c>
      <c r="BI30" s="37" t="n">
        <f aca="false">BH30*(1-Assumptions!$F$41)+BI16*((1-(1-Assumptions!$F$33)^(1/12))*Assumptions!$F$40)*MAX(0,BI13*Assumptions!$F$28-BH30)</f>
        <v>39.3081325686446</v>
      </c>
      <c r="BJ30" s="37" t="n">
        <f aca="false">BI30*(1-Assumptions!$F$41)+BJ16*((1-(1-Assumptions!$F$33)^(1/12))*Assumptions!$F$40)*MAX(0,BJ13*Assumptions!$F$28-BI30)</f>
        <v>40.5156031430936</v>
      </c>
      <c r="BK30" s="37" t="n">
        <f aca="false">BJ30*(1-Assumptions!$F$41)+BK16*((1-(1-Assumptions!$F$33)^(1/12))*Assumptions!$F$40)*MAX(0,BK13*Assumptions!$F$28-BJ30)</f>
        <v>41.7180901104355</v>
      </c>
    </row>
    <row r="31" customFormat="false" ht="15" hidden="false" customHeight="false" outlineLevel="0" collapsed="false">
      <c r="A31" s="28" t="s">
        <v>579</v>
      </c>
      <c r="B31" s="6" t="s">
        <v>580</v>
      </c>
      <c r="C31" s="36" t="n">
        <v>0</v>
      </c>
      <c r="D31" s="26" t="n">
        <f aca="false">C31*(1-Assumptions!$F$41)+D16*((1-(1-Assumptions!$F$34)^(1/12))*Assumptions!$F$40)*MAX(0,D13*Assumptions!$F$29-C31)</f>
        <v>0</v>
      </c>
      <c r="E31" s="26" t="n">
        <f aca="false">D31*(1-Assumptions!$F$41)+E16*((1-(1-Assumptions!$F$34)^(1/12))*Assumptions!$F$40)*MAX(0,E13*Assumptions!$F$29-D31)</f>
        <v>0</v>
      </c>
      <c r="F31" s="26" t="n">
        <f aca="false">E31*(1-Assumptions!$F$41)+F16*((1-(1-Assumptions!$F$34)^(1/12))*Assumptions!$F$40)*MAX(0,F13*Assumptions!$F$29-E31)</f>
        <v>0</v>
      </c>
      <c r="G31" s="26" t="n">
        <f aca="false">F31*(1-Assumptions!$F$41)+G16*((1-(1-Assumptions!$F$34)^(1/12))*Assumptions!$F$40)*MAX(0,G13*Assumptions!$F$29-F31)</f>
        <v>0</v>
      </c>
      <c r="H31" s="26" t="n">
        <f aca="false">G31*(1-Assumptions!$F$41)+H16*((1-(1-Assumptions!$F$34)^(1/12))*Assumptions!$F$40)*MAX(0,H13*Assumptions!$F$29-G31)</f>
        <v>0</v>
      </c>
      <c r="I31" s="26" t="n">
        <f aca="false">H31*(1-Assumptions!$F$41)+I16*((1-(1-Assumptions!$F$34)^(1/12))*Assumptions!$F$40)*MAX(0,I13*Assumptions!$F$29-H31)</f>
        <v>0</v>
      </c>
      <c r="J31" s="26" t="n">
        <f aca="false">I31*(1-Assumptions!$F$41)+J16*((1-(1-Assumptions!$F$34)^(1/12))*Assumptions!$F$40)*MAX(0,J13*Assumptions!$F$29-I31)</f>
        <v>0</v>
      </c>
      <c r="K31" s="26" t="n">
        <f aca="false">J31*(1-Assumptions!$F$41)+K16*((1-(1-Assumptions!$F$34)^(1/12))*Assumptions!$F$40)*MAX(0,K13*Assumptions!$F$29-J31)</f>
        <v>0</v>
      </c>
      <c r="L31" s="26" t="n">
        <f aca="false">K31*(1-Assumptions!$F$41)+L16*((1-(1-Assumptions!$F$34)^(1/12))*Assumptions!$F$40)*MAX(0,L13*Assumptions!$F$29-K31)</f>
        <v>0</v>
      </c>
      <c r="M31" s="26" t="n">
        <f aca="false">L31*(1-Assumptions!$F$41)+M16*((1-(1-Assumptions!$F$34)^(1/12))*Assumptions!$F$40)*MAX(0,M13*Assumptions!$F$29-L31)</f>
        <v>0</v>
      </c>
      <c r="N31" s="26" t="n">
        <f aca="false">M31*(1-Assumptions!$F$41)+N16*((1-(1-Assumptions!$F$34)^(1/12))*Assumptions!$F$40)*MAX(0,N13*Assumptions!$F$29-M31)</f>
        <v>0</v>
      </c>
      <c r="O31" s="26" t="n">
        <f aca="false">N31*(1-Assumptions!$F$41)+O16*((1-(1-Assumptions!$F$34)^(1/12))*Assumptions!$F$40)*MAX(0,O13*Assumptions!$F$29-N31)</f>
        <v>0</v>
      </c>
      <c r="P31" s="26" t="n">
        <f aca="false">O31*(1-Assumptions!$F$41)+P16*((1-(1-Assumptions!$F$34)^(1/12))*Assumptions!$F$40)*MAX(0,P13*Assumptions!$F$29-O31)</f>
        <v>0</v>
      </c>
      <c r="Q31" s="26" t="n">
        <f aca="false">P31*(1-Assumptions!$F$41)+Q16*((1-(1-Assumptions!$F$34)^(1/12))*Assumptions!$F$40)*MAX(0,Q13*Assumptions!$F$29-P31)</f>
        <v>0</v>
      </c>
      <c r="R31" s="26" t="n">
        <f aca="false">Q31*(1-Assumptions!$F$41)+R16*((1-(1-Assumptions!$F$34)^(1/12))*Assumptions!$F$40)*MAX(0,R13*Assumptions!$F$29-Q31)</f>
        <v>0</v>
      </c>
      <c r="S31" s="26" t="n">
        <f aca="false">R31*(1-Assumptions!$F$41)+S16*((1-(1-Assumptions!$F$34)^(1/12))*Assumptions!$F$40)*MAX(0,S13*Assumptions!$F$29-R31)</f>
        <v>0</v>
      </c>
      <c r="T31" s="26" t="n">
        <f aca="false">S31*(1-Assumptions!$F$41)+T16*((1-(1-Assumptions!$F$34)^(1/12))*Assumptions!$F$40)*MAX(0,T13*Assumptions!$F$29-S31)</f>
        <v>0.0763591990938415</v>
      </c>
      <c r="U31" s="26" t="n">
        <f aca="false">T31*(1-Assumptions!$F$41)+U16*((1-(1-Assumptions!$F$34)^(1/12))*Assumptions!$F$40)*MAX(0,U13*Assumptions!$F$29-T31)</f>
        <v>0.158658213408127</v>
      </c>
      <c r="V31" s="26" t="n">
        <f aca="false">U31*(1-Assumptions!$F$41)+V16*((1-(1-Assumptions!$F$34)^(1/12))*Assumptions!$F$40)*MAX(0,V13*Assumptions!$F$29-U31)</f>
        <v>0.246647584001</v>
      </c>
      <c r="W31" s="26" t="n">
        <f aca="false">V31*(1-Assumptions!$F$41)+W16*((1-(1-Assumptions!$F$34)^(1/12))*Assumptions!$F$40)*MAX(0,W13*Assumptions!$F$29-V31)</f>
        <v>0.342941068301463</v>
      </c>
      <c r="X31" s="26" t="n">
        <f aca="false">W31*(1-Assumptions!$F$41)+X16*((1-(1-Assumptions!$F$34)^(1/12))*Assumptions!$F$40)*MAX(0,X13*Assumptions!$F$29-W31)</f>
        <v>0.446812996166615</v>
      </c>
      <c r="Y31" s="26" t="n">
        <f aca="false">X31*(1-Assumptions!$F$41)+Y16*((1-(1-Assumptions!$F$34)^(1/12))*Assumptions!$F$40)*MAX(0,Y13*Assumptions!$F$29-X31)</f>
        <v>0.557115348524419</v>
      </c>
      <c r="Z31" s="26" t="n">
        <f aca="false">Y31*(1-Assumptions!$F$41)+Z16*((1-(1-Assumptions!$F$34)^(1/12))*Assumptions!$F$40)*MAX(0,Z13*Assumptions!$F$29-Y31)</f>
        <v>0.675838921441356</v>
      </c>
      <c r="AA31" s="26" t="n">
        <f aca="false">Z31*(1-Assumptions!$F$41)+AA16*((1-(1-Assumptions!$F$34)^(1/12))*Assumptions!$F$40)*MAX(0,AA13*Assumptions!$F$29-Z31)</f>
        <v>0.80178226276029</v>
      </c>
      <c r="AB31" s="26" t="n">
        <f aca="false">AA31*(1-Assumptions!$F$41)+AB16*((1-(1-Assumptions!$F$34)^(1/12))*Assumptions!$F$40)*MAX(0,AB13*Assumptions!$F$29-AA31)</f>
        <v>0.933689464051109</v>
      </c>
      <c r="AC31" s="26" t="n">
        <f aca="false">AB31*(1-Assumptions!$F$41)+AC16*((1-(1-Assumptions!$F$34)^(1/12))*Assumptions!$F$40)*MAX(0,AC13*Assumptions!$F$29-AB31)</f>
        <v>1.07310704718706</v>
      </c>
      <c r="AD31" s="26" t="n">
        <f aca="false">AC31*(1-Assumptions!$F$41)+AD16*((1-(1-Assumptions!$F$34)^(1/12))*Assumptions!$F$40)*MAX(0,AD13*Assumptions!$F$29-AC31)</f>
        <v>1.22172321666664</v>
      </c>
      <c r="AE31" s="26" t="n">
        <f aca="false">AD31*(1-Assumptions!$F$41)+AE16*((1-(1-Assumptions!$F$34)^(1/12))*Assumptions!$F$40)*MAX(0,AE13*Assumptions!$F$29-AD31)</f>
        <v>1.37770717151588</v>
      </c>
      <c r="AF31" s="26" t="n">
        <f aca="false">AE31*(1-Assumptions!$F$41)+AF16*((1-(1-Assumptions!$F$34)^(1/12))*Assumptions!$F$40)*MAX(0,AF13*Assumptions!$F$29-AE31)</f>
        <v>1.54171789535881</v>
      </c>
      <c r="AG31" s="26" t="n">
        <f aca="false">AF31*(1-Assumptions!$F$41)+AG16*((1-(1-Assumptions!$F$34)^(1/12))*Assumptions!$F$40)*MAX(0,AG13*Assumptions!$F$29-AF31)</f>
        <v>1.71483119727026</v>
      </c>
      <c r="AH31" s="26" t="n">
        <f aca="false">AG31*(1-Assumptions!$F$41)+AH16*((1-(1-Assumptions!$F$34)^(1/12))*Assumptions!$F$40)*MAX(0,AH13*Assumptions!$F$29-AG31)</f>
        <v>1.8947506223568</v>
      </c>
      <c r="AI31" s="26" t="n">
        <f aca="false">AH31*(1-Assumptions!$F$41)+AI16*((1-(1-Assumptions!$F$34)^(1/12))*Assumptions!$F$40)*MAX(0,AI13*Assumptions!$F$29-AH31)</f>
        <v>2.08192284205273</v>
      </c>
      <c r="AJ31" s="26" t="n">
        <f aca="false">AI31*(1-Assumptions!$F$41)+AJ16*((1-(1-Assumptions!$F$34)^(1/12))*Assumptions!$F$40)*MAX(0,AJ13*Assumptions!$F$29-AI31)</f>
        <v>2.27699482869252</v>
      </c>
      <c r="AK31" s="26" t="n">
        <f aca="false">AJ31*(1-Assumptions!$F$41)+AK16*((1-(1-Assumptions!$F$34)^(1/12))*Assumptions!$F$40)*MAX(0,AK13*Assumptions!$F$29-AJ31)</f>
        <v>2.48057457050093</v>
      </c>
      <c r="AL31" s="26" t="n">
        <f aca="false">AK31*(1-Assumptions!$F$41)+AL16*((1-(1-Assumptions!$F$34)^(1/12))*Assumptions!$F$40)*MAX(0,AL13*Assumptions!$F$29-AK31)</f>
        <v>2.69266213832749</v>
      </c>
      <c r="AM31" s="26" t="n">
        <f aca="false">AL31*(1-Assumptions!$F$41)+AM16*((1-(1-Assumptions!$F$34)^(1/12))*Assumptions!$F$40)*MAX(0,AM13*Assumptions!$F$29-AL31)</f>
        <v>2.91291026373418</v>
      </c>
      <c r="AN31" s="37" t="n">
        <f aca="false">AM31*(1-Assumptions!$F$41)+AN16*((1-(1-Assumptions!$F$34)^(1/12))*Assumptions!$F$40)*MAX(0,AN13*Assumptions!$F$29-AM31)</f>
        <v>3.14132778836286</v>
      </c>
      <c r="AO31" s="37" t="n">
        <f aca="false">AN31*(1-Assumptions!$F$41)+AO16*((1-(1-Assumptions!$F$34)^(1/12))*Assumptions!$F$40)*MAX(0,AO13*Assumptions!$F$29-AN31)</f>
        <v>3.37746181450362</v>
      </c>
      <c r="AP31" s="37" t="n">
        <f aca="false">AO31*(1-Assumptions!$F$41)+AP16*((1-(1-Assumptions!$F$34)^(1/12))*Assumptions!$F$40)*MAX(0,AP13*Assumptions!$F$29-AO31)</f>
        <v>3.62087903646377</v>
      </c>
      <c r="AQ31" s="37" t="n">
        <f aca="false">AP31*(1-Assumptions!$F$41)+AQ16*((1-(1-Assumptions!$F$34)^(1/12))*Assumptions!$F$40)*MAX(0,AQ13*Assumptions!$F$29-AP31)</f>
        <v>3.8711649508511</v>
      </c>
      <c r="AR31" s="37" t="n">
        <f aca="false">AQ31*(1-Assumptions!$F$41)+AR16*((1-(1-Assumptions!$F$34)^(1/12))*Assumptions!$F$40)*MAX(0,AR13*Assumptions!$F$29-AQ31)</f>
        <v>4.12792309791234</v>
      </c>
      <c r="AS31" s="37" t="n">
        <f aca="false">AR31*(1-Assumptions!$F$41)+AS16*((1-(1-Assumptions!$F$34)^(1/12))*Assumptions!$F$40)*MAX(0,AS13*Assumptions!$F$29-AR31)</f>
        <v>4.39077433271692</v>
      </c>
      <c r="AT31" s="37" t="n">
        <f aca="false">AS31*(1-Assumptions!$F$41)+AT16*((1-(1-Assumptions!$F$34)^(1/12))*Assumptions!$F$40)*MAX(0,AT13*Assumptions!$F$29-AS31)</f>
        <v>4.65924199455017</v>
      </c>
      <c r="AU31" s="37" t="n">
        <f aca="false">AT31*(1-Assumptions!$F$41)+AU16*((1-(1-Assumptions!$F$34)^(1/12))*Assumptions!$F$40)*MAX(0,AU13*Assumptions!$F$29-AT31)</f>
        <v>4.93298562884422</v>
      </c>
      <c r="AV31" s="37" t="n">
        <f aca="false">AU31*(1-Assumptions!$F$41)+AV16*((1-(1-Assumptions!$F$34)^(1/12))*Assumptions!$F$40)*MAX(0,AV13*Assumptions!$F$29-AU31)</f>
        <v>5.21167981376668</v>
      </c>
      <c r="AW31" s="37" t="n">
        <f aca="false">AV31*(1-Assumptions!$F$41)+AW16*((1-(1-Assumptions!$F$34)^(1/12))*Assumptions!$F$40)*MAX(0,AW13*Assumptions!$F$29-AV31)</f>
        <v>5.49489941971093</v>
      </c>
      <c r="AX31" s="37" t="n">
        <f aca="false">AW31*(1-Assumptions!$F$41)+AX16*((1-(1-Assumptions!$F$34)^(1/12))*Assumptions!$F$40)*MAX(0,AX13*Assumptions!$F$29-AW31)</f>
        <v>5.78235341780834</v>
      </c>
      <c r="AY31" s="37" t="n">
        <f aca="false">AX31*(1-Assumptions!$F$41)+AY16*((1-(1-Assumptions!$F$34)^(1/12))*Assumptions!$F$40)*MAX(0,AY13*Assumptions!$F$29-AX31)</f>
        <v>6.07376378971897</v>
      </c>
      <c r="AZ31" s="37" t="n">
        <f aca="false">AY31*(1-Assumptions!$F$41)+AZ16*((1-(1-Assumptions!$F$34)^(1/12))*Assumptions!$F$40)*MAX(0,AZ13*Assumptions!$F$29-AY31)</f>
        <v>6.36875086707614</v>
      </c>
      <c r="BA31" s="37" t="n">
        <f aca="false">AZ31*(1-Assumptions!$F$41)+BA16*((1-(1-Assumptions!$F$34)^(1/12))*Assumptions!$F$40)*MAX(0,BA13*Assumptions!$F$29-AZ31)</f>
        <v>6.6669530863584</v>
      </c>
      <c r="BB31" s="37" t="n">
        <f aca="false">BA31*(1-Assumptions!$F$41)+BB16*((1-(1-Assumptions!$F$34)^(1/12))*Assumptions!$F$40)*MAX(0,BB13*Assumptions!$F$29-BA31)</f>
        <v>6.96814036701305</v>
      </c>
      <c r="BC31" s="37" t="n">
        <f aca="false">BB31*(1-Assumptions!$F$41)+BC16*((1-(1-Assumptions!$F$34)^(1/12))*Assumptions!$F$40)*MAX(0,BC13*Assumptions!$F$29-BB31)</f>
        <v>7.27197899451765</v>
      </c>
      <c r="BD31" s="37" t="n">
        <f aca="false">BC31*(1-Assumptions!$F$41)+BD16*((1-(1-Assumptions!$F$34)^(1/12))*Assumptions!$F$40)*MAX(0,BD13*Assumptions!$F$29-BC31)</f>
        <v>7.57815145401453</v>
      </c>
      <c r="BE31" s="37" t="n">
        <f aca="false">BD31*(1-Assumptions!$F$41)+BE16*((1-(1-Assumptions!$F$34)^(1/12))*Assumptions!$F$40)*MAX(0,BE13*Assumptions!$F$29-BD31)</f>
        <v>7.88646988411684</v>
      </c>
      <c r="BF31" s="37" t="n">
        <f aca="false">BE31*(1-Assumptions!$F$41)+BF16*((1-(1-Assumptions!$F$34)^(1/12))*Assumptions!$F$40)*MAX(0,BF13*Assumptions!$F$29-BE31)</f>
        <v>8.19664103269253</v>
      </c>
      <c r="BG31" s="37" t="n">
        <f aca="false">BF31*(1-Assumptions!$F$41)+BG16*((1-(1-Assumptions!$F$34)^(1/12))*Assumptions!$F$40)*MAX(0,BG13*Assumptions!$F$29-BF31)</f>
        <v>8.50838616037615</v>
      </c>
      <c r="BH31" s="37" t="n">
        <f aca="false">BG31*(1-Assumptions!$F$41)+BH16*((1-(1-Assumptions!$F$34)^(1/12))*Assumptions!$F$40)*MAX(0,BH13*Assumptions!$F$29-BG31)</f>
        <v>8.82144043104532</v>
      </c>
      <c r="BI31" s="37" t="n">
        <f aca="false">BH31*(1-Assumptions!$F$41)+BI16*((1-(1-Assumptions!$F$34)^(1/12))*Assumptions!$F$40)*MAX(0,BI13*Assumptions!$F$29-BH31)</f>
        <v>9.13555232662022</v>
      </c>
      <c r="BJ31" s="37" t="n">
        <f aca="false">BI31*(1-Assumptions!$F$41)+BJ16*((1-(1-Assumptions!$F$34)^(1/12))*Assumptions!$F$40)*MAX(0,BJ13*Assumptions!$F$29-BI31)</f>
        <v>9.45048308523321</v>
      </c>
      <c r="BK31" s="37" t="n">
        <f aca="false">BJ31*(1-Assumptions!$F$41)+BK16*((1-(1-Assumptions!$F$34)^(1/12))*Assumptions!$F$40)*MAX(0,BK13*Assumptions!$F$29-BJ31)</f>
        <v>9.76600616185263</v>
      </c>
    </row>
    <row r="32" customFormat="false" ht="15" hidden="false" customHeight="false" outlineLevel="0" collapsed="false">
      <c r="A32" s="28" t="s">
        <v>581</v>
      </c>
      <c r="B32" s="6" t="s">
        <v>582</v>
      </c>
      <c r="C32" s="36" t="n">
        <v>0</v>
      </c>
      <c r="D32" s="26" t="n">
        <f aca="false">D27+D28+D29+D30+D31</f>
        <v>0</v>
      </c>
      <c r="E32" s="26" t="n">
        <f aca="false">E27+E28+E29+E30+E31</f>
        <v>0</v>
      </c>
      <c r="F32" s="26" t="n">
        <f aca="false">F27+F28+F29+F30+F31</f>
        <v>0</v>
      </c>
      <c r="G32" s="26" t="n">
        <f aca="false">G27+G28+G29+G30+G31</f>
        <v>0</v>
      </c>
      <c r="H32" s="26" t="n">
        <f aca="false">H27+H28+H29+H30+H31</f>
        <v>0</v>
      </c>
      <c r="I32" s="26" t="n">
        <f aca="false">I27+I28+I29+I30+I31</f>
        <v>0</v>
      </c>
      <c r="J32" s="26" t="n">
        <f aca="false">J27+J28+J29+J30+J31</f>
        <v>0</v>
      </c>
      <c r="K32" s="26" t="n">
        <f aca="false">K27+K28+K29+K30+K31</f>
        <v>0</v>
      </c>
      <c r="L32" s="26" t="n">
        <f aca="false">L27+L28+L29+L30+L31</f>
        <v>0</v>
      </c>
      <c r="M32" s="26" t="n">
        <f aca="false">M27+M28+M29+M30+M31</f>
        <v>0</v>
      </c>
      <c r="N32" s="26" t="n">
        <f aca="false">N27+N28+N29+N30+N31</f>
        <v>0</v>
      </c>
      <c r="O32" s="26" t="n">
        <f aca="false">O27+O28+O29+O30+O31</f>
        <v>0.468066933312589</v>
      </c>
      <c r="P32" s="26" t="n">
        <f aca="false">P27+P28+P29+P30+P31</f>
        <v>1.00970754705406</v>
      </c>
      <c r="Q32" s="26" t="n">
        <f aca="false">Q27+Q28+Q29+Q30+Q31</f>
        <v>1.62541493955985</v>
      </c>
      <c r="R32" s="26" t="n">
        <f aca="false">R27+R28+R29+R30+R31</f>
        <v>2.31079048925733</v>
      </c>
      <c r="S32" s="26" t="n">
        <f aca="false">S27+S28+S29+S30+S31</f>
        <v>3.06651878183544</v>
      </c>
      <c r="T32" s="26" t="n">
        <f aca="false">T27+T28+T29+T30+T31</f>
        <v>6.80287507063112</v>
      </c>
      <c r="U32" s="26" t="n">
        <f aca="false">U27+U28+U29+U30+U31</f>
        <v>10.7401876186955</v>
      </c>
      <c r="V32" s="26" t="n">
        <f aca="false">V27+V28+V29+V30+V31</f>
        <v>14.8634739978025</v>
      </c>
      <c r="W32" s="26" t="n">
        <f aca="false">W27+W28+W29+W30+W31</f>
        <v>19.3074539203251</v>
      </c>
      <c r="X32" s="26" t="n">
        <f aca="false">X27+X28+X29+X30+X31</f>
        <v>24.0286490905255</v>
      </c>
      <c r="Y32" s="26" t="n">
        <f aca="false">Y27+Y28+Y29+Y30+Y31</f>
        <v>28.9632122385143</v>
      </c>
      <c r="Z32" s="26" t="n">
        <f aca="false">Z27+Z28+Z29+Z30+Z31</f>
        <v>34.2130040693134</v>
      </c>
      <c r="AA32" s="26" t="n">
        <f aca="false">AA27+AA28+AA29+AA30+AA31</f>
        <v>39.7104223156172</v>
      </c>
      <c r="AB32" s="26" t="n">
        <f aca="false">AB27+AB28+AB29+AB30+AB31</f>
        <v>45.3874028064296</v>
      </c>
      <c r="AC32" s="26" t="n">
        <f aca="false">AC27+AC28+AC29+AC30+AC31</f>
        <v>51.3241435542589</v>
      </c>
      <c r="AD32" s="26" t="n">
        <f aca="false">AD27+AD28+AD29+AD30+AD31</f>
        <v>57.6056681079556</v>
      </c>
      <c r="AE32" s="26" t="n">
        <f aca="false">AE27+AE28+AE29+AE30+AE31</f>
        <v>64.1311007381395</v>
      </c>
      <c r="AF32" s="26" t="n">
        <f aca="false">AF27+AF28+AF29+AF30+AF31</f>
        <v>70.9327134028091</v>
      </c>
      <c r="AG32" s="26" t="n">
        <f aca="false">AG27+AG28+AG29+AG30+AG31</f>
        <v>78.0635406633741</v>
      </c>
      <c r="AH32" s="26" t="n">
        <f aca="false">AH27+AH28+AH29+AH30+AH31</f>
        <v>85.3993890957882</v>
      </c>
      <c r="AI32" s="26" t="n">
        <f aca="false">AI27+AI28+AI29+AI30+AI31</f>
        <v>92.9631161407781</v>
      </c>
      <c r="AJ32" s="26" t="n">
        <f aca="false">AJ27+AJ28+AJ29+AJ30+AJ31</f>
        <v>100.787295949591</v>
      </c>
      <c r="AK32" s="26" t="n">
        <f aca="false">AK27+AK28+AK29+AK30+AK31</f>
        <v>108.901474403213</v>
      </c>
      <c r="AL32" s="26" t="n">
        <f aca="false">AL27+AL28+AL29+AL30+AL31</f>
        <v>117.302673378783</v>
      </c>
      <c r="AM32" s="26" t="n">
        <f aca="false">AM27+AM28+AM29+AM30+AM31</f>
        <v>125.970041205955</v>
      </c>
      <c r="AN32" s="37" t="n">
        <f aca="false">AN27+AN28+AN29+AN30+AN31</f>
        <v>134.90205698902</v>
      </c>
      <c r="AO32" s="37" t="n">
        <f aca="false">AO27+AO28+AO29+AO30+AO31</f>
        <v>144.073278781158</v>
      </c>
      <c r="AP32" s="37" t="n">
        <f aca="false">AP27+AP28+AP29+AP30+AP31</f>
        <v>153.460175719766</v>
      </c>
      <c r="AQ32" s="37" t="n">
        <f aca="false">AQ27+AQ28+AQ29+AQ30+AQ31</f>
        <v>163.040988421274</v>
      </c>
      <c r="AR32" s="37" t="n">
        <f aca="false">AR27+AR28+AR29+AR30+AR31</f>
        <v>172.795599631465</v>
      </c>
      <c r="AS32" s="37" t="n">
        <f aca="false">AS27+AS28+AS29+AS30+AS31</f>
        <v>182.705414370453</v>
      </c>
      <c r="AT32" s="37" t="n">
        <f aca="false">AT27+AT28+AT29+AT30+AT31</f>
        <v>192.747304064354</v>
      </c>
      <c r="AU32" s="37" t="n">
        <f aca="false">AU27+AU28+AU29+AU30+AU31</f>
        <v>202.905903100809</v>
      </c>
      <c r="AV32" s="37" t="n">
        <f aca="false">AV27+AV28+AV29+AV30+AV31</f>
        <v>213.167020755128</v>
      </c>
      <c r="AW32" s="37" t="n">
        <f aca="false">AW27+AW28+AW29+AW30+AW31</f>
        <v>223.511610772772</v>
      </c>
      <c r="AX32" s="37" t="n">
        <f aca="false">AX27+AX28+AX29+AX30+AX31</f>
        <v>233.928091492779</v>
      </c>
      <c r="AY32" s="37" t="n">
        <f aca="false">AY27+AY28+AY29+AY30+AY31</f>
        <v>244.405779599478</v>
      </c>
      <c r="AZ32" s="37" t="n">
        <f aca="false">AZ27+AZ28+AZ29+AZ30+AZ31</f>
        <v>254.928879918239</v>
      </c>
      <c r="BA32" s="37" t="n">
        <f aca="false">BA27+BA28+BA29+BA30+BA31</f>
        <v>265.482879456047</v>
      </c>
      <c r="BB32" s="37" t="n">
        <f aca="false">BB27+BB28+BB29+BB30+BB31</f>
        <v>276.060397973844</v>
      </c>
      <c r="BC32" s="37" t="n">
        <f aca="false">BC27+BC28+BC29+BC30+BC31</f>
        <v>286.648701158587</v>
      </c>
      <c r="BD32" s="37" t="n">
        <f aca="false">BD27+BD28+BD29+BD30+BD31</f>
        <v>297.236112338247</v>
      </c>
      <c r="BE32" s="37" t="n">
        <f aca="false">BE27+BE28+BE29+BE30+BE31</f>
        <v>307.817879426825</v>
      </c>
      <c r="BF32" s="37" t="n">
        <f aca="false">BF27+BF28+BF29+BF30+BF31</f>
        <v>318.383703264121</v>
      </c>
      <c r="BG32" s="37" t="n">
        <f aca="false">BG27+BG28+BG29+BG30+BG31</f>
        <v>328.924163383097</v>
      </c>
      <c r="BH32" s="37" t="n">
        <f aca="false">BH27+BH28+BH29+BH30+BH31</f>
        <v>339.430653170672</v>
      </c>
      <c r="BI32" s="37" t="n">
        <f aca="false">BI27+BI28+BI29+BI30+BI31</f>
        <v>349.895319751783</v>
      </c>
      <c r="BJ32" s="37" t="n">
        <f aca="false">BJ27+BJ28+BJ29+BJ30+BJ31</f>
        <v>360.311008249756</v>
      </c>
      <c r="BK32" s="37" t="n">
        <f aca="false">BK27+BK28+BK29+BK30+BK31</f>
        <v>370.671210101795</v>
      </c>
    </row>
    <row r="33" customFormat="false" ht="15" hidden="false" customHeight="false" outlineLevel="0" collapsed="false">
      <c r="A33" s="28" t="s">
        <v>583</v>
      </c>
      <c r="B33" s="6" t="s">
        <v>584</v>
      </c>
      <c r="C33" s="42"/>
      <c r="D33" s="26" t="n">
        <f aca="false">D27*(1-Assumptions!$F$35)+D28*(1-Assumptions!$F$36)+D29*(1-Assumptions!$F$37)+D30*(1-Assumptions!$F$38)+D31*(1-Assumptions!$F$39)</f>
        <v>0</v>
      </c>
      <c r="E33" s="26" t="n">
        <f aca="false">E27*(1-Assumptions!$F$35)+E28*(1-Assumptions!$F$36)+E29*(1-Assumptions!$F$37)+E30*(1-Assumptions!$F$38)+E31*(1-Assumptions!$F$39)</f>
        <v>0</v>
      </c>
      <c r="F33" s="26" t="n">
        <f aca="false">F27*(1-Assumptions!$F$35)+F28*(1-Assumptions!$F$36)+F29*(1-Assumptions!$F$37)+F30*(1-Assumptions!$F$38)+F31*(1-Assumptions!$F$39)</f>
        <v>0</v>
      </c>
      <c r="G33" s="26" t="n">
        <f aca="false">G27*(1-Assumptions!$F$35)+G28*(1-Assumptions!$F$36)+G29*(1-Assumptions!$F$37)+G30*(1-Assumptions!$F$38)+G31*(1-Assumptions!$F$39)</f>
        <v>0</v>
      </c>
      <c r="H33" s="26" t="n">
        <f aca="false">H27*(1-Assumptions!$F$35)+H28*(1-Assumptions!$F$36)+H29*(1-Assumptions!$F$37)+H30*(1-Assumptions!$F$38)+H31*(1-Assumptions!$F$39)</f>
        <v>0</v>
      </c>
      <c r="I33" s="26" t="n">
        <f aca="false">I27*(1-Assumptions!$F$35)+I28*(1-Assumptions!$F$36)+I29*(1-Assumptions!$F$37)+I30*(1-Assumptions!$F$38)+I31*(1-Assumptions!$F$39)</f>
        <v>0</v>
      </c>
      <c r="J33" s="26" t="n">
        <f aca="false">J27*(1-Assumptions!$F$35)+J28*(1-Assumptions!$F$36)+J29*(1-Assumptions!$F$37)+J30*(1-Assumptions!$F$38)+J31*(1-Assumptions!$F$39)</f>
        <v>0</v>
      </c>
      <c r="K33" s="26" t="n">
        <f aca="false">K27*(1-Assumptions!$F$35)+K28*(1-Assumptions!$F$36)+K29*(1-Assumptions!$F$37)+K30*(1-Assumptions!$F$38)+K31*(1-Assumptions!$F$39)</f>
        <v>0</v>
      </c>
      <c r="L33" s="26" t="n">
        <f aca="false">L27*(1-Assumptions!$F$35)+L28*(1-Assumptions!$F$36)+L29*(1-Assumptions!$F$37)+L30*(1-Assumptions!$F$38)+L31*(1-Assumptions!$F$39)</f>
        <v>0</v>
      </c>
      <c r="M33" s="26" t="n">
        <f aca="false">M27*(1-Assumptions!$F$35)+M28*(1-Assumptions!$F$36)+M29*(1-Assumptions!$F$37)+M30*(1-Assumptions!$F$38)+M31*(1-Assumptions!$F$39)</f>
        <v>0</v>
      </c>
      <c r="N33" s="26" t="n">
        <f aca="false">N27*(1-Assumptions!$F$35)+N28*(1-Assumptions!$F$36)+N29*(1-Assumptions!$F$37)+N30*(1-Assumptions!$F$38)+N31*(1-Assumptions!$F$39)</f>
        <v>0</v>
      </c>
      <c r="O33" s="26" t="n">
        <f aca="false">O27*(1-Assumptions!$F$35)+O28*(1-Assumptions!$F$36)+O29*(1-Assumptions!$F$37)+O30*(1-Assumptions!$F$38)+O31*(1-Assumptions!$F$39)</f>
        <v>0.0702100399968884</v>
      </c>
      <c r="P33" s="26" t="n">
        <f aca="false">P27*(1-Assumptions!$F$35)+P28*(1-Assumptions!$F$36)+P29*(1-Assumptions!$F$37)+P30*(1-Assumptions!$F$38)+P31*(1-Assumptions!$F$39)</f>
        <v>0.151456132058108</v>
      </c>
      <c r="Q33" s="26" t="n">
        <f aca="false">Q27*(1-Assumptions!$F$35)+Q28*(1-Assumptions!$F$36)+Q29*(1-Assumptions!$F$37)+Q30*(1-Assumptions!$F$38)+Q31*(1-Assumptions!$F$39)</f>
        <v>0.243812240933977</v>
      </c>
      <c r="R33" s="26" t="n">
        <f aca="false">R27*(1-Assumptions!$F$35)+R28*(1-Assumptions!$F$36)+R29*(1-Assumptions!$F$37)+R30*(1-Assumptions!$F$38)+R31*(1-Assumptions!$F$39)</f>
        <v>0.3466185733886</v>
      </c>
      <c r="S33" s="26" t="n">
        <f aca="false">S27*(1-Assumptions!$F$35)+S28*(1-Assumptions!$F$36)+S29*(1-Assumptions!$F$37)+S30*(1-Assumptions!$F$38)+S31*(1-Assumptions!$F$39)</f>
        <v>0.459977817275315</v>
      </c>
      <c r="T33" s="26" t="n">
        <f aca="false">T27*(1-Assumptions!$F$35)+T28*(1-Assumptions!$F$36)+T29*(1-Assumptions!$F$37)+T30*(1-Assumptions!$F$38)+T31*(1-Assumptions!$F$39)</f>
        <v>3.25351302974135</v>
      </c>
      <c r="U33" s="26" t="n">
        <f aca="false">U27*(1-Assumptions!$F$35)+U28*(1-Assumptions!$F$36)+U29*(1-Assumptions!$F$37)+U30*(1-Assumptions!$F$38)+U31*(1-Assumptions!$F$39)</f>
        <v>6.18520587303745</v>
      </c>
      <c r="V33" s="26" t="n">
        <f aca="false">V27*(1-Assumptions!$F$35)+V28*(1-Assumptions!$F$36)+V29*(1-Assumptions!$F$37)+V30*(1-Assumptions!$F$38)+V31*(1-Assumptions!$F$39)</f>
        <v>9.24512483801936</v>
      </c>
      <c r="W33" s="26" t="n">
        <f aca="false">W27*(1-Assumptions!$F$35)+W28*(1-Assumptions!$F$36)+W29*(1-Assumptions!$F$37)+W30*(1-Assumptions!$F$38)+W31*(1-Assumptions!$F$39)</f>
        <v>12.5297655775588</v>
      </c>
      <c r="X33" s="26" t="n">
        <f aca="false">X27*(1-Assumptions!$F$35)+X28*(1-Assumptions!$F$36)+X29*(1-Assumptions!$F$37)+X30*(1-Assumptions!$F$38)+X31*(1-Assumptions!$F$39)</f>
        <v>16.0089928652584</v>
      </c>
      <c r="Y33" s="26" t="n">
        <f aca="false">Y27*(1-Assumptions!$F$35)+Y28*(1-Assumptions!$F$36)+Y29*(1-Assumptions!$F$37)+Y30*(1-Assumptions!$F$38)+Y31*(1-Assumptions!$F$39)</f>
        <v>19.6380575092748</v>
      </c>
      <c r="Z33" s="26" t="n">
        <f aca="false">Z27*(1-Assumptions!$F$35)+Z28*(1-Assumptions!$F$36)+Z29*(1-Assumptions!$F$37)+Z30*(1-Assumptions!$F$38)+Z31*(1-Assumptions!$F$39)</f>
        <v>23.4899585750639</v>
      </c>
      <c r="AA33" s="26" t="n">
        <f aca="false">AA27*(1-Assumptions!$F$35)+AA28*(1-Assumptions!$F$36)+AA29*(1-Assumptions!$F$37)+AA30*(1-Assumptions!$F$38)+AA31*(1-Assumptions!$F$39)</f>
        <v>27.5172401286514</v>
      </c>
      <c r="AB33" s="26" t="n">
        <f aca="false">AB27*(1-Assumptions!$F$35)+AB28*(1-Assumptions!$F$36)+AB29*(1-Assumptions!$F$37)+AB30*(1-Assumptions!$F$38)+AB31*(1-Assumptions!$F$39)</f>
        <v>31.6719715784684</v>
      </c>
      <c r="AC33" s="26" t="n">
        <f aca="false">AC27*(1-Assumptions!$F$35)+AC28*(1-Assumptions!$F$36)+AC29*(1-Assumptions!$F$37)+AC30*(1-Assumptions!$F$38)+AC31*(1-Assumptions!$F$39)</f>
        <v>36.0115659141668</v>
      </c>
      <c r="AD33" s="26" t="n">
        <f aca="false">AD27*(1-Assumptions!$F$35)+AD28*(1-Assumptions!$F$36)+AD29*(1-Assumptions!$F$37)+AD30*(1-Assumptions!$F$38)+AD31*(1-Assumptions!$F$39)</f>
        <v>40.5969587566111</v>
      </c>
      <c r="AE33" s="26" t="n">
        <f aca="false">AE27*(1-Assumptions!$F$35)+AE28*(1-Assumptions!$F$36)+AE29*(1-Assumptions!$F$37)+AE30*(1-Assumptions!$F$38)+AE31*(1-Assumptions!$F$39)</f>
        <v>45.3569198042728</v>
      </c>
      <c r="AF33" s="26" t="n">
        <f aca="false">AF27*(1-Assumptions!$F$35)+AF28*(1-Assumptions!$F$36)+AF29*(1-Assumptions!$F$37)+AF30*(1-Assumptions!$F$38)+AF31*(1-Assumptions!$F$39)</f>
        <v>50.3147595168024</v>
      </c>
      <c r="AG33" s="26" t="n">
        <f aca="false">AG27*(1-Assumptions!$F$35)+AG28*(1-Assumptions!$F$36)+AG29*(1-Assumptions!$F$37)+AG30*(1-Assumptions!$F$38)+AG31*(1-Assumptions!$F$39)</f>
        <v>55.508580638734</v>
      </c>
      <c r="AH33" s="26" t="n">
        <f aca="false">AH27*(1-Assumptions!$F$35)+AH28*(1-Assumptions!$F$36)+AH29*(1-Assumptions!$F$37)+AH30*(1-Assumptions!$F$38)+AH31*(1-Assumptions!$F$39)</f>
        <v>60.8504481298582</v>
      </c>
      <c r="AI33" s="26" t="n">
        <f aca="false">AI27*(1-Assumptions!$F$35)+AI28*(1-Assumptions!$F$36)+AI29*(1-Assumptions!$F$37)+AI30*(1-Assumptions!$F$38)+AI31*(1-Assumptions!$F$39)</f>
        <v>66.3568333055097</v>
      </c>
      <c r="AJ33" s="26" t="n">
        <f aca="false">AJ27*(1-Assumptions!$F$35)+AJ28*(1-Assumptions!$F$36)+AJ29*(1-Assumptions!$F$37)+AJ30*(1-Assumptions!$F$38)+AJ31*(1-Assumptions!$F$39)</f>
        <v>72.0511374024789</v>
      </c>
      <c r="AK33" s="26" t="n">
        <f aca="false">AK27*(1-Assumptions!$F$35)+AK28*(1-Assumptions!$F$36)+AK29*(1-Assumptions!$F$37)+AK30*(1-Assumptions!$F$38)+AK31*(1-Assumptions!$F$39)</f>
        <v>77.9546375896645</v>
      </c>
      <c r="AL33" s="26" t="n">
        <f aca="false">AL27*(1-Assumptions!$F$35)+AL28*(1-Assumptions!$F$36)+AL29*(1-Assumptions!$F$37)+AL30*(1-Assumptions!$F$38)+AL31*(1-Assumptions!$F$39)</f>
        <v>84.0654961995103</v>
      </c>
      <c r="AM33" s="26" t="n">
        <f aca="false">AM27*(1-Assumptions!$F$35)+AM28*(1-Assumptions!$F$36)+AM29*(1-Assumptions!$F$37)+AM30*(1-Assumptions!$F$38)+AM31*(1-Assumptions!$F$39)</f>
        <v>90.3691347448571</v>
      </c>
      <c r="AN33" s="37" t="n">
        <f aca="false">AN27*(1-Assumptions!$F$35)+AN28*(1-Assumptions!$F$36)+AN29*(1-Assumptions!$F$37)+AN30*(1-Assumptions!$F$38)+AN31*(1-Assumptions!$F$39)</f>
        <v>96.864678370093</v>
      </c>
      <c r="AO33" s="37" t="n">
        <f aca="false">AO27*(1-Assumptions!$F$35)+AO28*(1-Assumptions!$F$36)+AO29*(1-Assumptions!$F$37)+AO30*(1-Assumptions!$F$38)+AO31*(1-Assumptions!$F$39)</f>
        <v>103.534216201467</v>
      </c>
      <c r="AP33" s="37" t="n">
        <f aca="false">AP27*(1-Assumptions!$F$35)+AP28*(1-Assumptions!$F$36)+AP29*(1-Assumptions!$F$37)+AP30*(1-Assumptions!$F$38)+AP31*(1-Assumptions!$F$39)</f>
        <v>110.361145751871</v>
      </c>
      <c r="AQ33" s="37" t="n">
        <f aca="false">AQ27*(1-Assumptions!$F$35)+AQ28*(1-Assumptions!$F$36)+AQ29*(1-Assumptions!$F$37)+AQ30*(1-Assumptions!$F$38)+AQ31*(1-Assumptions!$F$39)</f>
        <v>117.330079844136</v>
      </c>
      <c r="AR33" s="37" t="n">
        <f aca="false">AR27*(1-Assumptions!$F$35)+AR28*(1-Assumptions!$F$36)+AR29*(1-Assumptions!$F$37)+AR30*(1-Assumptions!$F$38)+AR31*(1-Assumptions!$F$39)</f>
        <v>124.426760207204</v>
      </c>
      <c r="AS33" s="37" t="n">
        <f aca="false">AS27*(1-Assumptions!$F$35)+AS28*(1-Assumptions!$F$36)+AS29*(1-Assumptions!$F$37)+AS30*(1-Assumptions!$F$38)+AS31*(1-Assumptions!$F$39)</f>
        <v>131.637977260952</v>
      </c>
      <c r="AT33" s="37" t="n">
        <f aca="false">AT27*(1-Assumptions!$F$35)+AT28*(1-Assumptions!$F$36)+AT29*(1-Assumptions!$F$37)+AT30*(1-Assumptions!$F$38)+AT31*(1-Assumptions!$F$39)</f>
        <v>138.947266239002</v>
      </c>
      <c r="AU33" s="37" t="n">
        <f aca="false">AU27*(1-Assumptions!$F$35)+AU28*(1-Assumptions!$F$36)+AU29*(1-Assumptions!$F$37)+AU30*(1-Assumptions!$F$38)+AU31*(1-Assumptions!$F$39)</f>
        <v>146.343650882137</v>
      </c>
      <c r="AV33" s="37" t="n">
        <f aca="false">AV27*(1-Assumptions!$F$35)+AV28*(1-Assumptions!$F$36)+AV29*(1-Assumptions!$F$37)+AV30*(1-Assumptions!$F$38)+AV31*(1-Assumptions!$F$39)</f>
        <v>153.816970048706</v>
      </c>
      <c r="AW33" s="37" t="n">
        <f aca="false">AW27*(1-Assumptions!$F$35)+AW28*(1-Assumptions!$F$36)+AW29*(1-Assumptions!$F$37)+AW30*(1-Assumptions!$F$38)+AW31*(1-Assumptions!$F$39)</f>
        <v>161.353590529588</v>
      </c>
      <c r="AX33" s="37" t="n">
        <f aca="false">AX27*(1-Assumptions!$F$35)+AX28*(1-Assumptions!$F$36)+AX29*(1-Assumptions!$F$37)+AX30*(1-Assumptions!$F$38)+AX31*(1-Assumptions!$F$39)</f>
        <v>168.945166226465</v>
      </c>
      <c r="AY33" s="37" t="n">
        <f aca="false">AY27*(1-Assumptions!$F$35)+AY28*(1-Assumptions!$F$36)+AY29*(1-Assumptions!$F$37)+AY30*(1-Assumptions!$F$38)+AY31*(1-Assumptions!$F$39)</f>
        <v>176.583979128103</v>
      </c>
      <c r="AZ33" s="37" t="n">
        <f aca="false">AZ27*(1-Assumptions!$F$35)+AZ28*(1-Assumptions!$F$36)+AZ29*(1-Assumptions!$F$37)+AZ30*(1-Assumptions!$F$38)+AZ31*(1-Assumptions!$F$39)</f>
        <v>184.25866545398</v>
      </c>
      <c r="BA33" s="37" t="n">
        <f aca="false">BA27*(1-Assumptions!$F$35)+BA28*(1-Assumptions!$F$36)+BA29*(1-Assumptions!$F$37)+BA30*(1-Assumptions!$F$38)+BA31*(1-Assumptions!$F$39)</f>
        <v>191.958757797793</v>
      </c>
      <c r="BB33" s="37" t="n">
        <f aca="false">BB27*(1-Assumptions!$F$35)+BB28*(1-Assumptions!$F$36)+BB29*(1-Assumptions!$F$37)+BB30*(1-Assumptions!$F$38)+BB31*(1-Assumptions!$F$39)</f>
        <v>199.678850424129</v>
      </c>
      <c r="BC33" s="37" t="n">
        <f aca="false">BC27*(1-Assumptions!$F$35)+BC28*(1-Assumptions!$F$36)+BC29*(1-Assumptions!$F$37)+BC30*(1-Assumptions!$F$38)+BC31*(1-Assumptions!$F$39)</f>
        <v>207.409726884392</v>
      </c>
      <c r="BD33" s="37" t="n">
        <f aca="false">BD27*(1-Assumptions!$F$35)+BD28*(1-Assumptions!$F$36)+BD29*(1-Assumptions!$F$37)+BD30*(1-Assumptions!$F$38)+BD31*(1-Assumptions!$F$39)</f>
        <v>215.14291389142</v>
      </c>
      <c r="BE33" s="37" t="n">
        <f aca="false">BE27*(1-Assumptions!$F$35)+BE28*(1-Assumptions!$F$36)+BE29*(1-Assumptions!$F$37)+BE30*(1-Assumptions!$F$38)+BE31*(1-Assumptions!$F$39)</f>
        <v>222.874857503214</v>
      </c>
      <c r="BF33" s="37" t="n">
        <f aca="false">BF27*(1-Assumptions!$F$35)+BF28*(1-Assumptions!$F$36)+BF29*(1-Assumptions!$F$37)+BF30*(1-Assumptions!$F$38)+BF31*(1-Assumptions!$F$39)</f>
        <v>230.598060843325</v>
      </c>
      <c r="BG33" s="37" t="n">
        <f aca="false">BG27*(1-Assumptions!$F$35)+BG28*(1-Assumptions!$F$36)+BG29*(1-Assumptions!$F$37)+BG30*(1-Assumptions!$F$38)+BG31*(1-Assumptions!$F$39)</f>
        <v>238.305647354296</v>
      </c>
      <c r="BH33" s="37" t="n">
        <f aca="false">BH27*(1-Assumptions!$F$35)+BH28*(1-Assumptions!$F$36)+BH29*(1-Assumptions!$F$37)+BH30*(1-Assumptions!$F$38)+BH31*(1-Assumptions!$F$39)</f>
        <v>245.991316285328</v>
      </c>
      <c r="BI33" s="37" t="n">
        <f aca="false">BI27*(1-Assumptions!$F$35)+BI28*(1-Assumptions!$F$36)+BI29*(1-Assumptions!$F$37)+BI30*(1-Assumptions!$F$38)+BI31*(1-Assumptions!$F$39)</f>
        <v>253.649301339046</v>
      </c>
      <c r="BJ33" s="37" t="n">
        <f aca="false">BJ27*(1-Assumptions!$F$35)+BJ28*(1-Assumptions!$F$36)+BJ29*(1-Assumptions!$F$37)+BJ30*(1-Assumptions!$F$38)+BJ31*(1-Assumptions!$F$39)</f>
        <v>261.274332250788</v>
      </c>
      <c r="BK33" s="37" t="n">
        <f aca="false">BK27*(1-Assumptions!$F$35)+BK28*(1-Assumptions!$F$36)+BK29*(1-Assumptions!$F$37)+BK30*(1-Assumptions!$F$38)+BK31*(1-Assumptions!$F$39)</f>
        <v>268.86159909026</v>
      </c>
    </row>
    <row r="34" customFormat="false" ht="15" hidden="false" customHeight="false" outlineLevel="0" collapsed="false">
      <c r="A34" s="28" t="s">
        <v>585</v>
      </c>
      <c r="B34" s="6" t="s">
        <v>586</v>
      </c>
      <c r="C34" s="42"/>
      <c r="D34" s="26" t="n">
        <f aca="false">D27*Assumptions!$F$35+D28*Assumptions!$F$36+D29*Assumptions!$F$37+D30*Assumptions!$F$38+D31*Assumptions!$F$39</f>
        <v>0</v>
      </c>
      <c r="E34" s="26" t="n">
        <f aca="false">E27*Assumptions!$F$35+E28*Assumptions!$F$36+E29*Assumptions!$F$37+E30*Assumptions!$F$38+E31*Assumptions!$F$39</f>
        <v>0</v>
      </c>
      <c r="F34" s="26" t="n">
        <f aca="false">F27*Assumptions!$F$35+F28*Assumptions!$F$36+F29*Assumptions!$F$37+F30*Assumptions!$F$38+F31*Assumptions!$F$39</f>
        <v>0</v>
      </c>
      <c r="G34" s="26" t="n">
        <f aca="false">G27*Assumptions!$F$35+G28*Assumptions!$F$36+G29*Assumptions!$F$37+G30*Assumptions!$F$38+G31*Assumptions!$F$39</f>
        <v>0</v>
      </c>
      <c r="H34" s="26" t="n">
        <f aca="false">H27*Assumptions!$F$35+H28*Assumptions!$F$36+H29*Assumptions!$F$37+H30*Assumptions!$F$38+H31*Assumptions!$F$39</f>
        <v>0</v>
      </c>
      <c r="I34" s="26" t="n">
        <f aca="false">I27*Assumptions!$F$35+I28*Assumptions!$F$36+I29*Assumptions!$F$37+I30*Assumptions!$F$38+I31*Assumptions!$F$39</f>
        <v>0</v>
      </c>
      <c r="J34" s="26" t="n">
        <f aca="false">J27*Assumptions!$F$35+J28*Assumptions!$F$36+J29*Assumptions!$F$37+J30*Assumptions!$F$38+J31*Assumptions!$F$39</f>
        <v>0</v>
      </c>
      <c r="K34" s="26" t="n">
        <f aca="false">K27*Assumptions!$F$35+K28*Assumptions!$F$36+K29*Assumptions!$F$37+K30*Assumptions!$F$38+K31*Assumptions!$F$39</f>
        <v>0</v>
      </c>
      <c r="L34" s="26" t="n">
        <f aca="false">L27*Assumptions!$F$35+L28*Assumptions!$F$36+L29*Assumptions!$F$37+L30*Assumptions!$F$38+L31*Assumptions!$F$39</f>
        <v>0</v>
      </c>
      <c r="M34" s="26" t="n">
        <f aca="false">M27*Assumptions!$F$35+M28*Assumptions!$F$36+M29*Assumptions!$F$37+M30*Assumptions!$F$38+M31*Assumptions!$F$39</f>
        <v>0</v>
      </c>
      <c r="N34" s="26" t="n">
        <f aca="false">N27*Assumptions!$F$35+N28*Assumptions!$F$36+N29*Assumptions!$F$37+N30*Assumptions!$F$38+N31*Assumptions!$F$39</f>
        <v>0</v>
      </c>
      <c r="O34" s="26" t="n">
        <f aca="false">O27*Assumptions!$F$35+O28*Assumptions!$F$36+O29*Assumptions!$F$37+O30*Assumptions!$F$38+O31*Assumptions!$F$39</f>
        <v>0.397856893315701</v>
      </c>
      <c r="P34" s="26" t="n">
        <f aca="false">P27*Assumptions!$F$35+P28*Assumptions!$F$36+P29*Assumptions!$F$37+P30*Assumptions!$F$38+P31*Assumptions!$F$39</f>
        <v>0.858251414995948</v>
      </c>
      <c r="Q34" s="26" t="n">
        <f aca="false">Q27*Assumptions!$F$35+Q28*Assumptions!$F$36+Q29*Assumptions!$F$37+Q30*Assumptions!$F$38+Q31*Assumptions!$F$39</f>
        <v>1.38160269862587</v>
      </c>
      <c r="R34" s="26" t="n">
        <f aca="false">R27*Assumptions!$F$35+R28*Assumptions!$F$36+R29*Assumptions!$F$37+R30*Assumptions!$F$38+R31*Assumptions!$F$39</f>
        <v>1.96417191586873</v>
      </c>
      <c r="S34" s="26" t="n">
        <f aca="false">S27*Assumptions!$F$35+S28*Assumptions!$F$36+S29*Assumptions!$F$37+S30*Assumptions!$F$38+S31*Assumptions!$F$39</f>
        <v>2.60654096456012</v>
      </c>
      <c r="T34" s="26" t="n">
        <f aca="false">T27*Assumptions!$F$35+T28*Assumptions!$F$36+T29*Assumptions!$F$37+T30*Assumptions!$F$38+T31*Assumptions!$F$39</f>
        <v>3.54936204088976</v>
      </c>
      <c r="U34" s="26" t="n">
        <f aca="false">U27*Assumptions!$F$35+U28*Assumptions!$F$36+U29*Assumptions!$F$37+U30*Assumptions!$F$38+U31*Assumptions!$F$39</f>
        <v>4.55498174565807</v>
      </c>
      <c r="V34" s="26" t="n">
        <f aca="false">V27*Assumptions!$F$35+V28*Assumptions!$F$36+V29*Assumptions!$F$37+V30*Assumptions!$F$38+V31*Assumptions!$F$39</f>
        <v>5.61834915978314</v>
      </c>
      <c r="W34" s="26" t="n">
        <f aca="false">W27*Assumptions!$F$35+W28*Assumptions!$F$36+W29*Assumptions!$F$37+W30*Assumptions!$F$38+W31*Assumptions!$F$39</f>
        <v>6.7776883427663</v>
      </c>
      <c r="X34" s="26" t="n">
        <f aca="false">X27*Assumptions!$F$35+X28*Assumptions!$F$36+X29*Assumptions!$F$37+X30*Assumptions!$F$38+X31*Assumptions!$F$39</f>
        <v>8.01965622526711</v>
      </c>
      <c r="Y34" s="26" t="n">
        <f aca="false">Y27*Assumptions!$F$35+Y28*Assumptions!$F$36+Y29*Assumptions!$F$37+Y30*Assumptions!$F$38+Y31*Assumptions!$F$39</f>
        <v>9.32515472923941</v>
      </c>
      <c r="Z34" s="26" t="n">
        <f aca="false">Z27*Assumptions!$F$35+Z28*Assumptions!$F$36+Z29*Assumptions!$F$37+Z30*Assumptions!$F$38+Z31*Assumptions!$F$39</f>
        <v>10.7230454942494</v>
      </c>
      <c r="AA34" s="26" t="n">
        <f aca="false">AA27*Assumptions!$F$35+AA28*Assumptions!$F$36+AA29*Assumptions!$F$37+AA30*Assumptions!$F$38+AA31*Assumptions!$F$39</f>
        <v>12.1931821869658</v>
      </c>
      <c r="AB34" s="26" t="n">
        <f aca="false">AB27*Assumptions!$F$35+AB28*Assumptions!$F$36+AB29*Assumptions!$F$37+AB30*Assumptions!$F$38+AB31*Assumptions!$F$39</f>
        <v>13.7154312279612</v>
      </c>
      <c r="AC34" s="26" t="n">
        <f aca="false">AC27*Assumptions!$F$35+AC28*Assumptions!$F$36+AC29*Assumptions!$F$37+AC30*Assumptions!$F$38+AC31*Assumptions!$F$39</f>
        <v>15.312577640092</v>
      </c>
      <c r="AD34" s="26" t="n">
        <f aca="false">AD27*Assumptions!$F$35+AD28*Assumptions!$F$36+AD29*Assumptions!$F$37+AD30*Assumptions!$F$38+AD31*Assumptions!$F$39</f>
        <v>17.0087093513445</v>
      </c>
      <c r="AE34" s="26" t="n">
        <f aca="false">AE27*Assumptions!$F$35+AE28*Assumptions!$F$36+AE29*Assumptions!$F$37+AE30*Assumptions!$F$38+AE31*Assumptions!$F$39</f>
        <v>18.7741809338667</v>
      </c>
      <c r="AF34" s="26" t="n">
        <f aca="false">AF27*Assumptions!$F$35+AF28*Assumptions!$F$36+AF29*Assumptions!$F$37+AF30*Assumptions!$F$38+AF31*Assumptions!$F$39</f>
        <v>20.6179538860067</v>
      </c>
      <c r="AG34" s="26" t="n">
        <f aca="false">AG27*Assumptions!$F$35+AG28*Assumptions!$F$36+AG29*Assumptions!$F$37+AG30*Assumptions!$F$38+AG31*Assumptions!$F$39</f>
        <v>22.5549600246401</v>
      </c>
      <c r="AH34" s="26" t="n">
        <f aca="false">AH27*Assumptions!$F$35+AH28*Assumptions!$F$36+AH29*Assumptions!$F$37+AH30*Assumptions!$F$38+AH31*Assumptions!$F$39</f>
        <v>24.5489409659299</v>
      </c>
      <c r="AI34" s="26" t="n">
        <f aca="false">AI27*Assumptions!$F$35+AI28*Assumptions!$F$36+AI29*Assumptions!$F$37+AI30*Assumptions!$F$38+AI31*Assumptions!$F$39</f>
        <v>26.6062828352685</v>
      </c>
      <c r="AJ34" s="26" t="n">
        <f aca="false">AJ27*Assumptions!$F$35+AJ28*Assumptions!$F$36+AJ29*Assumptions!$F$37+AJ30*Assumptions!$F$38+AJ31*Assumptions!$F$39</f>
        <v>28.7361585471123</v>
      </c>
      <c r="AK34" s="26" t="n">
        <f aca="false">AK27*Assumptions!$F$35+AK28*Assumptions!$F$36+AK29*Assumptions!$F$37+AK30*Assumptions!$F$38+AK31*Assumptions!$F$39</f>
        <v>30.9468368135485</v>
      </c>
      <c r="AL34" s="26" t="n">
        <f aca="false">AL27*Assumptions!$F$35+AL28*Assumptions!$F$36+AL29*Assumptions!$F$37+AL30*Assumptions!$F$38+AL31*Assumptions!$F$39</f>
        <v>33.2371771792728</v>
      </c>
      <c r="AM34" s="26" t="n">
        <f aca="false">AM27*Assumptions!$F$35+AM28*Assumptions!$F$36+AM29*Assumptions!$F$37+AM30*Assumptions!$F$38+AM31*Assumptions!$F$39</f>
        <v>35.6009064610982</v>
      </c>
      <c r="AN34" s="37" t="n">
        <f aca="false">AN27*Assumptions!$F$35+AN28*Assumptions!$F$36+AN29*Assumptions!$F$37+AN30*Assumptions!$F$38+AN31*Assumptions!$F$39</f>
        <v>38.0373786189271</v>
      </c>
      <c r="AO34" s="37" t="n">
        <f aca="false">AO27*Assumptions!$F$35+AO28*Assumptions!$F$36+AO29*Assumptions!$F$37+AO30*Assumptions!$F$38+AO31*Assumptions!$F$39</f>
        <v>40.5390625796914</v>
      </c>
      <c r="AP34" s="37" t="n">
        <f aca="false">AP27*Assumptions!$F$35+AP28*Assumptions!$F$36+AP29*Assumptions!$F$37+AP30*Assumptions!$F$38+AP31*Assumptions!$F$39</f>
        <v>43.0990299678957</v>
      </c>
      <c r="AQ34" s="37" t="n">
        <f aca="false">AQ27*Assumptions!$F$35+AQ28*Assumptions!$F$36+AQ29*Assumptions!$F$37+AQ30*Assumptions!$F$38+AQ31*Assumptions!$F$39</f>
        <v>45.7109085771377</v>
      </c>
      <c r="AR34" s="37" t="n">
        <f aca="false">AR27*Assumptions!$F$35+AR28*Assumptions!$F$36+AR29*Assumptions!$F$37+AR30*Assumptions!$F$38+AR31*Assumptions!$F$39</f>
        <v>48.3688394242611</v>
      </c>
      <c r="AS34" s="37" t="n">
        <f aca="false">AS27*Assumptions!$F$35+AS28*Assumptions!$F$36+AS29*Assumptions!$F$37+AS30*Assumptions!$F$38+AS31*Assumptions!$F$39</f>
        <v>51.0674371095015</v>
      </c>
      <c r="AT34" s="37" t="n">
        <f aca="false">AT27*Assumptions!$F$35+AT28*Assumptions!$F$36+AT29*Assumptions!$F$37+AT30*Assumptions!$F$38+AT31*Assumptions!$F$39</f>
        <v>53.8000378253516</v>
      </c>
      <c r="AU34" s="37" t="n">
        <f aca="false">AU27*Assumptions!$F$35+AU28*Assumptions!$F$36+AU29*Assumptions!$F$37+AU30*Assumptions!$F$38+AU31*Assumptions!$F$39</f>
        <v>56.5622522186718</v>
      </c>
      <c r="AV34" s="37" t="n">
        <f aca="false">AV27*Assumptions!$F$35+AV28*Assumptions!$F$36+AV29*Assumptions!$F$37+AV30*Assumptions!$F$38+AV31*Assumptions!$F$39</f>
        <v>59.3500507064215</v>
      </c>
      <c r="AW34" s="37" t="n">
        <f aca="false">AW27*Assumptions!$F$35+AW28*Assumptions!$F$36+AW29*Assumptions!$F$37+AW30*Assumptions!$F$38+AW31*Assumptions!$F$39</f>
        <v>62.1580202431839</v>
      </c>
      <c r="AX34" s="37" t="n">
        <f aca="false">AX27*Assumptions!$F$35+AX28*Assumptions!$F$36+AX29*Assumptions!$F$37+AX30*Assumptions!$F$38+AX31*Assumptions!$F$39</f>
        <v>64.9829252663142</v>
      </c>
      <c r="AY34" s="37" t="n">
        <f aca="false">AY27*Assumptions!$F$35+AY28*Assumptions!$F$36+AY29*Assumptions!$F$37+AY30*Assumptions!$F$38+AY31*Assumptions!$F$39</f>
        <v>67.8218004713749</v>
      </c>
      <c r="AZ34" s="37" t="n">
        <f aca="false">AZ27*Assumptions!$F$35+AZ28*Assumptions!$F$36+AZ29*Assumptions!$F$37+AZ30*Assumptions!$F$38+AZ31*Assumptions!$F$39</f>
        <v>70.6702144642593</v>
      </c>
      <c r="BA34" s="37" t="n">
        <f aca="false">BA27*Assumptions!$F$35+BA28*Assumptions!$F$36+BA29*Assumptions!$F$37+BA30*Assumptions!$F$38+BA31*Assumptions!$F$39</f>
        <v>73.5241216582544</v>
      </c>
      <c r="BB34" s="37" t="n">
        <f aca="false">BB27*Assumptions!$F$35+BB28*Assumptions!$F$36+BB29*Assumptions!$F$37+BB30*Assumptions!$F$38+BB31*Assumptions!$F$39</f>
        <v>76.3815475497156</v>
      </c>
      <c r="BC34" s="37" t="n">
        <f aca="false">BC27*Assumptions!$F$35+BC28*Assumptions!$F$36+BC29*Assumptions!$F$37+BC30*Assumptions!$F$38+BC31*Assumptions!$F$39</f>
        <v>79.2389742741943</v>
      </c>
      <c r="BD34" s="37" t="n">
        <f aca="false">BD27*Assumptions!$F$35+BD28*Assumptions!$F$36+BD29*Assumptions!$F$37+BD30*Assumptions!$F$38+BD31*Assumptions!$F$39</f>
        <v>82.0931984468264</v>
      </c>
      <c r="BE34" s="37" t="n">
        <f aca="false">BE27*Assumptions!$F$35+BE28*Assumptions!$F$36+BE29*Assumptions!$F$37+BE30*Assumptions!$F$38+BE31*Assumptions!$F$39</f>
        <v>84.9430219236115</v>
      </c>
      <c r="BF34" s="37" t="n">
        <f aca="false">BF27*Assumptions!$F$35+BF28*Assumptions!$F$36+BF29*Assumptions!$F$37+BF30*Assumptions!$F$38+BF31*Assumptions!$F$39</f>
        <v>87.7856424207967</v>
      </c>
      <c r="BG34" s="37" t="n">
        <f aca="false">BG27*Assumptions!$F$35+BG28*Assumptions!$F$36+BG29*Assumptions!$F$37+BG30*Assumptions!$F$38+BG31*Assumptions!$F$39</f>
        <v>90.618516028801</v>
      </c>
      <c r="BH34" s="37" t="n">
        <f aca="false">BH27*Assumptions!$F$35+BH28*Assumptions!$F$36+BH29*Assumptions!$F$37+BH30*Assumptions!$F$38+BH31*Assumptions!$F$39</f>
        <v>93.4393368853444</v>
      </c>
      <c r="BI34" s="37" t="n">
        <f aca="false">BI27*Assumptions!$F$35+BI28*Assumptions!$F$36+BI29*Assumptions!$F$37+BI30*Assumptions!$F$38+BI31*Assumptions!$F$39</f>
        <v>96.2460184127369</v>
      </c>
      <c r="BJ34" s="37" t="n">
        <f aca="false">BJ27*Assumptions!$F$35+BJ28*Assumptions!$F$36+BJ29*Assumptions!$F$37+BJ30*Assumptions!$F$38+BJ31*Assumptions!$F$39</f>
        <v>99.0366759989683</v>
      </c>
      <c r="BK34" s="37" t="n">
        <f aca="false">BK27*Assumptions!$F$35+BK28*Assumptions!$F$36+BK29*Assumptions!$F$37+BK30*Assumptions!$F$38+BK31*Assumptions!$F$39</f>
        <v>101.809611011535</v>
      </c>
    </row>
    <row r="35" customFormat="false" ht="15" hidden="false" customHeight="false" outlineLevel="0" collapsed="false">
      <c r="A35" s="28" t="s">
        <v>587</v>
      </c>
      <c r="B35" s="6" t="s">
        <v>588</v>
      </c>
      <c r="C35" s="42"/>
      <c r="D35" s="26" t="n">
        <f aca="false">MAX(0,D32-C32*(1-Assumptions!$F$41))</f>
        <v>0</v>
      </c>
      <c r="E35" s="26" t="n">
        <f aca="false">MAX(0,E32-D32*(1-Assumptions!$F$41))</f>
        <v>0</v>
      </c>
      <c r="F35" s="26" t="n">
        <f aca="false">MAX(0,F32-E32*(1-Assumptions!$F$41))</f>
        <v>0</v>
      </c>
      <c r="G35" s="26" t="n">
        <f aca="false">MAX(0,G32-F32*(1-Assumptions!$F$41))</f>
        <v>0</v>
      </c>
      <c r="H35" s="26" t="n">
        <f aca="false">MAX(0,H32-G32*(1-Assumptions!$F$41))</f>
        <v>0</v>
      </c>
      <c r="I35" s="26" t="n">
        <f aca="false">MAX(0,I32-H32*(1-Assumptions!$F$41))</f>
        <v>0</v>
      </c>
      <c r="J35" s="26" t="n">
        <f aca="false">MAX(0,J32-I32*(1-Assumptions!$F$41))</f>
        <v>0</v>
      </c>
      <c r="K35" s="26" t="n">
        <f aca="false">MAX(0,K32-J32*(1-Assumptions!$F$41))</f>
        <v>0</v>
      </c>
      <c r="L35" s="26" t="n">
        <f aca="false">MAX(0,L32-K32*(1-Assumptions!$F$41))</f>
        <v>0</v>
      </c>
      <c r="M35" s="26" t="n">
        <f aca="false">MAX(0,M32-L32*(1-Assumptions!$F$41))</f>
        <v>0</v>
      </c>
      <c r="N35" s="26" t="n">
        <f aca="false">MAX(0,N32-M32*(1-Assumptions!$F$41))</f>
        <v>0</v>
      </c>
      <c r="O35" s="26" t="n">
        <f aca="false">MAX(0,O32-N32*(1-Assumptions!$F$41))</f>
        <v>0.468066933312589</v>
      </c>
      <c r="P35" s="26" t="n">
        <f aca="false">MAX(0,P32-O32*(1-Assumptions!$F$41))</f>
        <v>0.555682621740845</v>
      </c>
      <c r="Q35" s="26" t="n">
        <f aca="false">MAX(0,Q32-P32*(1-Assumptions!$F$41))</f>
        <v>0.645998618917414</v>
      </c>
      <c r="R35" s="26" t="n">
        <f aca="false">MAX(0,R32-Q32*(1-Assumptions!$F$41))</f>
        <v>0.734137997884279</v>
      </c>
      <c r="S35" s="26" t="n">
        <f aca="false">MAX(0,S32-R32*(1-Assumptions!$F$41))</f>
        <v>0.825052007255823</v>
      </c>
      <c r="T35" s="26" t="n">
        <f aca="false">MAX(0,T32-S32*(1-Assumptions!$F$41))</f>
        <v>3.82835185225074</v>
      </c>
      <c r="U35" s="26" t="n">
        <f aca="false">MAX(0,U32-T32*(1-Assumptions!$F$41))</f>
        <v>4.14139880018334</v>
      </c>
      <c r="V35" s="26" t="n">
        <f aca="false">MAX(0,V32-U32*(1-Assumptions!$F$41))</f>
        <v>4.44549200766785</v>
      </c>
      <c r="W35" s="26" t="n">
        <f aca="false">MAX(0,W32-V32*(1-Assumptions!$F$41))</f>
        <v>4.88988414245664</v>
      </c>
      <c r="X35" s="26" t="n">
        <f aca="false">MAX(0,X32-W32*(1-Assumptions!$F$41))</f>
        <v>5.30041878781023</v>
      </c>
      <c r="Y35" s="26" t="n">
        <f aca="false">MAX(0,Y32-X32*(1-Assumptions!$F$41))</f>
        <v>5.65542262070448</v>
      </c>
      <c r="Z35" s="26" t="n">
        <f aca="false">MAX(0,Z32-Y32*(1-Assumptions!$F$41))</f>
        <v>6.11868819795456</v>
      </c>
      <c r="AA35" s="26" t="n">
        <f aca="false">MAX(0,AA32-Z32*(1-Assumptions!$F$41))</f>
        <v>6.52380836838321</v>
      </c>
      <c r="AB35" s="26" t="n">
        <f aca="false">MAX(0,AB32-AA32*(1-Assumptions!$F$41))</f>
        <v>6.86829316028094</v>
      </c>
      <c r="AC35" s="26" t="n">
        <f aca="false">MAX(0,AC32-AB32*(1-Assumptions!$F$41))</f>
        <v>7.29836283202213</v>
      </c>
      <c r="AD35" s="26" t="n">
        <f aca="false">MAX(0,AD32-AC32*(1-Assumptions!$F$41))</f>
        <v>7.82124886032452</v>
      </c>
      <c r="AE35" s="26" t="n">
        <f aca="false">MAX(0,AE32-AD32*(1-Assumptions!$F$41))</f>
        <v>8.25360267342256</v>
      </c>
      <c r="AF35" s="26" t="n">
        <f aca="false">MAX(0,AF32-AE32*(1-Assumptions!$F$41))</f>
        <v>8.7255456868138</v>
      </c>
      <c r="AG35" s="26" t="n">
        <f aca="false">MAX(0,AG32-AF32*(1-Assumptions!$F$41))</f>
        <v>9.25880866264924</v>
      </c>
      <c r="AH35" s="26" t="n">
        <f aca="false">MAX(0,AH32-AG32*(1-Assumptions!$F$41))</f>
        <v>9.67775465231529</v>
      </c>
      <c r="AI35" s="26" t="n">
        <f aca="false">MAX(0,AI32-AH32*(1-Assumptions!$F$41))</f>
        <v>10.1257087178636</v>
      </c>
      <c r="AJ35" s="26" t="n">
        <f aca="false">MAX(0,AJ32-AI32*(1-Assumptions!$F$41))</f>
        <v>10.6130732930364</v>
      </c>
      <c r="AK35" s="26" t="n">
        <f aca="false">MAX(0,AK32-AJ32*(1-Assumptions!$F$41))</f>
        <v>11.1377973321095</v>
      </c>
      <c r="AL35" s="26" t="n">
        <f aca="false">MAX(0,AL32-AK32*(1-Assumptions!$F$41))</f>
        <v>11.6682432076665</v>
      </c>
      <c r="AM35" s="26" t="n">
        <f aca="false">MAX(0,AM32-AL32*(1-Assumptions!$F$41))</f>
        <v>12.1864480285357</v>
      </c>
      <c r="AN35" s="37" t="n">
        <f aca="false">MAX(0,AN32-AM32*(1-Assumptions!$F$41))</f>
        <v>12.7111170192434</v>
      </c>
      <c r="AO35" s="37" t="n">
        <f aca="false">MAX(0,AO32-AN32*(1-Assumptions!$F$41))</f>
        <v>13.218283501809</v>
      </c>
      <c r="AP35" s="37" t="n">
        <f aca="false">MAX(0,AP32-AO32*(1-Assumptions!$F$41))</f>
        <v>13.7090953020427</v>
      </c>
      <c r="AQ35" s="37" t="n">
        <f aca="false">MAX(0,AQ32-AP32*(1-Assumptions!$F$41))</f>
        <v>14.1846179731005</v>
      </c>
      <c r="AR35" s="37" t="n">
        <f aca="false">MAX(0,AR32-AQ32*(1-Assumptions!$F$41))</f>
        <v>14.6458408628291</v>
      </c>
      <c r="AS35" s="37" t="n">
        <f aca="false">MAX(0,AS32-AR32*(1-Assumptions!$F$41))</f>
        <v>15.0936827279324</v>
      </c>
      <c r="AT35" s="37" t="n">
        <f aca="false">MAX(0,AT32-AS32*(1-Assumptions!$F$41))</f>
        <v>15.5230521250138</v>
      </c>
      <c r="AU35" s="37" t="n">
        <f aca="false">MAX(0,AU32-AT32*(1-Assumptions!$F$41))</f>
        <v>15.9410181583857</v>
      </c>
      <c r="AV35" s="37" t="n">
        <f aca="false">MAX(0,AV32-AU32*(1-Assumptions!$F$41))</f>
        <v>16.3482947473435</v>
      </c>
      <c r="AW35" s="37" t="n">
        <f aca="false">MAX(0,AW32-AV32*(1-Assumptions!$F$41))</f>
        <v>16.7396006402979</v>
      </c>
      <c r="AX35" s="37" t="n">
        <f aca="false">MAX(0,AX32-AW32*(1-Assumptions!$F$41))</f>
        <v>17.1218290431904</v>
      </c>
      <c r="AY35" s="37" t="n">
        <f aca="false">MAX(0,AY32-AX32*(1-Assumptions!$F$41))</f>
        <v>17.4955308514821</v>
      </c>
      <c r="AZ35" s="37" t="n">
        <f aca="false">MAX(0,AZ32-AY32*(1-Assumptions!$F$41))</f>
        <v>17.8552737067459</v>
      </c>
      <c r="BA35" s="37" t="n">
        <f aca="false">MAX(0,BA32-AZ32*(1-Assumptions!$F$41))</f>
        <v>18.2018659353548</v>
      </c>
      <c r="BB35" s="37" t="n">
        <f aca="false">MAX(0,BB32-BA32*(1-Assumptions!$F$41))</f>
        <v>18.5420049014787</v>
      </c>
      <c r="BC35" s="37" t="n">
        <f aca="false">MAX(0,BC32-BB32*(1-Assumptions!$F$41))</f>
        <v>18.8701151239577</v>
      </c>
      <c r="BD35" s="37" t="n">
        <f aca="false">MAX(0,BD32-BC32*(1-Assumptions!$F$41))</f>
        <v>19.1868722144178</v>
      </c>
      <c r="BE35" s="37" t="n">
        <f aca="false">MAX(0,BE32-BD32*(1-Assumptions!$F$41))</f>
        <v>19.4988504587256</v>
      </c>
      <c r="BF35" s="37" t="n">
        <f aca="false">MAX(0,BF32-BE32*(1-Assumptions!$F$41))</f>
        <v>19.800360220101</v>
      </c>
      <c r="BG35" s="37" t="n">
        <f aca="false">MAX(0,BG32-BF32*(1-Assumptions!$F$41))</f>
        <v>20.0919712168995</v>
      </c>
      <c r="BH35" s="37" t="n">
        <f aca="false">MAX(0,BH32-BG32*(1-Assumptions!$F$41))</f>
        <v>20.3742146890679</v>
      </c>
      <c r="BI35" s="37" t="n">
        <f aca="false">MAX(0,BI32-BH32*(1-Assumptions!$F$41))</f>
        <v>20.647586176231</v>
      </c>
      <c r="BJ35" s="37" t="n">
        <f aca="false">MAX(0,BJ32-BI32*(1-Assumptions!$F$41))</f>
        <v>20.9125480905268</v>
      </c>
      <c r="BK35" s="37" t="n">
        <f aca="false">MAX(0,BK32-BJ32*(1-Assumptions!$F$41))</f>
        <v>21.1695320995313</v>
      </c>
    </row>
    <row r="36" customFormat="false" ht="15" hidden="false" customHeight="false" outlineLevel="0" collapsed="false">
      <c r="B36" s="5" t="s">
        <v>589</v>
      </c>
    </row>
    <row r="37" customFormat="false" ht="15" hidden="false" customHeight="false" outlineLevel="0" collapsed="false">
      <c r="A37" s="28" t="s">
        <v>590</v>
      </c>
      <c r="B37" s="6" t="s">
        <v>591</v>
      </c>
      <c r="C37" s="43"/>
      <c r="D37" s="17" t="n">
        <f aca="false">D33*Assumptions!$F$42</f>
        <v>0</v>
      </c>
      <c r="E37" s="17" t="n">
        <f aca="false">E33*Assumptions!$F$42</f>
        <v>0</v>
      </c>
      <c r="F37" s="17" t="n">
        <f aca="false">F33*Assumptions!$F$42</f>
        <v>0</v>
      </c>
      <c r="G37" s="17" t="n">
        <f aca="false">G33*Assumptions!$F$42</f>
        <v>0</v>
      </c>
      <c r="H37" s="17" t="n">
        <f aca="false">H33*Assumptions!$F$42</f>
        <v>0</v>
      </c>
      <c r="I37" s="17" t="n">
        <f aca="false">I33*Assumptions!$F$42</f>
        <v>0</v>
      </c>
      <c r="J37" s="17" t="n">
        <f aca="false">J33*Assumptions!$F$42</f>
        <v>0</v>
      </c>
      <c r="K37" s="17" t="n">
        <f aca="false">K33*Assumptions!$F$42</f>
        <v>0</v>
      </c>
      <c r="L37" s="17" t="n">
        <f aca="false">L33*Assumptions!$F$42</f>
        <v>0</v>
      </c>
      <c r="M37" s="17" t="n">
        <f aca="false">M33*Assumptions!$F$42</f>
        <v>0</v>
      </c>
      <c r="N37" s="17" t="n">
        <f aca="false">N33*Assumptions!$F$42</f>
        <v>0</v>
      </c>
      <c r="O37" s="17" t="n">
        <f aca="false">O33*Assumptions!$F$42</f>
        <v>2.73819155987865</v>
      </c>
      <c r="P37" s="17" t="n">
        <f aca="false">P33*Assumptions!$F$42</f>
        <v>5.90678915026623</v>
      </c>
      <c r="Q37" s="17" t="n">
        <f aca="false">Q33*Assumptions!$F$42</f>
        <v>9.50867739642512</v>
      </c>
      <c r="R37" s="17" t="n">
        <f aca="false">R33*Assumptions!$F$42</f>
        <v>13.5181243621554</v>
      </c>
      <c r="S37" s="17" t="n">
        <f aca="false">S33*Assumptions!$F$42</f>
        <v>17.9391348737373</v>
      </c>
      <c r="T37" s="17" t="n">
        <f aca="false">T33*Assumptions!$F$42</f>
        <v>126.887008159913</v>
      </c>
      <c r="U37" s="17" t="n">
        <f aca="false">U33*Assumptions!$F$42</f>
        <v>241.223029048461</v>
      </c>
      <c r="V37" s="17" t="n">
        <f aca="false">V33*Assumptions!$F$42</f>
        <v>360.559868682755</v>
      </c>
      <c r="W37" s="17" t="n">
        <f aca="false">W33*Assumptions!$F$42</f>
        <v>488.660857524792</v>
      </c>
      <c r="X37" s="17" t="n">
        <f aca="false">X33*Assumptions!$F$42</f>
        <v>624.350721745079</v>
      </c>
      <c r="Y37" s="17" t="n">
        <f aca="false">Y33*Assumptions!$F$42</f>
        <v>765.884242861719</v>
      </c>
      <c r="Z37" s="17" t="n">
        <f aca="false">Z33*Assumptions!$F$42</f>
        <v>916.108384427494</v>
      </c>
      <c r="AA37" s="17" t="n">
        <f aca="false">AA33*Assumptions!$F$42</f>
        <v>1073.1723650174</v>
      </c>
      <c r="AB37" s="17" t="n">
        <f aca="false">AB33*Assumptions!$F$42</f>
        <v>1235.20689156027</v>
      </c>
      <c r="AC37" s="17" t="n">
        <f aca="false">AC33*Assumptions!$F$42</f>
        <v>1404.45107065251</v>
      </c>
      <c r="AD37" s="17" t="n">
        <f aca="false">AD33*Assumptions!$F$42</f>
        <v>1583.28139150783</v>
      </c>
      <c r="AE37" s="17" t="n">
        <f aca="false">AE33*Assumptions!$F$42</f>
        <v>1768.91987236664</v>
      </c>
      <c r="AF37" s="17" t="n">
        <f aca="false">AF33*Assumptions!$F$42</f>
        <v>1962.2756211553</v>
      </c>
      <c r="AG37" s="17" t="n">
        <f aca="false">AG33*Assumptions!$F$42</f>
        <v>2164.83464491063</v>
      </c>
      <c r="AH37" s="17" t="n">
        <f aca="false">AH33*Assumptions!$F$42</f>
        <v>2373.16747706447</v>
      </c>
      <c r="AI37" s="17" t="n">
        <f aca="false">AI33*Assumptions!$F$42</f>
        <v>2587.91649891488</v>
      </c>
      <c r="AJ37" s="17" t="n">
        <f aca="false">AJ33*Assumptions!$F$42</f>
        <v>2809.99435869668</v>
      </c>
      <c r="AK37" s="17" t="n">
        <f aca="false">AK33*Assumptions!$F$42</f>
        <v>3040.23086599691</v>
      </c>
      <c r="AL37" s="17" t="n">
        <f aca="false">AL33*Assumptions!$F$42</f>
        <v>3278.5543517809</v>
      </c>
      <c r="AM37" s="17" t="n">
        <f aca="false">AM33*Assumptions!$F$42</f>
        <v>3524.39625504943</v>
      </c>
      <c r="AN37" s="44" t="n">
        <f aca="false">AN33*Assumptions!$F$42</f>
        <v>3777.72245643363</v>
      </c>
      <c r="AO37" s="44" t="n">
        <f aca="false">AO33*Assumptions!$F$42</f>
        <v>4037.83443185722</v>
      </c>
      <c r="AP37" s="44" t="n">
        <f aca="false">AP33*Assumptions!$F$42</f>
        <v>4304.08468432296</v>
      </c>
      <c r="AQ37" s="44" t="n">
        <f aca="false">AQ33*Assumptions!$F$42</f>
        <v>4575.87311392131</v>
      </c>
      <c r="AR37" s="44" t="n">
        <f aca="false">AR33*Assumptions!$F$42</f>
        <v>4852.64364808094</v>
      </c>
      <c r="AS37" s="44" t="n">
        <f aca="false">AS33*Assumptions!$F$42</f>
        <v>5133.88111317712</v>
      </c>
      <c r="AT37" s="44" t="n">
        <f aca="false">AT33*Assumptions!$F$42</f>
        <v>5418.94338332108</v>
      </c>
      <c r="AU37" s="44" t="n">
        <f aca="false">AU33*Assumptions!$F$42</f>
        <v>5707.40238440334</v>
      </c>
      <c r="AV37" s="44" t="n">
        <f aca="false">AV33*Assumptions!$F$42</f>
        <v>5998.86183189955</v>
      </c>
      <c r="AW37" s="44" t="n">
        <f aca="false">AW33*Assumptions!$F$42</f>
        <v>6292.79003065393</v>
      </c>
      <c r="AX37" s="44" t="n">
        <f aca="false">AX33*Assumptions!$F$42</f>
        <v>6588.86148283213</v>
      </c>
      <c r="AY37" s="44" t="n">
        <f aca="false">AY33*Assumptions!$F$42</f>
        <v>6886.77518599601</v>
      </c>
      <c r="AZ37" s="44" t="n">
        <f aca="false">AZ33*Assumptions!$F$42</f>
        <v>7186.08795270522</v>
      </c>
      <c r="BA37" s="44" t="n">
        <f aca="false">BA33*Assumptions!$F$42</f>
        <v>7486.39155411391</v>
      </c>
      <c r="BB37" s="44" t="n">
        <f aca="false">BB33*Assumptions!$F$42</f>
        <v>7787.47516654102</v>
      </c>
      <c r="BC37" s="44" t="n">
        <f aca="false">BC33*Assumptions!$F$42</f>
        <v>8088.9793484913</v>
      </c>
      <c r="BD37" s="44" t="n">
        <f aca="false">BD33*Assumptions!$F$42</f>
        <v>8390.5736417654</v>
      </c>
      <c r="BE37" s="44" t="n">
        <f aca="false">BE33*Assumptions!$F$42</f>
        <v>8692.11944262533</v>
      </c>
      <c r="BF37" s="44" t="n">
        <f aca="false">BF33*Assumptions!$F$42</f>
        <v>8993.32437288966</v>
      </c>
      <c r="BG37" s="44" t="n">
        <f aca="false">BG33*Assumptions!$F$42</f>
        <v>9293.92024681755</v>
      </c>
      <c r="BH37" s="44" t="n">
        <f aca="false">BH33*Assumptions!$F$42</f>
        <v>9593.66133512778</v>
      </c>
      <c r="BI37" s="44" t="n">
        <f aca="false">BI33*Assumptions!$F$42</f>
        <v>9892.3227522228</v>
      </c>
      <c r="BJ37" s="44" t="n">
        <f aca="false">BJ33*Assumptions!$F$42</f>
        <v>10189.6989577807</v>
      </c>
      <c r="BK37" s="44" t="n">
        <f aca="false">BK33*Assumptions!$F$42</f>
        <v>10485.6023645201</v>
      </c>
    </row>
    <row r="38" customFormat="false" ht="15" hidden="false" customHeight="false" outlineLevel="0" collapsed="false">
      <c r="A38" s="28" t="s">
        <v>592</v>
      </c>
      <c r="B38" s="6" t="s">
        <v>593</v>
      </c>
      <c r="C38" s="43"/>
      <c r="D38" s="17" t="n">
        <f aca="false">D34*Assumptions!$F$43</f>
        <v>0</v>
      </c>
      <c r="E38" s="17" t="n">
        <f aca="false">E34*Assumptions!$F$43</f>
        <v>0</v>
      </c>
      <c r="F38" s="17" t="n">
        <f aca="false">F34*Assumptions!$F$43</f>
        <v>0</v>
      </c>
      <c r="G38" s="17" t="n">
        <f aca="false">G34*Assumptions!$F$43</f>
        <v>0</v>
      </c>
      <c r="H38" s="17" t="n">
        <f aca="false">H34*Assumptions!$F$43</f>
        <v>0</v>
      </c>
      <c r="I38" s="17" t="n">
        <f aca="false">I34*Assumptions!$F$43</f>
        <v>0</v>
      </c>
      <c r="J38" s="17" t="n">
        <f aca="false">J34*Assumptions!$F$43</f>
        <v>0</v>
      </c>
      <c r="K38" s="17" t="n">
        <f aca="false">K34*Assumptions!$F$43</f>
        <v>0</v>
      </c>
      <c r="L38" s="17" t="n">
        <f aca="false">L34*Assumptions!$F$43</f>
        <v>0</v>
      </c>
      <c r="M38" s="17" t="n">
        <f aca="false">M34*Assumptions!$F$43</f>
        <v>0</v>
      </c>
      <c r="N38" s="17" t="n">
        <f aca="false">N34*Assumptions!$F$43</f>
        <v>0</v>
      </c>
      <c r="O38" s="17" t="n">
        <f aca="false">O34*Assumptions!$F$43</f>
        <v>31.4306945719404</v>
      </c>
      <c r="P38" s="17" t="n">
        <f aca="false">P34*Assumptions!$F$43</f>
        <v>67.8018617846799</v>
      </c>
      <c r="Q38" s="17" t="n">
        <f aca="false">Q34*Assumptions!$F$43</f>
        <v>109.146613191444</v>
      </c>
      <c r="R38" s="17" t="n">
        <f aca="false">R34*Assumptions!$F$43</f>
        <v>155.16958135363</v>
      </c>
      <c r="S38" s="17" t="n">
        <f aca="false">S34*Assumptions!$F$43</f>
        <v>205.91673620025</v>
      </c>
      <c r="T38" s="17" t="n">
        <f aca="false">T34*Assumptions!$F$43</f>
        <v>280.399601230291</v>
      </c>
      <c r="U38" s="17" t="n">
        <f aca="false">U34*Assumptions!$F$43</f>
        <v>359.843557906988</v>
      </c>
      <c r="V38" s="17" t="n">
        <f aca="false">V34*Assumptions!$F$43</f>
        <v>443.849583622868</v>
      </c>
      <c r="W38" s="17" t="n">
        <f aca="false">W34*Assumptions!$F$43</f>
        <v>535.437379078537</v>
      </c>
      <c r="X38" s="17" t="n">
        <f aca="false">X34*Assumptions!$F$43</f>
        <v>633.552841796102</v>
      </c>
      <c r="Y38" s="17" t="n">
        <f aca="false">Y34*Assumptions!$F$43</f>
        <v>736.687223609914</v>
      </c>
      <c r="Z38" s="17" t="n">
        <f aca="false">Z34*Assumptions!$F$43</f>
        <v>847.120594045706</v>
      </c>
      <c r="AA38" s="17" t="n">
        <f aca="false">AA34*Assumptions!$F$43</f>
        <v>963.261392770298</v>
      </c>
      <c r="AB38" s="17" t="n">
        <f aca="false">AB34*Assumptions!$F$43</f>
        <v>1083.51906700893</v>
      </c>
      <c r="AC38" s="17" t="n">
        <f aca="false">AC34*Assumptions!$F$43</f>
        <v>1209.69363356727</v>
      </c>
      <c r="AD38" s="17" t="n">
        <f aca="false">AD34*Assumptions!$F$43</f>
        <v>1343.68803875622</v>
      </c>
      <c r="AE38" s="17" t="n">
        <f aca="false">AE34*Assumptions!$F$43</f>
        <v>1483.16029377547</v>
      </c>
      <c r="AF38" s="17" t="n">
        <f aca="false">AF34*Assumptions!$F$43</f>
        <v>1628.81835699453</v>
      </c>
      <c r="AG38" s="17" t="n">
        <f aca="false">AG34*Assumptions!$F$43</f>
        <v>1781.84184194657</v>
      </c>
      <c r="AH38" s="17" t="n">
        <f aca="false">AH34*Assumptions!$F$43</f>
        <v>1939.36633630846</v>
      </c>
      <c r="AI38" s="17" t="n">
        <f aca="false">AI34*Assumptions!$F$43</f>
        <v>2101.89634398621</v>
      </c>
      <c r="AJ38" s="17" t="n">
        <f aca="false">AJ34*Assumptions!$F$43</f>
        <v>2270.15652522187</v>
      </c>
      <c r="AK38" s="17" t="n">
        <f aca="false">AK34*Assumptions!$F$43</f>
        <v>2444.80010827033</v>
      </c>
      <c r="AL38" s="17" t="n">
        <f aca="false">AL34*Assumptions!$F$43</f>
        <v>2625.73699716255</v>
      </c>
      <c r="AM38" s="17" t="n">
        <f aca="false">AM34*Assumptions!$F$43</f>
        <v>2812.47161042676</v>
      </c>
      <c r="AN38" s="44" t="n">
        <f aca="false">AN34*Assumptions!$F$43</f>
        <v>3004.95291089524</v>
      </c>
      <c r="AO38" s="44" t="n">
        <f aca="false">AO34*Assumptions!$F$43</f>
        <v>3202.58594379562</v>
      </c>
      <c r="AP38" s="44" t="n">
        <f aca="false">AP34*Assumptions!$F$43</f>
        <v>3404.82336746376</v>
      </c>
      <c r="AQ38" s="44" t="n">
        <f aca="false">AQ34*Assumptions!$F$43</f>
        <v>3611.16177759388</v>
      </c>
      <c r="AR38" s="44" t="n">
        <f aca="false">AR34*Assumptions!$F$43</f>
        <v>3821.13831451663</v>
      </c>
      <c r="AS38" s="44" t="n">
        <f aca="false">AS34*Assumptions!$F$43</f>
        <v>4034.32753165062</v>
      </c>
      <c r="AT38" s="44" t="n">
        <f aca="false">AT34*Assumptions!$F$43</f>
        <v>4250.20298820278</v>
      </c>
      <c r="AU38" s="44" t="n">
        <f aca="false">AU34*Assumptions!$F$43</f>
        <v>4468.41792527507</v>
      </c>
      <c r="AV38" s="44" t="n">
        <f aca="false">AV34*Assumptions!$F$43</f>
        <v>4688.6540058073</v>
      </c>
      <c r="AW38" s="44" t="n">
        <f aca="false">AW34*Assumptions!$F$43</f>
        <v>4910.48359921153</v>
      </c>
      <c r="AX38" s="44" t="n">
        <f aca="false">AX34*Assumptions!$F$43</f>
        <v>5133.65109603882</v>
      </c>
      <c r="AY38" s="44" t="n">
        <f aca="false">AY34*Assumptions!$F$43</f>
        <v>5357.92223723862</v>
      </c>
      <c r="AZ38" s="44" t="n">
        <f aca="false">AZ34*Assumptions!$F$43</f>
        <v>5582.94694267648</v>
      </c>
      <c r="BA38" s="44" t="n">
        <f aca="false">BA34*Assumptions!$F$43</f>
        <v>5808.4056110021</v>
      </c>
      <c r="BB38" s="44" t="n">
        <f aca="false">BB34*Assumptions!$F$43</f>
        <v>6034.14225642754</v>
      </c>
      <c r="BC38" s="44" t="n">
        <f aca="false">BC34*Assumptions!$F$43</f>
        <v>6259.87896766135</v>
      </c>
      <c r="BD38" s="44" t="n">
        <f aca="false">BD34*Assumptions!$F$43</f>
        <v>6485.36267729929</v>
      </c>
      <c r="BE38" s="44" t="n">
        <f aca="false">BE34*Assumptions!$F$43</f>
        <v>6710.49873196531</v>
      </c>
      <c r="BF38" s="44" t="n">
        <f aca="false">BF34*Assumptions!$F$43</f>
        <v>6935.06575124294</v>
      </c>
      <c r="BG38" s="44" t="n">
        <f aca="false">BG34*Assumptions!$F$43</f>
        <v>7158.86276627528</v>
      </c>
      <c r="BH38" s="44" t="n">
        <f aca="false">BH34*Assumptions!$F$43</f>
        <v>7381.70761394221</v>
      </c>
      <c r="BI38" s="44" t="n">
        <f aca="false">BI34*Assumptions!$F$43</f>
        <v>7603.43545460621</v>
      </c>
      <c r="BJ38" s="44" t="n">
        <f aca="false">BJ34*Assumptions!$F$43</f>
        <v>7823.8974039185</v>
      </c>
      <c r="BK38" s="44" t="n">
        <f aca="false">BK34*Assumptions!$F$43</f>
        <v>8042.95926991125</v>
      </c>
    </row>
    <row r="39" customFormat="false" ht="15" hidden="false" customHeight="false" outlineLevel="0" collapsed="false">
      <c r="A39" s="28" t="s">
        <v>594</v>
      </c>
      <c r="B39" s="6" t="s">
        <v>595</v>
      </c>
      <c r="C39" s="43"/>
      <c r="D39" s="17" t="n">
        <f aca="false">(D33*Assumptions!$F$46+D34*Assumptions!$F$47)*Assumptions!$F$45</f>
        <v>0</v>
      </c>
      <c r="E39" s="17" t="n">
        <f aca="false">(E33*Assumptions!$F$46+E34*Assumptions!$F$47)*Assumptions!$F$45</f>
        <v>0</v>
      </c>
      <c r="F39" s="17" t="n">
        <f aca="false">(F33*Assumptions!$F$46+F34*Assumptions!$F$47)*Assumptions!$F$45</f>
        <v>0</v>
      </c>
      <c r="G39" s="17" t="n">
        <f aca="false">(G33*Assumptions!$F$46+G34*Assumptions!$F$47)*Assumptions!$F$45</f>
        <v>0</v>
      </c>
      <c r="H39" s="17" t="n">
        <f aca="false">(H33*Assumptions!$F$46+H34*Assumptions!$F$47)*Assumptions!$F$45</f>
        <v>0</v>
      </c>
      <c r="I39" s="17" t="n">
        <f aca="false">(I33*Assumptions!$F$46+I34*Assumptions!$F$47)*Assumptions!$F$45</f>
        <v>0</v>
      </c>
      <c r="J39" s="17" t="n">
        <f aca="false">(J33*Assumptions!$F$46+J34*Assumptions!$F$47)*Assumptions!$F$45</f>
        <v>0</v>
      </c>
      <c r="K39" s="17" t="n">
        <f aca="false">(K33*Assumptions!$F$46+K34*Assumptions!$F$47)*Assumptions!$F$45</f>
        <v>0</v>
      </c>
      <c r="L39" s="17" t="n">
        <f aca="false">(L33*Assumptions!$F$46+L34*Assumptions!$F$47)*Assumptions!$F$45</f>
        <v>0</v>
      </c>
      <c r="M39" s="17" t="n">
        <f aca="false">(M33*Assumptions!$F$46+M34*Assumptions!$F$47)*Assumptions!$F$45</f>
        <v>0</v>
      </c>
      <c r="N39" s="17" t="n">
        <f aca="false">(N33*Assumptions!$F$46+N34*Assumptions!$F$47)*Assumptions!$F$45</f>
        <v>0</v>
      </c>
      <c r="O39" s="17" t="n">
        <f aca="false">(O33*Assumptions!$F$46+O34*Assumptions!$F$47)*Assumptions!$F$45</f>
        <v>1537.59987593186</v>
      </c>
      <c r="P39" s="17" t="n">
        <f aca="false">(P33*Assumptions!$F$46+P34*Assumptions!$F$47)*Assumptions!$F$45</f>
        <v>3316.88929207258</v>
      </c>
      <c r="Q39" s="17" t="n">
        <f aca="false">(Q33*Assumptions!$F$46+Q34*Assumptions!$F$47)*Assumptions!$F$45</f>
        <v>5339.4880764541</v>
      </c>
      <c r="R39" s="17" t="n">
        <f aca="false">(R33*Assumptions!$F$46+R34*Assumptions!$F$47)*Assumptions!$F$45</f>
        <v>7590.94675721034</v>
      </c>
      <c r="S39" s="17" t="n">
        <f aca="false">(S33*Assumptions!$F$46+S34*Assumptions!$F$47)*Assumptions!$F$45</f>
        <v>10073.5141983294</v>
      </c>
      <c r="T39" s="17" t="n">
        <f aca="false">(T33*Assumptions!$F$46+T34*Assumptions!$F$47)*Assumptions!$F$45</f>
        <v>17657.9728918152</v>
      </c>
      <c r="U39" s="17" t="n">
        <f aca="false">(U33*Assumptions!$F$46+U34*Assumptions!$F$47)*Assumptions!$F$45</f>
        <v>25675.7430939252</v>
      </c>
      <c r="V39" s="17" t="n">
        <f aca="false">(V33*Assumptions!$F$46+V34*Assumptions!$F$47)*Assumptions!$F$45</f>
        <v>34093.7442322484</v>
      </c>
      <c r="W39" s="17" t="n">
        <f aca="false">(W33*Assumptions!$F$46+W34*Assumptions!$F$47)*Assumptions!$F$45</f>
        <v>43194.3264002968</v>
      </c>
      <c r="X39" s="17" t="n">
        <f aca="false">(X33*Assumptions!$F$46+X34*Assumptions!$F$47)*Assumptions!$F$45</f>
        <v>52884.2517088492</v>
      </c>
      <c r="Y39" s="17" t="n">
        <f aca="false">(Y33*Assumptions!$F$46+Y34*Assumptions!$F$47)*Assumptions!$F$45</f>
        <v>63027.6432891741</v>
      </c>
      <c r="Z39" s="17" t="n">
        <f aca="false">(Z33*Assumptions!$F$46+Z34*Assumptions!$F$47)*Assumptions!$F$45</f>
        <v>73837.9016418939</v>
      </c>
      <c r="AA39" s="17" t="n">
        <f aca="false">(AA33*Assumptions!$F$46+AA34*Assumptions!$F$47)*Assumptions!$F$45</f>
        <v>85171.3160660539</v>
      </c>
      <c r="AB39" s="17" t="n">
        <f aca="false">(AB33*Assumptions!$F$46+AB34*Assumptions!$F$47)*Assumptions!$F$45</f>
        <v>96883.5097883629</v>
      </c>
      <c r="AC39" s="17" t="n">
        <f aca="false">(AC33*Assumptions!$F$46+AC34*Assumptions!$F$47)*Assumptions!$F$45</f>
        <v>109142.628375582</v>
      </c>
      <c r="AD39" s="17" t="n">
        <f aca="false">(AD33*Assumptions!$F$46+AD34*Assumptions!$F$47)*Assumptions!$F$45</f>
        <v>122126.791799757</v>
      </c>
      <c r="AE39" s="17" t="n">
        <f aca="false">(AE33*Assumptions!$F$46+AE34*Assumptions!$F$47)*Assumptions!$F$45</f>
        <v>135622.431068329</v>
      </c>
      <c r="AF39" s="17" t="n">
        <f aca="false">(AF33*Assumptions!$F$46+AF34*Assumptions!$F$47)*Assumptions!$F$45</f>
        <v>149696.773264828</v>
      </c>
      <c r="AG39" s="17" t="n">
        <f aca="false">(AG33*Assumptions!$F$46+AG34*Assumptions!$F$47)*Assumptions!$F$45</f>
        <v>164460.727046805</v>
      </c>
      <c r="AH39" s="17" t="n">
        <f aca="false">(AH33*Assumptions!$F$46+AH34*Assumptions!$F$47)*Assumptions!$F$45</f>
        <v>179651.859672135</v>
      </c>
      <c r="AI39" s="17" t="n">
        <f aca="false">(AI33*Assumptions!$F$46+AI34*Assumptions!$F$47)*Assumptions!$F$45</f>
        <v>195317.868165231</v>
      </c>
      <c r="AJ39" s="17" t="n">
        <f aca="false">(AJ33*Assumptions!$F$46+AJ34*Assumptions!$F$47)*Assumptions!$F$45</f>
        <v>211526.876873323</v>
      </c>
      <c r="AK39" s="17" t="n">
        <f aca="false">(AK33*Assumptions!$F$46+AK34*Assumptions!$F$47)*Assumptions!$F$45</f>
        <v>228340.568913271</v>
      </c>
      <c r="AL39" s="17" t="n">
        <f aca="false">(AL33*Assumptions!$F$46+AL34*Assumptions!$F$47)*Assumptions!$F$45</f>
        <v>245752.082144648</v>
      </c>
      <c r="AM39" s="17" t="n">
        <f aca="false">(AM33*Assumptions!$F$46+AM34*Assumptions!$F$47)*Assumptions!$F$45</f>
        <v>263716.965377239</v>
      </c>
      <c r="AN39" s="44" t="n">
        <f aca="false">(AN33*Assumptions!$F$46+AN34*Assumptions!$F$47)*Assumptions!$F$45</f>
        <v>282231.580583277</v>
      </c>
      <c r="AO39" s="44" t="n">
        <f aca="false">(AO33*Assumptions!$F$46+AO34*Assumptions!$F$47)*Assumptions!$F$45</f>
        <v>301241.94958909</v>
      </c>
      <c r="AP39" s="44" t="n">
        <f aca="false">(AP33*Assumptions!$F$46+AP34*Assumptions!$F$47)*Assumptions!$F$45</f>
        <v>320698.226512231</v>
      </c>
      <c r="AQ39" s="44" t="n">
        <f aca="false">(AQ33*Assumptions!$F$46+AQ34*Assumptions!$F$47)*Assumptions!$F$45</f>
        <v>340554.3906439</v>
      </c>
      <c r="AR39" s="44" t="n">
        <f aca="false">(AR33*Assumptions!$F$46+AR34*Assumptions!$F$47)*Assumptions!$F$45</f>
        <v>360767.962238146</v>
      </c>
      <c r="AS39" s="44" t="n">
        <f aca="false">(AS33*Assumptions!$F$46+AS34*Assumptions!$F$47)*Assumptions!$F$45</f>
        <v>381299.739485633</v>
      </c>
      <c r="AT39" s="44" t="n">
        <f aca="false">(AT33*Assumptions!$F$46+AT34*Assumptions!$F$47)*Assumptions!$F$45</f>
        <v>402101.035529769</v>
      </c>
      <c r="AU39" s="44" t="n">
        <f aca="false">(AU33*Assumptions!$F$46+AU34*Assumptions!$F$47)*Assumptions!$F$45</f>
        <v>423139.584310424</v>
      </c>
      <c r="AV39" s="44" t="n">
        <f aca="false">(AV33*Assumptions!$F$46+AV34*Assumptions!$F$47)*Assumptions!$F$45</f>
        <v>444385.637616177</v>
      </c>
      <c r="AW39" s="44" t="n">
        <f aca="false">(AW33*Assumptions!$F$46+AW34*Assumptions!$F$47)*Assumptions!$F$45</f>
        <v>465799.258669844</v>
      </c>
      <c r="AX39" s="44" t="n">
        <f aca="false">(AX33*Assumptions!$F$46+AX34*Assumptions!$F$47)*Assumptions!$F$45</f>
        <v>487356.280298429</v>
      </c>
      <c r="AY39" s="44" t="n">
        <f aca="false">(AY33*Assumptions!$F$46+AY34*Assumptions!$F$47)*Assumptions!$F$45</f>
        <v>509034.450389104</v>
      </c>
      <c r="AZ39" s="44" t="n">
        <f aca="false">(AZ33*Assumptions!$F$46+AZ34*Assumptions!$F$47)*Assumptions!$F$45</f>
        <v>530800.770252304</v>
      </c>
      <c r="BA39" s="44" t="n">
        <f aca="false">(BA33*Assumptions!$F$46+BA34*Assumptions!$F$47)*Assumptions!$F$45</f>
        <v>552624.974666405</v>
      </c>
      <c r="BB39" s="44" t="n">
        <f aca="false">(BB33*Assumptions!$F$46+BB34*Assumptions!$F$47)*Assumptions!$F$45</f>
        <v>574491.846815169</v>
      </c>
      <c r="BC39" s="44" t="n">
        <f aca="false">(BC33*Assumptions!$F$46+BC34*Assumptions!$F$47)*Assumptions!$F$45</f>
        <v>596374.897713688</v>
      </c>
      <c r="BD39" s="44" t="n">
        <f aca="false">(BD33*Assumptions!$F$46+BD34*Assumptions!$F$47)*Assumptions!$F$45</f>
        <v>618249.885245706</v>
      </c>
      <c r="BE39" s="44" t="n">
        <f aca="false">(BE33*Assumptions!$F$46+BE34*Assumptions!$F$47)*Assumptions!$F$45</f>
        <v>640107.165179822</v>
      </c>
      <c r="BF39" s="44" t="n">
        <f aca="false">(BF33*Assumptions!$F$46+BF34*Assumptions!$F$47)*Assumptions!$F$45</f>
        <v>661925.403979855</v>
      </c>
      <c r="BG39" s="44" t="n">
        <f aca="false">(BG33*Assumptions!$F$46+BG34*Assumptions!$F$47)*Assumptions!$F$45</f>
        <v>683685.128735128</v>
      </c>
      <c r="BH39" s="44" t="n">
        <f aca="false">(BH33*Assumptions!$F$46+BH34*Assumptions!$F$47)*Assumptions!$F$45</f>
        <v>705368.587215231</v>
      </c>
      <c r="BI39" s="44" t="n">
        <f aca="false">(BI33*Assumptions!$F$46+BI34*Assumptions!$F$47)*Assumptions!$F$45</f>
        <v>726959.618294422</v>
      </c>
      <c r="BJ39" s="44" t="n">
        <f aca="false">(BJ33*Assumptions!$F$46+BJ34*Assumptions!$F$47)*Assumptions!$F$45</f>
        <v>748443.531972468</v>
      </c>
      <c r="BK39" s="44" t="n">
        <f aca="false">(BK33*Assumptions!$F$46+BK34*Assumptions!$F$47)*Assumptions!$F$45</f>
        <v>769806.998276915</v>
      </c>
    </row>
    <row r="40" customFormat="false" ht="15" hidden="false" customHeight="false" outlineLevel="0" collapsed="false">
      <c r="A40" s="28" t="s">
        <v>596</v>
      </c>
      <c r="B40" s="6" t="s">
        <v>597</v>
      </c>
      <c r="C40" s="43"/>
      <c r="D40" s="17" t="n">
        <f aca="false">D39*Assumptions!$F$44</f>
        <v>0</v>
      </c>
      <c r="E40" s="17" t="n">
        <f aca="false">E39*Assumptions!$F$44</f>
        <v>0</v>
      </c>
      <c r="F40" s="17" t="n">
        <f aca="false">F39*Assumptions!$F$44</f>
        <v>0</v>
      </c>
      <c r="G40" s="17" t="n">
        <f aca="false">G39*Assumptions!$F$44</f>
        <v>0</v>
      </c>
      <c r="H40" s="17" t="n">
        <f aca="false">H39*Assumptions!$F$44</f>
        <v>0</v>
      </c>
      <c r="I40" s="17" t="n">
        <f aca="false">I39*Assumptions!$F$44</f>
        <v>0</v>
      </c>
      <c r="J40" s="17" t="n">
        <f aca="false">J39*Assumptions!$F$44</f>
        <v>0</v>
      </c>
      <c r="K40" s="17" t="n">
        <f aca="false">K39*Assumptions!$F$44</f>
        <v>0</v>
      </c>
      <c r="L40" s="17" t="n">
        <f aca="false">L39*Assumptions!$F$44</f>
        <v>0</v>
      </c>
      <c r="M40" s="17" t="n">
        <f aca="false">M39*Assumptions!$F$44</f>
        <v>0</v>
      </c>
      <c r="N40" s="17" t="n">
        <f aca="false">N39*Assumptions!$F$44</f>
        <v>0</v>
      </c>
      <c r="O40" s="17" t="n">
        <f aca="false">O39*Assumptions!$F$44</f>
        <v>11.5319990694889</v>
      </c>
      <c r="P40" s="17" t="n">
        <f aca="false">P39*Assumptions!$F$44</f>
        <v>24.8766696905443</v>
      </c>
      <c r="Q40" s="17" t="n">
        <f aca="false">Q39*Assumptions!$F$44</f>
        <v>40.0461605734058</v>
      </c>
      <c r="R40" s="17" t="n">
        <f aca="false">R39*Assumptions!$F$44</f>
        <v>56.9321006790775</v>
      </c>
      <c r="S40" s="17" t="n">
        <f aca="false">S39*Assumptions!$F$44</f>
        <v>75.5513564874706</v>
      </c>
      <c r="T40" s="17" t="n">
        <f aca="false">T39*Assumptions!$F$44</f>
        <v>132.434796688614</v>
      </c>
      <c r="U40" s="17" t="n">
        <f aca="false">U39*Assumptions!$F$44</f>
        <v>192.568073204439</v>
      </c>
      <c r="V40" s="17" t="n">
        <f aca="false">V39*Assumptions!$F$44</f>
        <v>255.703081741863</v>
      </c>
      <c r="W40" s="17" t="n">
        <f aca="false">W39*Assumptions!$F$44</f>
        <v>323.957448002226</v>
      </c>
      <c r="X40" s="17" t="n">
        <f aca="false">X39*Assumptions!$F$44</f>
        <v>396.631887816369</v>
      </c>
      <c r="Y40" s="17" t="n">
        <f aca="false">Y39*Assumptions!$F$44</f>
        <v>472.707324668806</v>
      </c>
      <c r="Z40" s="17" t="n">
        <f aca="false">Z39*Assumptions!$F$44</f>
        <v>553.784262314204</v>
      </c>
      <c r="AA40" s="17" t="n">
        <f aca="false">AA39*Assumptions!$F$44</f>
        <v>638.784870495404</v>
      </c>
      <c r="AB40" s="17" t="n">
        <f aca="false">AB39*Assumptions!$F$44</f>
        <v>726.626323412722</v>
      </c>
      <c r="AC40" s="17" t="n">
        <f aca="false">AC39*Assumptions!$F$44</f>
        <v>818.569712816862</v>
      </c>
      <c r="AD40" s="17" t="n">
        <f aca="false">AD39*Assumptions!$F$44</f>
        <v>915.950938498176</v>
      </c>
      <c r="AE40" s="17" t="n">
        <f aca="false">AE39*Assumptions!$F$44</f>
        <v>1017.16823301247</v>
      </c>
      <c r="AF40" s="17" t="n">
        <f aca="false">AF39*Assumptions!$F$44</f>
        <v>1122.72579948621</v>
      </c>
      <c r="AG40" s="17" t="n">
        <f aca="false">AG39*Assumptions!$F$44</f>
        <v>1233.45545285104</v>
      </c>
      <c r="AH40" s="17" t="n">
        <f aca="false">AH39*Assumptions!$F$44</f>
        <v>1347.38894754101</v>
      </c>
      <c r="AI40" s="17" t="n">
        <f aca="false">AI39*Assumptions!$F$44</f>
        <v>1464.88401123923</v>
      </c>
      <c r="AJ40" s="17" t="n">
        <f aca="false">AJ39*Assumptions!$F$44</f>
        <v>1586.45157654992</v>
      </c>
      <c r="AK40" s="17" t="n">
        <f aca="false">AK39*Assumptions!$F$44</f>
        <v>1712.55426684953</v>
      </c>
      <c r="AL40" s="17" t="n">
        <f aca="false">AL39*Assumptions!$F$44</f>
        <v>1843.14061608486</v>
      </c>
      <c r="AM40" s="17" t="n">
        <f aca="false">AM39*Assumptions!$F$44</f>
        <v>1977.87724032929</v>
      </c>
      <c r="AN40" s="44" t="n">
        <f aca="false">AN39*Assumptions!$F$44</f>
        <v>2116.73685437458</v>
      </c>
      <c r="AO40" s="44" t="n">
        <f aca="false">AO39*Assumptions!$F$44</f>
        <v>2259.31462191817</v>
      </c>
      <c r="AP40" s="44" t="n">
        <f aca="false">AP39*Assumptions!$F$44</f>
        <v>2405.23669884173</v>
      </c>
      <c r="AQ40" s="44" t="n">
        <f aca="false">AQ39*Assumptions!$F$44</f>
        <v>2554.15792982925</v>
      </c>
      <c r="AR40" s="44" t="n">
        <f aca="false">AR39*Assumptions!$F$44</f>
        <v>2705.75971678609</v>
      </c>
      <c r="AS40" s="44" t="n">
        <f aca="false">AS39*Assumptions!$F$44</f>
        <v>2859.74804614225</v>
      </c>
      <c r="AT40" s="44" t="n">
        <f aca="false">AT39*Assumptions!$F$44</f>
        <v>3015.75776647327</v>
      </c>
      <c r="AU40" s="44" t="n">
        <f aca="false">AU39*Assumptions!$F$44</f>
        <v>3173.54688232818</v>
      </c>
      <c r="AV40" s="44" t="n">
        <f aca="false">AV39*Assumptions!$F$44</f>
        <v>3332.89228212133</v>
      </c>
      <c r="AW40" s="44" t="n">
        <f aca="false">AW39*Assumptions!$F$44</f>
        <v>3493.49444002383</v>
      </c>
      <c r="AX40" s="44" t="n">
        <f aca="false">AX39*Assumptions!$F$44</f>
        <v>3655.17210223821</v>
      </c>
      <c r="AY40" s="44" t="n">
        <f aca="false">AY39*Assumptions!$F$44</f>
        <v>3817.75837791828</v>
      </c>
      <c r="AZ40" s="44" t="n">
        <f aca="false">AZ39*Assumptions!$F$44</f>
        <v>3981.00577689228</v>
      </c>
      <c r="BA40" s="44" t="n">
        <f aca="false">BA39*Assumptions!$F$44</f>
        <v>4144.68730999804</v>
      </c>
      <c r="BB40" s="44" t="n">
        <f aca="false">BB39*Assumptions!$F$44</f>
        <v>4308.68885111377</v>
      </c>
      <c r="BC40" s="44" t="n">
        <f aca="false">BC39*Assumptions!$F$44</f>
        <v>4472.81173285266</v>
      </c>
      <c r="BD40" s="44" t="n">
        <f aca="false">BD39*Assumptions!$F$44</f>
        <v>4636.87413934279</v>
      </c>
      <c r="BE40" s="44" t="n">
        <f aca="false">BE39*Assumptions!$F$44</f>
        <v>4800.80373884866</v>
      </c>
      <c r="BF40" s="44" t="n">
        <f aca="false">BF39*Assumptions!$F$44</f>
        <v>4964.44052984891</v>
      </c>
      <c r="BG40" s="44" t="n">
        <f aca="false">BG39*Assumptions!$F$44</f>
        <v>5127.63846551346</v>
      </c>
      <c r="BH40" s="44" t="n">
        <f aca="false">BH39*Assumptions!$F$44</f>
        <v>5290.26440411423</v>
      </c>
      <c r="BI40" s="44" t="n">
        <f aca="false">BI39*Assumptions!$F$44</f>
        <v>5452.19713720816</v>
      </c>
      <c r="BJ40" s="44" t="n">
        <f aca="false">BJ39*Assumptions!$F$44</f>
        <v>5613.32648979351</v>
      </c>
      <c r="BK40" s="44" t="n">
        <f aca="false">BK39*Assumptions!$F$44</f>
        <v>5773.55248707686</v>
      </c>
    </row>
    <row r="41" customFormat="false" ht="15" hidden="false" customHeight="false" outlineLevel="0" collapsed="false">
      <c r="A41" s="28" t="s">
        <v>598</v>
      </c>
      <c r="B41" s="6" t="s">
        <v>599</v>
      </c>
      <c r="C41" s="43"/>
      <c r="D41" s="17" t="n">
        <f aca="false">D24*Assumptions!$F$17*Assumptions!$F$68*Assumptions!$F$69*Assumptions!$F$70*Assumptions!$F$71/1000*D21</f>
        <v>0</v>
      </c>
      <c r="E41" s="17" t="n">
        <f aca="false">E24*Assumptions!$F$17*Assumptions!$F$68*Assumptions!$F$69*Assumptions!$F$70*Assumptions!$F$71/1000*E21</f>
        <v>0</v>
      </c>
      <c r="F41" s="17" t="n">
        <f aca="false">F24*Assumptions!$F$17*Assumptions!$F$68*Assumptions!$F$69*Assumptions!$F$70*Assumptions!$F$71/1000*F21</f>
        <v>0</v>
      </c>
      <c r="G41" s="17" t="n">
        <f aca="false">G24*Assumptions!$F$17*Assumptions!$F$68*Assumptions!$F$69*Assumptions!$F$70*Assumptions!$F$71/1000*G21</f>
        <v>0</v>
      </c>
      <c r="H41" s="17" t="n">
        <f aca="false">H24*Assumptions!$F$17*Assumptions!$F$68*Assumptions!$F$69*Assumptions!$F$70*Assumptions!$F$71/1000*H21</f>
        <v>0</v>
      </c>
      <c r="I41" s="17" t="n">
        <f aca="false">I24*Assumptions!$F$17*Assumptions!$F$68*Assumptions!$F$69*Assumptions!$F$70*Assumptions!$F$71/1000*I21</f>
        <v>0</v>
      </c>
      <c r="J41" s="17" t="n">
        <f aca="false">J24*Assumptions!$F$17*Assumptions!$F$68*Assumptions!$F$69*Assumptions!$F$70*Assumptions!$F$71/1000*J21</f>
        <v>0</v>
      </c>
      <c r="K41" s="17" t="n">
        <f aca="false">K24*Assumptions!$F$17*Assumptions!$F$68*Assumptions!$F$69*Assumptions!$F$70*Assumptions!$F$71/1000*K21</f>
        <v>0</v>
      </c>
      <c r="L41" s="17" t="n">
        <f aca="false">L24*Assumptions!$F$17*Assumptions!$F$68*Assumptions!$F$69*Assumptions!$F$70*Assumptions!$F$71/1000*L21</f>
        <v>0</v>
      </c>
      <c r="M41" s="17" t="n">
        <f aca="false">M24*Assumptions!$F$17*Assumptions!$F$68*Assumptions!$F$69*Assumptions!$F$70*Assumptions!$F$71/1000*M21</f>
        <v>0</v>
      </c>
      <c r="N41" s="17" t="n">
        <f aca="false">N24*Assumptions!$F$17*Assumptions!$F$68*Assumptions!$F$69*Assumptions!$F$70*Assumptions!$F$71/1000*N21</f>
        <v>0</v>
      </c>
      <c r="O41" s="17" t="n">
        <f aca="false">O24*Assumptions!$F$17*Assumptions!$F$68*Assumptions!$F$69*Assumptions!$F$70*Assumptions!$F$71/1000*O21</f>
        <v>0</v>
      </c>
      <c r="P41" s="17" t="n">
        <f aca="false">P24*Assumptions!$F$17*Assumptions!$F$68*Assumptions!$F$69*Assumptions!$F$70*Assumptions!$F$71/1000*P21</f>
        <v>0</v>
      </c>
      <c r="Q41" s="17" t="n">
        <f aca="false">Q24*Assumptions!$F$17*Assumptions!$F$68*Assumptions!$F$69*Assumptions!$F$70*Assumptions!$F$71/1000*Q21</f>
        <v>0</v>
      </c>
      <c r="R41" s="17" t="n">
        <f aca="false">R24*Assumptions!$F$17*Assumptions!$F$68*Assumptions!$F$69*Assumptions!$F$70*Assumptions!$F$71/1000*R21</f>
        <v>0</v>
      </c>
      <c r="S41" s="17" t="n">
        <f aca="false">S24*Assumptions!$F$17*Assumptions!$F$68*Assumptions!$F$69*Assumptions!$F$70*Assumptions!$F$71/1000*S21</f>
        <v>0</v>
      </c>
      <c r="T41" s="17" t="n">
        <f aca="false">T24*Assumptions!$F$17*Assumptions!$F$68*Assumptions!$F$69*Assumptions!$F$70*Assumptions!$F$71/1000*T21</f>
        <v>0</v>
      </c>
      <c r="U41" s="17" t="n">
        <f aca="false">U24*Assumptions!$F$17*Assumptions!$F$68*Assumptions!$F$69*Assumptions!$F$70*Assumptions!$F$71/1000*U21</f>
        <v>0</v>
      </c>
      <c r="V41" s="17" t="n">
        <f aca="false">V24*Assumptions!$F$17*Assumptions!$F$68*Assumptions!$F$69*Assumptions!$F$70*Assumptions!$F$71/1000*V21</f>
        <v>0</v>
      </c>
      <c r="W41" s="17" t="n">
        <f aca="false">W24*Assumptions!$F$17*Assumptions!$F$68*Assumptions!$F$69*Assumptions!$F$70*Assumptions!$F$71/1000*W21</f>
        <v>0</v>
      </c>
      <c r="X41" s="17" t="n">
        <f aca="false">X24*Assumptions!$F$17*Assumptions!$F$68*Assumptions!$F$69*Assumptions!$F$70*Assumptions!$F$71/1000*X21</f>
        <v>0</v>
      </c>
      <c r="Y41" s="17" t="n">
        <f aca="false">Y24*Assumptions!$F$17*Assumptions!$F$68*Assumptions!$F$69*Assumptions!$F$70*Assumptions!$F$71/1000*Y21</f>
        <v>0</v>
      </c>
      <c r="Z41" s="17" t="n">
        <f aca="false">Z24*Assumptions!$F$17*Assumptions!$F$68*Assumptions!$F$69*Assumptions!$F$70*Assumptions!$F$71/1000*Z21</f>
        <v>0</v>
      </c>
      <c r="AA41" s="17" t="n">
        <f aca="false">AA24*Assumptions!$F$17*Assumptions!$F$68*Assumptions!$F$69*Assumptions!$F$70*Assumptions!$F$71/1000*AA21</f>
        <v>0</v>
      </c>
      <c r="AB41" s="17" t="n">
        <f aca="false">AB24*Assumptions!$F$17*Assumptions!$F$68*Assumptions!$F$69*Assumptions!$F$70*Assumptions!$F$71/1000*AB21</f>
        <v>0</v>
      </c>
      <c r="AC41" s="17" t="n">
        <f aca="false">AC24*Assumptions!$F$17*Assumptions!$F$68*Assumptions!$F$69*Assumptions!$F$70*Assumptions!$F$71/1000*AC21</f>
        <v>0</v>
      </c>
      <c r="AD41" s="17" t="n">
        <f aca="false">AD24*Assumptions!$F$17*Assumptions!$F$68*Assumptions!$F$69*Assumptions!$F$70*Assumptions!$F$71/1000*AD21</f>
        <v>0</v>
      </c>
      <c r="AE41" s="17" t="n">
        <f aca="false">AE24*Assumptions!$F$17*Assumptions!$F$68*Assumptions!$F$69*Assumptions!$F$70*Assumptions!$F$71/1000*AE21</f>
        <v>0</v>
      </c>
      <c r="AF41" s="17" t="n">
        <f aca="false">AF24*Assumptions!$F$17*Assumptions!$F$68*Assumptions!$F$69*Assumptions!$F$70*Assumptions!$F$71/1000*AF21</f>
        <v>24.8019211026073</v>
      </c>
      <c r="AG41" s="17" t="n">
        <f aca="false">AG24*Assumptions!$F$17*Assumptions!$F$68*Assumptions!$F$69*Assumptions!$F$70*Assumptions!$F$71/1000*AG21</f>
        <v>53.2183823351949</v>
      </c>
      <c r="AH41" s="17" t="n">
        <f aca="false">AH24*Assumptions!$F$17*Assumptions!$F$68*Assumptions!$F$69*Assumptions!$F$70*Assumptions!$F$71/1000*AH21</f>
        <v>85.1777303192324</v>
      </c>
      <c r="AI41" s="17" t="n">
        <f aca="false">AI24*Assumptions!$F$17*Assumptions!$F$68*Assumptions!$F$69*Assumptions!$F$70*Assumptions!$F$71/1000*AI21</f>
        <v>120.76973591571</v>
      </c>
      <c r="AJ41" s="17" t="n">
        <f aca="false">AJ24*Assumptions!$F$17*Assumptions!$F$68*Assumptions!$F$69*Assumptions!$F$70*Assumptions!$F$71/1000*AJ21</f>
        <v>160.223979382917</v>
      </c>
      <c r="AK41" s="17" t="n">
        <f aca="false">AK24*Assumptions!$F$17*Assumptions!$F$68*Assumptions!$F$69*Assumptions!$F$70*Assumptions!$F$71/1000*AK21</f>
        <v>203.834742019234</v>
      </c>
      <c r="AL41" s="17" t="n">
        <f aca="false">AL24*Assumptions!$F$17*Assumptions!$F$68*Assumptions!$F$69*Assumptions!$F$70*Assumptions!$F$71/1000*AL21</f>
        <v>215.783473441552</v>
      </c>
      <c r="AM41" s="17" t="n">
        <f aca="false">AM24*Assumptions!$F$17*Assumptions!$F$68*Assumptions!$F$69*Assumptions!$F$70*Assumptions!$F$71/1000*AM21</f>
        <v>227.976228699123</v>
      </c>
      <c r="AN41" s="44" t="n">
        <f aca="false">AN24*Assumptions!$F$17*Assumptions!$F$68*Assumptions!$F$69*Assumptions!$F$70*Assumptions!$F$71/1000*AN21</f>
        <v>240.415432252113</v>
      </c>
      <c r="AO41" s="44" t="n">
        <f aca="false">AO24*Assumptions!$F$17*Assumptions!$F$68*Assumptions!$F$69*Assumptions!$F$70*Assumptions!$F$71/1000*AO21</f>
        <v>252.977963307591</v>
      </c>
      <c r="AP41" s="44" t="n">
        <f aca="false">AP24*Assumptions!$F$17*Assumptions!$F$68*Assumptions!$F$69*Assumptions!$F$70*Assumptions!$F$71/1000*AP21</f>
        <v>265.584346308496</v>
      </c>
      <c r="AQ41" s="44" t="n">
        <f aca="false">AQ24*Assumptions!$F$17*Assumptions!$F$68*Assumptions!$F$69*Assumptions!$F$70*Assumptions!$F$71/1000*AQ21</f>
        <v>278.183466806705</v>
      </c>
      <c r="AR41" s="44" t="n">
        <f aca="false">AR24*Assumptions!$F$17*Assumptions!$F$68*Assumptions!$F$69*Assumptions!$F$70*Assumptions!$F$71/1000*AR21</f>
        <v>290.742636904949</v>
      </c>
      <c r="AS41" s="44" t="n">
        <f aca="false">AS24*Assumptions!$F$17*Assumptions!$F$68*Assumptions!$F$69*Assumptions!$F$70*Assumptions!$F$71/1000*AS21</f>
        <v>303.241137916599</v>
      </c>
      <c r="AT41" s="44" t="n">
        <f aca="false">AT24*Assumptions!$F$17*Assumptions!$F$68*Assumptions!$F$69*Assumptions!$F$70*Assumptions!$F$71/1000*AT21</f>
        <v>315.635178415245</v>
      </c>
      <c r="AU41" s="44" t="n">
        <f aca="false">AU24*Assumptions!$F$17*Assumptions!$F$68*Assumptions!$F$69*Assumptions!$F$70*Assumptions!$F$71/1000*AU21</f>
        <v>327.928114157823</v>
      </c>
      <c r="AV41" s="44" t="n">
        <f aca="false">AV24*Assumptions!$F$17*Assumptions!$F$68*Assumptions!$F$69*Assumptions!$F$70*Assumptions!$F$71/1000*AV21</f>
        <v>340.122624467681</v>
      </c>
      <c r="AW41" s="44" t="n">
        <f aca="false">AW24*Assumptions!$F$17*Assumptions!$F$68*Assumptions!$F$69*Assumptions!$F$70*Assumptions!$F$71/1000*AW21</f>
        <v>352.190096715111</v>
      </c>
      <c r="AX41" s="44" t="n">
        <f aca="false">AX24*Assumptions!$F$17*Assumptions!$F$68*Assumptions!$F$69*Assumptions!$F$70*Assumptions!$F$71/1000*AX21</f>
        <v>364.143723413775</v>
      </c>
      <c r="AY41" s="44" t="n">
        <f aca="false">AY24*Assumptions!$F$17*Assumptions!$F$68*Assumptions!$F$69*Assumptions!$F$70*Assumptions!$F$71/1000*AY21</f>
        <v>375.992548759671</v>
      </c>
      <c r="AZ41" s="44" t="n">
        <f aca="false">AZ24*Assumptions!$F$17*Assumptions!$F$68*Assumptions!$F$69*Assumptions!$F$70*Assumptions!$F$71/1000*AZ21</f>
        <v>387.712068706394</v>
      </c>
      <c r="BA41" s="44" t="n">
        <f aca="false">BA24*Assumptions!$F$17*Assumptions!$F$68*Assumptions!$F$69*Assumptions!$F$70*Assumptions!$F$71/1000*BA21</f>
        <v>399.287273391574</v>
      </c>
      <c r="BB41" s="44" t="n">
        <f aca="false">BB24*Assumptions!$F$17*Assumptions!$F$68*Assumptions!$F$69*Assumptions!$F$70*Assumptions!$F$71/1000*BB21</f>
        <v>410.740155205955</v>
      </c>
      <c r="BC41" s="44" t="n">
        <f aca="false">BC24*Assumptions!$F$17*Assumptions!$F$68*Assumptions!$F$69*Assumptions!$F$70*Assumptions!$F$71/1000*BC21</f>
        <v>422.054592172781</v>
      </c>
      <c r="BD41" s="44" t="n">
        <f aca="false">BD24*Assumptions!$F$17*Assumptions!$F$68*Assumptions!$F$69*Assumptions!$F$70*Assumptions!$F$71/1000*BD21</f>
        <v>433.220989031884</v>
      </c>
      <c r="BE41" s="44" t="n">
        <f aca="false">BE24*Assumptions!$F$17*Assumptions!$F$68*Assumptions!$F$69*Assumptions!$F$70*Assumptions!$F$71/1000*BE21</f>
        <v>444.264824428508</v>
      </c>
      <c r="BF41" s="44" t="n">
        <f aca="false">BF24*Assumptions!$F$17*Assumptions!$F$68*Assumptions!$F$69*Assumptions!$F$70*Assumptions!$F$71/1000*BF21</f>
        <v>455.172209712946</v>
      </c>
      <c r="BG41" s="44" t="n">
        <f aca="false">BG24*Assumptions!$F$17*Assumptions!$F$68*Assumptions!$F$69*Assumptions!$F$70*Assumptions!$F$71/1000*BG21</f>
        <v>465.934969040315</v>
      </c>
      <c r="BH41" s="44" t="n">
        <f aca="false">BH24*Assumptions!$F$17*Assumptions!$F$68*Assumptions!$F$69*Assumptions!$F$70*Assumptions!$F$71/1000*BH21</f>
        <v>476.548627112201</v>
      </c>
      <c r="BI41" s="44" t="n">
        <f aca="false">BI24*Assumptions!$F$17*Assumptions!$F$68*Assumptions!$F$69*Assumptions!$F$70*Assumptions!$F$71/1000*BI21</f>
        <v>487.011101400387</v>
      </c>
      <c r="BJ41" s="44" t="n">
        <f aca="false">BJ24*Assumptions!$F$17*Assumptions!$F$68*Assumptions!$F$69*Assumptions!$F$70*Assumptions!$F$71/1000*BJ21</f>
        <v>497.321852281047</v>
      </c>
      <c r="BK41" s="44" t="n">
        <f aca="false">BK24*Assumptions!$F$17*Assumptions!$F$68*Assumptions!$F$69*Assumptions!$F$70*Assumptions!$F$71/1000*BK21</f>
        <v>507.481330807913</v>
      </c>
    </row>
    <row r="42" customFormat="false" ht="15" hidden="false" customHeight="false" outlineLevel="0" collapsed="false">
      <c r="A42" s="28" t="s">
        <v>600</v>
      </c>
      <c r="B42" s="6" t="s">
        <v>601</v>
      </c>
      <c r="C42" s="43"/>
      <c r="D42" s="17" t="n">
        <f aca="false">D13*Assumptions!$F$72*Assumptions!$F$73*D21</f>
        <v>0</v>
      </c>
      <c r="E42" s="17" t="n">
        <f aca="false">E13*Assumptions!$F$72*Assumptions!$F$73*E21</f>
        <v>0</v>
      </c>
      <c r="F42" s="17" t="n">
        <f aca="false">F13*Assumptions!$F$72*Assumptions!$F$73*F21</f>
        <v>0</v>
      </c>
      <c r="G42" s="17" t="n">
        <f aca="false">G13*Assumptions!$F$72*Assumptions!$F$73*G21</f>
        <v>0</v>
      </c>
      <c r="H42" s="17" t="n">
        <f aca="false">H13*Assumptions!$F$72*Assumptions!$F$73*H21</f>
        <v>0</v>
      </c>
      <c r="I42" s="17" t="n">
        <f aca="false">I13*Assumptions!$F$72*Assumptions!$F$73*I21</f>
        <v>0</v>
      </c>
      <c r="J42" s="17" t="n">
        <f aca="false">J13*Assumptions!$F$72*Assumptions!$F$73*J21</f>
        <v>0</v>
      </c>
      <c r="K42" s="17" t="n">
        <f aca="false">K13*Assumptions!$F$72*Assumptions!$F$73*K21</f>
        <v>0</v>
      </c>
      <c r="L42" s="17" t="n">
        <f aca="false">L13*Assumptions!$F$72*Assumptions!$F$73*L21</f>
        <v>0</v>
      </c>
      <c r="M42" s="17" t="n">
        <f aca="false">M13*Assumptions!$F$72*Assumptions!$F$73*M21</f>
        <v>0</v>
      </c>
      <c r="N42" s="17" t="n">
        <f aca="false">N13*Assumptions!$F$72*Assumptions!$F$73*N21</f>
        <v>0</v>
      </c>
      <c r="O42" s="17" t="n">
        <f aca="false">O13*Assumptions!$F$72*Assumptions!$F$73*O21</f>
        <v>0</v>
      </c>
      <c r="P42" s="17" t="n">
        <f aca="false">P13*Assumptions!$F$72*Assumptions!$F$73*P21</f>
        <v>0</v>
      </c>
      <c r="Q42" s="17" t="n">
        <f aca="false">Q13*Assumptions!$F$72*Assumptions!$F$73*Q21</f>
        <v>0</v>
      </c>
      <c r="R42" s="17" t="n">
        <f aca="false">R13*Assumptions!$F$72*Assumptions!$F$73*R21</f>
        <v>0</v>
      </c>
      <c r="S42" s="17" t="n">
        <f aca="false">S13*Assumptions!$F$72*Assumptions!$F$73*S21</f>
        <v>0</v>
      </c>
      <c r="T42" s="17" t="n">
        <f aca="false">T13*Assumptions!$F$72*Assumptions!$F$73*T21</f>
        <v>0</v>
      </c>
      <c r="U42" s="17" t="n">
        <f aca="false">U13*Assumptions!$F$72*Assumptions!$F$73*U21</f>
        <v>0</v>
      </c>
      <c r="V42" s="17" t="n">
        <f aca="false">V13*Assumptions!$F$72*Assumptions!$F$73*V21</f>
        <v>0</v>
      </c>
      <c r="W42" s="17" t="n">
        <f aca="false">W13*Assumptions!$F$72*Assumptions!$F$73*W21</f>
        <v>0</v>
      </c>
      <c r="X42" s="17" t="n">
        <f aca="false">X13*Assumptions!$F$72*Assumptions!$F$73*X21</f>
        <v>0</v>
      </c>
      <c r="Y42" s="17" t="n">
        <f aca="false">Y13*Assumptions!$F$72*Assumptions!$F$73*Y21</f>
        <v>0</v>
      </c>
      <c r="Z42" s="17" t="n">
        <f aca="false">Z13*Assumptions!$F$72*Assumptions!$F$73*Z21</f>
        <v>0</v>
      </c>
      <c r="AA42" s="17" t="n">
        <f aca="false">AA13*Assumptions!$F$72*Assumptions!$F$73*AA21</f>
        <v>0</v>
      </c>
      <c r="AB42" s="17" t="n">
        <f aca="false">AB13*Assumptions!$F$72*Assumptions!$F$73*AB21</f>
        <v>0</v>
      </c>
      <c r="AC42" s="17" t="n">
        <f aca="false">AC13*Assumptions!$F$72*Assumptions!$F$73*AC21</f>
        <v>0</v>
      </c>
      <c r="AD42" s="17" t="n">
        <f aca="false">AD13*Assumptions!$F$72*Assumptions!$F$73*AD21</f>
        <v>0</v>
      </c>
      <c r="AE42" s="17" t="n">
        <f aca="false">AE13*Assumptions!$F$72*Assumptions!$F$73*AE21</f>
        <v>0</v>
      </c>
      <c r="AF42" s="17" t="n">
        <f aca="false">AF13*Assumptions!$F$72*Assumptions!$F$73*AF21</f>
        <v>116.568180455676</v>
      </c>
      <c r="AG42" s="17" t="n">
        <f aca="false">AG13*Assumptions!$F$72*Assumptions!$F$73*AG21</f>
        <v>249.712915497683</v>
      </c>
      <c r="AH42" s="17" t="n">
        <f aca="false">AH13*Assumptions!$F$72*Assumptions!$F$73*AH21</f>
        <v>396.307232647826</v>
      </c>
      <c r="AI42" s="17" t="n">
        <f aca="false">AI13*Assumptions!$F$72*Assumptions!$F$73*AI21</f>
        <v>558.917098877478</v>
      </c>
      <c r="AJ42" s="17" t="n">
        <f aca="false">AJ13*Assumptions!$F$72*Assumptions!$F$73*AJ21</f>
        <v>739.268677992895</v>
      </c>
      <c r="AK42" s="17" t="n">
        <f aca="false">AK13*Assumptions!$F$72*Assumptions!$F$73*AK21</f>
        <v>938.809977387602</v>
      </c>
      <c r="AL42" s="17" t="n">
        <f aca="false">AL13*Assumptions!$F$72*Assumptions!$F$73*AL21</f>
        <v>991.558227726787</v>
      </c>
      <c r="AM42" s="17" t="n">
        <f aca="false">AM13*Assumptions!$F$72*Assumptions!$F$73*AM21</f>
        <v>1044.24965431089</v>
      </c>
      <c r="AN42" s="44" t="n">
        <f aca="false">AN13*Assumptions!$F$72*Assumptions!$F$73*AN21</f>
        <v>1097.98670949622</v>
      </c>
      <c r="AO42" s="44" t="n">
        <f aca="false">AO13*Assumptions!$F$72*Assumptions!$F$73*AO21</f>
        <v>1151.28490885378</v>
      </c>
      <c r="AP42" s="44" t="n">
        <f aca="false">AP13*Assumptions!$F$72*Assumptions!$F$73*AP21</f>
        <v>1204.15083522097</v>
      </c>
      <c r="AQ42" s="44" t="n">
        <f aca="false">AQ13*Assumptions!$F$72*Assumptions!$F$73*AQ21</f>
        <v>1256.59097269266</v>
      </c>
      <c r="AR42" s="44" t="n">
        <f aca="false">AR13*Assumptions!$F$72*Assumptions!$F$73*AR21</f>
        <v>1308.61170810227</v>
      </c>
      <c r="AS42" s="44" t="n">
        <f aca="false">AS13*Assumptions!$F$72*Assumptions!$F$73*AS21</f>
        <v>1360.21933248073</v>
      </c>
      <c r="AT42" s="44" t="n">
        <f aca="false">AT13*Assumptions!$F$72*Assumptions!$F$73*AT21</f>
        <v>1411.05284249352</v>
      </c>
      <c r="AU42" s="44" t="n">
        <f aca="false">AU13*Assumptions!$F$72*Assumptions!$F$73*AU21</f>
        <v>1461.49104985612</v>
      </c>
      <c r="AV42" s="44" t="n">
        <f aca="false">AV13*Assumptions!$F$72*Assumptions!$F$73*AV21</f>
        <v>1511.53988410828</v>
      </c>
      <c r="AW42" s="44" t="n">
        <f aca="false">AW13*Assumptions!$F$72*Assumptions!$F$73*AW21</f>
        <v>1560.83798584665</v>
      </c>
      <c r="AX42" s="44" t="n">
        <f aca="false">AX13*Assumptions!$F$72*Assumptions!$F$73*AX21</f>
        <v>1609.76381605895</v>
      </c>
      <c r="AY42" s="44" t="n">
        <f aca="false">AY13*Assumptions!$F$72*Assumptions!$F$73*AY21</f>
        <v>1658.32295881807</v>
      </c>
      <c r="AZ42" s="44" t="n">
        <f aca="false">AZ13*Assumptions!$F$72*Assumptions!$F$73*AZ21</f>
        <v>1706.1537144358</v>
      </c>
      <c r="BA42" s="44" t="n">
        <f aca="false">BA13*Assumptions!$F$72*Assumptions!$F$73*BA21</f>
        <v>1753.26700871926</v>
      </c>
      <c r="BB42" s="44" t="n">
        <f aca="false">BB13*Assumptions!$F$72*Assumptions!$F$73*BB21</f>
        <v>1800.04080358847</v>
      </c>
      <c r="BC42" s="44" t="n">
        <f aca="false">BC13*Assumptions!$F$72*Assumptions!$F$73*BC21</f>
        <v>1846.11299153465</v>
      </c>
      <c r="BD42" s="44" t="n">
        <f aca="false">BD13*Assumptions!$F$72*Assumptions!$F$73*BD21</f>
        <v>1891.49409666163</v>
      </c>
      <c r="BE42" s="44" t="n">
        <f aca="false">BE13*Assumptions!$F$72*Assumptions!$F$73*BE21</f>
        <v>1936.5616852117</v>
      </c>
      <c r="BF42" s="44" t="n">
        <f aca="false">BF13*Assumptions!$F$72*Assumptions!$F$73*BF21</f>
        <v>1980.95325993353</v>
      </c>
      <c r="BG42" s="44" t="n">
        <f aca="false">BG13*Assumptions!$F$72*Assumptions!$F$73*BG21</f>
        <v>2024.67896103452</v>
      </c>
      <c r="BH42" s="44" t="n">
        <f aca="false">BH13*Assumptions!$F$72*Assumptions!$F$73*BH21</f>
        <v>2067.74877661901</v>
      </c>
      <c r="BI42" s="44" t="n">
        <f aca="false">BI13*Assumptions!$F$72*Assumptions!$F$73*BI21</f>
        <v>2110.17254496972</v>
      </c>
      <c r="BJ42" s="44" t="n">
        <f aca="false">BJ13*Assumptions!$F$72*Assumptions!$F$73*BJ21</f>
        <v>2151.95995679518</v>
      </c>
      <c r="BK42" s="44" t="n">
        <f aca="false">BK13*Assumptions!$F$72*Assumptions!$F$73*BK21</f>
        <v>2193.12055744325</v>
      </c>
    </row>
    <row r="43" customFormat="false" ht="15" hidden="false" customHeight="false" outlineLevel="0" collapsed="false">
      <c r="A43" s="28" t="s">
        <v>602</v>
      </c>
      <c r="B43" s="6" t="s">
        <v>603</v>
      </c>
      <c r="C43" s="43"/>
      <c r="D43" s="17" t="n">
        <f aca="false">D13*Assumptions!$F$74*Assumptions!$F$75*Assumptions!$F$76*D21</f>
        <v>0</v>
      </c>
      <c r="E43" s="17" t="n">
        <f aca="false">E13*Assumptions!$F$74*Assumptions!$F$75*Assumptions!$F$76*E21</f>
        <v>0</v>
      </c>
      <c r="F43" s="17" t="n">
        <f aca="false">F13*Assumptions!$F$74*Assumptions!$F$75*Assumptions!$F$76*F21</f>
        <v>0</v>
      </c>
      <c r="G43" s="17" t="n">
        <f aca="false">G13*Assumptions!$F$74*Assumptions!$F$75*Assumptions!$F$76*G21</f>
        <v>0</v>
      </c>
      <c r="H43" s="17" t="n">
        <f aca="false">H13*Assumptions!$F$74*Assumptions!$F$75*Assumptions!$F$76*H21</f>
        <v>0</v>
      </c>
      <c r="I43" s="17" t="n">
        <f aca="false">I13*Assumptions!$F$74*Assumptions!$F$75*Assumptions!$F$76*I21</f>
        <v>0</v>
      </c>
      <c r="J43" s="17" t="n">
        <f aca="false">J13*Assumptions!$F$74*Assumptions!$F$75*Assumptions!$F$76*J21</f>
        <v>0</v>
      </c>
      <c r="K43" s="17" t="n">
        <f aca="false">K13*Assumptions!$F$74*Assumptions!$F$75*Assumptions!$F$76*K21</f>
        <v>0</v>
      </c>
      <c r="L43" s="17" t="n">
        <f aca="false">L13*Assumptions!$F$74*Assumptions!$F$75*Assumptions!$F$76*L21</f>
        <v>0</v>
      </c>
      <c r="M43" s="17" t="n">
        <f aca="false">M13*Assumptions!$F$74*Assumptions!$F$75*Assumptions!$F$76*M21</f>
        <v>0</v>
      </c>
      <c r="N43" s="17" t="n">
        <f aca="false">N13*Assumptions!$F$74*Assumptions!$F$75*Assumptions!$F$76*N21</f>
        <v>0</v>
      </c>
      <c r="O43" s="17" t="n">
        <f aca="false">O13*Assumptions!$F$74*Assumptions!$F$75*Assumptions!$F$76*O21</f>
        <v>0</v>
      </c>
      <c r="P43" s="17" t="n">
        <f aca="false">P13*Assumptions!$F$74*Assumptions!$F$75*Assumptions!$F$76*P21</f>
        <v>0</v>
      </c>
      <c r="Q43" s="17" t="n">
        <f aca="false">Q13*Assumptions!$F$74*Assumptions!$F$75*Assumptions!$F$76*Q21</f>
        <v>0</v>
      </c>
      <c r="R43" s="17" t="n">
        <f aca="false">R13*Assumptions!$F$74*Assumptions!$F$75*Assumptions!$F$76*R21</f>
        <v>0</v>
      </c>
      <c r="S43" s="17" t="n">
        <f aca="false">S13*Assumptions!$F$74*Assumptions!$F$75*Assumptions!$F$76*S21</f>
        <v>0</v>
      </c>
      <c r="T43" s="17" t="n">
        <f aca="false">T13*Assumptions!$F$74*Assumptions!$F$75*Assumptions!$F$76*T21</f>
        <v>0</v>
      </c>
      <c r="U43" s="17" t="n">
        <f aca="false">U13*Assumptions!$F$74*Assumptions!$F$75*Assumptions!$F$76*U21</f>
        <v>0</v>
      </c>
      <c r="V43" s="17" t="n">
        <f aca="false">V13*Assumptions!$F$74*Assumptions!$F$75*Assumptions!$F$76*V21</f>
        <v>0</v>
      </c>
      <c r="W43" s="17" t="n">
        <f aca="false">W13*Assumptions!$F$74*Assumptions!$F$75*Assumptions!$F$76*W21</f>
        <v>0</v>
      </c>
      <c r="X43" s="17" t="n">
        <f aca="false">X13*Assumptions!$F$74*Assumptions!$F$75*Assumptions!$F$76*X21</f>
        <v>0</v>
      </c>
      <c r="Y43" s="17" t="n">
        <f aca="false">Y13*Assumptions!$F$74*Assumptions!$F$75*Assumptions!$F$76*Y21</f>
        <v>0</v>
      </c>
      <c r="Z43" s="17" t="n">
        <f aca="false">Z13*Assumptions!$F$74*Assumptions!$F$75*Assumptions!$F$76*Z21</f>
        <v>0</v>
      </c>
      <c r="AA43" s="17" t="n">
        <f aca="false">AA13*Assumptions!$F$74*Assumptions!$F$75*Assumptions!$F$76*AA21</f>
        <v>0</v>
      </c>
      <c r="AB43" s="17" t="n">
        <f aca="false">AB13*Assumptions!$F$74*Assumptions!$F$75*Assumptions!$F$76*AB21</f>
        <v>0</v>
      </c>
      <c r="AC43" s="17" t="n">
        <f aca="false">AC13*Assumptions!$F$74*Assumptions!$F$75*Assumptions!$F$76*AC21</f>
        <v>0</v>
      </c>
      <c r="AD43" s="17" t="n">
        <f aca="false">AD13*Assumptions!$F$74*Assumptions!$F$75*Assumptions!$F$76*AD21</f>
        <v>0</v>
      </c>
      <c r="AE43" s="17" t="n">
        <f aca="false">AE13*Assumptions!$F$74*Assumptions!$F$75*Assumptions!$F$76*AE21</f>
        <v>0</v>
      </c>
      <c r="AF43" s="17" t="n">
        <f aca="false">AF13*Assumptions!$F$74*Assumptions!$F$75*Assumptions!$F$76*AF21</f>
        <v>103.616160405046</v>
      </c>
      <c r="AG43" s="17" t="n">
        <f aca="false">AG13*Assumptions!$F$74*Assumptions!$F$75*Assumptions!$F$76*AG21</f>
        <v>221.96703599794</v>
      </c>
      <c r="AH43" s="17" t="n">
        <f aca="false">AH13*Assumptions!$F$74*Assumptions!$F$75*Assumptions!$F$76*AH21</f>
        <v>352.273095686956</v>
      </c>
      <c r="AI43" s="17" t="n">
        <f aca="false">AI13*Assumptions!$F$74*Assumptions!$F$75*Assumptions!$F$76*AI21</f>
        <v>496.815199002203</v>
      </c>
      <c r="AJ43" s="17" t="n">
        <f aca="false">AJ13*Assumptions!$F$74*Assumptions!$F$75*Assumptions!$F$76*AJ21</f>
        <v>657.127713771462</v>
      </c>
      <c r="AK43" s="17" t="n">
        <f aca="false">AK13*Assumptions!$F$74*Assumptions!$F$75*Assumptions!$F$76*AK21</f>
        <v>834.497757677868</v>
      </c>
      <c r="AL43" s="17" t="n">
        <f aca="false">AL13*Assumptions!$F$74*Assumptions!$F$75*Assumptions!$F$76*AL21</f>
        <v>881.3850913127</v>
      </c>
      <c r="AM43" s="17" t="n">
        <f aca="false">AM13*Assumptions!$F$74*Assumptions!$F$75*Assumptions!$F$76*AM21</f>
        <v>928.221914943009</v>
      </c>
      <c r="AN43" s="44" t="n">
        <f aca="false">AN13*Assumptions!$F$74*Assumptions!$F$75*Assumptions!$F$76*AN21</f>
        <v>975.988186218864</v>
      </c>
      <c r="AO43" s="44" t="n">
        <f aca="false">AO13*Assumptions!$F$74*Assumptions!$F$75*Assumptions!$F$76*AO21</f>
        <v>1023.36436342558</v>
      </c>
      <c r="AP43" s="44" t="n">
        <f aca="false">AP13*Assumptions!$F$74*Assumptions!$F$75*Assumptions!$F$76*AP21</f>
        <v>1070.3562979742</v>
      </c>
      <c r="AQ43" s="44" t="n">
        <f aca="false">AQ13*Assumptions!$F$74*Assumptions!$F$75*Assumptions!$F$76*AQ21</f>
        <v>1116.96975350458</v>
      </c>
      <c r="AR43" s="44" t="n">
        <f aca="false">AR13*Assumptions!$F$74*Assumptions!$F$75*Assumptions!$F$76*AR21</f>
        <v>1163.21040720202</v>
      </c>
      <c r="AS43" s="44" t="n">
        <f aca="false">AS13*Assumptions!$F$74*Assumptions!$F$75*Assumptions!$F$76*AS21</f>
        <v>1209.08385109399</v>
      </c>
      <c r="AT43" s="44" t="n">
        <f aca="false">AT13*Assumptions!$F$74*Assumptions!$F$75*Assumptions!$F$76*AT21</f>
        <v>1254.26919332758</v>
      </c>
      <c r="AU43" s="44" t="n">
        <f aca="false">AU13*Assumptions!$F$74*Assumptions!$F$75*Assumptions!$F$76*AU21</f>
        <v>1299.10315542766</v>
      </c>
      <c r="AV43" s="44" t="n">
        <f aca="false">AV13*Assumptions!$F$74*Assumptions!$F$75*Assumptions!$F$76*AV21</f>
        <v>1343.59100809625</v>
      </c>
      <c r="AW43" s="44" t="n">
        <f aca="false">AW13*Assumptions!$F$74*Assumptions!$F$75*Assumptions!$F$76*AW21</f>
        <v>1387.4115429748</v>
      </c>
      <c r="AX43" s="44" t="n">
        <f aca="false">AX13*Assumptions!$F$74*Assumptions!$F$75*Assumptions!$F$76*AX21</f>
        <v>1430.90116983018</v>
      </c>
      <c r="AY43" s="44" t="n">
        <f aca="false">AY13*Assumptions!$F$74*Assumptions!$F$75*Assumptions!$F$76*AY21</f>
        <v>1474.06485228273</v>
      </c>
      <c r="AZ43" s="44" t="n">
        <f aca="false">AZ13*Assumptions!$F$74*Assumptions!$F$75*Assumptions!$F$76*AZ21</f>
        <v>1516.58107949849</v>
      </c>
      <c r="BA43" s="44" t="n">
        <f aca="false">BA13*Assumptions!$F$74*Assumptions!$F$75*Assumptions!$F$76*BA21</f>
        <v>1558.45956330601</v>
      </c>
      <c r="BB43" s="44" t="n">
        <f aca="false">BB13*Assumptions!$F$74*Assumptions!$F$75*Assumptions!$F$76*BB21</f>
        <v>1600.03626985642</v>
      </c>
      <c r="BC43" s="44" t="n">
        <f aca="false">BC13*Assumptions!$F$74*Assumptions!$F$75*Assumptions!$F$76*BC21</f>
        <v>1640.98932580857</v>
      </c>
      <c r="BD43" s="44" t="n">
        <f aca="false">BD13*Assumptions!$F$74*Assumptions!$F$75*Assumptions!$F$76*BD21</f>
        <v>1681.32808592145</v>
      </c>
      <c r="BE43" s="44" t="n">
        <f aca="false">BE13*Assumptions!$F$74*Assumptions!$F$75*Assumptions!$F$76*BE21</f>
        <v>1721.38816463262</v>
      </c>
      <c r="BF43" s="44" t="n">
        <f aca="false">BF13*Assumptions!$F$74*Assumptions!$F$75*Assumptions!$F$76*BF21</f>
        <v>1760.84734216314</v>
      </c>
      <c r="BG43" s="44" t="n">
        <f aca="false">BG13*Assumptions!$F$74*Assumptions!$F$75*Assumptions!$F$76*BG21</f>
        <v>1799.71463203069</v>
      </c>
      <c r="BH43" s="44" t="n">
        <f aca="false">BH13*Assumptions!$F$74*Assumptions!$F$75*Assumptions!$F$76*BH21</f>
        <v>1837.99891255023</v>
      </c>
      <c r="BI43" s="44" t="n">
        <f aca="false">BI13*Assumptions!$F$74*Assumptions!$F$75*Assumptions!$F$76*BI21</f>
        <v>1875.70892886197</v>
      </c>
      <c r="BJ43" s="44" t="n">
        <f aca="false">BJ13*Assumptions!$F$74*Assumptions!$F$75*Assumptions!$F$76*BJ21</f>
        <v>1912.85329492905</v>
      </c>
      <c r="BK43" s="44" t="n">
        <f aca="false">BK13*Assumptions!$F$74*Assumptions!$F$75*Assumptions!$F$76*BK21</f>
        <v>1949.44049550511</v>
      </c>
    </row>
    <row r="44" customFormat="false" ht="15" hidden="false" customHeight="false" outlineLevel="0" collapsed="false">
      <c r="A44" s="28" t="s">
        <v>604</v>
      </c>
      <c r="B44" s="6" t="s">
        <v>605</v>
      </c>
      <c r="C44" s="42"/>
      <c r="D44" s="26" t="n">
        <f aca="false">D10*Assumptions!$F$80/12*D18</f>
        <v>0</v>
      </c>
      <c r="E44" s="26" t="n">
        <f aca="false">E10*Assumptions!$F$80/12*E18</f>
        <v>0</v>
      </c>
      <c r="F44" s="26" t="n">
        <f aca="false">F10*Assumptions!$F$80/12*F18</f>
        <v>0</v>
      </c>
      <c r="G44" s="26" t="n">
        <f aca="false">G10*Assumptions!$F$80/12*G18</f>
        <v>0</v>
      </c>
      <c r="H44" s="26" t="n">
        <f aca="false">H10*Assumptions!$F$80/12*H18</f>
        <v>0</v>
      </c>
      <c r="I44" s="26" t="n">
        <f aca="false">I10*Assumptions!$F$80/12*I18</f>
        <v>0</v>
      </c>
      <c r="J44" s="26" t="n">
        <f aca="false">J10*Assumptions!$F$80/12*J18</f>
        <v>0</v>
      </c>
      <c r="K44" s="26" t="n">
        <f aca="false">K10*Assumptions!$F$80/12*K18</f>
        <v>0</v>
      </c>
      <c r="L44" s="26" t="n">
        <f aca="false">L10*Assumptions!$F$80/12*L18</f>
        <v>0</v>
      </c>
      <c r="M44" s="26" t="n">
        <f aca="false">M10*Assumptions!$F$80/12*M18</f>
        <v>0</v>
      </c>
      <c r="N44" s="26" t="n">
        <f aca="false">N10*Assumptions!$F$80/12*N18</f>
        <v>0</v>
      </c>
      <c r="O44" s="26" t="n">
        <f aca="false">O10*Assumptions!$F$80/12*O18</f>
        <v>0</v>
      </c>
      <c r="P44" s="26" t="n">
        <f aca="false">P10*Assumptions!$F$80/12*P18</f>
        <v>0</v>
      </c>
      <c r="Q44" s="26" t="n">
        <f aca="false">Q10*Assumptions!$F$80/12*Q18</f>
        <v>0</v>
      </c>
      <c r="R44" s="26" t="n">
        <f aca="false">R10*Assumptions!$F$80/12*R18</f>
        <v>0</v>
      </c>
      <c r="S44" s="26" t="n">
        <f aca="false">S10*Assumptions!$F$80/12*S18</f>
        <v>0</v>
      </c>
      <c r="T44" s="26" t="n">
        <f aca="false">T10*Assumptions!$F$80/12*T18</f>
        <v>0.666666666666667</v>
      </c>
      <c r="U44" s="26" t="n">
        <f aca="false">U10*Assumptions!$F$80/12*U18</f>
        <v>0.833333333333333</v>
      </c>
      <c r="V44" s="26" t="n">
        <f aca="false">V10*Assumptions!$F$80/12*V18</f>
        <v>1</v>
      </c>
      <c r="W44" s="26" t="n">
        <f aca="false">W10*Assumptions!$F$80/12*W18</f>
        <v>1.16666666666667</v>
      </c>
      <c r="X44" s="26" t="n">
        <f aca="false">X10*Assumptions!$F$80/12*X18</f>
        <v>1.33333333333333</v>
      </c>
      <c r="Y44" s="26" t="n">
        <f aca="false">Y10*Assumptions!$F$80/12*Y18</f>
        <v>1.5</v>
      </c>
      <c r="Z44" s="26" t="n">
        <f aca="false">Z10*Assumptions!$F$80/12*Z18</f>
        <v>1.66666666666667</v>
      </c>
      <c r="AA44" s="26" t="n">
        <f aca="false">AA10*Assumptions!$F$80/12*AA18</f>
        <v>1.83333333333333</v>
      </c>
      <c r="AB44" s="26" t="n">
        <f aca="false">AB10*Assumptions!$F$80/12*AB18</f>
        <v>2</v>
      </c>
      <c r="AC44" s="26" t="n">
        <f aca="false">AC10*Assumptions!$F$80/12*AC18</f>
        <v>2.33333333333333</v>
      </c>
      <c r="AD44" s="26" t="n">
        <f aca="false">AD10*Assumptions!$F$80/12*AD18</f>
        <v>2.5</v>
      </c>
      <c r="AE44" s="26" t="n">
        <f aca="false">AE10*Assumptions!$F$80/12*AE18</f>
        <v>2.66666666666667</v>
      </c>
      <c r="AF44" s="26" t="n">
        <f aca="false">AF10*Assumptions!$F$80/12*AF18</f>
        <v>3</v>
      </c>
      <c r="AG44" s="26" t="n">
        <f aca="false">AG10*Assumptions!$F$80/12*AG18</f>
        <v>3.16666666666667</v>
      </c>
      <c r="AH44" s="26" t="n">
        <f aca="false">AH10*Assumptions!$F$80/12*AH18</f>
        <v>3.33333333333333</v>
      </c>
      <c r="AI44" s="26" t="n">
        <f aca="false">AI10*Assumptions!$F$80/12*AI18</f>
        <v>3.66666666666667</v>
      </c>
      <c r="AJ44" s="26" t="n">
        <f aca="false">AJ10*Assumptions!$F$80/12*AJ18</f>
        <v>4</v>
      </c>
      <c r="AK44" s="26" t="n">
        <f aca="false">AK10*Assumptions!$F$80/12*AK18</f>
        <v>4.16666666666667</v>
      </c>
      <c r="AL44" s="26" t="n">
        <f aca="false">AL10*Assumptions!$F$80/12*AL18</f>
        <v>4.5</v>
      </c>
      <c r="AM44" s="26" t="n">
        <f aca="false">AM10*Assumptions!$F$80/12*AM18</f>
        <v>4.83333333333333</v>
      </c>
      <c r="AN44" s="37" t="n">
        <f aca="false">AN10*Assumptions!$F$80/12*AN18</f>
        <v>5</v>
      </c>
      <c r="AO44" s="37" t="n">
        <f aca="false">AO10*Assumptions!$F$80/12*AO18</f>
        <v>5.33333333333333</v>
      </c>
      <c r="AP44" s="37" t="n">
        <f aca="false">AP10*Assumptions!$F$80/12*AP18</f>
        <v>5.66666666666667</v>
      </c>
      <c r="AQ44" s="37" t="n">
        <f aca="false">AQ10*Assumptions!$F$80/12*AQ18</f>
        <v>6</v>
      </c>
      <c r="AR44" s="37" t="n">
        <f aca="false">AR10*Assumptions!$F$80/12*AR18</f>
        <v>6.33333333333333</v>
      </c>
      <c r="AS44" s="37" t="n">
        <f aca="false">AS10*Assumptions!$F$80/12*AS18</f>
        <v>6.66666666666667</v>
      </c>
      <c r="AT44" s="37" t="n">
        <f aca="false">AT10*Assumptions!$F$80/12*AT18</f>
        <v>7</v>
      </c>
      <c r="AU44" s="37" t="n">
        <f aca="false">AU10*Assumptions!$F$80/12*AU18</f>
        <v>7.33333333333333</v>
      </c>
      <c r="AV44" s="37" t="n">
        <f aca="false">AV10*Assumptions!$F$80/12*AV18</f>
        <v>7.66666666666667</v>
      </c>
      <c r="AW44" s="37" t="n">
        <f aca="false">AW10*Assumptions!$F$80/12*AW18</f>
        <v>8</v>
      </c>
      <c r="AX44" s="37" t="n">
        <f aca="false">AX10*Assumptions!$F$80/12*AX18</f>
        <v>8.33333333333333</v>
      </c>
      <c r="AY44" s="37" t="n">
        <f aca="false">AY10*Assumptions!$F$80/12*AY18</f>
        <v>8.66666666666667</v>
      </c>
      <c r="AZ44" s="37" t="n">
        <f aca="false">AZ10*Assumptions!$F$80/12*AZ18</f>
        <v>9</v>
      </c>
      <c r="BA44" s="37" t="n">
        <f aca="false">BA10*Assumptions!$F$80/12*BA18</f>
        <v>9.33333333333333</v>
      </c>
      <c r="BB44" s="37" t="n">
        <f aca="false">BB10*Assumptions!$F$80/12*BB18</f>
        <v>9.66666666666667</v>
      </c>
      <c r="BC44" s="37" t="n">
        <f aca="false">BC10*Assumptions!$F$80/12*BC18</f>
        <v>10</v>
      </c>
      <c r="BD44" s="37" t="n">
        <f aca="false">BD10*Assumptions!$F$80/12*BD18</f>
        <v>10.3333333333333</v>
      </c>
      <c r="BE44" s="37" t="n">
        <f aca="false">BE10*Assumptions!$F$80/12*BE18</f>
        <v>10.6666666666667</v>
      </c>
      <c r="BF44" s="37" t="n">
        <f aca="false">BF10*Assumptions!$F$80/12*BF18</f>
        <v>11</v>
      </c>
      <c r="BG44" s="37" t="n">
        <f aca="false">BG10*Assumptions!$F$80/12*BG18</f>
        <v>11.3333333333333</v>
      </c>
      <c r="BH44" s="37" t="n">
        <f aca="false">BH10*Assumptions!$F$80/12*BH18</f>
        <v>11.6666666666667</v>
      </c>
      <c r="BI44" s="37" t="n">
        <f aca="false">BI10*Assumptions!$F$80/12*BI18</f>
        <v>12</v>
      </c>
      <c r="BJ44" s="37" t="n">
        <f aca="false">BJ10*Assumptions!$F$80/12*BJ18</f>
        <v>12.3333333333333</v>
      </c>
      <c r="BK44" s="37" t="n">
        <f aca="false">BK10*Assumptions!$F$80/12*BK18</f>
        <v>12.6666666666667</v>
      </c>
    </row>
    <row r="45" customFormat="false" ht="15" hidden="false" customHeight="false" outlineLevel="0" collapsed="false">
      <c r="A45" s="28" t="s">
        <v>606</v>
      </c>
      <c r="B45" s="6" t="s">
        <v>607</v>
      </c>
      <c r="C45" s="43"/>
      <c r="D45" s="17" t="n">
        <f aca="false">D44*Assumptions!$F$81</f>
        <v>0</v>
      </c>
      <c r="E45" s="17" t="n">
        <f aca="false">E44*Assumptions!$F$81</f>
        <v>0</v>
      </c>
      <c r="F45" s="17" t="n">
        <f aca="false">F44*Assumptions!$F$81</f>
        <v>0</v>
      </c>
      <c r="G45" s="17" t="n">
        <f aca="false">G44*Assumptions!$F$81</f>
        <v>0</v>
      </c>
      <c r="H45" s="17" t="n">
        <f aca="false">H44*Assumptions!$F$81</f>
        <v>0</v>
      </c>
      <c r="I45" s="17" t="n">
        <f aca="false">I44*Assumptions!$F$81</f>
        <v>0</v>
      </c>
      <c r="J45" s="17" t="n">
        <f aca="false">J44*Assumptions!$F$81</f>
        <v>0</v>
      </c>
      <c r="K45" s="17" t="n">
        <f aca="false">K44*Assumptions!$F$81</f>
        <v>0</v>
      </c>
      <c r="L45" s="17" t="n">
        <f aca="false">L44*Assumptions!$F$81</f>
        <v>0</v>
      </c>
      <c r="M45" s="17" t="n">
        <f aca="false">M44*Assumptions!$F$81</f>
        <v>0</v>
      </c>
      <c r="N45" s="17" t="n">
        <f aca="false">N44*Assumptions!$F$81</f>
        <v>0</v>
      </c>
      <c r="O45" s="17" t="n">
        <f aca="false">O44*Assumptions!$F$81</f>
        <v>0</v>
      </c>
      <c r="P45" s="17" t="n">
        <f aca="false">P44*Assumptions!$F$81</f>
        <v>0</v>
      </c>
      <c r="Q45" s="17" t="n">
        <f aca="false">Q44*Assumptions!$F$81</f>
        <v>0</v>
      </c>
      <c r="R45" s="17" t="n">
        <f aca="false">R44*Assumptions!$F$81</f>
        <v>0</v>
      </c>
      <c r="S45" s="17" t="n">
        <f aca="false">S44*Assumptions!$F$81</f>
        <v>0</v>
      </c>
      <c r="T45" s="17" t="n">
        <f aca="false">T44*Assumptions!$F$81</f>
        <v>1500</v>
      </c>
      <c r="U45" s="17" t="n">
        <f aca="false">U44*Assumptions!$F$81</f>
        <v>1875</v>
      </c>
      <c r="V45" s="17" t="n">
        <f aca="false">V44*Assumptions!$F$81</f>
        <v>2250</v>
      </c>
      <c r="W45" s="17" t="n">
        <f aca="false">W44*Assumptions!$F$81</f>
        <v>2625</v>
      </c>
      <c r="X45" s="17" t="n">
        <f aca="false">X44*Assumptions!$F$81</f>
        <v>3000</v>
      </c>
      <c r="Y45" s="17" t="n">
        <f aca="false">Y44*Assumptions!$F$81</f>
        <v>3375</v>
      </c>
      <c r="Z45" s="17" t="n">
        <f aca="false">Z44*Assumptions!$F$81</f>
        <v>3750</v>
      </c>
      <c r="AA45" s="17" t="n">
        <f aca="false">AA44*Assumptions!$F$81</f>
        <v>4125</v>
      </c>
      <c r="AB45" s="17" t="n">
        <f aca="false">AB44*Assumptions!$F$81</f>
        <v>4500</v>
      </c>
      <c r="AC45" s="17" t="n">
        <f aca="false">AC44*Assumptions!$F$81</f>
        <v>5250</v>
      </c>
      <c r="AD45" s="17" t="n">
        <f aca="false">AD44*Assumptions!$F$81</f>
        <v>5625</v>
      </c>
      <c r="AE45" s="17" t="n">
        <f aca="false">AE44*Assumptions!$F$81</f>
        <v>6000</v>
      </c>
      <c r="AF45" s="17" t="n">
        <f aca="false">AF44*Assumptions!$F$81</f>
        <v>6750</v>
      </c>
      <c r="AG45" s="17" t="n">
        <f aca="false">AG44*Assumptions!$F$81</f>
        <v>7125</v>
      </c>
      <c r="AH45" s="17" t="n">
        <f aca="false">AH44*Assumptions!$F$81</f>
        <v>7500</v>
      </c>
      <c r="AI45" s="17" t="n">
        <f aca="false">AI44*Assumptions!$F$81</f>
        <v>8250</v>
      </c>
      <c r="AJ45" s="17" t="n">
        <f aca="false">AJ44*Assumptions!$F$81</f>
        <v>9000</v>
      </c>
      <c r="AK45" s="17" t="n">
        <f aca="false">AK44*Assumptions!$F$81</f>
        <v>9375</v>
      </c>
      <c r="AL45" s="17" t="n">
        <f aca="false">AL44*Assumptions!$F$81</f>
        <v>10125</v>
      </c>
      <c r="AM45" s="17" t="n">
        <f aca="false">AM44*Assumptions!$F$81</f>
        <v>10875</v>
      </c>
      <c r="AN45" s="44" t="n">
        <f aca="false">AN44*Assumptions!$F$81</f>
        <v>11250</v>
      </c>
      <c r="AO45" s="44" t="n">
        <f aca="false">AO44*Assumptions!$F$81</f>
        <v>12000</v>
      </c>
      <c r="AP45" s="44" t="n">
        <f aca="false">AP44*Assumptions!$F$81</f>
        <v>12750</v>
      </c>
      <c r="AQ45" s="44" t="n">
        <f aca="false">AQ44*Assumptions!$F$81</f>
        <v>13500</v>
      </c>
      <c r="AR45" s="44" t="n">
        <f aca="false">AR44*Assumptions!$F$81</f>
        <v>14250</v>
      </c>
      <c r="AS45" s="44" t="n">
        <f aca="false">AS44*Assumptions!$F$81</f>
        <v>15000</v>
      </c>
      <c r="AT45" s="44" t="n">
        <f aca="false">AT44*Assumptions!$F$81</f>
        <v>15750</v>
      </c>
      <c r="AU45" s="44" t="n">
        <f aca="false">AU44*Assumptions!$F$81</f>
        <v>16500</v>
      </c>
      <c r="AV45" s="44" t="n">
        <f aca="false">AV44*Assumptions!$F$81</f>
        <v>17250</v>
      </c>
      <c r="AW45" s="44" t="n">
        <f aca="false">AW44*Assumptions!$F$81</f>
        <v>18000</v>
      </c>
      <c r="AX45" s="44" t="n">
        <f aca="false">AX44*Assumptions!$F$81</f>
        <v>18750</v>
      </c>
      <c r="AY45" s="44" t="n">
        <f aca="false">AY44*Assumptions!$F$81</f>
        <v>19500</v>
      </c>
      <c r="AZ45" s="44" t="n">
        <f aca="false">AZ44*Assumptions!$F$81</f>
        <v>20250</v>
      </c>
      <c r="BA45" s="44" t="n">
        <f aca="false">BA44*Assumptions!$F$81</f>
        <v>21000</v>
      </c>
      <c r="BB45" s="44" t="n">
        <f aca="false">BB44*Assumptions!$F$81</f>
        <v>21750</v>
      </c>
      <c r="BC45" s="44" t="n">
        <f aca="false">BC44*Assumptions!$F$81</f>
        <v>22500</v>
      </c>
      <c r="BD45" s="44" t="n">
        <f aca="false">BD44*Assumptions!$F$81</f>
        <v>23250</v>
      </c>
      <c r="BE45" s="44" t="n">
        <f aca="false">BE44*Assumptions!$F$81</f>
        <v>24000</v>
      </c>
      <c r="BF45" s="44" t="n">
        <f aca="false">BF44*Assumptions!$F$81</f>
        <v>24750</v>
      </c>
      <c r="BG45" s="44" t="n">
        <f aca="false">BG44*Assumptions!$F$81</f>
        <v>25500</v>
      </c>
      <c r="BH45" s="44" t="n">
        <f aca="false">BH44*Assumptions!$F$81</f>
        <v>26250</v>
      </c>
      <c r="BI45" s="44" t="n">
        <f aca="false">BI44*Assumptions!$F$81</f>
        <v>27000</v>
      </c>
      <c r="BJ45" s="44" t="n">
        <f aca="false">BJ44*Assumptions!$F$81</f>
        <v>27750</v>
      </c>
      <c r="BK45" s="44" t="n">
        <f aca="false">BK44*Assumptions!$F$81</f>
        <v>28500</v>
      </c>
    </row>
    <row r="46" customFormat="false" ht="15" hidden="false" customHeight="false" outlineLevel="0" collapsed="false">
      <c r="A46" s="28" t="s">
        <v>608</v>
      </c>
      <c r="B46" s="5" t="s">
        <v>609</v>
      </c>
      <c r="C46" s="43"/>
      <c r="D46" s="45" t="n">
        <f aca="false">D37+D38+D40+D41+D42+D43+D45</f>
        <v>0</v>
      </c>
      <c r="E46" s="45" t="n">
        <f aca="false">E37+E38+E40+E41+E42+E43+E45</f>
        <v>0</v>
      </c>
      <c r="F46" s="45" t="n">
        <f aca="false">F37+F38+F40+F41+F42+F43+F45</f>
        <v>0</v>
      </c>
      <c r="G46" s="45" t="n">
        <f aca="false">G37+G38+G40+G41+G42+G43+G45</f>
        <v>0</v>
      </c>
      <c r="H46" s="45" t="n">
        <f aca="false">H37+H38+H40+H41+H42+H43+H45</f>
        <v>0</v>
      </c>
      <c r="I46" s="45" t="n">
        <f aca="false">I37+I38+I40+I41+I42+I43+I45</f>
        <v>0</v>
      </c>
      <c r="J46" s="45" t="n">
        <f aca="false">J37+J38+J40+J41+J42+J43+J45</f>
        <v>0</v>
      </c>
      <c r="K46" s="45" t="n">
        <f aca="false">K37+K38+K40+K41+K42+K43+K45</f>
        <v>0</v>
      </c>
      <c r="L46" s="45" t="n">
        <f aca="false">L37+L38+L40+L41+L42+L43+L45</f>
        <v>0</v>
      </c>
      <c r="M46" s="45" t="n">
        <f aca="false">M37+M38+M40+M41+M42+M43+M45</f>
        <v>0</v>
      </c>
      <c r="N46" s="45" t="n">
        <f aca="false">N37+N38+N40+N41+N42+N43+N45</f>
        <v>0</v>
      </c>
      <c r="O46" s="45" t="n">
        <f aca="false">O37+O38+O40+O41+O42+O43+O45</f>
        <v>45.7008852013079</v>
      </c>
      <c r="P46" s="45" t="n">
        <f aca="false">P37+P38+P40+P41+P42+P43+P45</f>
        <v>98.5853206254904</v>
      </c>
      <c r="Q46" s="45" t="n">
        <f aca="false">Q37+Q38+Q40+Q41+Q42+Q43+Q45</f>
        <v>158.701451161275</v>
      </c>
      <c r="R46" s="45" t="n">
        <f aca="false">R37+R38+R40+R41+R42+R43+R45</f>
        <v>225.619806394863</v>
      </c>
      <c r="S46" s="45" t="n">
        <f aca="false">S37+S38+S40+S41+S42+S43+S45</f>
        <v>299.407227561457</v>
      </c>
      <c r="T46" s="45" t="n">
        <f aca="false">T37+T38+T40+T41+T42+T43+T45</f>
        <v>2039.72140607882</v>
      </c>
      <c r="U46" s="45" t="n">
        <f aca="false">U37+U38+U40+U41+U42+U43+U45</f>
        <v>2668.63466015989</v>
      </c>
      <c r="V46" s="45" t="n">
        <f aca="false">V37+V38+V40+V41+V42+V43+V45</f>
        <v>3310.11253404749</v>
      </c>
      <c r="W46" s="45" t="n">
        <f aca="false">W37+W38+W40+W41+W42+W43+W45</f>
        <v>3973.05568460556</v>
      </c>
      <c r="X46" s="45" t="n">
        <f aca="false">X37+X38+X40+X41+X42+X43+X45</f>
        <v>4654.53545135755</v>
      </c>
      <c r="Y46" s="45" t="n">
        <f aca="false">Y37+Y38+Y40+Y41+Y42+Y43+Y45</f>
        <v>5350.27879114044</v>
      </c>
      <c r="Z46" s="45" t="n">
        <f aca="false">Z37+Z38+Z40+Z41+Z42+Z43+Z45</f>
        <v>6067.0132407874</v>
      </c>
      <c r="AA46" s="45" t="n">
        <f aca="false">AA37+AA38+AA40+AA41+AA42+AA43+AA45</f>
        <v>6800.21862828311</v>
      </c>
      <c r="AB46" s="45" t="n">
        <f aca="false">AB37+AB38+AB40+AB41+AB42+AB43+AB45</f>
        <v>7545.35228198192</v>
      </c>
      <c r="AC46" s="45" t="n">
        <f aca="false">AC37+AC38+AC40+AC41+AC42+AC43+AC45</f>
        <v>8682.71441703664</v>
      </c>
      <c r="AD46" s="45" t="n">
        <f aca="false">AD37+AD38+AD40+AD41+AD42+AD43+AD45</f>
        <v>9467.92036876223</v>
      </c>
      <c r="AE46" s="45" t="n">
        <f aca="false">AE37+AE38+AE40+AE41+AE42+AE43+AE45</f>
        <v>10269.2483991546</v>
      </c>
      <c r="AF46" s="45" t="n">
        <f aca="false">AF37+AF38+AF40+AF41+AF42+AF43+AF45</f>
        <v>11708.8060395994</v>
      </c>
      <c r="AG46" s="45" t="n">
        <f aca="false">AG37+AG38+AG40+AG41+AG42+AG43+AG45</f>
        <v>12830.0302735391</v>
      </c>
      <c r="AH46" s="45" t="n">
        <f aca="false">AH37+AH38+AH40+AH41+AH42+AH43+AH45</f>
        <v>13993.680819568</v>
      </c>
      <c r="AI46" s="45" t="n">
        <f aca="false">AI37+AI38+AI40+AI41+AI42+AI43+AI45</f>
        <v>15581.1988879357</v>
      </c>
      <c r="AJ46" s="45" t="n">
        <f aca="false">AJ37+AJ38+AJ40+AJ41+AJ42+AJ43+AJ45</f>
        <v>17223.2228316157</v>
      </c>
      <c r="AK46" s="45" t="n">
        <f aca="false">AK37+AK38+AK40+AK41+AK42+AK43+AK45</f>
        <v>18549.7277182015</v>
      </c>
      <c r="AL46" s="45" t="n">
        <f aca="false">AL37+AL38+AL40+AL41+AL42+AL43+AL45</f>
        <v>19961.1587575094</v>
      </c>
      <c r="AM46" s="45" t="n">
        <f aca="false">AM37+AM38+AM40+AM41+AM42+AM43+AM45</f>
        <v>21390.1929037585</v>
      </c>
      <c r="AN46" s="46" t="n">
        <f aca="false">AN37+AN38+AN40+AN41+AN42+AN43+AN45</f>
        <v>22463.8025496706</v>
      </c>
      <c r="AO46" s="46" t="n">
        <f aca="false">AO37+AO38+AO40+AO41+AO42+AO43+AO45</f>
        <v>23927.362233158</v>
      </c>
      <c r="AP46" s="46" t="n">
        <f aca="false">AP37+AP38+AP40+AP41+AP42+AP43+AP45</f>
        <v>25404.2362301321</v>
      </c>
      <c r="AQ46" s="46" t="n">
        <f aca="false">AQ37+AQ38+AQ40+AQ41+AQ42+AQ43+AQ45</f>
        <v>26892.9370143484</v>
      </c>
      <c r="AR46" s="46" t="n">
        <f aca="false">AR37+AR38+AR40+AR41+AR42+AR43+AR45</f>
        <v>28392.1064315929</v>
      </c>
      <c r="AS46" s="46" t="n">
        <f aca="false">AS37+AS38+AS40+AS41+AS42+AS43+AS45</f>
        <v>29900.5010124613</v>
      </c>
      <c r="AT46" s="46" t="n">
        <f aca="false">AT37+AT38+AT40+AT41+AT42+AT43+AT45</f>
        <v>31415.8613522335</v>
      </c>
      <c r="AU46" s="46" t="n">
        <f aca="false">AU37+AU38+AU40+AU41+AU42+AU43+AU45</f>
        <v>32937.8895114482</v>
      </c>
      <c r="AV46" s="46" t="n">
        <f aca="false">AV37+AV38+AV40+AV41+AV42+AV43+AV45</f>
        <v>34465.6616365004</v>
      </c>
      <c r="AW46" s="46" t="n">
        <f aca="false">AW37+AW38+AW40+AW41+AW42+AW43+AW45</f>
        <v>35997.2076954259</v>
      </c>
      <c r="AX46" s="46" t="n">
        <f aca="false">AX37+AX38+AX40+AX41+AX42+AX43+AX45</f>
        <v>37532.4933904121</v>
      </c>
      <c r="AY46" s="46" t="n">
        <f aca="false">AY37+AY38+AY40+AY41+AY42+AY43+AY45</f>
        <v>39070.8361610134</v>
      </c>
      <c r="AZ46" s="46" t="n">
        <f aca="false">AZ37+AZ38+AZ40+AZ41+AZ42+AZ43+AZ45</f>
        <v>40610.4875349147</v>
      </c>
      <c r="BA46" s="46" t="n">
        <f aca="false">BA37+BA38+BA40+BA41+BA42+BA43+BA45</f>
        <v>42150.4983205309</v>
      </c>
      <c r="BB46" s="46" t="n">
        <f aca="false">BB37+BB38+BB40+BB41+BB42+BB43+BB45</f>
        <v>43691.1235027332</v>
      </c>
      <c r="BC46" s="46" t="n">
        <f aca="false">BC37+BC38+BC40+BC41+BC42+BC43+BC45</f>
        <v>45230.8269585213</v>
      </c>
      <c r="BD46" s="46" t="n">
        <f aca="false">BD37+BD38+BD40+BD41+BD42+BD43+BD45</f>
        <v>46768.8536300224</v>
      </c>
      <c r="BE46" s="46" t="n">
        <f aca="false">BE37+BE38+BE40+BE41+BE42+BE43+BE45</f>
        <v>48305.6365877121</v>
      </c>
      <c r="BF46" s="46" t="n">
        <f aca="false">BF37+BF38+BF40+BF41+BF42+BF43+BF45</f>
        <v>49839.8034657911</v>
      </c>
      <c r="BG46" s="46" t="n">
        <f aca="false">BG37+BG38+BG40+BG41+BG42+BG43+BG45</f>
        <v>51370.7500407118</v>
      </c>
      <c r="BH46" s="46" t="n">
        <f aca="false">BH37+BH38+BH40+BH41+BH42+BH43+BH45</f>
        <v>52897.9296694657</v>
      </c>
      <c r="BI46" s="46" t="n">
        <f aca="false">BI37+BI38+BI40+BI41+BI42+BI43+BI45</f>
        <v>54420.8479192693</v>
      </c>
      <c r="BJ46" s="46" t="n">
        <f aca="false">BJ37+BJ38+BJ40+BJ41+BJ42+BJ43+BJ45</f>
        <v>55939.057955498</v>
      </c>
      <c r="BK46" s="46" t="n">
        <f aca="false">BK37+BK38+BK40+BK41+BK42+BK43+BK45</f>
        <v>57452.1565052645</v>
      </c>
    </row>
    <row r="47" customFormat="false" ht="15" hidden="false" customHeight="false" outlineLevel="0" collapsed="false">
      <c r="A47" s="28" t="s">
        <v>610</v>
      </c>
      <c r="B47" s="6" t="s">
        <v>611</v>
      </c>
      <c r="C47" s="43"/>
      <c r="D47" s="17" t="n">
        <f aca="false">D37+D38</f>
        <v>0</v>
      </c>
      <c r="E47" s="17" t="n">
        <f aca="false">E37+E38</f>
        <v>0</v>
      </c>
      <c r="F47" s="17" t="n">
        <f aca="false">F37+F38</f>
        <v>0</v>
      </c>
      <c r="G47" s="17" t="n">
        <f aca="false">G37+G38</f>
        <v>0</v>
      </c>
      <c r="H47" s="17" t="n">
        <f aca="false">H37+H38</f>
        <v>0</v>
      </c>
      <c r="I47" s="17" t="n">
        <f aca="false">I37+I38</f>
        <v>0</v>
      </c>
      <c r="J47" s="17" t="n">
        <f aca="false">J37+J38</f>
        <v>0</v>
      </c>
      <c r="K47" s="17" t="n">
        <f aca="false">K37+K38</f>
        <v>0</v>
      </c>
      <c r="L47" s="17" t="n">
        <f aca="false">L37+L38</f>
        <v>0</v>
      </c>
      <c r="M47" s="17" t="n">
        <f aca="false">M37+M38</f>
        <v>0</v>
      </c>
      <c r="N47" s="17" t="n">
        <f aca="false">N37+N38</f>
        <v>0</v>
      </c>
      <c r="O47" s="17" t="n">
        <f aca="false">O37+O38</f>
        <v>34.168886131819</v>
      </c>
      <c r="P47" s="17" t="n">
        <f aca="false">P37+P38</f>
        <v>73.7086509349461</v>
      </c>
      <c r="Q47" s="17" t="n">
        <f aca="false">Q37+Q38</f>
        <v>118.655290587869</v>
      </c>
      <c r="R47" s="17" t="n">
        <f aca="false">R37+R38</f>
        <v>168.687705715785</v>
      </c>
      <c r="S47" s="17" t="n">
        <f aca="false">S37+S38</f>
        <v>223.855871073987</v>
      </c>
      <c r="T47" s="17" t="n">
        <f aca="false">T37+T38</f>
        <v>407.286609390204</v>
      </c>
      <c r="U47" s="17" t="n">
        <f aca="false">U37+U38</f>
        <v>601.066586955448</v>
      </c>
      <c r="V47" s="17" t="n">
        <f aca="false">V37+V38</f>
        <v>804.409452305623</v>
      </c>
      <c r="W47" s="17" t="n">
        <f aca="false">W37+W38</f>
        <v>1024.09823660333</v>
      </c>
      <c r="X47" s="17" t="n">
        <f aca="false">X37+X38</f>
        <v>1257.90356354118</v>
      </c>
      <c r="Y47" s="17" t="n">
        <f aca="false">Y37+Y38</f>
        <v>1502.57146647163</v>
      </c>
      <c r="Z47" s="17" t="n">
        <f aca="false">Z37+Z38</f>
        <v>1763.2289784732</v>
      </c>
      <c r="AA47" s="17" t="n">
        <f aca="false">AA37+AA38</f>
        <v>2036.4337577877</v>
      </c>
      <c r="AB47" s="17" t="n">
        <f aca="false">AB37+AB38</f>
        <v>2318.7259585692</v>
      </c>
      <c r="AC47" s="17" t="n">
        <f aca="false">AC37+AC38</f>
        <v>2614.14470421978</v>
      </c>
      <c r="AD47" s="17" t="n">
        <f aca="false">AD37+AD38</f>
        <v>2926.96943026405</v>
      </c>
      <c r="AE47" s="17" t="n">
        <f aca="false">AE37+AE38</f>
        <v>3252.08016614211</v>
      </c>
      <c r="AF47" s="17" t="n">
        <f aca="false">AF37+AF38</f>
        <v>3591.09397814982</v>
      </c>
      <c r="AG47" s="17" t="n">
        <f aca="false">AG37+AG38</f>
        <v>3946.67648685719</v>
      </c>
      <c r="AH47" s="17" t="n">
        <f aca="false">AH37+AH38</f>
        <v>4312.53381337293</v>
      </c>
      <c r="AI47" s="17" t="n">
        <f aca="false">AI37+AI38</f>
        <v>4689.81284290109</v>
      </c>
      <c r="AJ47" s="17" t="n">
        <f aca="false">AJ37+AJ38</f>
        <v>5080.15088391855</v>
      </c>
      <c r="AK47" s="17" t="n">
        <f aca="false">AK37+AK38</f>
        <v>5485.03097426725</v>
      </c>
      <c r="AL47" s="17" t="n">
        <f aca="false">AL37+AL38</f>
        <v>5904.29134894345</v>
      </c>
      <c r="AM47" s="17" t="n">
        <f aca="false">AM37+AM38</f>
        <v>6336.86786547618</v>
      </c>
      <c r="AN47" s="44" t="n">
        <f aca="false">AN37+AN38</f>
        <v>6782.67536732887</v>
      </c>
      <c r="AO47" s="44" t="n">
        <f aca="false">AO37+AO38</f>
        <v>7240.42037565283</v>
      </c>
      <c r="AP47" s="44" t="n">
        <f aca="false">AP37+AP38</f>
        <v>7708.90805178672</v>
      </c>
      <c r="AQ47" s="44" t="n">
        <f aca="false">AQ37+AQ38</f>
        <v>8187.03489151519</v>
      </c>
      <c r="AR47" s="44" t="n">
        <f aca="false">AR37+AR38</f>
        <v>8673.78196259758</v>
      </c>
      <c r="AS47" s="44" t="n">
        <f aca="false">AS37+AS38</f>
        <v>9168.20864482774</v>
      </c>
      <c r="AT47" s="44" t="n">
        <f aca="false">AT37+AT38</f>
        <v>9669.14637152385</v>
      </c>
      <c r="AU47" s="44" t="n">
        <f aca="false">AU37+AU38</f>
        <v>10175.8203096784</v>
      </c>
      <c r="AV47" s="44" t="n">
        <f aca="false">AV37+AV38</f>
        <v>10687.5158377068</v>
      </c>
      <c r="AW47" s="44" t="n">
        <f aca="false">AW37+AW38</f>
        <v>11203.2736298655</v>
      </c>
      <c r="AX47" s="44" t="n">
        <f aca="false">AX37+AX38</f>
        <v>11722.512578871</v>
      </c>
      <c r="AY47" s="44" t="n">
        <f aca="false">AY37+AY38</f>
        <v>12244.6974232346</v>
      </c>
      <c r="AZ47" s="44" t="n">
        <f aca="false">AZ37+AZ38</f>
        <v>12769.0348953817</v>
      </c>
      <c r="BA47" s="44" t="n">
        <f aca="false">BA37+BA38</f>
        <v>13294.797165116</v>
      </c>
      <c r="BB47" s="44" t="n">
        <f aca="false">BB37+BB38</f>
        <v>13821.6174229686</v>
      </c>
      <c r="BC47" s="44" t="n">
        <f aca="false">BC37+BC38</f>
        <v>14348.8583161527</v>
      </c>
      <c r="BD47" s="44" t="n">
        <f aca="false">BD37+BD38</f>
        <v>14875.9363190647</v>
      </c>
      <c r="BE47" s="44" t="n">
        <f aca="false">BE37+BE38</f>
        <v>15402.6181745906</v>
      </c>
      <c r="BF47" s="44" t="n">
        <f aca="false">BF37+BF38</f>
        <v>15928.3901241326</v>
      </c>
      <c r="BG47" s="44" t="n">
        <f aca="false">BG37+BG38</f>
        <v>16452.7830130928</v>
      </c>
      <c r="BH47" s="44" t="n">
        <f aca="false">BH37+BH38</f>
        <v>16975.36894907</v>
      </c>
      <c r="BI47" s="44" t="n">
        <f aca="false">BI37+BI38</f>
        <v>17495.758206829</v>
      </c>
      <c r="BJ47" s="44" t="n">
        <f aca="false">BJ37+BJ38</f>
        <v>18013.5963616992</v>
      </c>
      <c r="BK47" s="44" t="n">
        <f aca="false">BK37+BK38</f>
        <v>18528.5616344314</v>
      </c>
    </row>
    <row r="48" customFormat="false" ht="15" hidden="false" customHeight="false" outlineLevel="0" collapsed="false">
      <c r="B48" s="5" t="s">
        <v>612</v>
      </c>
    </row>
    <row r="49" customFormat="false" ht="15" hidden="false" customHeight="false" outlineLevel="0" collapsed="false">
      <c r="A49" s="28" t="s">
        <v>613</v>
      </c>
      <c r="B49" s="6" t="s">
        <v>614</v>
      </c>
      <c r="C49" s="43"/>
      <c r="D49" s="17" t="n">
        <f aca="false">D12*(Assumptions!$F$60+Assumptions!$F$63/60*Assumptions!$F$62)</f>
        <v>0</v>
      </c>
      <c r="E49" s="17" t="n">
        <f aca="false">E12*(Assumptions!$F$60+Assumptions!$F$63/60*Assumptions!$F$62)</f>
        <v>0</v>
      </c>
      <c r="F49" s="17" t="n">
        <f aca="false">F12*(Assumptions!$F$60+Assumptions!$F$63/60*Assumptions!$F$62)</f>
        <v>0</v>
      </c>
      <c r="G49" s="17" t="n">
        <f aca="false">G12*(Assumptions!$F$60+Assumptions!$F$63/60*Assumptions!$F$62)</f>
        <v>0</v>
      </c>
      <c r="H49" s="17" t="n">
        <f aca="false">H12*(Assumptions!$F$60+Assumptions!$F$63/60*Assumptions!$F$62)</f>
        <v>18.2466666666667</v>
      </c>
      <c r="I49" s="17" t="n">
        <f aca="false">I12*(Assumptions!$F$60+Assumptions!$F$63/60*Assumptions!$F$62)</f>
        <v>34.0300333333333</v>
      </c>
      <c r="J49" s="17" t="n">
        <f aca="false">J12*(Assumptions!$F$60+Assumptions!$F$63/60*Assumptions!$F$62)</f>
        <v>44.4675828333333</v>
      </c>
      <c r="K49" s="17" t="n">
        <f aca="false">K12*(Assumptions!$F$60+Assumptions!$F$63/60*Assumptions!$F$62)</f>
        <v>69.3459024241667</v>
      </c>
      <c r="L49" s="17" t="n">
        <f aca="false">L12*(Assumptions!$F$60+Assumptions!$F$63/60*Assumptions!$F$62)</f>
        <v>106.988647221137</v>
      </c>
      <c r="M49" s="17" t="n">
        <f aca="false">M12*(Assumptions!$F$60+Assumptions!$F$63/60*Assumptions!$F$62)</f>
        <v>136.03821751282</v>
      </c>
      <c r="N49" s="17" t="n">
        <f aca="false">N12*(Assumptions!$F$60+Assumptions!$F$63/60*Assumptions!$F$62)</f>
        <v>171.220844250128</v>
      </c>
      <c r="O49" s="17" t="n">
        <f aca="false">O12*(Assumptions!$F$60+Assumptions!$F$63/60*Assumptions!$F$62)</f>
        <v>215.363998253043</v>
      </c>
      <c r="P49" s="17" t="n">
        <f aca="false">P12*(Assumptions!$F$60+Assumptions!$F$63/60*Assumptions!$F$62)</f>
        <v>266.143671612581</v>
      </c>
      <c r="Q49" s="17" t="n">
        <f aca="false">Q12*(Assumptions!$F$60+Assumptions!$F$63/60*Assumptions!$F$62)</f>
        <v>319.810983205059</v>
      </c>
      <c r="R49" s="17" t="n">
        <f aca="false">R12*(Assumptions!$F$60+Assumptions!$F$63/60*Assumptions!$F$62)</f>
        <v>374.133018456983</v>
      </c>
      <c r="S49" s="17" t="n">
        <f aca="false">S12*(Assumptions!$F$60+Assumptions!$F$63/60*Assumptions!$F$62)</f>
        <v>431.289556513461</v>
      </c>
      <c r="T49" s="17" t="n">
        <f aca="false">T12*(Assumptions!$F$60+Assumptions!$F$63/60*Assumptions!$F$62)</f>
        <v>488.318613165759</v>
      </c>
      <c r="U49" s="17" t="n">
        <f aca="false">U12*(Assumptions!$F$60+Assumptions!$F$63/60*Assumptions!$F$62)</f>
        <v>545.22210063494</v>
      </c>
      <c r="V49" s="17" t="n">
        <f aca="false">V12*(Assumptions!$F$60+Assumptions!$F$63/60*Assumptions!$F$62)</f>
        <v>602.001902458749</v>
      </c>
      <c r="W49" s="17" t="n">
        <f aca="false">W12*(Assumptions!$F$60+Assumptions!$F$63/60*Assumptions!$F$62)</f>
        <v>676.906540588534</v>
      </c>
      <c r="X49" s="17" t="n">
        <f aca="false">X12*(Assumptions!$F$60+Assumptions!$F$63/60*Assumptions!$F$62)</f>
        <v>749.227875813039</v>
      </c>
      <c r="Y49" s="17" t="n">
        <f aca="false">Y12*(Assumptions!$F$60+Assumptions!$F$63/60*Assumptions!$F$62)</f>
        <v>816.085191009177</v>
      </c>
      <c r="Z49" s="17" t="n">
        <f aca="false">Z12*(Assumptions!$F$60+Assumptions!$F$63/60*Assumptions!$F$62)</f>
        <v>897.266846477373</v>
      </c>
      <c r="AA49" s="17" t="n">
        <f aca="false">AA12*(Assumptions!$F$60+Assumptions!$F$63/60*Assumptions!$F$62)</f>
        <v>972.851577113545</v>
      </c>
      <c r="AB49" s="17" t="n">
        <f aca="false">AB12*(Assumptions!$F$60+Assumptions!$F$63/60*Assumptions!$F$62)</f>
        <v>1042.19347012351</v>
      </c>
      <c r="AC49" s="17" t="n">
        <f aca="false">AC12*(Assumptions!$F$60+Assumptions!$F$63/60*Assumptions!$F$62)</f>
        <v>1122.90296807166</v>
      </c>
      <c r="AD49" s="17" t="n">
        <f aca="false">AD12*(Assumptions!$F$60+Assumptions!$F$63/60*Assumptions!$F$62)</f>
        <v>1216.26929021725</v>
      </c>
      <c r="AE49" s="17" t="n">
        <f aca="false">AE12*(Assumptions!$F$60+Assumptions!$F$63/60*Assumptions!$F$62)</f>
        <v>1300.20658419732</v>
      </c>
      <c r="AF49" s="17" t="n">
        <f aca="false">AF12*(Assumptions!$F$60+Assumptions!$F$63/60*Assumptions!$F$62)</f>
        <v>1390.18348543436</v>
      </c>
      <c r="AG49" s="17" t="n">
        <f aca="false">AG12*(Assumptions!$F$60+Assumptions!$F$63/60*Assumptions!$F$62)</f>
        <v>1489.02886648618</v>
      </c>
      <c r="AH49" s="17" t="n">
        <f aca="false">AH12*(Assumptions!$F$60+Assumptions!$F$63/60*Assumptions!$F$62)</f>
        <v>1575.44356682222</v>
      </c>
      <c r="AI49" s="17" t="n">
        <f aca="false">AI12*(Assumptions!$F$60+Assumptions!$F$63/60*Assumptions!$F$62)</f>
        <v>1666.40097998655</v>
      </c>
      <c r="AJ49" s="17" t="n">
        <f aca="false">AJ12*(Assumptions!$F$60+Assumptions!$F$63/60*Assumptions!$F$62)</f>
        <v>1763.29269862009</v>
      </c>
      <c r="AK49" s="17" t="n">
        <f aca="false">AK12*(Assumptions!$F$60+Assumptions!$F$63/60*Assumptions!$F$62)</f>
        <v>1866.02970814079</v>
      </c>
      <c r="AL49" s="17" t="n">
        <f aca="false">AL12*(Assumptions!$F$60+Assumptions!$F$63/60*Assumptions!$F$62)</f>
        <v>1970.87499585201</v>
      </c>
      <c r="AM49" s="17" t="n">
        <f aca="false">AM12*(Assumptions!$F$60+Assumptions!$F$63/60*Assumptions!$F$62)</f>
        <v>2075.6073375809</v>
      </c>
      <c r="AN49" s="44" t="n">
        <f aca="false">AN12*(Assumptions!$F$60+Assumptions!$F$63/60*Assumptions!$F$62)</f>
        <v>2182.41802751718</v>
      </c>
      <c r="AO49" s="44" t="n">
        <f aca="false">AO12*(Assumptions!$F$60+Assumptions!$F$63/60*Assumptions!$F$62)</f>
        <v>2288.35642377109</v>
      </c>
      <c r="AP49" s="44" t="n">
        <f aca="false">AP12*(Assumptions!$F$60+Assumptions!$F$63/60*Assumptions!$F$62)</f>
        <v>2393.43561074786</v>
      </c>
      <c r="AQ49" s="44" t="n">
        <f aca="false">AQ12*(Assumptions!$F$60+Assumptions!$F$63/60*Assumptions!$F$62)</f>
        <v>2497.66847658664</v>
      </c>
      <c r="AR49" s="44" t="n">
        <f aca="false">AR12*(Assumptions!$F$60+Assumptions!$F$63/60*Assumptions!$F$62)</f>
        <v>2601.06771610451</v>
      </c>
      <c r="AS49" s="44" t="n">
        <f aca="false">AS12*(Assumptions!$F$60+Assumptions!$F$63/60*Assumptions!$F$62)</f>
        <v>2703.64583369627</v>
      </c>
      <c r="AT49" s="44" t="n">
        <f aca="false">AT12*(Assumptions!$F$60+Assumptions!$F$63/60*Assumptions!$F$62)</f>
        <v>2804.68527952416</v>
      </c>
      <c r="AU49" s="44" t="n">
        <f aca="false">AU12*(Assumptions!$F$60+Assumptions!$F$63/60*Assumptions!$F$62)</f>
        <v>2904.9390003313</v>
      </c>
      <c r="AV49" s="44" t="n">
        <f aca="false">AV12*(Assumptions!$F$60+Assumptions!$F$63/60*Assumptions!$F$62)</f>
        <v>3004.418781993</v>
      </c>
      <c r="AW49" s="44" t="n">
        <f aca="false">AW12*(Assumptions!$F$60+Assumptions!$F$63/60*Assumptions!$F$62)</f>
        <v>3102.40636692977</v>
      </c>
      <c r="AX49" s="44" t="n">
        <f aca="false">AX12*(Assumptions!$F$60+Assumptions!$F$63/60*Assumptions!$F$62)</f>
        <v>3199.65400475916</v>
      </c>
      <c r="AY49" s="44" t="n">
        <f aca="false">AY12*(Assumptions!$F$60+Assumptions!$F$63/60*Assumptions!$F$62)</f>
        <v>3296.17279468777</v>
      </c>
      <c r="AZ49" s="44" t="n">
        <f aca="false">AZ12*(Assumptions!$F$60+Assumptions!$F$63/60*Assumptions!$F$62)</f>
        <v>3391.24380276745</v>
      </c>
      <c r="BA49" s="44" t="n">
        <f aca="false">BA12*(Assumptions!$F$60+Assumptions!$F$63/60*Assumptions!$F$62)</f>
        <v>3484.88874572594</v>
      </c>
      <c r="BB49" s="44" t="n">
        <f aca="false">BB12*(Assumptions!$F$60+Assumptions!$F$63/60*Assumptions!$F$62)</f>
        <v>3577.85888120672</v>
      </c>
      <c r="BC49" s="44" t="n">
        <f aca="false">BC12*(Assumptions!$F$60+Assumptions!$F$63/60*Assumptions!$F$62)</f>
        <v>3669.43446465528</v>
      </c>
      <c r="BD49" s="44" t="n">
        <f aca="false">BD12*(Assumptions!$F$60+Assumptions!$F$63/60*Assumptions!$F$62)</f>
        <v>3759.63641435212</v>
      </c>
      <c r="BE49" s="44" t="n">
        <f aca="false">BE12*(Assumptions!$F$60+Assumptions!$F$63/60*Assumptions!$F$62)</f>
        <v>3849.21520147017</v>
      </c>
      <c r="BF49" s="44" t="n">
        <f aca="false">BF12*(Assumptions!$F$60+Assumptions!$F$63/60*Assumptions!$F$62)</f>
        <v>3937.45030678145</v>
      </c>
      <c r="BG49" s="44" t="n">
        <f aca="false">BG12*(Assumptions!$F$60+Assumptions!$F$63/60*Assumptions!$F$62)</f>
        <v>4024.36188551307</v>
      </c>
      <c r="BH49" s="44" t="n">
        <f aca="false">BH12*(Assumptions!$F$60+Assumptions!$F$63/60*Assumptions!$F$62)</f>
        <v>4109.9697905637</v>
      </c>
      <c r="BI49" s="44" t="n">
        <f aca="false">BI12*(Assumptions!$F$60+Assumptions!$F$63/60*Assumptions!$F$62)</f>
        <v>4194.29357703858</v>
      </c>
      <c r="BJ49" s="44" t="n">
        <f aca="false">BJ12*(Assumptions!$F$60+Assumptions!$F$63/60*Assumptions!$F$62)</f>
        <v>4277.35250671634</v>
      </c>
      <c r="BK49" s="44" t="n">
        <f aca="false">BK12*(Assumptions!$F$60+Assumptions!$F$63/60*Assumptions!$F$62)</f>
        <v>4359.16555244892</v>
      </c>
    </row>
    <row r="50" customFormat="false" ht="15" hidden="false" customHeight="false" outlineLevel="0" collapsed="false">
      <c r="A50" s="28" t="s">
        <v>615</v>
      </c>
      <c r="B50" s="6" t="s">
        <v>616</v>
      </c>
      <c r="C50" s="43"/>
      <c r="D50" s="17" t="n">
        <f aca="false">D32*Assumptions!$F$64/60*Assumptions!$F$62</f>
        <v>0</v>
      </c>
      <c r="E50" s="17" t="n">
        <f aca="false">E32*Assumptions!$F$64/60*Assumptions!$F$62</f>
        <v>0</v>
      </c>
      <c r="F50" s="17" t="n">
        <f aca="false">F32*Assumptions!$F$64/60*Assumptions!$F$62</f>
        <v>0</v>
      </c>
      <c r="G50" s="17" t="n">
        <f aca="false">G32*Assumptions!$F$64/60*Assumptions!$F$62</f>
        <v>0</v>
      </c>
      <c r="H50" s="17" t="n">
        <f aca="false">H32*Assumptions!$F$64/60*Assumptions!$F$62</f>
        <v>0</v>
      </c>
      <c r="I50" s="17" t="n">
        <f aca="false">I32*Assumptions!$F$64/60*Assumptions!$F$62</f>
        <v>0</v>
      </c>
      <c r="J50" s="17" t="n">
        <f aca="false">J32*Assumptions!$F$64/60*Assumptions!$F$62</f>
        <v>0</v>
      </c>
      <c r="K50" s="17" t="n">
        <f aca="false">K32*Assumptions!$F$64/60*Assumptions!$F$62</f>
        <v>0</v>
      </c>
      <c r="L50" s="17" t="n">
        <f aca="false">L32*Assumptions!$F$64/60*Assumptions!$F$62</f>
        <v>0</v>
      </c>
      <c r="M50" s="17" t="n">
        <f aca="false">M32*Assumptions!$F$64/60*Assumptions!$F$62</f>
        <v>0</v>
      </c>
      <c r="N50" s="17" t="n">
        <f aca="false">N32*Assumptions!$F$64/60*Assumptions!$F$62</f>
        <v>0</v>
      </c>
      <c r="O50" s="17" t="n">
        <f aca="false">O32*Assumptions!$F$64/60*Assumptions!$F$62</f>
        <v>2.92541833320368</v>
      </c>
      <c r="P50" s="17" t="n">
        <f aca="false">P32*Assumptions!$F$64/60*Assumptions!$F$62</f>
        <v>6.31067216908785</v>
      </c>
      <c r="Q50" s="17" t="n">
        <f aca="false">Q32*Assumptions!$F$64/60*Assumptions!$F$62</f>
        <v>10.1588433722491</v>
      </c>
      <c r="R50" s="17" t="n">
        <f aca="false">R32*Assumptions!$F$64/60*Assumptions!$F$62</f>
        <v>14.4424405578583</v>
      </c>
      <c r="S50" s="17" t="n">
        <f aca="false">S32*Assumptions!$F$64/60*Assumptions!$F$62</f>
        <v>19.1657423864715</v>
      </c>
      <c r="T50" s="17" t="n">
        <f aca="false">T32*Assumptions!$F$64/60*Assumptions!$F$62</f>
        <v>42.5179691914445</v>
      </c>
      <c r="U50" s="17" t="n">
        <f aca="false">U32*Assumptions!$F$64/60*Assumptions!$F$62</f>
        <v>67.126172616847</v>
      </c>
      <c r="V50" s="17" t="n">
        <f aca="false">V32*Assumptions!$F$64/60*Assumptions!$F$62</f>
        <v>92.8967124862656</v>
      </c>
      <c r="W50" s="17" t="n">
        <f aca="false">W32*Assumptions!$F$64/60*Assumptions!$F$62</f>
        <v>120.671587002032</v>
      </c>
      <c r="X50" s="17" t="n">
        <f aca="false">X32*Assumptions!$F$64/60*Assumptions!$F$62</f>
        <v>150.179056815785</v>
      </c>
      <c r="Y50" s="17" t="n">
        <f aca="false">Y32*Assumptions!$F$64/60*Assumptions!$F$62</f>
        <v>181.020076490714</v>
      </c>
      <c r="Z50" s="17" t="n">
        <f aca="false">Z32*Assumptions!$F$64/60*Assumptions!$F$62</f>
        <v>213.831275433209</v>
      </c>
      <c r="AA50" s="17" t="n">
        <f aca="false">AA32*Assumptions!$F$64/60*Assumptions!$F$62</f>
        <v>248.190139472607</v>
      </c>
      <c r="AB50" s="17" t="n">
        <f aca="false">AB32*Assumptions!$F$64/60*Assumptions!$F$62</f>
        <v>283.671267540185</v>
      </c>
      <c r="AC50" s="17" t="n">
        <f aca="false">AC32*Assumptions!$F$64/60*Assumptions!$F$62</f>
        <v>320.775897214118</v>
      </c>
      <c r="AD50" s="17" t="n">
        <f aca="false">AD32*Assumptions!$F$64/60*Assumptions!$F$62</f>
        <v>360.035425674723</v>
      </c>
      <c r="AE50" s="17" t="n">
        <f aca="false">AE32*Assumptions!$F$64/60*Assumptions!$F$62</f>
        <v>400.819379613372</v>
      </c>
      <c r="AF50" s="17" t="n">
        <f aca="false">AF32*Assumptions!$F$64/60*Assumptions!$F$62</f>
        <v>443.329458767557</v>
      </c>
      <c r="AG50" s="17" t="n">
        <f aca="false">AG32*Assumptions!$F$64/60*Assumptions!$F$62</f>
        <v>487.897129146088</v>
      </c>
      <c r="AH50" s="17" t="n">
        <f aca="false">AH32*Assumptions!$F$64/60*Assumptions!$F$62</f>
        <v>533.746181848676</v>
      </c>
      <c r="AI50" s="17" t="n">
        <f aca="false">AI32*Assumptions!$F$64/60*Assumptions!$F$62</f>
        <v>581.019475879863</v>
      </c>
      <c r="AJ50" s="17" t="n">
        <f aca="false">AJ32*Assumptions!$F$64/60*Assumptions!$F$62</f>
        <v>629.920599684945</v>
      </c>
      <c r="AK50" s="17" t="n">
        <f aca="false">AK32*Assumptions!$F$64/60*Assumptions!$F$62</f>
        <v>680.634215020081</v>
      </c>
      <c r="AL50" s="17" t="n">
        <f aca="false">AL32*Assumptions!$F$64/60*Assumptions!$F$62</f>
        <v>733.141708617394</v>
      </c>
      <c r="AM50" s="17" t="n">
        <f aca="false">AM32*Assumptions!$F$64/60*Assumptions!$F$62</f>
        <v>787.312757537221</v>
      </c>
      <c r="AN50" s="44" t="n">
        <f aca="false">AN32*Assumptions!$F$64/60*Assumptions!$F$62</f>
        <v>843.137856181375</v>
      </c>
      <c r="AO50" s="44" t="n">
        <f aca="false">AO32*Assumptions!$F$64/60*Assumptions!$F$62</f>
        <v>900.45799238224</v>
      </c>
      <c r="AP50" s="44" t="n">
        <f aca="false">AP32*Assumptions!$F$64/60*Assumptions!$F$62</f>
        <v>959.12609824854</v>
      </c>
      <c r="AQ50" s="44" t="n">
        <f aca="false">AQ32*Assumptions!$F$64/60*Assumptions!$F$62</f>
        <v>1019.00617763296</v>
      </c>
      <c r="AR50" s="44" t="n">
        <f aca="false">AR32*Assumptions!$F$64/60*Assumptions!$F$62</f>
        <v>1079.97249769666</v>
      </c>
      <c r="AS50" s="44" t="n">
        <f aca="false">AS32*Assumptions!$F$64/60*Assumptions!$F$62</f>
        <v>1141.90883981533</v>
      </c>
      <c r="AT50" s="44" t="n">
        <f aca="false">AT32*Assumptions!$F$64/60*Assumptions!$F$62</f>
        <v>1204.67065040221</v>
      </c>
      <c r="AU50" s="44" t="n">
        <f aca="false">AU32*Assumptions!$F$64/60*Assumptions!$F$62</f>
        <v>1268.16189438005</v>
      </c>
      <c r="AV50" s="44" t="n">
        <f aca="false">AV32*Assumptions!$F$64/60*Assumptions!$F$62</f>
        <v>1332.29387971955</v>
      </c>
      <c r="AW50" s="44" t="n">
        <f aca="false">AW32*Assumptions!$F$64/60*Assumptions!$F$62</f>
        <v>1396.94756732982</v>
      </c>
      <c r="AX50" s="44" t="n">
        <f aca="false">AX32*Assumptions!$F$64/60*Assumptions!$F$62</f>
        <v>1462.05057182987</v>
      </c>
      <c r="AY50" s="44" t="n">
        <f aca="false">AY32*Assumptions!$F$64/60*Assumptions!$F$62</f>
        <v>1527.53612249674</v>
      </c>
      <c r="AZ50" s="44" t="n">
        <f aca="false">AZ32*Assumptions!$F$64/60*Assumptions!$F$62</f>
        <v>1593.305499489</v>
      </c>
      <c r="BA50" s="44" t="n">
        <f aca="false">BA32*Assumptions!$F$64/60*Assumptions!$F$62</f>
        <v>1659.26799660029</v>
      </c>
      <c r="BB50" s="44" t="n">
        <f aca="false">BB32*Assumptions!$F$64/60*Assumptions!$F$62</f>
        <v>1725.37748733653</v>
      </c>
      <c r="BC50" s="44" t="n">
        <f aca="false">BC32*Assumptions!$F$64/60*Assumptions!$F$62</f>
        <v>1791.55438224117</v>
      </c>
      <c r="BD50" s="44" t="n">
        <f aca="false">BD32*Assumptions!$F$64/60*Assumptions!$F$62</f>
        <v>1857.72570211404</v>
      </c>
      <c r="BE50" s="44" t="n">
        <f aca="false">BE32*Assumptions!$F$64/60*Assumptions!$F$62</f>
        <v>1923.86174641766</v>
      </c>
      <c r="BF50" s="44" t="n">
        <f aca="false">BF32*Assumptions!$F$64/60*Assumptions!$F$62</f>
        <v>1989.89814540076</v>
      </c>
      <c r="BG50" s="44" t="n">
        <f aca="false">BG32*Assumptions!$F$64/60*Assumptions!$F$62</f>
        <v>2055.77602114436</v>
      </c>
      <c r="BH50" s="44" t="n">
        <f aca="false">BH32*Assumptions!$F$64/60*Assumptions!$F$62</f>
        <v>2121.4415823167</v>
      </c>
      <c r="BI50" s="44" t="n">
        <f aca="false">BI32*Assumptions!$F$64/60*Assumptions!$F$62</f>
        <v>2186.84574844864</v>
      </c>
      <c r="BJ50" s="44" t="n">
        <f aca="false">BJ32*Assumptions!$F$64/60*Assumptions!$F$62</f>
        <v>2251.94380156098</v>
      </c>
      <c r="BK50" s="44" t="n">
        <f aca="false">BK32*Assumptions!$F$64/60*Assumptions!$F$62</f>
        <v>2316.69506313622</v>
      </c>
    </row>
    <row r="51" customFormat="false" ht="15" hidden="false" customHeight="false" outlineLevel="0" collapsed="false">
      <c r="A51" s="28" t="s">
        <v>617</v>
      </c>
      <c r="B51" s="6" t="s">
        <v>618</v>
      </c>
      <c r="C51" s="43"/>
      <c r="D51" s="17" t="n">
        <f aca="false">D24*Assumptions!$F$61</f>
        <v>0</v>
      </c>
      <c r="E51" s="17" t="n">
        <f aca="false">E24*Assumptions!$F$61</f>
        <v>0</v>
      </c>
      <c r="F51" s="17" t="n">
        <f aca="false">F24*Assumptions!$F$61</f>
        <v>0</v>
      </c>
      <c r="G51" s="17" t="n">
        <f aca="false">G24*Assumptions!$F$61</f>
        <v>0</v>
      </c>
      <c r="H51" s="17" t="n">
        <f aca="false">H24*Assumptions!$F$61</f>
        <v>0.765</v>
      </c>
      <c r="I51" s="17" t="n">
        <f aca="false">I24*Assumptions!$F$61</f>
        <v>1.923975</v>
      </c>
      <c r="J51" s="17" t="n">
        <f aca="false">J24*Assumptions!$F$61</f>
        <v>3.114907875</v>
      </c>
      <c r="K51" s="17" t="n">
        <f aca="false">K24*Assumptions!$F$61</f>
        <v>4.932049381875</v>
      </c>
      <c r="L51" s="17" t="n">
        <f aca="false">L24*Assumptions!$F$61</f>
        <v>7.69138097239688</v>
      </c>
      <c r="M51" s="17" t="n">
        <f aca="false">M24*Assumptions!$F$61</f>
        <v>10.7028632731234</v>
      </c>
      <c r="N51" s="17" t="n">
        <f aca="false">N24*Assumptions!$F$61</f>
        <v>14.1353747839797</v>
      </c>
      <c r="O51" s="17" t="n">
        <f aca="false">O24*Assumptions!$F$61</f>
        <v>18.2172295611895</v>
      </c>
      <c r="P51" s="17" t="n">
        <f aca="false">P24*Assumptions!$F$61</f>
        <v>22.9993966271019</v>
      </c>
      <c r="Q51" s="17" t="n">
        <f aca="false">Q24*Assumptions!$F$61</f>
        <v>28.35783225876</v>
      </c>
      <c r="R51" s="17" t="n">
        <f aca="false">R24*Assumptions!$F$61</f>
        <v>34.1182920525706</v>
      </c>
      <c r="S51" s="17" t="n">
        <f aca="false">S24*Assumptions!$F$61</f>
        <v>40.2589054022818</v>
      </c>
      <c r="T51" s="17" t="n">
        <f aca="false">T24*Assumptions!$F$61</f>
        <v>46.6412738460725</v>
      </c>
      <c r="U51" s="17" t="n">
        <f aca="false">U24*Assumptions!$F$61</f>
        <v>53.1755185545176</v>
      </c>
      <c r="V51" s="17" t="n">
        <f aca="false">V24*Assumptions!$F$61</f>
        <v>59.8032972566883</v>
      </c>
      <c r="W51" s="17" t="n">
        <f aca="false">W24*Assumptions!$F$61</f>
        <v>67.2517652601555</v>
      </c>
      <c r="X51" s="17" t="n">
        <f aca="false">X24*Assumptions!$F$61</f>
        <v>75.1253751317596</v>
      </c>
      <c r="Y51" s="17" t="n">
        <f aca="false">Y24*Assumptions!$F$61</f>
        <v>83.0462456326123</v>
      </c>
      <c r="Z51" s="17" t="n">
        <f aca="false">Z24*Assumptions!$F$61</f>
        <v>91.5983901812121</v>
      </c>
      <c r="AA51" s="17" t="n">
        <f aca="false">AA24*Assumptions!$F$61</f>
        <v>100.326209180002</v>
      </c>
      <c r="AB51" s="17" t="n">
        <f aca="false">AB24*Assumptions!$F$61</f>
        <v>108.906482695782</v>
      </c>
      <c r="AC51" s="17" t="n">
        <f aca="false">AC24*Assumptions!$F$61</f>
        <v>117.867443780107</v>
      </c>
      <c r="AD51" s="17" t="n">
        <f aca="false">AD24*Assumptions!$F$61</f>
        <v>127.606495034501</v>
      </c>
      <c r="AE51" s="17" t="n">
        <f aca="false">AE24*Assumptions!$F$61</f>
        <v>137.455988501195</v>
      </c>
      <c r="AF51" s="17" t="n">
        <f aca="false">AF24*Assumptions!$F$61</f>
        <v>147.630482753615</v>
      </c>
      <c r="AG51" s="17" t="n">
        <f aca="false">AG24*Assumptions!$F$61</f>
        <v>158.38804266427</v>
      </c>
      <c r="AH51" s="17" t="n">
        <f aca="false">AH24*Assumptions!$F$61</f>
        <v>169.00343317308</v>
      </c>
      <c r="AI51" s="17" t="n">
        <f aca="false">AI24*Assumptions!$F$61</f>
        <v>179.716868922187</v>
      </c>
      <c r="AJ51" s="17" t="n">
        <f aca="false">AJ24*Assumptions!$F$61</f>
        <v>190.742832598711</v>
      </c>
      <c r="AK51" s="17" t="n">
        <f aca="false">AK24*Assumptions!$F$61</f>
        <v>202.217005971462</v>
      </c>
      <c r="AL51" s="17" t="n">
        <f aca="false">AL24*Assumptions!$F$61</f>
        <v>214.070906192016</v>
      </c>
      <c r="AM51" s="17" t="n">
        <f aca="false">AM24*Assumptions!$F$61</f>
        <v>226.166893550718</v>
      </c>
      <c r="AN51" s="44" t="n">
        <f aca="false">AN24*Assumptions!$F$61</f>
        <v>238.507373265985</v>
      </c>
      <c r="AO51" s="44" t="n">
        <f aca="false">AO24*Assumptions!$F$61</f>
        <v>250.970201694038</v>
      </c>
      <c r="AP51" s="44" t="n">
        <f aca="false">AP24*Assumptions!$F$61</f>
        <v>263.476534036206</v>
      </c>
      <c r="AQ51" s="44" t="n">
        <f aca="false">AQ24*Assumptions!$F$61</f>
        <v>275.975661514589</v>
      </c>
      <c r="AR51" s="44" t="n">
        <f aca="false">AR24*Assumptions!$F$61</f>
        <v>288.435155659672</v>
      </c>
      <c r="AS51" s="44" t="n">
        <f aca="false">AS24*Assumptions!$F$61</f>
        <v>300.834462218848</v>
      </c>
      <c r="AT51" s="44" t="n">
        <f aca="false">AT24*Assumptions!$F$61</f>
        <v>313.130137316711</v>
      </c>
      <c r="AU51" s="44" t="n">
        <f aca="false">AU24*Assumptions!$F$61</f>
        <v>325.325510077206</v>
      </c>
      <c r="AV51" s="44" t="n">
        <f aca="false">AV24*Assumptions!$F$61</f>
        <v>337.423238559207</v>
      </c>
      <c r="AW51" s="44" t="n">
        <f aca="false">AW24*Assumptions!$F$61</f>
        <v>349.394937217372</v>
      </c>
      <c r="AX51" s="44" t="n">
        <f aca="false">AX24*Assumptions!$F$61</f>
        <v>361.253693862872</v>
      </c>
      <c r="AY51" s="44" t="n">
        <f aca="false">AY24*Assumptions!$F$61</f>
        <v>373.008480912372</v>
      </c>
      <c r="AZ51" s="44" t="n">
        <f aca="false">AZ24*Assumptions!$F$61</f>
        <v>384.634988796025</v>
      </c>
      <c r="BA51" s="44" t="n">
        <f aca="false">BA24*Assumptions!$F$61</f>
        <v>396.118326777355</v>
      </c>
      <c r="BB51" s="44" t="n">
        <f aca="false">BB24*Assumptions!$F$61</f>
        <v>407.48031270432</v>
      </c>
      <c r="BC51" s="44" t="n">
        <f aca="false">BC24*Assumptions!$F$61</f>
        <v>418.704952552362</v>
      </c>
      <c r="BD51" s="44" t="n">
        <f aca="false">BD24*Assumptions!$F$61</f>
        <v>429.782727214171</v>
      </c>
      <c r="BE51" s="44" t="n">
        <f aca="false">BE24*Assumptions!$F$61</f>
        <v>440.73891312352</v>
      </c>
      <c r="BF51" s="44" t="n">
        <f aca="false">BF24*Assumptions!$F$61</f>
        <v>451.559731858082</v>
      </c>
      <c r="BG51" s="44" t="n">
        <f aca="false">BG24*Assumptions!$F$61</f>
        <v>462.23707246063</v>
      </c>
      <c r="BH51" s="44" t="n">
        <f aca="false">BH24*Assumptions!$F$61</f>
        <v>472.766495150993</v>
      </c>
      <c r="BI51" s="44" t="n">
        <f aca="false">BI24*Assumptions!$F$61</f>
        <v>483.145933928956</v>
      </c>
      <c r="BJ51" s="44" t="n">
        <f aca="false">BJ24*Assumptions!$F$61</f>
        <v>493.374853453419</v>
      </c>
      <c r="BK51" s="44" t="n">
        <f aca="false">BK24*Assumptions!$F$61</f>
        <v>503.453701198327</v>
      </c>
    </row>
    <row r="52" customFormat="false" ht="15" hidden="false" customHeight="false" outlineLevel="0" collapsed="false">
      <c r="A52" s="28" t="s">
        <v>619</v>
      </c>
      <c r="B52" s="6" t="s">
        <v>620</v>
      </c>
      <c r="C52" s="43"/>
      <c r="D52" s="17" t="n">
        <f aca="false">(D33*Assumptions!$F$56+D34*Assumptions!$F$57+D25*Assumptions!$F$58+D24*Assumptions!$F$59)*Assumptions!$F$55</f>
        <v>0</v>
      </c>
      <c r="E52" s="17" t="n">
        <f aca="false">(E33*Assumptions!$F$56+E34*Assumptions!$F$57+E25*Assumptions!$F$58+E24*Assumptions!$F$59)*Assumptions!$F$55</f>
        <v>0</v>
      </c>
      <c r="F52" s="17" t="n">
        <f aca="false">(F33*Assumptions!$F$56+F34*Assumptions!$F$57+F25*Assumptions!$F$58+F24*Assumptions!$F$59)*Assumptions!$F$55</f>
        <v>0</v>
      </c>
      <c r="G52" s="17" t="n">
        <f aca="false">(G33*Assumptions!$F$56+G34*Assumptions!$F$57+G25*Assumptions!$F$58+G24*Assumptions!$F$59)*Assumptions!$F$55</f>
        <v>0</v>
      </c>
      <c r="H52" s="17" t="n">
        <f aca="false">(H33*Assumptions!$F$56+H34*Assumptions!$F$57+H25*Assumptions!$F$58+H24*Assumptions!$F$59)*Assumptions!$F$55</f>
        <v>2.5245</v>
      </c>
      <c r="I52" s="17" t="n">
        <f aca="false">(I33*Assumptions!$F$56+I34*Assumptions!$F$57+I25*Assumptions!$F$58+I24*Assumptions!$F$59)*Assumptions!$F$55</f>
        <v>3.9255975</v>
      </c>
      <c r="J52" s="17" t="n">
        <f aca="false">(J33*Assumptions!$F$56+J34*Assumptions!$F$57+J25*Assumptions!$F$58+J24*Assumptions!$F$59)*Assumptions!$F$55</f>
        <v>4.1840431875</v>
      </c>
      <c r="K52" s="17" t="n">
        <f aca="false">(K33*Assumptions!$F$56+K34*Assumptions!$F$57+K25*Assumptions!$F$58+K24*Assumptions!$F$59)*Assumptions!$F$55</f>
        <v>6.4077348121875</v>
      </c>
      <c r="L52" s="17" t="n">
        <f aca="false">(L33*Assumptions!$F$56+L34*Assumptions!$F$57+L25*Assumptions!$F$58+L24*Assumptions!$F$59)*Assumptions!$F$55</f>
        <v>9.75682476712969</v>
      </c>
      <c r="M52" s="17" t="n">
        <f aca="false">(M33*Assumptions!$F$56+M34*Assumptions!$F$57+M25*Assumptions!$F$58+M24*Assumptions!$F$59)*Assumptions!$F$55</f>
        <v>10.953153880754</v>
      </c>
      <c r="N52" s="17" t="n">
        <f aca="false">(N33*Assumptions!$F$56+N34*Assumptions!$F$57+N25*Assumptions!$F$58+N24*Assumptions!$F$59)*Assumptions!$F$55</f>
        <v>12.740065937878</v>
      </c>
      <c r="O52" s="17" t="n">
        <f aca="false">(O33*Assumptions!$F$56+O34*Assumptions!$F$57+O25*Assumptions!$F$58+O24*Assumptions!$F$59)*Assumptions!$F$55</f>
        <v>23.6769429879081</v>
      </c>
      <c r="P52" s="17" t="n">
        <f aca="false">(P33*Assumptions!$F$56+P34*Assumptions!$F$57+P25*Assumptions!$F$58+P24*Assumptions!$F$59)*Assumptions!$F$55</f>
        <v>36.1788141080911</v>
      </c>
      <c r="Q52" s="17" t="n">
        <f aca="false">(Q33*Assumptions!$F$56+Q34*Assumptions!$F$57+Q25*Assumptions!$F$58+Q24*Assumptions!$F$59)*Assumptions!$F$55</f>
        <v>49.6836521622057</v>
      </c>
      <c r="R52" s="17" t="n">
        <f aca="false">(R33*Assumptions!$F$56+R34*Assumptions!$F$57+R25*Assumptions!$F$58+R24*Assumptions!$F$59)*Assumptions!$F$55</f>
        <v>63.931037696297</v>
      </c>
      <c r="S52" s="17" t="n">
        <f aca="false">(S33*Assumptions!$F$56+S34*Assumptions!$F$57+S25*Assumptions!$F$58+S24*Assumptions!$F$59)*Assumptions!$F$55</f>
        <v>79.4130032972939</v>
      </c>
      <c r="T52" s="17" t="n">
        <f aca="false">(T33*Assumptions!$F$56+T34*Assumptions!$F$57+T25*Assumptions!$F$58+T24*Assumptions!$F$59)*Assumptions!$F$55</f>
        <v>118.126545783521</v>
      </c>
      <c r="U52" s="17" t="n">
        <f aca="false">(U33*Assumptions!$F$56+U34*Assumptions!$F$57+U25*Assumptions!$F$58+U24*Assumptions!$F$59)*Assumptions!$F$55</f>
        <v>158.730653011627</v>
      </c>
      <c r="V52" s="17" t="n">
        <f aca="false">(V33*Assumptions!$F$56+V34*Assumptions!$F$57+V25*Assumptions!$F$58+V24*Assumptions!$F$59)*Assumptions!$F$55</f>
        <v>201.151975460994</v>
      </c>
      <c r="W52" s="17" t="n">
        <f aca="false">(W33*Assumptions!$F$56+W34*Assumptions!$F$57+W25*Assumptions!$F$58+W24*Assumptions!$F$59)*Assumptions!$F$55</f>
        <v>249.368661647985</v>
      </c>
      <c r="X52" s="17" t="n">
        <f aca="false">(X33*Assumptions!$F$56+X34*Assumptions!$F$57+X25*Assumptions!$F$58+X24*Assumptions!$F$59)*Assumptions!$F$55</f>
        <v>299.308691761628</v>
      </c>
      <c r="Y52" s="17" t="n">
        <f aca="false">(Y33*Assumptions!$F$56+Y34*Assumptions!$F$57+Y25*Assumptions!$F$58+Y24*Assumptions!$F$59)*Assumptions!$F$55</f>
        <v>350.304665370361</v>
      </c>
      <c r="Z52" s="17" t="n">
        <f aca="false">(Z33*Assumptions!$F$56+Z34*Assumptions!$F$57+Z25*Assumptions!$F$58+Z24*Assumptions!$F$59)*Assumptions!$F$55</f>
        <v>406.534208815445</v>
      </c>
      <c r="AA52" s="17" t="n">
        <f aca="false">(AA33*Assumptions!$F$56+AA34*Assumptions!$F$57+AA25*Assumptions!$F$58+AA24*Assumptions!$F$59)*Assumptions!$F$55</f>
        <v>463.931582350948</v>
      </c>
      <c r="AB52" s="17" t="n">
        <f aca="false">(AB33*Assumptions!$F$56+AB34*Assumptions!$F$57+AB25*Assumptions!$F$58+AB24*Assumptions!$F$59)*Assumptions!$F$55</f>
        <v>522.158512945358</v>
      </c>
      <c r="AC52" s="17" t="n">
        <f aca="false">(AC33*Assumptions!$F$56+AC34*Assumptions!$F$57+AC25*Assumptions!$F$58+AC24*Assumptions!$F$59)*Assumptions!$F$55</f>
        <v>584.81219960144</v>
      </c>
      <c r="AD52" s="17" t="n">
        <f aca="false">(AD33*Assumptions!$F$56+AD34*Assumptions!$F$57+AD25*Assumptions!$F$58+AD24*Assumptions!$F$59)*Assumptions!$F$55</f>
        <v>652.409744668728</v>
      </c>
      <c r="AE52" s="17" t="n">
        <f aca="false">(AE33*Assumptions!$F$56+AE34*Assumptions!$F$57+AE25*Assumptions!$F$58+AE24*Assumptions!$F$59)*Assumptions!$F$55</f>
        <v>720.431838983407</v>
      </c>
      <c r="AF52" s="17" t="n">
        <f aca="false">(AF33*Assumptions!$F$56+AF34*Assumptions!$F$57+AF25*Assumptions!$F$58+AF24*Assumptions!$F$59)*Assumptions!$F$55</f>
        <v>792.032921268972</v>
      </c>
      <c r="AG52" s="17" t="n">
        <f aca="false">(AG33*Assumptions!$F$56+AG34*Assumptions!$F$57+AG25*Assumptions!$F$58+AG24*Assumptions!$F$59)*Assumptions!$F$55</f>
        <v>867.932012132158</v>
      </c>
      <c r="AH52" s="17" t="n">
        <f aca="false">(AH33*Assumptions!$F$56+AH34*Assumptions!$F$57+AH25*Assumptions!$F$58+AH24*Assumptions!$F$59)*Assumptions!$F$55</f>
        <v>943.619999093232</v>
      </c>
      <c r="AI52" s="17" t="n">
        <f aca="false">(AI33*Assumptions!$F$56+AI34*Assumptions!$F$57+AI25*Assumptions!$F$58+AI24*Assumptions!$F$59)*Assumptions!$F$55</f>
        <v>1022.42229110558</v>
      </c>
      <c r="AJ52" s="17" t="n">
        <f aca="false">(AJ33*Assumptions!$F$56+AJ34*Assumptions!$F$57+AJ25*Assumptions!$F$58+AJ24*Assumptions!$F$59)*Assumptions!$F$55</f>
        <v>1104.62175291944</v>
      </c>
      <c r="AK52" s="17" t="n">
        <f aca="false">(AK33*Assumptions!$F$56+AK34*Assumptions!$F$57+AK25*Assumptions!$F$58+AK24*Assumptions!$F$59)*Assumptions!$F$55</f>
        <v>1190.29080303315</v>
      </c>
      <c r="AL52" s="17" t="n">
        <f aca="false">(AL33*Assumptions!$F$56+AL34*Assumptions!$F$57+AL25*Assumptions!$F$58+AL24*Assumptions!$F$59)*Assumptions!$F$55</f>
        <v>1278.73889858243</v>
      </c>
      <c r="AM52" s="17" t="n">
        <f aca="false">(AM33*Assumptions!$F$56+AM34*Assumptions!$F$57+AM25*Assumptions!$F$58+AM24*Assumptions!$F$59)*Assumptions!$F$55</f>
        <v>1369.50835514686</v>
      </c>
      <c r="AN52" s="44" t="n">
        <f aca="false">(AN33*Assumptions!$F$56+AN34*Assumptions!$F$57+AN25*Assumptions!$F$58+AN24*Assumptions!$F$59)*Assumptions!$F$55</f>
        <v>1463.02458690645</v>
      </c>
      <c r="AO52" s="44" t="n">
        <f aca="false">(AO33*Assumptions!$F$56+AO34*Assumptions!$F$57+AO25*Assumptions!$F$58+AO24*Assumptions!$F$59)*Assumptions!$F$55</f>
        <v>1558.60957309126</v>
      </c>
      <c r="AP52" s="44" t="n">
        <f aca="false">(AP33*Assumptions!$F$56+AP34*Assumptions!$F$57+AP25*Assumptions!$F$58+AP24*Assumptions!$F$59)*Assumptions!$F$55</f>
        <v>1656.14331867945</v>
      </c>
      <c r="AQ52" s="44" t="n">
        <f aca="false">(AQ33*Assumptions!$F$56+AQ34*Assumptions!$F$57+AQ25*Assumptions!$F$58+AQ24*Assumptions!$F$59)*Assumptions!$F$55</f>
        <v>1755.48053997007</v>
      </c>
      <c r="AR52" s="44" t="n">
        <f aca="false">(AR33*Assumptions!$F$56+AR34*Assumptions!$F$57+AR25*Assumptions!$F$58+AR24*Assumptions!$F$59)*Assumptions!$F$55</f>
        <v>1856.46475596661</v>
      </c>
      <c r="AS52" s="44" t="n">
        <f aca="false">(AS33*Assumptions!$F$56+AS34*Assumptions!$F$57+AS25*Assumptions!$F$58+AS24*Assumptions!$F$59)*Assumptions!$F$55</f>
        <v>1958.93705688277</v>
      </c>
      <c r="AT52" s="44" t="n">
        <f aca="false">(AT33*Assumptions!$F$56+AT34*Assumptions!$F$57+AT25*Assumptions!$F$58+AT24*Assumptions!$F$59)*Assumptions!$F$55</f>
        <v>2062.57858295521</v>
      </c>
      <c r="AU52" s="44" t="n">
        <f aca="false">(AU33*Assumptions!$F$56+AU34*Assumptions!$F$57+AU25*Assumptions!$F$58+AU24*Assumptions!$F$59)*Assumptions!$F$55</f>
        <v>2167.37859798724</v>
      </c>
      <c r="AV52" s="44" t="n">
        <f aca="false">(AV33*Assumptions!$F$56+AV34*Assumptions!$F$57+AV25*Assumptions!$F$58+AV24*Assumptions!$F$59)*Assumptions!$F$55</f>
        <v>2273.1884776294</v>
      </c>
      <c r="AW52" s="44" t="n">
        <f aca="false">(AW33*Assumptions!$F$56+AW34*Assumptions!$F$57+AW25*Assumptions!$F$58+AW24*Assumptions!$F$59)*Assumptions!$F$55</f>
        <v>2379.70897137208</v>
      </c>
      <c r="AX52" s="44" t="n">
        <f aca="false">(AX33*Assumptions!$F$56+AX34*Assumptions!$F$57+AX25*Assumptions!$F$58+AX24*Assumptions!$F$59)*Assumptions!$F$55</f>
        <v>2486.95404601053</v>
      </c>
      <c r="AY52" s="44" t="n">
        <f aca="false">(AY33*Assumptions!$F$56+AY34*Assumptions!$F$57+AY25*Assumptions!$F$58+AY24*Assumptions!$F$59)*Assumptions!$F$55</f>
        <v>2594.80219643195</v>
      </c>
      <c r="AZ52" s="44" t="n">
        <f aca="false">(AZ33*Assumptions!$F$56+AZ34*Assumptions!$F$57+AZ25*Assumptions!$F$58+AZ24*Assumptions!$F$59)*Assumptions!$F$55</f>
        <v>2702.98203388509</v>
      </c>
      <c r="BA52" s="44" t="n">
        <f aca="false">(BA33*Assumptions!$F$56+BA34*Assumptions!$F$57+BA25*Assumptions!$F$58+BA24*Assumptions!$F$59)*Assumptions!$F$55</f>
        <v>2811.37224415833</v>
      </c>
      <c r="BB52" s="44" t="n">
        <f aca="false">(BB33*Assumptions!$F$56+BB34*Assumptions!$F$57+BB25*Assumptions!$F$58+BB24*Assumptions!$F$59)*Assumptions!$F$55</f>
        <v>2920.01722697721</v>
      </c>
      <c r="BC52" s="44" t="n">
        <f aca="false">(BC33*Assumptions!$F$56+BC34*Assumptions!$F$57+BC25*Assumptions!$F$58+BC24*Assumptions!$F$59)*Assumptions!$F$55</f>
        <v>3028.66460084154</v>
      </c>
      <c r="BD52" s="44" t="n">
        <f aca="false">(BD33*Assumptions!$F$56+BD34*Assumptions!$F$57+BD25*Assumptions!$F$58+BD24*Assumptions!$F$59)*Assumptions!$F$55</f>
        <v>3137.21427105142</v>
      </c>
      <c r="BE52" s="44" t="n">
        <f aca="false">(BE33*Assumptions!$F$56+BE34*Assumptions!$F$57+BE25*Assumptions!$F$58+BE24*Assumptions!$F$59)*Assumptions!$F$55</f>
        <v>3245.73262710184</v>
      </c>
      <c r="BF52" s="44" t="n">
        <f aca="false">(BF33*Assumptions!$F$56+BF34*Assumptions!$F$57+BF25*Assumptions!$F$58+BF24*Assumptions!$F$59)*Assumptions!$F$55</f>
        <v>3353.98915985408</v>
      </c>
      <c r="BG52" s="44" t="n">
        <f aca="false">(BG33*Assumptions!$F$56+BG34*Assumptions!$F$57+BG25*Assumptions!$F$58+BG24*Assumptions!$F$59)*Assumptions!$F$55</f>
        <v>3461.90499850229</v>
      </c>
      <c r="BH52" s="44" t="n">
        <f aca="false">(BH33*Assumptions!$F$56+BH34*Assumptions!$F$57+BH25*Assumptions!$F$58+BH24*Assumptions!$F$59)*Assumptions!$F$55</f>
        <v>3569.40394625598</v>
      </c>
      <c r="BI52" s="44" t="n">
        <f aca="false">(BI33*Assumptions!$F$56+BI34*Assumptions!$F$57+BI25*Assumptions!$F$58+BI24*Assumptions!$F$59)*Assumptions!$F$55</f>
        <v>3676.4138787371</v>
      </c>
      <c r="BJ52" s="44" t="n">
        <f aca="false">(BJ33*Assumptions!$F$56+BJ34*Assumptions!$F$57+BJ25*Assumptions!$F$58+BJ24*Assumptions!$F$59)*Assumptions!$F$55</f>
        <v>3782.86747534412</v>
      </c>
      <c r="BK52" s="44" t="n">
        <f aca="false">(BK33*Assumptions!$F$56+BK34*Assumptions!$F$57+BK25*Assumptions!$F$58+BK24*Assumptions!$F$59)*Assumptions!$F$55</f>
        <v>3888.70253023815</v>
      </c>
    </row>
    <row r="53" customFormat="false" ht="15" hidden="false" customHeight="false" outlineLevel="0" collapsed="false">
      <c r="A53" s="28" t="s">
        <v>621</v>
      </c>
      <c r="B53" s="6" t="s">
        <v>622</v>
      </c>
      <c r="C53" s="43"/>
      <c r="D53" s="17" t="n">
        <f aca="false">D39*Assumptions!$F$51+D32*Assumptions!$F$45*Assumptions!$F$52</f>
        <v>0</v>
      </c>
      <c r="E53" s="17" t="n">
        <f aca="false">E39*Assumptions!$F$51+E32*Assumptions!$F$45*Assumptions!$F$52</f>
        <v>0</v>
      </c>
      <c r="F53" s="17" t="n">
        <f aca="false">F39*Assumptions!$F$51+F32*Assumptions!$F$45*Assumptions!$F$52</f>
        <v>0</v>
      </c>
      <c r="G53" s="17" t="n">
        <f aca="false">G39*Assumptions!$F$51+G32*Assumptions!$F$45*Assumptions!$F$52</f>
        <v>0</v>
      </c>
      <c r="H53" s="17" t="n">
        <f aca="false">H39*Assumptions!$F$51+H32*Assumptions!$F$45*Assumptions!$F$52</f>
        <v>0</v>
      </c>
      <c r="I53" s="17" t="n">
        <f aca="false">I39*Assumptions!$F$51+I32*Assumptions!$F$45*Assumptions!$F$52</f>
        <v>0</v>
      </c>
      <c r="J53" s="17" t="n">
        <f aca="false">J39*Assumptions!$F$51+J32*Assumptions!$F$45*Assumptions!$F$52</f>
        <v>0</v>
      </c>
      <c r="K53" s="17" t="n">
        <f aca="false">K39*Assumptions!$F$51+K32*Assumptions!$F$45*Assumptions!$F$52</f>
        <v>0</v>
      </c>
      <c r="L53" s="17" t="n">
        <f aca="false">L39*Assumptions!$F$51+L32*Assumptions!$F$45*Assumptions!$F$52</f>
        <v>0</v>
      </c>
      <c r="M53" s="17" t="n">
        <f aca="false">M39*Assumptions!$F$51+M32*Assumptions!$F$45*Assumptions!$F$52</f>
        <v>0</v>
      </c>
      <c r="N53" s="17" t="n">
        <f aca="false">N39*Assumptions!$F$51+N32*Assumptions!$F$45*Assumptions!$F$52</f>
        <v>0</v>
      </c>
      <c r="O53" s="17" t="n">
        <f aca="false">O39*Assumptions!$F$51+O32*Assumptions!$F$45*Assumptions!$F$52</f>
        <v>4.40568000980475</v>
      </c>
      <c r="P53" s="17" t="n">
        <f aca="false">P39*Assumptions!$F$51+P32*Assumptions!$F$45*Assumptions!$F$52</f>
        <v>9.50387228664631</v>
      </c>
      <c r="Q53" s="17" t="n">
        <f aca="false">Q39*Assumptions!$F$51+Q32*Assumptions!$F$45*Assumptions!$F$52</f>
        <v>15.2992181186071</v>
      </c>
      <c r="R53" s="17" t="n">
        <f aca="false">R39*Assumptions!$F$51+R32*Assumptions!$F$45*Assumptions!$F$52</f>
        <v>21.7503154801346</v>
      </c>
      <c r="S53" s="17" t="n">
        <f aca="false">S39*Assumptions!$F$51+S32*Assumptions!$F$45*Assumptions!$F$52</f>
        <v>28.863608034026</v>
      </c>
      <c r="T53" s="17" t="n">
        <f aca="false">T39*Assumptions!$F$51+T32*Assumptions!$F$45*Assumptions!$F$52</f>
        <v>52.3083823142953</v>
      </c>
      <c r="U53" s="17" t="n">
        <f aca="false">U39*Assumptions!$F$51+U32*Assumptions!$F$45*Assumptions!$F$52</f>
        <v>77.0775828772477</v>
      </c>
      <c r="V53" s="17" t="n">
        <f aca="false">V39*Assumptions!$F$51+V32*Assumptions!$F$45*Assumptions!$F$52</f>
        <v>103.070529377984</v>
      </c>
      <c r="W53" s="17" t="n">
        <f aca="false">W39*Assumptions!$F$51+W32*Assumptions!$F$45*Assumptions!$F$52</f>
        <v>131.154760705132</v>
      </c>
      <c r="X53" s="17" t="n">
        <f aca="false">X39*Assumptions!$F$51+X32*Assumptions!$F$45*Assumptions!$F$52</f>
        <v>161.045008180754</v>
      </c>
      <c r="Y53" s="17" t="n">
        <f aca="false">Y39*Assumptions!$F$51+Y32*Assumptions!$F$45*Assumptions!$F$52</f>
        <v>192.324962909152</v>
      </c>
      <c r="Z53" s="17" t="n">
        <f aca="false">Z39*Assumptions!$F$51+Z32*Assumptions!$F$45*Assumptions!$F$52</f>
        <v>225.650358987911</v>
      </c>
      <c r="AA53" s="17" t="n">
        <f aca="false">AA39*Assumptions!$F$51+AA32*Assumptions!$F$45*Assumptions!$F$52</f>
        <v>260.580796943875</v>
      </c>
      <c r="AB53" s="17" t="n">
        <f aca="false">AB39*Assumptions!$F$51+AB32*Assumptions!$F$45*Assumptions!$F$52</f>
        <v>296.673657838623</v>
      </c>
      <c r="AC53" s="17" t="n">
        <f aca="false">AC39*Assumptions!$F$51+AC32*Assumptions!$F$45*Assumptions!$F$52</f>
        <v>334.445543204065</v>
      </c>
      <c r="AD53" s="17" t="n">
        <f aca="false">AD39*Assumptions!$F$51+AD32*Assumptions!$F$45*Assumptions!$F$52</f>
        <v>374.443781228939</v>
      </c>
      <c r="AE53" s="17" t="n">
        <f aca="false">AE39*Assumptions!$F$51+AE32*Assumptions!$F$45*Assumptions!$F$52</f>
        <v>416.013398556591</v>
      </c>
      <c r="AF53" s="17" t="n">
        <f aca="false">AF39*Assumptions!$F$51+AF32*Assumptions!$F$45*Assumptions!$F$52</f>
        <v>459.36118924544</v>
      </c>
      <c r="AG53" s="17" t="n">
        <f aca="false">AG39*Assumptions!$F$51+AG32*Assumptions!$F$45*Assumptions!$F$52</f>
        <v>504.828066413062</v>
      </c>
      <c r="AH53" s="17" t="n">
        <f aca="false">AH39*Assumptions!$F$51+AH32*Assumptions!$F$45*Assumptions!$F$52</f>
        <v>551.608916095283</v>
      </c>
      <c r="AI53" s="17" t="n">
        <f aca="false">AI39*Assumptions!$F$51+AI32*Assumptions!$F$45*Assumptions!$F$52</f>
        <v>599.850409782011</v>
      </c>
      <c r="AJ53" s="17" t="n">
        <f aca="false">AJ39*Assumptions!$F$51+AJ32*Assumptions!$F$45*Assumptions!$F$52</f>
        <v>649.761947322816</v>
      </c>
      <c r="AK53" s="17" t="n">
        <f aca="false">AK39*Assumptions!$F$51+AK32*Assumptions!$F$45*Assumptions!$F$52</f>
        <v>701.533191567034</v>
      </c>
      <c r="AL53" s="17" t="n">
        <f aca="false">AL39*Assumptions!$F$51+AL32*Assumptions!$F$45*Assumptions!$F$52</f>
        <v>755.143413416158</v>
      </c>
      <c r="AM53" s="17" t="n">
        <f aca="false">AM39*Assumptions!$F$51+AM32*Assumptions!$F$45*Assumptions!$F$52</f>
        <v>810.456462890244</v>
      </c>
      <c r="AN53" s="44" t="n">
        <f aca="false">AN39*Assumptions!$F$51+AN32*Assumptions!$F$45*Assumptions!$F$52</f>
        <v>867.461419845017</v>
      </c>
      <c r="AO53" s="44" t="n">
        <f aca="false">AO39*Assumptions!$F$51+AO32*Assumptions!$F$45*Assumptions!$F$52</f>
        <v>925.992808510114</v>
      </c>
      <c r="AP53" s="44" t="n">
        <f aca="false">AP39*Assumptions!$F$51+AP32*Assumptions!$F$45*Assumptions!$F$52</f>
        <v>985.897777144296</v>
      </c>
      <c r="AQ53" s="44" t="n">
        <f aca="false">AQ39*Assumptions!$F$51+AQ32*Assumptions!$F$45*Assumptions!$F$52</f>
        <v>1047.03516271528</v>
      </c>
      <c r="AR53" s="44" t="n">
        <f aca="false">AR39*Assumptions!$F$51+AR32*Assumptions!$F$45*Assumptions!$F$52</f>
        <v>1109.27462515312</v>
      </c>
      <c r="AS53" s="44" t="n">
        <f aca="false">AS39*Assumptions!$F$51+AS32*Assumptions!$F$45*Assumptions!$F$52</f>
        <v>1172.49584595863</v>
      </c>
      <c r="AT53" s="44" t="n">
        <f aca="false">AT39*Assumptions!$F$51+AT32*Assumptions!$F$45*Assumptions!$F$52</f>
        <v>1236.54935370165</v>
      </c>
      <c r="AU53" s="44" t="n">
        <f aca="false">AU39*Assumptions!$F$51+AU32*Assumptions!$F$45*Assumptions!$F$52</f>
        <v>1301.33604449703</v>
      </c>
      <c r="AV53" s="44" t="n">
        <f aca="false">AV39*Assumptions!$F$51+AV32*Assumptions!$F$45*Assumptions!$F$52</f>
        <v>1366.7645189466</v>
      </c>
      <c r="AW53" s="44" t="n">
        <f aca="false">AW39*Assumptions!$F$51+AW32*Assumptions!$F$45*Assumptions!$F$52</f>
        <v>1432.71207960194</v>
      </c>
      <c r="AX53" s="44" t="n">
        <f aca="false">AX39*Assumptions!$F$51+AX32*Assumptions!$F$45*Assumptions!$F$52</f>
        <v>1499.10441053741</v>
      </c>
      <c r="AY53" s="44" t="n">
        <f aca="false">AY39*Assumptions!$F$51+AY32*Assumptions!$F$45*Assumptions!$F$52</f>
        <v>1565.87306149213</v>
      </c>
      <c r="AZ53" s="44" t="n">
        <f aca="false">AZ39*Assumptions!$F$51+AZ32*Assumptions!$F$45*Assumptions!$F$52</f>
        <v>1632.91658153265</v>
      </c>
      <c r="BA53" s="44" t="n">
        <f aca="false">BA39*Assumptions!$F$51+BA32*Assumptions!$F$45*Assumptions!$F$52</f>
        <v>1700.14189201327</v>
      </c>
      <c r="BB53" s="44" t="n">
        <f aca="false">BB39*Assumptions!$F$51+BB32*Assumptions!$F$45*Assumptions!$F$52</f>
        <v>1767.50209460654</v>
      </c>
      <c r="BC53" s="44" t="n">
        <f aca="false">BC39*Assumptions!$F$51+BC32*Assumptions!$F$45*Assumptions!$F$52</f>
        <v>1834.91568567452</v>
      </c>
      <c r="BD53" s="44" t="n">
        <f aca="false">BD39*Assumptions!$F$51+BD32*Assumptions!$F$45*Assumptions!$F$52</f>
        <v>1902.30804792016</v>
      </c>
      <c r="BE53" s="44" t="n">
        <f aca="false">BE39*Assumptions!$F$51+BE32*Assumptions!$F$45*Assumptions!$F$52</f>
        <v>1969.64936826174</v>
      </c>
      <c r="BF53" s="44" t="n">
        <f aca="false">BF39*Assumptions!$F$51+BF32*Assumptions!$F$45*Assumptions!$F$52</f>
        <v>2036.87395386658</v>
      </c>
      <c r="BG53" s="44" t="n">
        <f aca="false">BG39*Assumptions!$F$51+BG32*Assumptions!$F$45*Assumptions!$F$52</f>
        <v>2103.92181789754</v>
      </c>
      <c r="BH53" s="44" t="n">
        <f aca="false">BH39*Assumptions!$F$51+BH32*Assumptions!$F$45*Assumptions!$F$52</f>
        <v>2170.73825184289</v>
      </c>
      <c r="BI53" s="44" t="n">
        <f aca="false">BI39*Assumptions!$F$51+BI32*Assumptions!$F$45*Assumptions!$F$52</f>
        <v>2237.27342943819</v>
      </c>
      <c r="BJ53" s="44" t="n">
        <f aca="false">BJ39*Assumptions!$F$51+BJ32*Assumptions!$F$45*Assumptions!$F$52</f>
        <v>2303.48203983088</v>
      </c>
      <c r="BK53" s="44" t="n">
        <f aca="false">BK39*Assumptions!$F$51+BK32*Assumptions!$F$45*Assumptions!$F$52</f>
        <v>2369.32294781444</v>
      </c>
    </row>
    <row r="54" customFormat="false" ht="15" hidden="false" customHeight="false" outlineLevel="0" collapsed="false">
      <c r="A54" s="28" t="s">
        <v>623</v>
      </c>
      <c r="B54" s="6" t="s">
        <v>517</v>
      </c>
      <c r="C54" s="43"/>
      <c r="D54" s="17" t="n">
        <f aca="false">(D37+D38)*Assumptions!$F$53+D32*Assumptions!$F$54</f>
        <v>0</v>
      </c>
      <c r="E54" s="17" t="n">
        <f aca="false">(E37+E38)*Assumptions!$F$53+E32*Assumptions!$F$54</f>
        <v>0</v>
      </c>
      <c r="F54" s="17" t="n">
        <f aca="false">(F37+F38)*Assumptions!$F$53+F32*Assumptions!$F$54</f>
        <v>0</v>
      </c>
      <c r="G54" s="17" t="n">
        <f aca="false">(G37+G38)*Assumptions!$F$53+G32*Assumptions!$F$54</f>
        <v>0</v>
      </c>
      <c r="H54" s="17" t="n">
        <f aca="false">(H37+H38)*Assumptions!$F$53+H32*Assumptions!$F$54</f>
        <v>0</v>
      </c>
      <c r="I54" s="17" t="n">
        <f aca="false">(I37+I38)*Assumptions!$F$53+I32*Assumptions!$F$54</f>
        <v>0</v>
      </c>
      <c r="J54" s="17" t="n">
        <f aca="false">(J37+J38)*Assumptions!$F$53+J32*Assumptions!$F$54</f>
        <v>0</v>
      </c>
      <c r="K54" s="17" t="n">
        <f aca="false">(K37+K38)*Assumptions!$F$53+K32*Assumptions!$F$54</f>
        <v>0</v>
      </c>
      <c r="L54" s="17" t="n">
        <f aca="false">(L37+L38)*Assumptions!$F$53+L32*Assumptions!$F$54</f>
        <v>0</v>
      </c>
      <c r="M54" s="17" t="n">
        <f aca="false">(M37+M38)*Assumptions!$F$53+M32*Assumptions!$F$54</f>
        <v>0</v>
      </c>
      <c r="N54" s="17" t="n">
        <f aca="false">(N37+N38)*Assumptions!$F$53+N32*Assumptions!$F$54</f>
        <v>0</v>
      </c>
      <c r="O54" s="17" t="n">
        <f aca="false">(O37+O38)*Assumptions!$F$53+O32*Assumptions!$F$54</f>
        <v>1.30216220847562</v>
      </c>
      <c r="P54" s="17" t="n">
        <f aca="false">(P37+P38)*Assumptions!$F$53+P32*Assumptions!$F$54</f>
        <v>2.80900639590439</v>
      </c>
      <c r="Q54" s="17" t="n">
        <f aca="false">(Q37+Q38)*Assumptions!$F$53+Q32*Assumptions!$F$54</f>
        <v>4.5219043618555</v>
      </c>
      <c r="R54" s="17" t="n">
        <f aca="false">(R37+R38)*Assumptions!$F$53+R32*Assumptions!$F$54</f>
        <v>6.4286191411139</v>
      </c>
      <c r="S54" s="17" t="n">
        <f aca="false">(S37+S38)*Assumptions!$F$53+S32*Assumptions!$F$54</f>
        <v>8.53105525106618</v>
      </c>
      <c r="T54" s="17" t="n">
        <f aca="false">(T37+T38)*Assumptions!$F$53+T32*Assumptions!$F$54</f>
        <v>15.8886072404563</v>
      </c>
      <c r="U54" s="17" t="n">
        <f aca="false">(U37+U38)*Assumptions!$F$53+U32*Assumptions!$F$54</f>
        <v>23.6583202420939</v>
      </c>
      <c r="V54" s="17" t="n">
        <f aca="false">(V37+V38)*Assumptions!$F$53+V32*Assumptions!$F$54</f>
        <v>31.8089635777319</v>
      </c>
      <c r="W54" s="17" t="n">
        <f aca="false">(W37+W38)*Assumptions!$F$53+W32*Assumptions!$F$54</f>
        <v>40.6115762206107</v>
      </c>
      <c r="X54" s="17" t="n">
        <f aca="false">(X37+X38)*Assumptions!$F$53+X32*Assumptions!$F$54</f>
        <v>49.9773158875578</v>
      </c>
      <c r="Y54" s="17" t="n">
        <f aca="false">(Y37+Y38)*Assumptions!$F$53+Y32*Assumptions!$F$54</f>
        <v>59.7763935315898</v>
      </c>
      <c r="Z54" s="17" t="n">
        <f aca="false">(Z37+Z38)*Assumptions!$F$53+Z32*Assumptions!$F$54</f>
        <v>70.2136864888828</v>
      </c>
      <c r="AA54" s="17" t="n">
        <f aca="false">(AA37+AA38)*Assumptions!$F$53+AA32*Assumptions!$F$54</f>
        <v>81.151874459467</v>
      </c>
      <c r="AB54" s="17" t="n">
        <f aca="false">(AB37+AB38)*Assumptions!$F$53+AB32*Assumptions!$F$54</f>
        <v>92.4529034332818</v>
      </c>
      <c r="AC54" s="17" t="n">
        <f aca="false">(AC37+AC38)*Assumptions!$F$53+AC32*Assumptions!$F$54</f>
        <v>104.27816300975</v>
      </c>
      <c r="AD54" s="17" t="n">
        <f aca="false">(AD37+AD38)*Assumptions!$F$53+AD32*Assumptions!$F$54</f>
        <v>116.798661061364</v>
      </c>
      <c r="AE54" s="17" t="n">
        <f aca="false">(AE37+AE38)*Assumptions!$F$53+AE32*Assumptions!$F$54</f>
        <v>129.810055870274</v>
      </c>
      <c r="AF54" s="17" t="n">
        <f aca="false">(AF37+AF38)*Assumptions!$F$53+AF32*Assumptions!$F$54</f>
        <v>143.377009277937</v>
      </c>
      <c r="AG54" s="17" t="n">
        <f aca="false">(AG37+AG38)*Assumptions!$F$53+AG32*Assumptions!$F$54</f>
        <v>157.606062752157</v>
      </c>
      <c r="AH54" s="17" t="n">
        <f aca="false">(AH37+AH38)*Assumptions!$F$53+AH32*Assumptions!$F$54</f>
        <v>172.245966383416</v>
      </c>
      <c r="AI54" s="17" t="n">
        <f aca="false">(AI37+AI38)*Assumptions!$F$53+AI32*Assumptions!$F$54</f>
        <v>187.34257150087</v>
      </c>
      <c r="AJ54" s="17" t="n">
        <f aca="false">(AJ37+AJ38)*Assumptions!$F$53+AJ32*Assumptions!$F$54</f>
        <v>202.961318838108</v>
      </c>
      <c r="AK54" s="17" t="n">
        <f aca="false">(AK37+AK38)*Assumptions!$F$53+AK32*Assumptions!$F$54</f>
        <v>219.16149544605</v>
      </c>
      <c r="AL54" s="17" t="n">
        <f aca="false">(AL37+AL38)*Assumptions!$F$53+AL32*Assumptions!$F$54</f>
        <v>235.936707877712</v>
      </c>
      <c r="AM54" s="17" t="n">
        <f aca="false">(AM37+AM38)*Assumptions!$F$53+AM32*Assumptions!$F$54</f>
        <v>253.244519787977</v>
      </c>
      <c r="AN54" s="44" t="n">
        <f aca="false">(AN37+AN38)*Assumptions!$F$53+AN32*Assumptions!$F$54</f>
        <v>271.081579585888</v>
      </c>
      <c r="AO54" s="44" t="n">
        <f aca="false">(AO37+AO38)*Assumptions!$F$53+AO32*Assumptions!$F$54</f>
        <v>289.396276406544</v>
      </c>
      <c r="AP54" s="44" t="n">
        <f aca="false">(AP37+AP38)*Assumptions!$F$53+AP32*Assumptions!$F$54</f>
        <v>308.140926476678</v>
      </c>
      <c r="AQ54" s="44" t="n">
        <f aca="false">(AQ37+AQ38)*Assumptions!$F$53+AQ32*Assumptions!$F$54</f>
        <v>327.271482837899</v>
      </c>
      <c r="AR54" s="44" t="n">
        <f aca="false">(AR37+AR38)*Assumptions!$F$53+AR32*Assumptions!$F$54</f>
        <v>346.747266617757</v>
      </c>
      <c r="AS54" s="44" t="n">
        <f aca="false">(AS37+AS38)*Assumptions!$F$53+AS32*Assumptions!$F$54</f>
        <v>366.530718235279</v>
      </c>
      <c r="AT54" s="44" t="n">
        <f aca="false">(AT37+AT38)*Assumptions!$F$53+AT32*Assumptions!$F$54</f>
        <v>386.575167851117</v>
      </c>
      <c r="AU54" s="44" t="n">
        <f aca="false">(AU37+AU38)*Assumptions!$F$53+AU32*Assumptions!$F$54</f>
        <v>406.849661459309</v>
      </c>
      <c r="AV54" s="44" t="n">
        <f aca="false">(AV37+AV38)*Assumptions!$F$53+AV32*Assumptions!$F$54</f>
        <v>427.325644708571</v>
      </c>
      <c r="AW54" s="44" t="n">
        <f aca="false">(AW37+AW38)*Assumptions!$F$53+AW32*Assumptions!$F$54</f>
        <v>447.964786647257</v>
      </c>
      <c r="AX54" s="44" t="n">
        <f aca="false">(AX37+AX38)*Assumptions!$F$53+AX32*Assumptions!$F$54</f>
        <v>468.743855129446</v>
      </c>
      <c r="AY54" s="44" t="n">
        <f aca="false">(AY37+AY38)*Assumptions!$F$53+AY32*Assumptions!$F$54</f>
        <v>489.641446269821</v>
      </c>
      <c r="AZ54" s="44" t="n">
        <f aca="false">(AZ37+AZ38)*Assumptions!$F$53+AZ32*Assumptions!$F$54</f>
        <v>510.62585041845</v>
      </c>
      <c r="BA54" s="44" t="n">
        <f aca="false">(BA37+BA38)*Assumptions!$F$53+BA32*Assumptions!$F$54</f>
        <v>531.667967450759</v>
      </c>
      <c r="BB54" s="44" t="n">
        <f aca="false">(BB37+BB38)*Assumptions!$F$53+BB32*Assumptions!$F$54</f>
        <v>552.753111773084</v>
      </c>
      <c r="BC54" s="44" t="n">
        <f aca="false">(BC37+BC38)*Assumptions!$F$53+BC32*Assumptions!$F$54</f>
        <v>573.855793096766</v>
      </c>
      <c r="BD54" s="44" t="n">
        <f aca="false">(BD37+BD38)*Assumptions!$F$53+BD32*Assumptions!$F$54</f>
        <v>594.952668549673</v>
      </c>
      <c r="BE54" s="44" t="n">
        <f aca="false">(BE37+BE38)*Assumptions!$F$53+BE32*Assumptions!$F$54</f>
        <v>616.034381764129</v>
      </c>
      <c r="BF54" s="44" t="n">
        <f aca="false">(BF37+BF38)*Assumptions!$F$53+BF32*Assumptions!$F$54</f>
        <v>637.080375199745</v>
      </c>
      <c r="BG54" s="44" t="n">
        <f aca="false">(BG37+BG38)*Assumptions!$F$53+BG32*Assumptions!$F$54</f>
        <v>658.071871460085</v>
      </c>
      <c r="BH54" s="44" t="n">
        <f aca="false">(BH37+BH38)*Assumptions!$F$53+BH32*Assumptions!$F$54</f>
        <v>678.991740219581</v>
      </c>
      <c r="BI54" s="44" t="n">
        <f aca="false">(BI37+BI38)*Assumptions!$F$53+BI32*Assumptions!$F$54</f>
        <v>699.824374957721</v>
      </c>
      <c r="BJ54" s="44" t="n">
        <f aca="false">(BJ37+BJ38)*Assumptions!$F$53+BJ32*Assumptions!$F$54</f>
        <v>720.555578772701</v>
      </c>
      <c r="BK54" s="44" t="n">
        <f aca="false">(BK37+BK38)*Assumptions!$F$53+BK32*Assumptions!$F$54</f>
        <v>741.172458601206</v>
      </c>
    </row>
    <row r="55" customFormat="false" ht="15" hidden="false" customHeight="false" outlineLevel="0" collapsed="false">
      <c r="A55" s="28" t="s">
        <v>624</v>
      </c>
      <c r="B55" s="6" t="s">
        <v>625</v>
      </c>
      <c r="C55" s="43"/>
      <c r="D55" s="17" t="n">
        <f aca="false">D25*Assumptions!$F$65*Assumptions!$F$66*Assumptions!$F$67</f>
        <v>0</v>
      </c>
      <c r="E55" s="17" t="n">
        <f aca="false">E25*Assumptions!$F$65*Assumptions!$F$66*Assumptions!$F$67</f>
        <v>0</v>
      </c>
      <c r="F55" s="17" t="n">
        <f aca="false">F25*Assumptions!$F$65*Assumptions!$F$66*Assumptions!$F$67</f>
        <v>0</v>
      </c>
      <c r="G55" s="17" t="n">
        <f aca="false">G25*Assumptions!$F$65*Assumptions!$F$66*Assumptions!$F$67</f>
        <v>0</v>
      </c>
      <c r="H55" s="17" t="n">
        <f aca="false">H25*Assumptions!$F$65*Assumptions!$F$66*Assumptions!$F$67</f>
        <v>20.655</v>
      </c>
      <c r="I55" s="17" t="n">
        <f aca="false">I25*Assumptions!$F$65*Assumptions!$F$66*Assumptions!$F$67</f>
        <v>32.118525</v>
      </c>
      <c r="J55" s="17" t="n">
        <f aca="false">J25*Assumptions!$F$65*Assumptions!$F$66*Assumptions!$F$67</f>
        <v>34.233080625</v>
      </c>
      <c r="K55" s="17" t="n">
        <f aca="false">K25*Assumptions!$F$65*Assumptions!$F$66*Assumptions!$F$67</f>
        <v>52.426921190625</v>
      </c>
      <c r="L55" s="17" t="n">
        <f aca="false">L25*Assumptions!$F$65*Assumptions!$F$66*Assumptions!$F$67</f>
        <v>79.8285662765156</v>
      </c>
      <c r="M55" s="17" t="n">
        <f aca="false">M25*Assumptions!$F$65*Assumptions!$F$66*Assumptions!$F$67</f>
        <v>89.6167135698054</v>
      </c>
      <c r="N55" s="17" t="n">
        <f aca="false">N25*Assumptions!$F$65*Assumptions!$F$66*Assumptions!$F$67</f>
        <v>104.236903128093</v>
      </c>
      <c r="O55" s="17" t="n">
        <f aca="false">O25*Assumptions!$F$65*Assumptions!$F$66*Assumptions!$F$67</f>
        <v>125.476283751364</v>
      </c>
      <c r="P55" s="17" t="n">
        <f aca="false">P25*Assumptions!$F$65*Assumptions!$F$66*Assumptions!$F$67</f>
        <v>148.793118705718</v>
      </c>
      <c r="Q55" s="17" t="n">
        <f aca="false">Q25*Assumptions!$F$65*Assumptions!$F$66*Assumptions!$F$67</f>
        <v>169.517110412039</v>
      </c>
      <c r="R55" s="17" t="n">
        <f aca="false">R25*Assumptions!$F$65*Assumptions!$F$66*Assumptions!$F$67</f>
        <v>186.158873272347</v>
      </c>
      <c r="S55" s="17" t="n">
        <f aca="false">S25*Assumptions!$F$65*Assumptions!$F$66*Assumptions!$F$67</f>
        <v>202.64431585898</v>
      </c>
      <c r="T55" s="17" t="n">
        <f aca="false">T25*Assumptions!$F$65*Assumptions!$F$66*Assumptions!$F$67</f>
        <v>215.803565816811</v>
      </c>
      <c r="U55" s="17" t="n">
        <f aca="false">U25*Assumptions!$F$65*Assumptions!$F$66*Assumptions!$F$67</f>
        <v>226.797182881776</v>
      </c>
      <c r="V55" s="17" t="n">
        <f aca="false">V25*Assumptions!$F$65*Assumptions!$F$66*Assumptions!$F$67</f>
        <v>236.379584997489</v>
      </c>
      <c r="W55" s="17" t="n">
        <f aca="false">W25*Assumptions!$F$65*Assumptions!$F$66*Assumptions!$F$67</f>
        <v>265.696197130838</v>
      </c>
      <c r="X55" s="17" t="n">
        <f aca="false">X25*Assumptions!$F$65*Assumptions!$F$66*Assumptions!$F$67</f>
        <v>285.219373014278</v>
      </c>
      <c r="Y55" s="17" t="n">
        <f aca="false">Y25*Assumptions!$F$65*Assumptions!$F$66*Assumptions!$F$67</f>
        <v>294.998908665325</v>
      </c>
      <c r="Z55" s="17" t="n">
        <f aca="false">Z25*Assumptions!$F$65*Assumptions!$F$66*Assumptions!$F$67</f>
        <v>320.597848095415</v>
      </c>
      <c r="AA55" s="17" t="n">
        <f aca="false">AA25*Assumptions!$F$65*Assumptions!$F$66*Assumptions!$F$67</f>
        <v>334.577374363029</v>
      </c>
      <c r="AB55" s="17" t="n">
        <f aca="false">AB25*Assumptions!$F$65*Assumptions!$F$66*Assumptions!$F$67</f>
        <v>340.019690840463</v>
      </c>
      <c r="AC55" s="17" t="n">
        <f aca="false">AC25*Assumptions!$F$65*Assumptions!$F$66*Assumptions!$F$67</f>
        <v>359.564950588228</v>
      </c>
      <c r="AD55" s="17" t="n">
        <f aca="false">AD25*Assumptions!$F$65*Assumptions!$F$66*Assumptions!$F$67</f>
        <v>390.251223151146</v>
      </c>
      <c r="AE55" s="17" t="n">
        <f aca="false">AE25*Assumptions!$F$65*Assumptions!$F$66*Assumptions!$F$67</f>
        <v>403.751338238011</v>
      </c>
      <c r="AF55" s="17" t="n">
        <f aca="false">AF25*Assumptions!$F$65*Assumptions!$F$66*Assumptions!$F$67</f>
        <v>423.163812396627</v>
      </c>
      <c r="AG55" s="17" t="n">
        <f aca="false">AG25*Assumptions!$F$65*Assumptions!$F$66*Assumptions!$F$67</f>
        <v>449.895038961599</v>
      </c>
      <c r="AH55" s="17" t="n">
        <f aca="false">AH25*Assumptions!$F$65*Assumptions!$F$66*Assumptions!$F$67</f>
        <v>457.674629815273</v>
      </c>
      <c r="AI55" s="17" t="n">
        <f aca="false">AI25*Assumptions!$F$65*Assumptions!$F$66*Assumptions!$F$67</f>
        <v>471.786473052808</v>
      </c>
      <c r="AJ55" s="17" t="n">
        <f aca="false">AJ25*Assumptions!$F$65*Assumptions!$F$66*Assumptions!$F$67</f>
        <v>491.795237702112</v>
      </c>
      <c r="AK55" s="17" t="n">
        <f aca="false">AK25*Assumptions!$F$65*Assumptions!$F$66*Assumptions!$F$67</f>
        <v>515.804940270893</v>
      </c>
      <c r="AL55" s="17" t="n">
        <f aca="false">AL25*Assumptions!$F$65*Assumptions!$F$66*Assumptions!$F$67</f>
        <v>538.449672404133</v>
      </c>
      <c r="AM55" s="17" t="n">
        <f aca="false">AM25*Assumptions!$F$65*Assumptions!$F$66*Assumptions!$F$67</f>
        <v>557.788237372318</v>
      </c>
      <c r="AN55" s="44" t="n">
        <f aca="false">AN25*Assumptions!$F$65*Assumptions!$F$66*Assumptions!$F$67</f>
        <v>577.453197346994</v>
      </c>
      <c r="AO55" s="44" t="n">
        <f aca="false">AO25*Assumptions!$F$65*Assumptions!$F$66*Assumptions!$F$67</f>
        <v>594.084330684708</v>
      </c>
      <c r="AP55" s="44" t="n">
        <f aca="false">AP25*Assumptions!$F$65*Assumptions!$F$66*Assumptions!$F$67</f>
        <v>608.718791068085</v>
      </c>
      <c r="AQ55" s="44" t="n">
        <f aca="false">AQ25*Assumptions!$F$65*Assumptions!$F$66*Assumptions!$F$67</f>
        <v>622.031098675437</v>
      </c>
      <c r="AR55" s="44" t="n">
        <f aca="false">AR25*Assumptions!$F$65*Assumptions!$F$66*Assumptions!$F$67</f>
        <v>634.460056352994</v>
      </c>
      <c r="AS55" s="44" t="n">
        <f aca="false">AS25*Assumptions!$F$65*Assumptions!$F$66*Assumptions!$F$67</f>
        <v>646.291245210199</v>
      </c>
      <c r="AT55" s="44" t="n">
        <f aca="false">AT25*Assumptions!$F$65*Assumptions!$F$66*Assumptions!$F$67</f>
        <v>656.884446838672</v>
      </c>
      <c r="AU55" s="44" t="n">
        <f aca="false">AU25*Assumptions!$F$65*Assumptions!$F$66*Assumptions!$F$67</f>
        <v>667.455612835397</v>
      </c>
      <c r="AV55" s="44" t="n">
        <f aca="false">AV25*Assumptions!$F$65*Assumptions!$F$66*Assumptions!$F$67</f>
        <v>677.990219897415</v>
      </c>
      <c r="AW55" s="44" t="n">
        <f aca="false">AW25*Assumptions!$F$65*Assumptions!$F$66*Assumptions!$F$67</f>
        <v>687.652961414409</v>
      </c>
      <c r="AX55" s="44" t="n">
        <f aca="false">AX25*Assumptions!$F$65*Assumptions!$F$66*Assumptions!$F$67</f>
        <v>697.532961623242</v>
      </c>
      <c r="AY55" s="44" t="n">
        <f aca="false">AY25*Assumptions!$F$65*Assumptions!$F$66*Assumptions!$F$67</f>
        <v>707.533239708423</v>
      </c>
      <c r="AZ55" s="44" t="n">
        <f aca="false">AZ25*Assumptions!$F$65*Assumptions!$F$66*Assumptions!$F$67</f>
        <v>716.76487224399</v>
      </c>
      <c r="BA55" s="44" t="n">
        <f aca="false">BA25*Assumptions!$F$65*Assumptions!$F$66*Assumptions!$F$67</f>
        <v>725.455913395609</v>
      </c>
      <c r="BB55" s="44" t="n">
        <f aca="false">BB25*Assumptions!$F$65*Assumptions!$F$66*Assumptions!$F$67</f>
        <v>734.581412947604</v>
      </c>
      <c r="BC55" s="44" t="n">
        <f aca="false">BC25*Assumptions!$F$65*Assumptions!$F$66*Assumptions!$F$67</f>
        <v>743.144013617795</v>
      </c>
      <c r="BD55" s="44" t="n">
        <f aca="false">BD25*Assumptions!$F$65*Assumptions!$F$66*Assumptions!$F$67</f>
        <v>751.301264625389</v>
      </c>
      <c r="BE55" s="44" t="n">
        <f aca="false">BE25*Assumptions!$F$65*Assumptions!$F$66*Assumptions!$F$67</f>
        <v>759.98236494372</v>
      </c>
      <c r="BF55" s="44" t="n">
        <f aca="false">BF25*Assumptions!$F$65*Assumptions!$F$66*Assumptions!$F$67</f>
        <v>768.160132006577</v>
      </c>
      <c r="BG55" s="44" t="n">
        <f aca="false">BG25*Assumptions!$F$65*Assumptions!$F$66*Assumptions!$F$67</f>
        <v>775.972706675536</v>
      </c>
      <c r="BH55" s="44" t="n">
        <f aca="false">BH25*Assumptions!$F$65*Assumptions!$F$66*Assumptions!$F$67</f>
        <v>783.510450897291</v>
      </c>
      <c r="BI55" s="44" t="n">
        <f aca="false">BI25*Assumptions!$F$65*Assumptions!$F$66*Assumptions!$F$67</f>
        <v>790.832661768056</v>
      </c>
      <c r="BJ55" s="44" t="n">
        <f aca="false">BJ25*Assumptions!$F$65*Assumptions!$F$66*Assumptions!$F$67</f>
        <v>797.978435803786</v>
      </c>
      <c r="BK55" s="44" t="n">
        <f aca="false">BK25*Assumptions!$F$65*Assumptions!$F$66*Assumptions!$F$67</f>
        <v>804.973730842191</v>
      </c>
    </row>
    <row r="56" customFormat="false" ht="15" hidden="false" customHeight="false" outlineLevel="0" collapsed="false">
      <c r="A56" s="28" t="s">
        <v>626</v>
      </c>
      <c r="B56" s="6" t="s">
        <v>627</v>
      </c>
      <c r="C56" s="43"/>
      <c r="D56" s="17" t="n">
        <f aca="false">(D41+D42+D43)*Assumptions!$F$78</f>
        <v>0</v>
      </c>
      <c r="E56" s="17" t="n">
        <f aca="false">(E41+E42+E43)*Assumptions!$F$78</f>
        <v>0</v>
      </c>
      <c r="F56" s="17" t="n">
        <f aca="false">(F41+F42+F43)*Assumptions!$F$78</f>
        <v>0</v>
      </c>
      <c r="G56" s="17" t="n">
        <f aca="false">(G41+G42+G43)*Assumptions!$F$78</f>
        <v>0</v>
      </c>
      <c r="H56" s="17" t="n">
        <f aca="false">(H41+H42+H43)*Assumptions!$F$78</f>
        <v>0</v>
      </c>
      <c r="I56" s="17" t="n">
        <f aca="false">(I41+I42+I43)*Assumptions!$F$78</f>
        <v>0</v>
      </c>
      <c r="J56" s="17" t="n">
        <f aca="false">(J41+J42+J43)*Assumptions!$F$78</f>
        <v>0</v>
      </c>
      <c r="K56" s="17" t="n">
        <f aca="false">(K41+K42+K43)*Assumptions!$F$78</f>
        <v>0</v>
      </c>
      <c r="L56" s="17" t="n">
        <f aca="false">(L41+L42+L43)*Assumptions!$F$78</f>
        <v>0</v>
      </c>
      <c r="M56" s="17" t="n">
        <f aca="false">(M41+M42+M43)*Assumptions!$F$78</f>
        <v>0</v>
      </c>
      <c r="N56" s="17" t="n">
        <f aca="false">(N41+N42+N43)*Assumptions!$F$78</f>
        <v>0</v>
      </c>
      <c r="O56" s="17" t="n">
        <f aca="false">(O41+O42+O43)*Assumptions!$F$78</f>
        <v>0</v>
      </c>
      <c r="P56" s="17" t="n">
        <f aca="false">(P41+P42+P43)*Assumptions!$F$78</f>
        <v>0</v>
      </c>
      <c r="Q56" s="17" t="n">
        <f aca="false">(Q41+Q42+Q43)*Assumptions!$F$78</f>
        <v>0</v>
      </c>
      <c r="R56" s="17" t="n">
        <f aca="false">(R41+R42+R43)*Assumptions!$F$78</f>
        <v>0</v>
      </c>
      <c r="S56" s="17" t="n">
        <f aca="false">(S41+S42+S43)*Assumptions!$F$78</f>
        <v>0</v>
      </c>
      <c r="T56" s="17" t="n">
        <f aca="false">(T41+T42+T43)*Assumptions!$F$78</f>
        <v>0</v>
      </c>
      <c r="U56" s="17" t="n">
        <f aca="false">(U41+U42+U43)*Assumptions!$F$78</f>
        <v>0</v>
      </c>
      <c r="V56" s="17" t="n">
        <f aca="false">(V41+V42+V43)*Assumptions!$F$78</f>
        <v>0</v>
      </c>
      <c r="W56" s="17" t="n">
        <f aca="false">(W41+W42+W43)*Assumptions!$F$78</f>
        <v>0</v>
      </c>
      <c r="X56" s="17" t="n">
        <f aca="false">(X41+X42+X43)*Assumptions!$F$78</f>
        <v>0</v>
      </c>
      <c r="Y56" s="17" t="n">
        <f aca="false">(Y41+Y42+Y43)*Assumptions!$F$78</f>
        <v>0</v>
      </c>
      <c r="Z56" s="17" t="n">
        <f aca="false">(Z41+Z42+Z43)*Assumptions!$F$78</f>
        <v>0</v>
      </c>
      <c r="AA56" s="17" t="n">
        <f aca="false">(AA41+AA42+AA43)*Assumptions!$F$78</f>
        <v>0</v>
      </c>
      <c r="AB56" s="17" t="n">
        <f aca="false">(AB41+AB42+AB43)*Assumptions!$F$78</f>
        <v>0</v>
      </c>
      <c r="AC56" s="17" t="n">
        <f aca="false">(AC41+AC42+AC43)*Assumptions!$F$78</f>
        <v>0</v>
      </c>
      <c r="AD56" s="17" t="n">
        <f aca="false">(AD41+AD42+AD43)*Assumptions!$F$78</f>
        <v>0</v>
      </c>
      <c r="AE56" s="17" t="n">
        <f aca="false">(AE41+AE42+AE43)*Assumptions!$F$78</f>
        <v>0</v>
      </c>
      <c r="AF56" s="17" t="n">
        <f aca="false">(AF41+AF42+AF43)*Assumptions!$F$78</f>
        <v>24.4986261963329</v>
      </c>
      <c r="AG56" s="17" t="n">
        <f aca="false">(AG41+AG42+AG43)*Assumptions!$F$78</f>
        <v>52.4898333830817</v>
      </c>
      <c r="AH56" s="17" t="n">
        <f aca="false">(AH41+AH42+AH43)*Assumptions!$F$78</f>
        <v>83.3758058654015</v>
      </c>
      <c r="AI56" s="17" t="n">
        <f aca="false">(AI41+AI42+AI43)*Assumptions!$F$78</f>
        <v>117.650203379539</v>
      </c>
      <c r="AJ56" s="17" t="n">
        <f aca="false">(AJ41+AJ42+AJ43)*Assumptions!$F$78</f>
        <v>155.662037114727</v>
      </c>
      <c r="AK56" s="17" t="n">
        <f aca="false">(AK41+AK42+AK43)*Assumptions!$F$78</f>
        <v>197.71424770847</v>
      </c>
      <c r="AL56" s="17" t="n">
        <f aca="false">(AL41+AL42+AL43)*Assumptions!$F$78</f>
        <v>208.872679248104</v>
      </c>
      <c r="AM56" s="17" t="n">
        <f aca="false">(AM41+AM42+AM43)*Assumptions!$F$78</f>
        <v>220.044779795302</v>
      </c>
      <c r="AN56" s="44" t="n">
        <f aca="false">(AN41+AN42+AN43)*Assumptions!$F$78</f>
        <v>231.43903279672</v>
      </c>
      <c r="AO56" s="44" t="n">
        <f aca="false">(AO41+AO42+AO43)*Assumptions!$F$78</f>
        <v>242.762723558695</v>
      </c>
      <c r="AP56" s="44" t="n">
        <f aca="false">(AP41+AP42+AP43)*Assumptions!$F$78</f>
        <v>254.009147950367</v>
      </c>
      <c r="AQ56" s="44" t="n">
        <f aca="false">(AQ41+AQ42+AQ43)*Assumptions!$F$78</f>
        <v>265.174419300395</v>
      </c>
      <c r="AR56" s="44" t="n">
        <f aca="false">(AR41+AR42+AR43)*Assumptions!$F$78</f>
        <v>276.256475220923</v>
      </c>
      <c r="AS56" s="44" t="n">
        <f aca="false">(AS41+AS42+AS43)*Assumptions!$F$78</f>
        <v>287.254432149132</v>
      </c>
      <c r="AT56" s="44" t="n">
        <f aca="false">(AT41+AT42+AT43)*Assumptions!$F$78</f>
        <v>298.095721423635</v>
      </c>
      <c r="AU56" s="44" t="n">
        <f aca="false">(AU41+AU42+AU43)*Assumptions!$F$78</f>
        <v>308.852231944161</v>
      </c>
      <c r="AV56" s="44" t="n">
        <f aca="false">(AV41+AV42+AV43)*Assumptions!$F$78</f>
        <v>319.525351667221</v>
      </c>
      <c r="AW56" s="44" t="n">
        <f aca="false">(AW41+AW42+AW43)*Assumptions!$F$78</f>
        <v>330.043962553657</v>
      </c>
      <c r="AX56" s="44" t="n">
        <f aca="false">(AX41+AX42+AX43)*Assumptions!$F$78</f>
        <v>340.480870930291</v>
      </c>
      <c r="AY56" s="44" t="n">
        <f aca="false">(AY41+AY42+AY43)*Assumptions!$F$78</f>
        <v>350.838035986047</v>
      </c>
      <c r="AZ56" s="44" t="n">
        <f aca="false">(AZ41+AZ42+AZ43)*Assumptions!$F$78</f>
        <v>361.044686264068</v>
      </c>
      <c r="BA56" s="44" t="n">
        <f aca="false">(BA41+BA42+BA43)*Assumptions!$F$78</f>
        <v>371.101384541685</v>
      </c>
      <c r="BB56" s="44" t="n">
        <f aca="false">(BB41+BB42+BB43)*Assumptions!$F$78</f>
        <v>381.081722865085</v>
      </c>
      <c r="BC56" s="44" t="n">
        <f aca="false">(BC41+BC42+BC43)*Assumptions!$F$78</f>
        <v>390.9156909516</v>
      </c>
      <c r="BD56" s="44" t="n">
        <f aca="false">(BD41+BD42+BD43)*Assumptions!$F$78</f>
        <v>400.604317161496</v>
      </c>
      <c r="BE56" s="44" t="n">
        <f aca="false">(BE41+BE42+BE43)*Assumptions!$F$78</f>
        <v>410.221467427283</v>
      </c>
      <c r="BF56" s="44" t="n">
        <f aca="false">(BF41+BF42+BF43)*Assumptions!$F$78</f>
        <v>419.697281180961</v>
      </c>
      <c r="BG56" s="44" t="n">
        <f aca="false">(BG41+BG42+BG43)*Assumptions!$F$78</f>
        <v>429.032856210553</v>
      </c>
      <c r="BH56" s="44" t="n">
        <f aca="false">(BH41+BH42+BH43)*Assumptions!$F$78</f>
        <v>438.229631628144</v>
      </c>
      <c r="BI56" s="44" t="n">
        <f aca="false">(BI41+BI42+BI43)*Assumptions!$F$78</f>
        <v>447.289257523208</v>
      </c>
      <c r="BJ56" s="44" t="n">
        <f aca="false">(BJ41+BJ42+BJ43)*Assumptions!$F$78</f>
        <v>456.213510400527</v>
      </c>
      <c r="BK56" s="44" t="n">
        <f aca="false">(BK41+BK42+BK43)*Assumptions!$F$78</f>
        <v>465.004238375627</v>
      </c>
    </row>
    <row r="57" customFormat="false" ht="15" hidden="false" customHeight="false" outlineLevel="0" collapsed="false">
      <c r="A57" s="28" t="s">
        <v>628</v>
      </c>
      <c r="B57" s="6" t="s">
        <v>629</v>
      </c>
      <c r="C57" s="43"/>
      <c r="D57" s="17" t="n">
        <f aca="false">D45*Assumptions!$F$82</f>
        <v>0</v>
      </c>
      <c r="E57" s="17" t="n">
        <f aca="false">E45*Assumptions!$F$82</f>
        <v>0</v>
      </c>
      <c r="F57" s="17" t="n">
        <f aca="false">F45*Assumptions!$F$82</f>
        <v>0</v>
      </c>
      <c r="G57" s="17" t="n">
        <f aca="false">G45*Assumptions!$F$82</f>
        <v>0</v>
      </c>
      <c r="H57" s="17" t="n">
        <f aca="false">H45*Assumptions!$F$82</f>
        <v>0</v>
      </c>
      <c r="I57" s="17" t="n">
        <f aca="false">I45*Assumptions!$F$82</f>
        <v>0</v>
      </c>
      <c r="J57" s="17" t="n">
        <f aca="false">J45*Assumptions!$F$82</f>
        <v>0</v>
      </c>
      <c r="K57" s="17" t="n">
        <f aca="false">K45*Assumptions!$F$82</f>
        <v>0</v>
      </c>
      <c r="L57" s="17" t="n">
        <f aca="false">L45*Assumptions!$F$82</f>
        <v>0</v>
      </c>
      <c r="M57" s="17" t="n">
        <f aca="false">M45*Assumptions!$F$82</f>
        <v>0</v>
      </c>
      <c r="N57" s="17" t="n">
        <f aca="false">N45*Assumptions!$F$82</f>
        <v>0</v>
      </c>
      <c r="O57" s="17" t="n">
        <f aca="false">O45*Assumptions!$F$82</f>
        <v>0</v>
      </c>
      <c r="P57" s="17" t="n">
        <f aca="false">P45*Assumptions!$F$82</f>
        <v>0</v>
      </c>
      <c r="Q57" s="17" t="n">
        <f aca="false">Q45*Assumptions!$F$82</f>
        <v>0</v>
      </c>
      <c r="R57" s="17" t="n">
        <f aca="false">R45*Assumptions!$F$82</f>
        <v>0</v>
      </c>
      <c r="S57" s="17" t="n">
        <f aca="false">S45*Assumptions!$F$82</f>
        <v>0</v>
      </c>
      <c r="T57" s="17" t="n">
        <f aca="false">T45*Assumptions!$F$82</f>
        <v>450</v>
      </c>
      <c r="U57" s="17" t="n">
        <f aca="false">U45*Assumptions!$F$82</f>
        <v>562.5</v>
      </c>
      <c r="V57" s="17" t="n">
        <f aca="false">V45*Assumptions!$F$82</f>
        <v>675</v>
      </c>
      <c r="W57" s="17" t="n">
        <f aca="false">W45*Assumptions!$F$82</f>
        <v>787.5</v>
      </c>
      <c r="X57" s="17" t="n">
        <f aca="false">X45*Assumptions!$F$82</f>
        <v>900</v>
      </c>
      <c r="Y57" s="17" t="n">
        <f aca="false">Y45*Assumptions!$F$82</f>
        <v>1012.5</v>
      </c>
      <c r="Z57" s="17" t="n">
        <f aca="false">Z45*Assumptions!$F$82</f>
        <v>1125</v>
      </c>
      <c r="AA57" s="17" t="n">
        <f aca="false">AA45*Assumptions!$F$82</f>
        <v>1237.5</v>
      </c>
      <c r="AB57" s="17" t="n">
        <f aca="false">AB45*Assumptions!$F$82</f>
        <v>1350</v>
      </c>
      <c r="AC57" s="17" t="n">
        <f aca="false">AC45*Assumptions!$F$82</f>
        <v>1575</v>
      </c>
      <c r="AD57" s="17" t="n">
        <f aca="false">AD45*Assumptions!$F$82</f>
        <v>1687.5</v>
      </c>
      <c r="AE57" s="17" t="n">
        <f aca="false">AE45*Assumptions!$F$82</f>
        <v>1800</v>
      </c>
      <c r="AF57" s="17" t="n">
        <f aca="false">AF45*Assumptions!$F$82</f>
        <v>2025</v>
      </c>
      <c r="AG57" s="17" t="n">
        <f aca="false">AG45*Assumptions!$F$82</f>
        <v>2137.5</v>
      </c>
      <c r="AH57" s="17" t="n">
        <f aca="false">AH45*Assumptions!$F$82</f>
        <v>2250</v>
      </c>
      <c r="AI57" s="17" t="n">
        <f aca="false">AI45*Assumptions!$F$82</f>
        <v>2475</v>
      </c>
      <c r="AJ57" s="17" t="n">
        <f aca="false">AJ45*Assumptions!$F$82</f>
        <v>2700</v>
      </c>
      <c r="AK57" s="17" t="n">
        <f aca="false">AK45*Assumptions!$F$82</f>
        <v>2812.5</v>
      </c>
      <c r="AL57" s="17" t="n">
        <f aca="false">AL45*Assumptions!$F$82</f>
        <v>3037.5</v>
      </c>
      <c r="AM57" s="17" t="n">
        <f aca="false">AM45*Assumptions!$F$82</f>
        <v>3262.5</v>
      </c>
      <c r="AN57" s="44" t="n">
        <f aca="false">AN45*Assumptions!$F$82</f>
        <v>3375</v>
      </c>
      <c r="AO57" s="44" t="n">
        <f aca="false">AO45*Assumptions!$F$82</f>
        <v>3600</v>
      </c>
      <c r="AP57" s="44" t="n">
        <f aca="false">AP45*Assumptions!$F$82</f>
        <v>3825</v>
      </c>
      <c r="AQ57" s="44" t="n">
        <f aca="false">AQ45*Assumptions!$F$82</f>
        <v>4050</v>
      </c>
      <c r="AR57" s="44" t="n">
        <f aca="false">AR45*Assumptions!$F$82</f>
        <v>4275</v>
      </c>
      <c r="AS57" s="44" t="n">
        <f aca="false">AS45*Assumptions!$F$82</f>
        <v>4500</v>
      </c>
      <c r="AT57" s="44" t="n">
        <f aca="false">AT45*Assumptions!$F$82</f>
        <v>4725</v>
      </c>
      <c r="AU57" s="44" t="n">
        <f aca="false">AU45*Assumptions!$F$82</f>
        <v>4950</v>
      </c>
      <c r="AV57" s="44" t="n">
        <f aca="false">AV45*Assumptions!$F$82</f>
        <v>5175</v>
      </c>
      <c r="AW57" s="44" t="n">
        <f aca="false">AW45*Assumptions!$F$82</f>
        <v>5400</v>
      </c>
      <c r="AX57" s="44" t="n">
        <f aca="false">AX45*Assumptions!$F$82</f>
        <v>5625</v>
      </c>
      <c r="AY57" s="44" t="n">
        <f aca="false">AY45*Assumptions!$F$82</f>
        <v>5850</v>
      </c>
      <c r="AZ57" s="44" t="n">
        <f aca="false">AZ45*Assumptions!$F$82</f>
        <v>6075</v>
      </c>
      <c r="BA57" s="44" t="n">
        <f aca="false">BA45*Assumptions!$F$82</f>
        <v>6300</v>
      </c>
      <c r="BB57" s="44" t="n">
        <f aca="false">BB45*Assumptions!$F$82</f>
        <v>6525</v>
      </c>
      <c r="BC57" s="44" t="n">
        <f aca="false">BC45*Assumptions!$F$82</f>
        <v>6750</v>
      </c>
      <c r="BD57" s="44" t="n">
        <f aca="false">BD45*Assumptions!$F$82</f>
        <v>6975</v>
      </c>
      <c r="BE57" s="44" t="n">
        <f aca="false">BE45*Assumptions!$F$82</f>
        <v>7200</v>
      </c>
      <c r="BF57" s="44" t="n">
        <f aca="false">BF45*Assumptions!$F$82</f>
        <v>7425</v>
      </c>
      <c r="BG57" s="44" t="n">
        <f aca="false">BG45*Assumptions!$F$82</f>
        <v>7650</v>
      </c>
      <c r="BH57" s="44" t="n">
        <f aca="false">BH45*Assumptions!$F$82</f>
        <v>7875</v>
      </c>
      <c r="BI57" s="44" t="n">
        <f aca="false">BI45*Assumptions!$F$82</f>
        <v>8100</v>
      </c>
      <c r="BJ57" s="44" t="n">
        <f aca="false">BJ45*Assumptions!$F$82</f>
        <v>8325</v>
      </c>
      <c r="BK57" s="44" t="n">
        <f aca="false">BK45*Assumptions!$F$82</f>
        <v>8550</v>
      </c>
    </row>
    <row r="58" customFormat="false" ht="15" hidden="false" customHeight="false" outlineLevel="0" collapsed="false">
      <c r="A58" s="28" t="s">
        <v>630</v>
      </c>
      <c r="B58" s="5" t="s">
        <v>631</v>
      </c>
      <c r="C58" s="43"/>
      <c r="D58" s="45" t="n">
        <f aca="false">D49+D50+D51+D52+D53+D54+D55+D56+D57</f>
        <v>0</v>
      </c>
      <c r="E58" s="45" t="n">
        <f aca="false">E49+E50+E51+E52+E53+E54+E55+E56+E57</f>
        <v>0</v>
      </c>
      <c r="F58" s="45" t="n">
        <f aca="false">F49+F50+F51+F52+F53+F54+F55+F56+F57</f>
        <v>0</v>
      </c>
      <c r="G58" s="45" t="n">
        <f aca="false">G49+G50+G51+G52+G53+G54+G55+G56+G57</f>
        <v>0</v>
      </c>
      <c r="H58" s="45" t="n">
        <f aca="false">H49+H50+H51+H52+H53+H54+H55+H56+H57</f>
        <v>42.1911666666667</v>
      </c>
      <c r="I58" s="45" t="n">
        <f aca="false">I49+I50+I51+I52+I53+I54+I55+I56+I57</f>
        <v>71.9981308333333</v>
      </c>
      <c r="J58" s="45" t="n">
        <f aca="false">J49+J50+J51+J52+J53+J54+J55+J56+J57</f>
        <v>85.9996145208333</v>
      </c>
      <c r="K58" s="45" t="n">
        <f aca="false">K49+K50+K51+K52+K53+K54+K55+K56+K57</f>
        <v>133.112607808854</v>
      </c>
      <c r="L58" s="45" t="n">
        <f aca="false">L49+L50+L51+L52+L53+L54+L55+L56+L57</f>
        <v>204.26541923718</v>
      </c>
      <c r="M58" s="45" t="n">
        <f aca="false">M49+M50+M51+M52+M53+M54+M55+M56+M57</f>
        <v>247.310948236503</v>
      </c>
      <c r="N58" s="45" t="n">
        <f aca="false">N49+N50+N51+N52+N53+N54+N55+N56+N57</f>
        <v>302.333188100079</v>
      </c>
      <c r="O58" s="45" t="n">
        <f aca="false">O49+O50+O51+O52+O53+O54+O55+O56+O57</f>
        <v>391.367715104988</v>
      </c>
      <c r="P58" s="45" t="n">
        <f aca="false">P49+P50+P51+P52+P53+P54+P55+P56+P57</f>
        <v>492.73855190513</v>
      </c>
      <c r="Q58" s="45" t="n">
        <f aca="false">Q49+Q50+Q51+Q52+Q53+Q54+Q55+Q56+Q57</f>
        <v>597.349543890774</v>
      </c>
      <c r="R58" s="45" t="n">
        <f aca="false">R49+R50+R51+R52+R53+R54+R55+R56+R57</f>
        <v>700.962596657304</v>
      </c>
      <c r="S58" s="45" t="n">
        <f aca="false">S49+S50+S51+S52+S53+S54+S55+S56+S57</f>
        <v>810.166186743581</v>
      </c>
      <c r="T58" s="45" t="n">
        <f aca="false">T49+T50+T51+T52+T53+T54+T55+T56+T57</f>
        <v>1429.60495735836</v>
      </c>
      <c r="U58" s="45" t="n">
        <f aca="false">U49+U50+U51+U52+U53+U54+U55+U56+U57</f>
        <v>1714.28753081905</v>
      </c>
      <c r="V58" s="45" t="n">
        <f aca="false">V49+V50+V51+V52+V53+V54+V55+V56+V57</f>
        <v>2002.1129656159</v>
      </c>
      <c r="W58" s="45" t="n">
        <f aca="false">W49+W50+W51+W52+W53+W54+W55+W56+W57</f>
        <v>2339.16108855529</v>
      </c>
      <c r="X58" s="45" t="n">
        <f aca="false">X49+X50+X51+X52+X53+X54+X55+X56+X57</f>
        <v>2670.0826966048</v>
      </c>
      <c r="Y58" s="45" t="n">
        <f aca="false">Y49+Y50+Y51+Y52+Y53+Y54+Y55+Y56+Y57</f>
        <v>2990.05644360893</v>
      </c>
      <c r="Z58" s="45" t="n">
        <f aca="false">Z49+Z50+Z51+Z52+Z53+Z54+Z55+Z56+Z57</f>
        <v>3350.69261447945</v>
      </c>
      <c r="AA58" s="45" t="n">
        <f aca="false">AA49+AA50+AA51+AA52+AA53+AA54+AA55+AA56+AA57</f>
        <v>3699.10955388347</v>
      </c>
      <c r="AB58" s="45" t="n">
        <f aca="false">AB49+AB50+AB51+AB52+AB53+AB54+AB55+AB56+AB57</f>
        <v>4036.0759854172</v>
      </c>
      <c r="AC58" s="45" t="n">
        <f aca="false">AC49+AC50+AC51+AC52+AC53+AC54+AC55+AC56+AC57</f>
        <v>4519.64716546936</v>
      </c>
      <c r="AD58" s="45" t="n">
        <f aca="false">AD49+AD50+AD51+AD52+AD53+AD54+AD55+AD56+AD57</f>
        <v>4925.31462103665</v>
      </c>
      <c r="AE58" s="45" t="n">
        <f aca="false">AE49+AE50+AE51+AE52+AE53+AE54+AE55+AE56+AE57</f>
        <v>5308.48858396017</v>
      </c>
      <c r="AF58" s="45" t="n">
        <f aca="false">AF49+AF50+AF51+AF52+AF53+AF54+AF55+AF56+AF57</f>
        <v>5848.57698534084</v>
      </c>
      <c r="AG58" s="45" t="n">
        <f aca="false">AG49+AG50+AG51+AG52+AG53+AG54+AG55+AG56+AG57</f>
        <v>6305.5650519386</v>
      </c>
      <c r="AH58" s="45" t="n">
        <f aca="false">AH49+AH50+AH51+AH52+AH53+AH54+AH55+AH56+AH57</f>
        <v>6736.71849909658</v>
      </c>
      <c r="AI58" s="45" t="n">
        <f aca="false">AI49+AI50+AI51+AI52+AI53+AI54+AI55+AI56+AI57</f>
        <v>7301.18927360941</v>
      </c>
      <c r="AJ58" s="45" t="n">
        <f aca="false">AJ49+AJ50+AJ51+AJ52+AJ53+AJ54+AJ55+AJ56+AJ57</f>
        <v>7888.75842480095</v>
      </c>
      <c r="AK58" s="45" t="n">
        <f aca="false">AK49+AK50+AK51+AK52+AK53+AK54+AK55+AK56+AK57</f>
        <v>8385.88560715793</v>
      </c>
      <c r="AL58" s="45" t="n">
        <f aca="false">AL49+AL50+AL51+AL52+AL53+AL54+AL55+AL56+AL57</f>
        <v>8972.72898218996</v>
      </c>
      <c r="AM58" s="45" t="n">
        <f aca="false">AM49+AM50+AM51+AM52+AM53+AM54+AM55+AM56+AM57</f>
        <v>9562.62934366154</v>
      </c>
      <c r="AN58" s="46" t="n">
        <f aca="false">AN49+AN50+AN51+AN52+AN53+AN54+AN55+AN56+AN57</f>
        <v>10049.5230734456</v>
      </c>
      <c r="AO58" s="46" t="n">
        <f aca="false">AO49+AO50+AO51+AO52+AO53+AO54+AO55+AO56+AO57</f>
        <v>10650.6303300987</v>
      </c>
      <c r="AP58" s="46" t="n">
        <f aca="false">AP49+AP50+AP51+AP52+AP53+AP54+AP55+AP56+AP57</f>
        <v>11253.9482043515</v>
      </c>
      <c r="AQ58" s="46" t="n">
        <f aca="false">AQ49+AQ50+AQ51+AQ52+AQ53+AQ54+AQ55+AQ56+AQ57</f>
        <v>11859.6430192333</v>
      </c>
      <c r="AR58" s="46" t="n">
        <f aca="false">AR49+AR50+AR51+AR52+AR53+AR54+AR55+AR56+AR57</f>
        <v>12467.6785487722</v>
      </c>
      <c r="AS58" s="46" t="n">
        <f aca="false">AS49+AS50+AS51+AS52+AS53+AS54+AS55+AS56+AS57</f>
        <v>13077.8984341665</v>
      </c>
      <c r="AT58" s="46" t="n">
        <f aca="false">AT49+AT50+AT51+AT52+AT53+AT54+AT55+AT56+AT57</f>
        <v>13688.1693400134</v>
      </c>
      <c r="AU58" s="46" t="n">
        <f aca="false">AU49+AU50+AU51+AU52+AU53+AU54+AU55+AU56+AU57</f>
        <v>14300.2985535117</v>
      </c>
      <c r="AV58" s="46" t="n">
        <f aca="false">AV49+AV50+AV51+AV52+AV53+AV54+AV55+AV56+AV57</f>
        <v>14913.930113121</v>
      </c>
      <c r="AW58" s="46" t="n">
        <f aca="false">AW49+AW50+AW51+AW52+AW53+AW54+AW55+AW56+AW57</f>
        <v>15526.8316330663</v>
      </c>
      <c r="AX58" s="46" t="n">
        <f aca="false">AX49+AX50+AX51+AX52+AX53+AX54+AX55+AX56+AX57</f>
        <v>16140.7744146828</v>
      </c>
      <c r="AY58" s="46" t="n">
        <f aca="false">AY49+AY50+AY51+AY52+AY53+AY54+AY55+AY56+AY57</f>
        <v>16755.4053779853</v>
      </c>
      <c r="AZ58" s="46" t="n">
        <f aca="false">AZ49+AZ50+AZ51+AZ52+AZ53+AZ54+AZ55+AZ56+AZ57</f>
        <v>17368.5183153967</v>
      </c>
      <c r="BA58" s="46" t="n">
        <f aca="false">BA49+BA50+BA51+BA52+BA53+BA54+BA55+BA56+BA57</f>
        <v>17980.0144706632</v>
      </c>
      <c r="BB58" s="46" t="n">
        <f aca="false">BB49+BB50+BB51+BB52+BB53+BB54+BB55+BB56+BB57</f>
        <v>18591.6522504171</v>
      </c>
      <c r="BC58" s="46" t="n">
        <f aca="false">BC49+BC50+BC51+BC52+BC53+BC54+BC55+BC56+BC57</f>
        <v>19201.189583631</v>
      </c>
      <c r="BD58" s="46" t="n">
        <f aca="false">BD49+BD50+BD51+BD52+BD53+BD54+BD55+BD56+BD57</f>
        <v>19808.5254129885</v>
      </c>
      <c r="BE58" s="46" t="n">
        <f aca="false">BE49+BE50+BE51+BE52+BE53+BE54+BE55+BE56+BE57</f>
        <v>20415.4360705101</v>
      </c>
      <c r="BF58" s="46" t="n">
        <f aca="false">BF49+BF50+BF51+BF52+BF53+BF54+BF55+BF56+BF57</f>
        <v>21019.7090861482</v>
      </c>
      <c r="BG58" s="46" t="n">
        <f aca="false">BG49+BG50+BG51+BG52+BG53+BG54+BG55+BG56+BG57</f>
        <v>21621.2792298641</v>
      </c>
      <c r="BH58" s="46" t="n">
        <f aca="false">BH49+BH50+BH51+BH52+BH53+BH54+BH55+BH56+BH57</f>
        <v>22220.0518888753</v>
      </c>
      <c r="BI58" s="46" t="n">
        <f aca="false">BI49+BI50+BI51+BI52+BI53+BI54+BI55+BI56+BI57</f>
        <v>22815.9188618405</v>
      </c>
      <c r="BJ58" s="46" t="n">
        <f aca="false">BJ49+BJ50+BJ51+BJ52+BJ53+BJ54+BJ55+BJ56+BJ57</f>
        <v>23408.7682018827</v>
      </c>
      <c r="BK58" s="46" t="n">
        <f aca="false">BK49+BK50+BK51+BK52+BK53+BK54+BK55+BK56+BK57</f>
        <v>23998.4902226551</v>
      </c>
    </row>
    <row r="59" customFormat="false" ht="15" hidden="false" customHeight="false" outlineLevel="0" collapsed="false">
      <c r="A59" s="28" t="s">
        <v>632</v>
      </c>
      <c r="B59" s="5" t="s">
        <v>633</v>
      </c>
      <c r="C59" s="43"/>
      <c r="D59" s="45" t="n">
        <f aca="false">D46-D58</f>
        <v>0</v>
      </c>
      <c r="E59" s="45" t="n">
        <f aca="false">E46-E58</f>
        <v>0</v>
      </c>
      <c r="F59" s="45" t="n">
        <f aca="false">F46-F58</f>
        <v>0</v>
      </c>
      <c r="G59" s="45" t="n">
        <f aca="false">G46-G58</f>
        <v>0</v>
      </c>
      <c r="H59" s="45" t="n">
        <f aca="false">H46-H58</f>
        <v>-42.1911666666667</v>
      </c>
      <c r="I59" s="45" t="n">
        <f aca="false">I46-I58</f>
        <v>-71.9981308333333</v>
      </c>
      <c r="J59" s="45" t="n">
        <f aca="false">J46-J58</f>
        <v>-85.9996145208333</v>
      </c>
      <c r="K59" s="45" t="n">
        <f aca="false">K46-K58</f>
        <v>-133.112607808854</v>
      </c>
      <c r="L59" s="45" t="n">
        <f aca="false">L46-L58</f>
        <v>-204.26541923718</v>
      </c>
      <c r="M59" s="45" t="n">
        <f aca="false">M46-M58</f>
        <v>-247.310948236503</v>
      </c>
      <c r="N59" s="45" t="n">
        <f aca="false">N46-N58</f>
        <v>-302.333188100079</v>
      </c>
      <c r="O59" s="45" t="n">
        <f aca="false">O46-O58</f>
        <v>-345.66682990368</v>
      </c>
      <c r="P59" s="45" t="n">
        <f aca="false">P46-P58</f>
        <v>-394.15323127964</v>
      </c>
      <c r="Q59" s="45" t="n">
        <f aca="false">Q46-Q58</f>
        <v>-438.6480927295</v>
      </c>
      <c r="R59" s="45" t="n">
        <f aca="false">R46-R58</f>
        <v>-475.342790262441</v>
      </c>
      <c r="S59" s="45" t="n">
        <f aca="false">S46-S58</f>
        <v>-510.758959182123</v>
      </c>
      <c r="T59" s="45" t="n">
        <f aca="false">T46-T58</f>
        <v>610.116448720458</v>
      </c>
      <c r="U59" s="45" t="n">
        <f aca="false">U46-U58</f>
        <v>954.347129340839</v>
      </c>
      <c r="V59" s="45" t="n">
        <f aca="false">V46-V58</f>
        <v>1307.99956843158</v>
      </c>
      <c r="W59" s="45" t="n">
        <f aca="false">W46-W58</f>
        <v>1633.89459605027</v>
      </c>
      <c r="X59" s="45" t="n">
        <f aca="false">X46-X58</f>
        <v>1984.45275475275</v>
      </c>
      <c r="Y59" s="45" t="n">
        <f aca="false">Y46-Y58</f>
        <v>2360.22234753151</v>
      </c>
      <c r="Z59" s="45" t="n">
        <f aca="false">Z46-Z58</f>
        <v>2716.32062630796</v>
      </c>
      <c r="AA59" s="45" t="n">
        <f aca="false">AA46-AA58</f>
        <v>3101.10907439963</v>
      </c>
      <c r="AB59" s="45" t="n">
        <f aca="false">AB46-AB58</f>
        <v>3509.27629656472</v>
      </c>
      <c r="AC59" s="45" t="n">
        <f aca="false">AC46-AC58</f>
        <v>4163.06725156728</v>
      </c>
      <c r="AD59" s="45" t="n">
        <f aca="false">AD46-AD58</f>
        <v>4542.60574772558</v>
      </c>
      <c r="AE59" s="45" t="n">
        <f aca="false">AE46-AE58</f>
        <v>4960.75981519441</v>
      </c>
      <c r="AF59" s="45" t="n">
        <f aca="false">AF46-AF58</f>
        <v>5860.22905425852</v>
      </c>
      <c r="AG59" s="45" t="n">
        <f aca="false">AG46-AG58</f>
        <v>6524.46522160045</v>
      </c>
      <c r="AH59" s="45" t="n">
        <f aca="false">AH46-AH58</f>
        <v>7256.96232047138</v>
      </c>
      <c r="AI59" s="45" t="n">
        <f aca="false">AI46-AI58</f>
        <v>8280.0096143263</v>
      </c>
      <c r="AJ59" s="45" t="n">
        <f aca="false">AJ46-AJ58</f>
        <v>9334.46440681479</v>
      </c>
      <c r="AK59" s="45" t="n">
        <f aca="false">AK46-AK58</f>
        <v>10163.8421110435</v>
      </c>
      <c r="AL59" s="45" t="n">
        <f aca="false">AL46-AL58</f>
        <v>10988.4297753194</v>
      </c>
      <c r="AM59" s="45" t="n">
        <f aca="false">AM46-AM58</f>
        <v>11827.563560097</v>
      </c>
      <c r="AN59" s="46" t="n">
        <f aca="false">AN46-AN58</f>
        <v>12414.279476225</v>
      </c>
      <c r="AO59" s="46" t="n">
        <f aca="false">AO46-AO58</f>
        <v>13276.7319030593</v>
      </c>
      <c r="AP59" s="46" t="n">
        <f aca="false">AP46-AP58</f>
        <v>14150.2880257806</v>
      </c>
      <c r="AQ59" s="46" t="n">
        <f aca="false">AQ46-AQ58</f>
        <v>15033.2939951151</v>
      </c>
      <c r="AR59" s="46" t="n">
        <f aca="false">AR46-AR58</f>
        <v>15924.4278828207</v>
      </c>
      <c r="AS59" s="46" t="n">
        <f aca="false">AS46-AS58</f>
        <v>16822.6025782949</v>
      </c>
      <c r="AT59" s="46" t="n">
        <f aca="false">AT46-AT58</f>
        <v>17727.6920122201</v>
      </c>
      <c r="AU59" s="46" t="n">
        <f aca="false">AU46-AU58</f>
        <v>18637.5909579365</v>
      </c>
      <c r="AV59" s="46" t="n">
        <f aca="false">AV46-AV58</f>
        <v>19551.7315233794</v>
      </c>
      <c r="AW59" s="46" t="n">
        <f aca="false">AW46-AW58</f>
        <v>20470.3760623596</v>
      </c>
      <c r="AX59" s="46" t="n">
        <f aca="false">AX46-AX58</f>
        <v>21391.7189757293</v>
      </c>
      <c r="AY59" s="46" t="n">
        <f aca="false">AY46-AY58</f>
        <v>22315.4307830281</v>
      </c>
      <c r="AZ59" s="46" t="n">
        <f aca="false">AZ46-AZ58</f>
        <v>23241.9692195179</v>
      </c>
      <c r="BA59" s="46" t="n">
        <f aca="false">BA46-BA58</f>
        <v>24170.4838498677</v>
      </c>
      <c r="BB59" s="46" t="n">
        <f aca="false">BB46-BB58</f>
        <v>25099.4712523161</v>
      </c>
      <c r="BC59" s="46" t="n">
        <f aca="false">BC46-BC58</f>
        <v>26029.6373748903</v>
      </c>
      <c r="BD59" s="46" t="n">
        <f aca="false">BD46-BD58</f>
        <v>26960.328217034</v>
      </c>
      <c r="BE59" s="46" t="n">
        <f aca="false">BE46-BE58</f>
        <v>27890.2005172021</v>
      </c>
      <c r="BF59" s="46" t="n">
        <f aca="false">BF46-BF58</f>
        <v>28820.0943796429</v>
      </c>
      <c r="BG59" s="46" t="n">
        <f aca="false">BG46-BG58</f>
        <v>29749.4708108478</v>
      </c>
      <c r="BH59" s="46" t="n">
        <f aca="false">BH46-BH58</f>
        <v>30677.8777805904</v>
      </c>
      <c r="BI59" s="46" t="n">
        <f aca="false">BI46-BI58</f>
        <v>31604.9290574288</v>
      </c>
      <c r="BJ59" s="46" t="n">
        <f aca="false">BJ46-BJ58</f>
        <v>32530.2897536153</v>
      </c>
      <c r="BK59" s="46" t="n">
        <f aca="false">BK46-BK58</f>
        <v>33453.6662826095</v>
      </c>
    </row>
    <row r="60" customFormat="false" ht="15" hidden="false" customHeight="false" outlineLevel="0" collapsed="false">
      <c r="B60" s="5" t="s">
        <v>634</v>
      </c>
    </row>
    <row r="61" customFormat="false" ht="15" hidden="false" customHeight="false" outlineLevel="0" collapsed="false">
      <c r="A61" s="28" t="s">
        <v>268</v>
      </c>
      <c r="B61" s="6" t="s">
        <v>635</v>
      </c>
      <c r="C61" s="47"/>
      <c r="D61" s="9" t="n">
        <f aca="false">Assumptions!$F$83*(1+Assumptions!$F$84)^INT(D7/12)</f>
        <v>17.95</v>
      </c>
      <c r="E61" s="9" t="n">
        <f aca="false">Assumptions!$F$83*(1+Assumptions!$F$84)^INT(E7/12)</f>
        <v>17.95</v>
      </c>
      <c r="F61" s="9" t="n">
        <f aca="false">Assumptions!$F$83*(1+Assumptions!$F$84)^INT(F7/12)</f>
        <v>17.95</v>
      </c>
      <c r="G61" s="9" t="n">
        <f aca="false">Assumptions!$F$83*(1+Assumptions!$F$84)^INT(G7/12)</f>
        <v>17.95</v>
      </c>
      <c r="H61" s="9" t="n">
        <f aca="false">Assumptions!$F$83*(1+Assumptions!$F$84)^INT(H7/12)</f>
        <v>17.95</v>
      </c>
      <c r="I61" s="9" t="n">
        <f aca="false">Assumptions!$F$83*(1+Assumptions!$F$84)^INT(I7/12)</f>
        <v>17.95</v>
      </c>
      <c r="J61" s="9" t="n">
        <f aca="false">Assumptions!$F$83*(1+Assumptions!$F$84)^INT(J7/12)</f>
        <v>17.95</v>
      </c>
      <c r="K61" s="9" t="n">
        <f aca="false">Assumptions!$F$83*(1+Assumptions!$F$84)^INT(K7/12)</f>
        <v>17.95</v>
      </c>
      <c r="L61" s="9" t="n">
        <f aca="false">Assumptions!$F$83*(1+Assumptions!$F$84)^INT(L7/12)</f>
        <v>17.95</v>
      </c>
      <c r="M61" s="9" t="n">
        <f aca="false">Assumptions!$F$83*(1+Assumptions!$F$84)^INT(M7/12)</f>
        <v>17.95</v>
      </c>
      <c r="N61" s="9" t="n">
        <f aca="false">Assumptions!$F$83*(1+Assumptions!$F$84)^INT(N7/12)</f>
        <v>17.95</v>
      </c>
      <c r="O61" s="9" t="n">
        <f aca="false">Assumptions!$F$83*(1+Assumptions!$F$84)^INT(O7/12)</f>
        <v>18.39875</v>
      </c>
      <c r="P61" s="9" t="n">
        <f aca="false">Assumptions!$F$83*(1+Assumptions!$F$84)^INT(P7/12)</f>
        <v>18.39875</v>
      </c>
      <c r="Q61" s="9" t="n">
        <f aca="false">Assumptions!$F$83*(1+Assumptions!$F$84)^INT(Q7/12)</f>
        <v>18.39875</v>
      </c>
      <c r="R61" s="9" t="n">
        <f aca="false">Assumptions!$F$83*(1+Assumptions!$F$84)^INT(R7/12)</f>
        <v>18.39875</v>
      </c>
      <c r="S61" s="9" t="n">
        <f aca="false">Assumptions!$F$83*(1+Assumptions!$F$84)^INT(S7/12)</f>
        <v>18.39875</v>
      </c>
      <c r="T61" s="9" t="n">
        <f aca="false">Assumptions!$F$83*(1+Assumptions!$F$84)^INT(T7/12)</f>
        <v>18.39875</v>
      </c>
      <c r="U61" s="9" t="n">
        <f aca="false">Assumptions!$F$83*(1+Assumptions!$F$84)^INT(U7/12)</f>
        <v>18.39875</v>
      </c>
      <c r="V61" s="9" t="n">
        <f aca="false">Assumptions!$F$83*(1+Assumptions!$F$84)^INT(V7/12)</f>
        <v>18.39875</v>
      </c>
      <c r="W61" s="9" t="n">
        <f aca="false">Assumptions!$F$83*(1+Assumptions!$F$84)^INT(W7/12)</f>
        <v>18.39875</v>
      </c>
      <c r="X61" s="9" t="n">
        <f aca="false">Assumptions!$F$83*(1+Assumptions!$F$84)^INT(X7/12)</f>
        <v>18.39875</v>
      </c>
      <c r="Y61" s="9" t="n">
        <f aca="false">Assumptions!$F$83*(1+Assumptions!$F$84)^INT(Y7/12)</f>
        <v>18.39875</v>
      </c>
      <c r="Z61" s="9" t="n">
        <f aca="false">Assumptions!$F$83*(1+Assumptions!$F$84)^INT(Z7/12)</f>
        <v>18.39875</v>
      </c>
      <c r="AA61" s="9" t="n">
        <f aca="false">Assumptions!$F$83*(1+Assumptions!$F$84)^INT(AA7/12)</f>
        <v>18.85871875</v>
      </c>
      <c r="AB61" s="9" t="n">
        <f aca="false">Assumptions!$F$83*(1+Assumptions!$F$84)^INT(AB7/12)</f>
        <v>18.85871875</v>
      </c>
      <c r="AC61" s="9" t="n">
        <f aca="false">Assumptions!$F$83*(1+Assumptions!$F$84)^INT(AC7/12)</f>
        <v>18.85871875</v>
      </c>
      <c r="AD61" s="9" t="n">
        <f aca="false">Assumptions!$F$83*(1+Assumptions!$F$84)^INT(AD7/12)</f>
        <v>18.85871875</v>
      </c>
      <c r="AE61" s="9" t="n">
        <f aca="false">Assumptions!$F$83*(1+Assumptions!$F$84)^INT(AE7/12)</f>
        <v>18.85871875</v>
      </c>
      <c r="AF61" s="9" t="n">
        <f aca="false">Assumptions!$F$83*(1+Assumptions!$F$84)^INT(AF7/12)</f>
        <v>18.85871875</v>
      </c>
      <c r="AG61" s="9" t="n">
        <f aca="false">Assumptions!$F$83*(1+Assumptions!$F$84)^INT(AG7/12)</f>
        <v>18.85871875</v>
      </c>
      <c r="AH61" s="9" t="n">
        <f aca="false">Assumptions!$F$83*(1+Assumptions!$F$84)^INT(AH7/12)</f>
        <v>18.85871875</v>
      </c>
      <c r="AI61" s="9" t="n">
        <f aca="false">Assumptions!$F$83*(1+Assumptions!$F$84)^INT(AI7/12)</f>
        <v>18.85871875</v>
      </c>
      <c r="AJ61" s="9" t="n">
        <f aca="false">Assumptions!$F$83*(1+Assumptions!$F$84)^INT(AJ7/12)</f>
        <v>18.85871875</v>
      </c>
      <c r="AK61" s="9" t="n">
        <f aca="false">Assumptions!$F$83*(1+Assumptions!$F$84)^INT(AK7/12)</f>
        <v>18.85871875</v>
      </c>
      <c r="AL61" s="9" t="n">
        <f aca="false">Assumptions!$F$83*(1+Assumptions!$F$84)^INT(AL7/12)</f>
        <v>18.85871875</v>
      </c>
      <c r="AM61" s="9" t="n">
        <f aca="false">Assumptions!$F$83*(1+Assumptions!$F$84)^INT(AM7/12)</f>
        <v>19.33018671875</v>
      </c>
      <c r="AN61" s="48" t="n">
        <f aca="false">Assumptions!$F$83*(1+Assumptions!$F$84)^INT(AN7/12)</f>
        <v>19.33018671875</v>
      </c>
      <c r="AO61" s="48" t="n">
        <f aca="false">Assumptions!$F$83*(1+Assumptions!$F$84)^INT(AO7/12)</f>
        <v>19.33018671875</v>
      </c>
      <c r="AP61" s="48" t="n">
        <f aca="false">Assumptions!$F$83*(1+Assumptions!$F$84)^INT(AP7/12)</f>
        <v>19.33018671875</v>
      </c>
      <c r="AQ61" s="48" t="n">
        <f aca="false">Assumptions!$F$83*(1+Assumptions!$F$84)^INT(AQ7/12)</f>
        <v>19.33018671875</v>
      </c>
      <c r="AR61" s="48" t="n">
        <f aca="false">Assumptions!$F$83*(1+Assumptions!$F$84)^INT(AR7/12)</f>
        <v>19.33018671875</v>
      </c>
      <c r="AS61" s="48" t="n">
        <f aca="false">Assumptions!$F$83*(1+Assumptions!$F$84)^INT(AS7/12)</f>
        <v>19.33018671875</v>
      </c>
      <c r="AT61" s="48" t="n">
        <f aca="false">Assumptions!$F$83*(1+Assumptions!$F$84)^INT(AT7/12)</f>
        <v>19.33018671875</v>
      </c>
      <c r="AU61" s="48" t="n">
        <f aca="false">Assumptions!$F$83*(1+Assumptions!$F$84)^INT(AU7/12)</f>
        <v>19.33018671875</v>
      </c>
      <c r="AV61" s="48" t="n">
        <f aca="false">Assumptions!$F$83*(1+Assumptions!$F$84)^INT(AV7/12)</f>
        <v>19.33018671875</v>
      </c>
      <c r="AW61" s="48" t="n">
        <f aca="false">Assumptions!$F$83*(1+Assumptions!$F$84)^INT(AW7/12)</f>
        <v>19.33018671875</v>
      </c>
      <c r="AX61" s="48" t="n">
        <f aca="false">Assumptions!$F$83*(1+Assumptions!$F$84)^INT(AX7/12)</f>
        <v>19.33018671875</v>
      </c>
      <c r="AY61" s="48" t="n">
        <f aca="false">Assumptions!$F$83*(1+Assumptions!$F$84)^INT(AY7/12)</f>
        <v>19.8134413867187</v>
      </c>
      <c r="AZ61" s="48" t="n">
        <f aca="false">Assumptions!$F$83*(1+Assumptions!$F$84)^INT(AZ7/12)</f>
        <v>19.8134413867187</v>
      </c>
      <c r="BA61" s="48" t="n">
        <f aca="false">Assumptions!$F$83*(1+Assumptions!$F$84)^INT(BA7/12)</f>
        <v>19.8134413867187</v>
      </c>
      <c r="BB61" s="48" t="n">
        <f aca="false">Assumptions!$F$83*(1+Assumptions!$F$84)^INT(BB7/12)</f>
        <v>19.8134413867187</v>
      </c>
      <c r="BC61" s="48" t="n">
        <f aca="false">Assumptions!$F$83*(1+Assumptions!$F$84)^INT(BC7/12)</f>
        <v>19.8134413867187</v>
      </c>
      <c r="BD61" s="48" t="n">
        <f aca="false">Assumptions!$F$83*(1+Assumptions!$F$84)^INT(BD7/12)</f>
        <v>19.8134413867187</v>
      </c>
      <c r="BE61" s="48" t="n">
        <f aca="false">Assumptions!$F$83*(1+Assumptions!$F$84)^INT(BE7/12)</f>
        <v>19.8134413867187</v>
      </c>
      <c r="BF61" s="48" t="n">
        <f aca="false">Assumptions!$F$83*(1+Assumptions!$F$84)^INT(BF7/12)</f>
        <v>19.8134413867187</v>
      </c>
      <c r="BG61" s="48" t="n">
        <f aca="false">Assumptions!$F$83*(1+Assumptions!$F$84)^INT(BG7/12)</f>
        <v>19.8134413867187</v>
      </c>
      <c r="BH61" s="48" t="n">
        <f aca="false">Assumptions!$F$83*(1+Assumptions!$F$84)^INT(BH7/12)</f>
        <v>19.8134413867187</v>
      </c>
      <c r="BI61" s="48" t="n">
        <f aca="false">Assumptions!$F$83*(1+Assumptions!$F$84)^INT(BI7/12)</f>
        <v>19.8134413867187</v>
      </c>
      <c r="BJ61" s="48" t="n">
        <f aca="false">Assumptions!$F$83*(1+Assumptions!$F$84)^INT(BJ7/12)</f>
        <v>19.8134413867187</v>
      </c>
      <c r="BK61" s="48" t="n">
        <f aca="false">Assumptions!$F$83*(1+Assumptions!$F$84)^INT(BK7/12)</f>
        <v>20.3087774213867</v>
      </c>
    </row>
    <row r="62" customFormat="false" ht="15" hidden="false" customHeight="false" outlineLevel="0" collapsed="false">
      <c r="A62" s="28" t="s">
        <v>636</v>
      </c>
      <c r="B62" s="6" t="s">
        <v>637</v>
      </c>
      <c r="C62" s="43"/>
      <c r="D62" s="17" t="n">
        <f aca="false">D11*Assumptions!$F$86*D61*(1+Assumptions!$F$85)*Assumptions!$F$91</f>
        <v>0</v>
      </c>
      <c r="E62" s="17" t="n">
        <f aca="false">E11*Assumptions!$F$86*E61*(1+Assumptions!$F$85)*Assumptions!$F$91</f>
        <v>0</v>
      </c>
      <c r="F62" s="17" t="n">
        <f aca="false">F11*Assumptions!$F$86*F61*(1+Assumptions!$F$85)*Assumptions!$F$91</f>
        <v>0</v>
      </c>
      <c r="G62" s="17" t="n">
        <f aca="false">G11*Assumptions!$F$86*G61*(1+Assumptions!$F$85)*Assumptions!$F$91</f>
        <v>0</v>
      </c>
      <c r="H62" s="17" t="n">
        <f aca="false">H11*Assumptions!$F$86*H61*(1+Assumptions!$F$85)*Assumptions!$F$91</f>
        <v>344.8195</v>
      </c>
      <c r="I62" s="17" t="n">
        <f aca="false">I11*Assumptions!$F$86*I61*(1+Assumptions!$F$85)*Assumptions!$F$91</f>
        <v>303.44116</v>
      </c>
      <c r="J62" s="17" t="n">
        <f aca="false">J11*Assumptions!$F$86*J61*(1+Assumptions!$F$85)*Assumptions!$F$91</f>
        <v>206.8917</v>
      </c>
      <c r="K62" s="17" t="n">
        <f aca="false">K11*Assumptions!$F$86*K61*(1+Assumptions!$F$85)*Assumptions!$F$91</f>
        <v>482.7473</v>
      </c>
      <c r="L62" s="17" t="n">
        <f aca="false">L11*Assumptions!$F$86*L61*(1+Assumptions!$F$85)*Assumptions!$F$91</f>
        <v>731.01734</v>
      </c>
      <c r="M62" s="17" t="n">
        <f aca="false">M11*Assumptions!$F$86*M61*(1+Assumptions!$F$85)*Assumptions!$F$91</f>
        <v>579.29676</v>
      </c>
      <c r="N62" s="17" t="n">
        <f aca="false">N11*Assumptions!$F$86*N61*(1+Assumptions!$F$85)*Assumptions!$F$91</f>
        <v>703.43178</v>
      </c>
      <c r="O62" s="17" t="n">
        <f aca="false">O11*Assumptions!$F$86*O61*(1+Assumptions!$F$85)*Assumptions!$F$91</f>
        <v>904.806368</v>
      </c>
      <c r="P62" s="17" t="n">
        <f aca="false">P11*Assumptions!$F$86*P61*(1+Assumptions!$F$85)*Assumptions!$F$91</f>
        <v>1046.182363</v>
      </c>
      <c r="Q62" s="17" t="n">
        <f aca="false">Q11*Assumptions!$F$86*Q61*(1+Assumptions!$F$85)*Assumptions!$F$91</f>
        <v>1116.8703605</v>
      </c>
      <c r="R62" s="17" t="n">
        <f aca="false">R11*Assumptions!$F$86*R61*(1+Assumptions!$F$85)*Assumptions!$F$91</f>
        <v>1145.1455595</v>
      </c>
      <c r="S62" s="17" t="n">
        <f aca="false">S11*Assumptions!$F$86*S61*(1+Assumptions!$F$85)*Assumptions!$F$91</f>
        <v>1215.833557</v>
      </c>
      <c r="T62" s="17" t="n">
        <f aca="false">T11*Assumptions!$F$86*T61*(1+Assumptions!$F$85)*Assumptions!$F$91</f>
        <v>1229.9711565</v>
      </c>
      <c r="U62" s="17" t="n">
        <f aca="false">U11*Assumptions!$F$86*U61*(1+Assumptions!$F$85)*Assumptions!$F$91</f>
        <v>1244.108756</v>
      </c>
      <c r="V62" s="17" t="n">
        <f aca="false">V11*Assumptions!$F$86*V61*(1+Assumptions!$F$85)*Assumptions!$F$91</f>
        <v>1258.2463555</v>
      </c>
      <c r="W62" s="17" t="n">
        <f aca="false">W11*Assumptions!$F$86*W61*(1+Assumptions!$F$85)*Assumptions!$F$91</f>
        <v>1625.8239425</v>
      </c>
      <c r="X62" s="17" t="n">
        <f aca="false">X11*Assumptions!$F$86*X61*(1+Assumptions!$F$85)*Assumptions!$F$91</f>
        <v>1597.5487435</v>
      </c>
      <c r="Y62" s="17" t="n">
        <f aca="false">Y11*Assumptions!$F$86*Y61*(1+Assumptions!$F$85)*Assumptions!$F$91</f>
        <v>1512.7231465</v>
      </c>
      <c r="Z62" s="17" t="n">
        <f aca="false">Z11*Assumptions!$F$86*Z61*(1+Assumptions!$F$85)*Assumptions!$F$91</f>
        <v>1809.612736</v>
      </c>
      <c r="AA62" s="17" t="n">
        <f aca="false">AA11*Assumptions!$F$86*AA61*(1+Assumptions!$F$85)*Assumptions!$F$91</f>
        <v>1767.906817475</v>
      </c>
      <c r="AB62" s="17" t="n">
        <f aca="false">AB11*Assumptions!$F$86*AB61*(1+Assumptions!$F$85)*Assumptions!$F$91</f>
        <v>1666.4695410625</v>
      </c>
      <c r="AC62" s="17" t="n">
        <f aca="false">AC11*Assumptions!$F$86*AC61*(1+Assumptions!$F$85)*Assumptions!$F$91</f>
        <v>1912.81721235</v>
      </c>
      <c r="AD62" s="17" t="n">
        <f aca="false">AD11*Assumptions!$F$86*AD61*(1+Assumptions!$F$85)*Assumptions!$F$91</f>
        <v>2188.1469626125</v>
      </c>
      <c r="AE62" s="17" t="n">
        <f aca="false">AE11*Assumptions!$F$86*AE61*(1+Assumptions!$F$85)*Assumptions!$F$91</f>
        <v>2028.74552825</v>
      </c>
      <c r="AF62" s="17" t="n">
        <f aca="false">AF11*Assumptions!$F$86*AF61*(1+Assumptions!$F$85)*Assumptions!$F$91</f>
        <v>2173.655923125</v>
      </c>
      <c r="AG62" s="17" t="n">
        <f aca="false">AG11*Assumptions!$F$86*AG61*(1+Assumptions!$F$85)*Assumptions!$F$91</f>
        <v>2376.53047595</v>
      </c>
      <c r="AH62" s="17" t="n">
        <f aca="false">AH11*Assumptions!$F$86*AH61*(1+Assumptions!$F$85)*Assumptions!$F$91</f>
        <v>2159.1648836375</v>
      </c>
      <c r="AI62" s="17" t="n">
        <f aca="false">AI11*Assumptions!$F$86*AI61*(1+Assumptions!$F$85)*Assumptions!$F$91</f>
        <v>2275.0931995375</v>
      </c>
      <c r="AJ62" s="17" t="n">
        <f aca="false">AJ11*Assumptions!$F$86*AJ61*(1+Assumptions!$F$85)*Assumptions!$F$91</f>
        <v>2420.0035944125</v>
      </c>
      <c r="AK62" s="17" t="n">
        <f aca="false">AK11*Assumptions!$F$86*AK61*(1+Assumptions!$F$85)*Assumptions!$F$91</f>
        <v>2564.9139892875</v>
      </c>
      <c r="AL62" s="17" t="n">
        <f aca="false">AL11*Assumptions!$F$86*AL61*(1+Assumptions!$F$85)*Assumptions!$F$91</f>
        <v>2637.369186725</v>
      </c>
      <c r="AM62" s="17" t="n">
        <f aca="false">AM11*Assumptions!$F$86*AM61*(1+Assumptions!$F$85)*Assumptions!$F$91</f>
        <v>2733.0100473425</v>
      </c>
      <c r="AN62" s="44" t="n">
        <f aca="false">AN11*Assumptions!$F$86*AN61*(1+Assumptions!$F$85)*Assumptions!$F$91</f>
        <v>2807.27662471594</v>
      </c>
      <c r="AO62" s="44" t="n">
        <f aca="false">AO11*Assumptions!$F$86*AO61*(1+Assumptions!$F$85)*Assumptions!$F$91</f>
        <v>2822.12994019062</v>
      </c>
      <c r="AP62" s="44" t="n">
        <f aca="false">AP11*Assumptions!$F$86*AP61*(1+Assumptions!$F$85)*Assumptions!$F$91</f>
        <v>2836.98325566531</v>
      </c>
      <c r="AQ62" s="44" t="n">
        <f aca="false">AQ11*Assumptions!$F$86*AQ61*(1+Assumptions!$F$85)*Assumptions!$F$91</f>
        <v>2851.83657114</v>
      </c>
      <c r="AR62" s="44" t="n">
        <f aca="false">AR11*Assumptions!$F$86*AR61*(1+Assumptions!$F$85)*Assumptions!$F$91</f>
        <v>2866.68988661469</v>
      </c>
      <c r="AS62" s="44" t="n">
        <f aca="false">AS11*Assumptions!$F$86*AS61*(1+Assumptions!$F$85)*Assumptions!$F$91</f>
        <v>2881.54320208937</v>
      </c>
      <c r="AT62" s="44" t="n">
        <f aca="false">AT11*Assumptions!$F$86*AT61*(1+Assumptions!$F$85)*Assumptions!$F$91</f>
        <v>2881.54320208937</v>
      </c>
      <c r="AU62" s="44" t="n">
        <f aca="false">AU11*Assumptions!$F$86*AU61*(1+Assumptions!$F$85)*Assumptions!$F$91</f>
        <v>2896.39651756406</v>
      </c>
      <c r="AV62" s="44" t="n">
        <f aca="false">AV11*Assumptions!$F$86*AV61*(1+Assumptions!$F$85)*Assumptions!$F$91</f>
        <v>2911.24983303875</v>
      </c>
      <c r="AW62" s="44" t="n">
        <f aca="false">AW11*Assumptions!$F$86*AW61*(1+Assumptions!$F$85)*Assumptions!$F$91</f>
        <v>2911.24983303875</v>
      </c>
      <c r="AX62" s="44" t="n">
        <f aca="false">AX11*Assumptions!$F$86*AX61*(1+Assumptions!$F$85)*Assumptions!$F$91</f>
        <v>2926.10314851344</v>
      </c>
      <c r="AY62" s="44" t="n">
        <f aca="false">AY11*Assumptions!$F$86*AY61*(1+Assumptions!$F$85)*Assumptions!$F$91</f>
        <v>3014.48037558783</v>
      </c>
      <c r="AZ62" s="44" t="n">
        <f aca="false">AZ11*Assumptions!$F$86*AZ61*(1+Assumptions!$F$85)*Assumptions!$F$91</f>
        <v>3014.48037558783</v>
      </c>
      <c r="BA62" s="44" t="n">
        <f aca="false">BA11*Assumptions!$F$86*BA61*(1+Assumptions!$F$85)*Assumptions!$F$91</f>
        <v>3014.48037558783</v>
      </c>
      <c r="BB62" s="44" t="n">
        <f aca="false">BB11*Assumptions!$F$86*BB61*(1+Assumptions!$F$85)*Assumptions!$F$91</f>
        <v>3029.70502394938</v>
      </c>
      <c r="BC62" s="44" t="n">
        <f aca="false">BC11*Assumptions!$F$86*BC61*(1+Assumptions!$F$85)*Assumptions!$F$91</f>
        <v>3029.70502394938</v>
      </c>
      <c r="BD62" s="44" t="n">
        <f aca="false">BD11*Assumptions!$F$86*BD61*(1+Assumptions!$F$85)*Assumptions!$F$91</f>
        <v>3029.70502394938</v>
      </c>
      <c r="BE62" s="44" t="n">
        <f aca="false">BE11*Assumptions!$F$86*BE61*(1+Assumptions!$F$85)*Assumptions!$F$91</f>
        <v>3044.92967231094</v>
      </c>
      <c r="BF62" s="44" t="n">
        <f aca="false">BF11*Assumptions!$F$86*BF61*(1+Assumptions!$F$85)*Assumptions!$F$91</f>
        <v>3044.92967231094</v>
      </c>
      <c r="BG62" s="44" t="n">
        <f aca="false">BG11*Assumptions!$F$86*BG61*(1+Assumptions!$F$85)*Assumptions!$F$91</f>
        <v>3044.92967231094</v>
      </c>
      <c r="BH62" s="44" t="n">
        <f aca="false">BH11*Assumptions!$F$86*BH61*(1+Assumptions!$F$85)*Assumptions!$F$91</f>
        <v>3044.92967231094</v>
      </c>
      <c r="BI62" s="44" t="n">
        <f aca="false">BI11*Assumptions!$F$86*BI61*(1+Assumptions!$F$85)*Assumptions!$F$91</f>
        <v>3044.92967231094</v>
      </c>
      <c r="BJ62" s="44" t="n">
        <f aca="false">BJ11*Assumptions!$F$86*BJ61*(1+Assumptions!$F$85)*Assumptions!$F$91</f>
        <v>3044.92967231094</v>
      </c>
      <c r="BK62" s="44" t="n">
        <f aca="false">BK11*Assumptions!$F$86*BK61*(1+Assumptions!$F$85)*Assumptions!$F$91</f>
        <v>3121.05291411871</v>
      </c>
    </row>
    <row r="63" customFormat="false" ht="15" hidden="false" customHeight="false" outlineLevel="0" collapsed="false">
      <c r="A63" s="28" t="s">
        <v>638</v>
      </c>
      <c r="B63" s="6" t="s">
        <v>639</v>
      </c>
      <c r="C63" s="43"/>
      <c r="D63" s="17" t="n">
        <f aca="false">D14*Assumptions!$F$87*(1+Assumptions!$F$85)*Assumptions!$F$91</f>
        <v>0</v>
      </c>
      <c r="E63" s="17" t="n">
        <f aca="false">E14*Assumptions!$F$87*(1+Assumptions!$F$85)*Assumptions!$F$91</f>
        <v>0</v>
      </c>
      <c r="F63" s="17" t="n">
        <f aca="false">F14*Assumptions!$F$87*(1+Assumptions!$F$85)*Assumptions!$F$91</f>
        <v>0</v>
      </c>
      <c r="G63" s="17" t="n">
        <f aca="false">G14*Assumptions!$F$87*(1+Assumptions!$F$85)*Assumptions!$F$91</f>
        <v>0</v>
      </c>
      <c r="H63" s="17" t="n">
        <f aca="false">H14*Assumptions!$F$87*(1+Assumptions!$F$85)*Assumptions!$F$91</f>
        <v>115.26</v>
      </c>
      <c r="I63" s="17" t="n">
        <f aca="false">I14*Assumptions!$F$87*(1+Assumptions!$F$85)*Assumptions!$F$91</f>
        <v>101.4288</v>
      </c>
      <c r="J63" s="17" t="n">
        <f aca="false">J14*Assumptions!$F$87*(1+Assumptions!$F$85)*Assumptions!$F$91</f>
        <v>69.156</v>
      </c>
      <c r="K63" s="17" t="n">
        <f aca="false">K14*Assumptions!$F$87*(1+Assumptions!$F$85)*Assumptions!$F$91</f>
        <v>161.364</v>
      </c>
      <c r="L63" s="17" t="n">
        <f aca="false">L14*Assumptions!$F$87*(1+Assumptions!$F$85)*Assumptions!$F$91</f>
        <v>244.3512</v>
      </c>
      <c r="M63" s="17" t="n">
        <f aca="false">M14*Assumptions!$F$87*(1+Assumptions!$F$85)*Assumptions!$F$91</f>
        <v>193.6368</v>
      </c>
      <c r="N63" s="17" t="n">
        <f aca="false">N14*Assumptions!$F$87*(1+Assumptions!$F$85)*Assumptions!$F$91</f>
        <v>235.1304</v>
      </c>
      <c r="O63" s="17" t="n">
        <f aca="false">O14*Assumptions!$F$87*(1+Assumptions!$F$85)*Assumptions!$F$91</f>
        <v>295.0656</v>
      </c>
      <c r="P63" s="17" t="n">
        <f aca="false">P14*Assumptions!$F$87*(1+Assumptions!$F$85)*Assumptions!$F$91</f>
        <v>341.1696</v>
      </c>
      <c r="Q63" s="17" t="n">
        <f aca="false">Q14*Assumptions!$F$87*(1+Assumptions!$F$85)*Assumptions!$F$91</f>
        <v>364.2216</v>
      </c>
      <c r="R63" s="17" t="n">
        <f aca="false">R14*Assumptions!$F$87*(1+Assumptions!$F$85)*Assumptions!$F$91</f>
        <v>373.4424</v>
      </c>
      <c r="S63" s="17" t="n">
        <f aca="false">S14*Assumptions!$F$87*(1+Assumptions!$F$85)*Assumptions!$F$91</f>
        <v>396.4944</v>
      </c>
      <c r="T63" s="17" t="n">
        <f aca="false">T14*Assumptions!$F$87*(1+Assumptions!$F$85)*Assumptions!$F$91</f>
        <v>401.1048</v>
      </c>
      <c r="U63" s="17" t="n">
        <f aca="false">U14*Assumptions!$F$87*(1+Assumptions!$F$85)*Assumptions!$F$91</f>
        <v>405.7152</v>
      </c>
      <c r="V63" s="17" t="n">
        <f aca="false">V14*Assumptions!$F$87*(1+Assumptions!$F$85)*Assumptions!$F$91</f>
        <v>410.3256</v>
      </c>
      <c r="W63" s="17" t="n">
        <f aca="false">W14*Assumptions!$F$87*(1+Assumptions!$F$85)*Assumptions!$F$91</f>
        <v>530.196</v>
      </c>
      <c r="X63" s="17" t="n">
        <f aca="false">X14*Assumptions!$F$87*(1+Assumptions!$F$85)*Assumptions!$F$91</f>
        <v>520.9752</v>
      </c>
      <c r="Y63" s="17" t="n">
        <f aca="false">Y14*Assumptions!$F$87*(1+Assumptions!$F$85)*Assumptions!$F$91</f>
        <v>493.3128</v>
      </c>
      <c r="Z63" s="17" t="n">
        <f aca="false">Z14*Assumptions!$F$87*(1+Assumptions!$F$85)*Assumptions!$F$91</f>
        <v>590.1312</v>
      </c>
      <c r="AA63" s="17" t="n">
        <f aca="false">AA14*Assumptions!$F$87*(1+Assumptions!$F$85)*Assumptions!$F$91</f>
        <v>562.4688</v>
      </c>
      <c r="AB63" s="17" t="n">
        <f aca="false">AB14*Assumptions!$F$87*(1+Assumptions!$F$85)*Assumptions!$F$91</f>
        <v>530.196</v>
      </c>
      <c r="AC63" s="17" t="n">
        <f aca="false">AC14*Assumptions!$F$87*(1+Assumptions!$F$85)*Assumptions!$F$91</f>
        <v>608.5728</v>
      </c>
      <c r="AD63" s="17" t="n">
        <f aca="false">AD14*Assumptions!$F$87*(1+Assumptions!$F$85)*Assumptions!$F$91</f>
        <v>696.1704</v>
      </c>
      <c r="AE63" s="17" t="n">
        <f aca="false">AE14*Assumptions!$F$87*(1+Assumptions!$F$85)*Assumptions!$F$91</f>
        <v>645.456</v>
      </c>
      <c r="AF63" s="17" t="n">
        <f aca="false">AF14*Assumptions!$F$87*(1+Assumptions!$F$85)*Assumptions!$F$91</f>
        <v>691.56</v>
      </c>
      <c r="AG63" s="17" t="n">
        <f aca="false">AG14*Assumptions!$F$87*(1+Assumptions!$F$85)*Assumptions!$F$91</f>
        <v>756.1056</v>
      </c>
      <c r="AH63" s="17" t="n">
        <f aca="false">AH14*Assumptions!$F$87*(1+Assumptions!$F$85)*Assumptions!$F$91</f>
        <v>686.9496</v>
      </c>
      <c r="AI63" s="17" t="n">
        <f aca="false">AI14*Assumptions!$F$87*(1+Assumptions!$F$85)*Assumptions!$F$91</f>
        <v>723.8328</v>
      </c>
      <c r="AJ63" s="17" t="n">
        <f aca="false">AJ14*Assumptions!$F$87*(1+Assumptions!$F$85)*Assumptions!$F$91</f>
        <v>769.9368</v>
      </c>
      <c r="AK63" s="17" t="n">
        <f aca="false">AK14*Assumptions!$F$87*(1+Assumptions!$F$85)*Assumptions!$F$91</f>
        <v>816.0408</v>
      </c>
      <c r="AL63" s="17" t="n">
        <f aca="false">AL14*Assumptions!$F$87*(1+Assumptions!$F$85)*Assumptions!$F$91</f>
        <v>839.0928</v>
      </c>
      <c r="AM63" s="17" t="n">
        <f aca="false">AM14*Assumptions!$F$87*(1+Assumptions!$F$85)*Assumptions!$F$91</f>
        <v>848.3136</v>
      </c>
      <c r="AN63" s="44" t="n">
        <f aca="false">AN14*Assumptions!$F$87*(1+Assumptions!$F$85)*Assumptions!$F$91</f>
        <v>871.3656</v>
      </c>
      <c r="AO63" s="44" t="n">
        <f aca="false">AO14*Assumptions!$F$87*(1+Assumptions!$F$85)*Assumptions!$F$91</f>
        <v>875.976</v>
      </c>
      <c r="AP63" s="44" t="n">
        <f aca="false">AP14*Assumptions!$F$87*(1+Assumptions!$F$85)*Assumptions!$F$91</f>
        <v>880.5864</v>
      </c>
      <c r="AQ63" s="44" t="n">
        <f aca="false">AQ14*Assumptions!$F$87*(1+Assumptions!$F$85)*Assumptions!$F$91</f>
        <v>885.1968</v>
      </c>
      <c r="AR63" s="44" t="n">
        <f aca="false">AR14*Assumptions!$F$87*(1+Assumptions!$F$85)*Assumptions!$F$91</f>
        <v>889.8072</v>
      </c>
      <c r="AS63" s="44" t="n">
        <f aca="false">AS14*Assumptions!$F$87*(1+Assumptions!$F$85)*Assumptions!$F$91</f>
        <v>894.4176</v>
      </c>
      <c r="AT63" s="44" t="n">
        <f aca="false">AT14*Assumptions!$F$87*(1+Assumptions!$F$85)*Assumptions!$F$91</f>
        <v>894.4176</v>
      </c>
      <c r="AU63" s="44" t="n">
        <f aca="false">AU14*Assumptions!$F$87*(1+Assumptions!$F$85)*Assumptions!$F$91</f>
        <v>899.028</v>
      </c>
      <c r="AV63" s="44" t="n">
        <f aca="false">AV14*Assumptions!$F$87*(1+Assumptions!$F$85)*Assumptions!$F$91</f>
        <v>903.6384</v>
      </c>
      <c r="AW63" s="44" t="n">
        <f aca="false">AW14*Assumptions!$F$87*(1+Assumptions!$F$85)*Assumptions!$F$91</f>
        <v>903.6384</v>
      </c>
      <c r="AX63" s="44" t="n">
        <f aca="false">AX14*Assumptions!$F$87*(1+Assumptions!$F$85)*Assumptions!$F$91</f>
        <v>908.2488</v>
      </c>
      <c r="AY63" s="44" t="n">
        <f aca="false">AY14*Assumptions!$F$87*(1+Assumptions!$F$85)*Assumptions!$F$91</f>
        <v>912.8592</v>
      </c>
      <c r="AZ63" s="44" t="n">
        <f aca="false">AZ14*Assumptions!$F$87*(1+Assumptions!$F$85)*Assumptions!$F$91</f>
        <v>912.8592</v>
      </c>
      <c r="BA63" s="44" t="n">
        <f aca="false">BA14*Assumptions!$F$87*(1+Assumptions!$F$85)*Assumptions!$F$91</f>
        <v>912.8592</v>
      </c>
      <c r="BB63" s="44" t="n">
        <f aca="false">BB14*Assumptions!$F$87*(1+Assumptions!$F$85)*Assumptions!$F$91</f>
        <v>917.4696</v>
      </c>
      <c r="BC63" s="44" t="n">
        <f aca="false">BC14*Assumptions!$F$87*(1+Assumptions!$F$85)*Assumptions!$F$91</f>
        <v>917.4696</v>
      </c>
      <c r="BD63" s="44" t="n">
        <f aca="false">BD14*Assumptions!$F$87*(1+Assumptions!$F$85)*Assumptions!$F$91</f>
        <v>917.4696</v>
      </c>
      <c r="BE63" s="44" t="n">
        <f aca="false">BE14*Assumptions!$F$87*(1+Assumptions!$F$85)*Assumptions!$F$91</f>
        <v>922.08</v>
      </c>
      <c r="BF63" s="44" t="n">
        <f aca="false">BF14*Assumptions!$F$87*(1+Assumptions!$F$85)*Assumptions!$F$91</f>
        <v>922.08</v>
      </c>
      <c r="BG63" s="44" t="n">
        <f aca="false">BG14*Assumptions!$F$87*(1+Assumptions!$F$85)*Assumptions!$F$91</f>
        <v>922.08</v>
      </c>
      <c r="BH63" s="44" t="n">
        <f aca="false">BH14*Assumptions!$F$87*(1+Assumptions!$F$85)*Assumptions!$F$91</f>
        <v>922.08</v>
      </c>
      <c r="BI63" s="44" t="n">
        <f aca="false">BI14*Assumptions!$F$87*(1+Assumptions!$F$85)*Assumptions!$F$91</f>
        <v>922.08</v>
      </c>
      <c r="BJ63" s="44" t="n">
        <f aca="false">BJ14*Assumptions!$F$87*(1+Assumptions!$F$85)*Assumptions!$F$91</f>
        <v>922.08</v>
      </c>
      <c r="BK63" s="44" t="n">
        <f aca="false">BK14*Assumptions!$F$87*(1+Assumptions!$F$85)*Assumptions!$F$91</f>
        <v>922.08</v>
      </c>
    </row>
    <row r="64" customFormat="false" ht="15" hidden="false" customHeight="false" outlineLevel="0" collapsed="false">
      <c r="A64" s="28" t="s">
        <v>640</v>
      </c>
      <c r="B64" s="6" t="s">
        <v>641</v>
      </c>
      <c r="C64" s="43"/>
      <c r="D64" s="17" t="n">
        <f aca="false">D11*Assumptions!$F$88*Assumptions!$F$91</f>
        <v>0</v>
      </c>
      <c r="E64" s="17" t="n">
        <f aca="false">E11*Assumptions!$F$88*Assumptions!$F$91</f>
        <v>0</v>
      </c>
      <c r="F64" s="17" t="n">
        <f aca="false">F11*Assumptions!$F$88*Assumptions!$F$91</f>
        <v>0</v>
      </c>
      <c r="G64" s="17" t="n">
        <f aca="false">G11*Assumptions!$F$88*Assumptions!$F$91</f>
        <v>0</v>
      </c>
      <c r="H64" s="17" t="n">
        <f aca="false">H11*Assumptions!$F$88*Assumptions!$F$91</f>
        <v>102</v>
      </c>
      <c r="I64" s="17" t="n">
        <f aca="false">I11*Assumptions!$F$88*Assumptions!$F$91</f>
        <v>89.76</v>
      </c>
      <c r="J64" s="17" t="n">
        <f aca="false">J11*Assumptions!$F$88*Assumptions!$F$91</f>
        <v>61.2</v>
      </c>
      <c r="K64" s="17" t="n">
        <f aca="false">K11*Assumptions!$F$88*Assumptions!$F$91</f>
        <v>142.8</v>
      </c>
      <c r="L64" s="17" t="n">
        <f aca="false">L11*Assumptions!$F$88*Assumptions!$F$91</f>
        <v>216.24</v>
      </c>
      <c r="M64" s="17" t="n">
        <f aca="false">M11*Assumptions!$F$88*Assumptions!$F$91</f>
        <v>171.36</v>
      </c>
      <c r="N64" s="17" t="n">
        <f aca="false">N11*Assumptions!$F$88*Assumptions!$F$91</f>
        <v>208.08</v>
      </c>
      <c r="O64" s="17" t="n">
        <f aca="false">O11*Assumptions!$F$88*Assumptions!$F$91</f>
        <v>261.12</v>
      </c>
      <c r="P64" s="17" t="n">
        <f aca="false">P11*Assumptions!$F$88*Assumptions!$F$91</f>
        <v>301.92</v>
      </c>
      <c r="Q64" s="17" t="n">
        <f aca="false">Q11*Assumptions!$F$88*Assumptions!$F$91</f>
        <v>322.32</v>
      </c>
      <c r="R64" s="17" t="n">
        <f aca="false">R11*Assumptions!$F$88*Assumptions!$F$91</f>
        <v>330.48</v>
      </c>
      <c r="S64" s="17" t="n">
        <f aca="false">S11*Assumptions!$F$88*Assumptions!$F$91</f>
        <v>350.88</v>
      </c>
      <c r="T64" s="17" t="n">
        <f aca="false">T11*Assumptions!$F$88*Assumptions!$F$91</f>
        <v>354.96</v>
      </c>
      <c r="U64" s="17" t="n">
        <f aca="false">U11*Assumptions!$F$88*Assumptions!$F$91</f>
        <v>359.04</v>
      </c>
      <c r="V64" s="17" t="n">
        <f aca="false">V11*Assumptions!$F$88*Assumptions!$F$91</f>
        <v>363.12</v>
      </c>
      <c r="W64" s="17" t="n">
        <f aca="false">W11*Assumptions!$F$88*Assumptions!$F$91</f>
        <v>469.2</v>
      </c>
      <c r="X64" s="17" t="n">
        <f aca="false">X11*Assumptions!$F$88*Assumptions!$F$91</f>
        <v>461.04</v>
      </c>
      <c r="Y64" s="17" t="n">
        <f aca="false">Y11*Assumptions!$F$88*Assumptions!$F$91</f>
        <v>436.56</v>
      </c>
      <c r="Z64" s="17" t="n">
        <f aca="false">Z11*Assumptions!$F$88*Assumptions!$F$91</f>
        <v>522.24</v>
      </c>
      <c r="AA64" s="17" t="n">
        <f aca="false">AA11*Assumptions!$F$88*Assumptions!$F$91</f>
        <v>497.76</v>
      </c>
      <c r="AB64" s="17" t="n">
        <f aca="false">AB11*Assumptions!$F$88*Assumptions!$F$91</f>
        <v>469.2</v>
      </c>
      <c r="AC64" s="17" t="n">
        <f aca="false">AC11*Assumptions!$F$88*Assumptions!$F$91</f>
        <v>538.56</v>
      </c>
      <c r="AD64" s="17" t="n">
        <f aca="false">AD11*Assumptions!$F$88*Assumptions!$F$91</f>
        <v>616.08</v>
      </c>
      <c r="AE64" s="17" t="n">
        <f aca="false">AE11*Assumptions!$F$88*Assumptions!$F$91</f>
        <v>571.2</v>
      </c>
      <c r="AF64" s="17" t="n">
        <f aca="false">AF11*Assumptions!$F$88*Assumptions!$F$91</f>
        <v>612</v>
      </c>
      <c r="AG64" s="17" t="n">
        <f aca="false">AG11*Assumptions!$F$88*Assumptions!$F$91</f>
        <v>669.12</v>
      </c>
      <c r="AH64" s="17" t="n">
        <f aca="false">AH11*Assumptions!$F$88*Assumptions!$F$91</f>
        <v>607.92</v>
      </c>
      <c r="AI64" s="17" t="n">
        <f aca="false">AI11*Assumptions!$F$88*Assumptions!$F$91</f>
        <v>640.56</v>
      </c>
      <c r="AJ64" s="17" t="n">
        <f aca="false">AJ11*Assumptions!$F$88*Assumptions!$F$91</f>
        <v>681.36</v>
      </c>
      <c r="AK64" s="17" t="n">
        <f aca="false">AK11*Assumptions!$F$88*Assumptions!$F$91</f>
        <v>722.16</v>
      </c>
      <c r="AL64" s="17" t="n">
        <f aca="false">AL11*Assumptions!$F$88*Assumptions!$F$91</f>
        <v>742.56</v>
      </c>
      <c r="AM64" s="17" t="n">
        <f aca="false">AM11*Assumptions!$F$88*Assumptions!$F$91</f>
        <v>750.72</v>
      </c>
      <c r="AN64" s="44" t="n">
        <f aca="false">AN11*Assumptions!$F$88*Assumptions!$F$91</f>
        <v>771.12</v>
      </c>
      <c r="AO64" s="44" t="n">
        <f aca="false">AO11*Assumptions!$F$88*Assumptions!$F$91</f>
        <v>775.2</v>
      </c>
      <c r="AP64" s="44" t="n">
        <f aca="false">AP11*Assumptions!$F$88*Assumptions!$F$91</f>
        <v>779.28</v>
      </c>
      <c r="AQ64" s="44" t="n">
        <f aca="false">AQ11*Assumptions!$F$88*Assumptions!$F$91</f>
        <v>783.36</v>
      </c>
      <c r="AR64" s="44" t="n">
        <f aca="false">AR11*Assumptions!$F$88*Assumptions!$F$91</f>
        <v>787.44</v>
      </c>
      <c r="AS64" s="44" t="n">
        <f aca="false">AS11*Assumptions!$F$88*Assumptions!$F$91</f>
        <v>791.52</v>
      </c>
      <c r="AT64" s="44" t="n">
        <f aca="false">AT11*Assumptions!$F$88*Assumptions!$F$91</f>
        <v>791.52</v>
      </c>
      <c r="AU64" s="44" t="n">
        <f aca="false">AU11*Assumptions!$F$88*Assumptions!$F$91</f>
        <v>795.6</v>
      </c>
      <c r="AV64" s="44" t="n">
        <f aca="false">AV11*Assumptions!$F$88*Assumptions!$F$91</f>
        <v>799.68</v>
      </c>
      <c r="AW64" s="44" t="n">
        <f aca="false">AW11*Assumptions!$F$88*Assumptions!$F$91</f>
        <v>799.68</v>
      </c>
      <c r="AX64" s="44" t="n">
        <f aca="false">AX11*Assumptions!$F$88*Assumptions!$F$91</f>
        <v>803.76</v>
      </c>
      <c r="AY64" s="44" t="n">
        <f aca="false">AY11*Assumptions!$F$88*Assumptions!$F$91</f>
        <v>807.84</v>
      </c>
      <c r="AZ64" s="44" t="n">
        <f aca="false">AZ11*Assumptions!$F$88*Assumptions!$F$91</f>
        <v>807.84</v>
      </c>
      <c r="BA64" s="44" t="n">
        <f aca="false">BA11*Assumptions!$F$88*Assumptions!$F$91</f>
        <v>807.84</v>
      </c>
      <c r="BB64" s="44" t="n">
        <f aca="false">BB11*Assumptions!$F$88*Assumptions!$F$91</f>
        <v>811.92</v>
      </c>
      <c r="BC64" s="44" t="n">
        <f aca="false">BC11*Assumptions!$F$88*Assumptions!$F$91</f>
        <v>811.92</v>
      </c>
      <c r="BD64" s="44" t="n">
        <f aca="false">BD11*Assumptions!$F$88*Assumptions!$F$91</f>
        <v>811.92</v>
      </c>
      <c r="BE64" s="44" t="n">
        <f aca="false">BE11*Assumptions!$F$88*Assumptions!$F$91</f>
        <v>816</v>
      </c>
      <c r="BF64" s="44" t="n">
        <f aca="false">BF11*Assumptions!$F$88*Assumptions!$F$91</f>
        <v>816</v>
      </c>
      <c r="BG64" s="44" t="n">
        <f aca="false">BG11*Assumptions!$F$88*Assumptions!$F$91</f>
        <v>816</v>
      </c>
      <c r="BH64" s="44" t="n">
        <f aca="false">BH11*Assumptions!$F$88*Assumptions!$F$91</f>
        <v>816</v>
      </c>
      <c r="BI64" s="44" t="n">
        <f aca="false">BI11*Assumptions!$F$88*Assumptions!$F$91</f>
        <v>816</v>
      </c>
      <c r="BJ64" s="44" t="n">
        <f aca="false">BJ11*Assumptions!$F$88*Assumptions!$F$91</f>
        <v>816</v>
      </c>
      <c r="BK64" s="44" t="n">
        <f aca="false">BK11*Assumptions!$F$88*Assumptions!$F$91</f>
        <v>816</v>
      </c>
    </row>
    <row r="65" customFormat="false" ht="15" hidden="false" customHeight="false" outlineLevel="0" collapsed="false">
      <c r="A65" s="28" t="s">
        <v>642</v>
      </c>
      <c r="B65" s="6" t="s">
        <v>643</v>
      </c>
      <c r="C65" s="43"/>
      <c r="D65" s="17" t="n">
        <f aca="false">D8*Assumptions!$F$89*Assumptions!$F$91</f>
        <v>0</v>
      </c>
      <c r="E65" s="17" t="n">
        <f aca="false">E8*Assumptions!$F$89*Assumptions!$F$91</f>
        <v>0</v>
      </c>
      <c r="F65" s="17" t="n">
        <f aca="false">F8*Assumptions!$F$89*Assumptions!$F$91</f>
        <v>0</v>
      </c>
      <c r="G65" s="17" t="n">
        <f aca="false">G8*Assumptions!$F$89*Assumptions!$F$91</f>
        <v>0</v>
      </c>
      <c r="H65" s="17" t="n">
        <f aca="false">H8*Assumptions!$F$89*Assumptions!$F$91</f>
        <v>750</v>
      </c>
      <c r="I65" s="17" t="n">
        <f aca="false">I8*Assumptions!$F$89*Assumptions!$F$91</f>
        <v>0</v>
      </c>
      <c r="J65" s="17" t="n">
        <f aca="false">J8*Assumptions!$F$89*Assumptions!$F$91</f>
        <v>0</v>
      </c>
      <c r="K65" s="17" t="n">
        <f aca="false">K8*Assumptions!$F$89*Assumptions!$F$91</f>
        <v>750</v>
      </c>
      <c r="L65" s="17" t="n">
        <f aca="false">L8*Assumptions!$F$89*Assumptions!$F$91</f>
        <v>750</v>
      </c>
      <c r="M65" s="17" t="n">
        <f aca="false">M8*Assumptions!$F$89*Assumptions!$F$91</f>
        <v>0</v>
      </c>
      <c r="N65" s="17" t="n">
        <f aca="false">N8*Assumptions!$F$89*Assumptions!$F$91</f>
        <v>750</v>
      </c>
      <c r="O65" s="17" t="n">
        <f aca="false">O8*Assumptions!$F$89*Assumptions!$F$91</f>
        <v>750</v>
      </c>
      <c r="P65" s="17" t="n">
        <f aca="false">P8*Assumptions!$F$89*Assumptions!$F$91</f>
        <v>750</v>
      </c>
      <c r="Q65" s="17" t="n">
        <f aca="false">Q8*Assumptions!$F$89*Assumptions!$F$91</f>
        <v>750</v>
      </c>
      <c r="R65" s="17" t="n">
        <f aca="false">R8*Assumptions!$F$89*Assumptions!$F$91</f>
        <v>750</v>
      </c>
      <c r="S65" s="17" t="n">
        <f aca="false">S8*Assumptions!$F$89*Assumptions!$F$91</f>
        <v>750</v>
      </c>
      <c r="T65" s="17" t="n">
        <f aca="false">T8*Assumptions!$F$89*Assumptions!$F$91</f>
        <v>750</v>
      </c>
      <c r="U65" s="17" t="n">
        <f aca="false">U8*Assumptions!$F$89*Assumptions!$F$91</f>
        <v>750</v>
      </c>
      <c r="V65" s="17" t="n">
        <f aca="false">V8*Assumptions!$F$89*Assumptions!$F$91</f>
        <v>750</v>
      </c>
      <c r="W65" s="17" t="n">
        <f aca="false">W8*Assumptions!$F$89*Assumptions!$F$91</f>
        <v>1500</v>
      </c>
      <c r="X65" s="17" t="n">
        <f aca="false">X8*Assumptions!$F$89*Assumptions!$F$91</f>
        <v>750</v>
      </c>
      <c r="Y65" s="17" t="n">
        <f aca="false">Y8*Assumptions!$F$89*Assumptions!$F$91</f>
        <v>750</v>
      </c>
      <c r="Z65" s="17" t="n">
        <f aca="false">Z8*Assumptions!$F$89*Assumptions!$F$91</f>
        <v>1500</v>
      </c>
      <c r="AA65" s="17" t="n">
        <f aca="false">AA8*Assumptions!$F$89*Assumptions!$F$91</f>
        <v>750</v>
      </c>
      <c r="AB65" s="17" t="n">
        <f aca="false">AB8*Assumptions!$F$89*Assumptions!$F$91</f>
        <v>750</v>
      </c>
      <c r="AC65" s="17" t="n">
        <f aca="false">AC8*Assumptions!$F$89*Assumptions!$F$91</f>
        <v>1500</v>
      </c>
      <c r="AD65" s="17" t="n">
        <f aca="false">AD8*Assumptions!$F$89*Assumptions!$F$91</f>
        <v>1500</v>
      </c>
      <c r="AE65" s="17" t="n">
        <f aca="false">AE8*Assumptions!$F$89*Assumptions!$F$91</f>
        <v>750</v>
      </c>
      <c r="AF65" s="17" t="n">
        <f aca="false">AF8*Assumptions!$F$89*Assumptions!$F$91</f>
        <v>1500</v>
      </c>
      <c r="AG65" s="17" t="n">
        <f aca="false">AG8*Assumptions!$F$89*Assumptions!$F$91</f>
        <v>1500</v>
      </c>
      <c r="AH65" s="17" t="n">
        <f aca="false">AH8*Assumptions!$F$89*Assumptions!$F$91</f>
        <v>750</v>
      </c>
      <c r="AI65" s="17" t="n">
        <f aca="false">AI8*Assumptions!$F$89*Assumptions!$F$91</f>
        <v>1500</v>
      </c>
      <c r="AJ65" s="17" t="n">
        <f aca="false">AJ8*Assumptions!$F$89*Assumptions!$F$91</f>
        <v>1500</v>
      </c>
      <c r="AK65" s="17" t="n">
        <f aca="false">AK8*Assumptions!$F$89*Assumptions!$F$91</f>
        <v>1500</v>
      </c>
      <c r="AL65" s="17" t="n">
        <f aca="false">AL8*Assumptions!$F$89*Assumptions!$F$91</f>
        <v>1500</v>
      </c>
      <c r="AM65" s="17" t="n">
        <f aca="false">AM8*Assumptions!$F$89*Assumptions!$F$91</f>
        <v>1500</v>
      </c>
      <c r="AN65" s="44" t="n">
        <f aca="false">AN8*Assumptions!$F$89*Assumptions!$F$91</f>
        <v>1500</v>
      </c>
      <c r="AO65" s="44" t="n">
        <f aca="false">AO8*Assumptions!$F$89*Assumptions!$F$91</f>
        <v>1500</v>
      </c>
      <c r="AP65" s="44" t="n">
        <f aca="false">AP8*Assumptions!$F$89*Assumptions!$F$91</f>
        <v>1500</v>
      </c>
      <c r="AQ65" s="44" t="n">
        <f aca="false">AQ8*Assumptions!$F$89*Assumptions!$F$91</f>
        <v>1500</v>
      </c>
      <c r="AR65" s="44" t="n">
        <f aca="false">AR8*Assumptions!$F$89*Assumptions!$F$91</f>
        <v>1500</v>
      </c>
      <c r="AS65" s="44" t="n">
        <f aca="false">AS8*Assumptions!$F$89*Assumptions!$F$91</f>
        <v>1500</v>
      </c>
      <c r="AT65" s="44" t="n">
        <f aca="false">AT8*Assumptions!$F$89*Assumptions!$F$91</f>
        <v>1500</v>
      </c>
      <c r="AU65" s="44" t="n">
        <f aca="false">AU8*Assumptions!$F$89*Assumptions!$F$91</f>
        <v>1500</v>
      </c>
      <c r="AV65" s="44" t="n">
        <f aca="false">AV8*Assumptions!$F$89*Assumptions!$F$91</f>
        <v>1500</v>
      </c>
      <c r="AW65" s="44" t="n">
        <f aca="false">AW8*Assumptions!$F$89*Assumptions!$F$91</f>
        <v>1500</v>
      </c>
      <c r="AX65" s="44" t="n">
        <f aca="false">AX8*Assumptions!$F$89*Assumptions!$F$91</f>
        <v>1500</v>
      </c>
      <c r="AY65" s="44" t="n">
        <f aca="false">AY8*Assumptions!$F$89*Assumptions!$F$91</f>
        <v>1500</v>
      </c>
      <c r="AZ65" s="44" t="n">
        <f aca="false">AZ8*Assumptions!$F$89*Assumptions!$F$91</f>
        <v>1500</v>
      </c>
      <c r="BA65" s="44" t="n">
        <f aca="false">BA8*Assumptions!$F$89*Assumptions!$F$91</f>
        <v>1500</v>
      </c>
      <c r="BB65" s="44" t="n">
        <f aca="false">BB8*Assumptions!$F$89*Assumptions!$F$91</f>
        <v>1500</v>
      </c>
      <c r="BC65" s="44" t="n">
        <f aca="false">BC8*Assumptions!$F$89*Assumptions!$F$91</f>
        <v>1500</v>
      </c>
      <c r="BD65" s="44" t="n">
        <f aca="false">BD8*Assumptions!$F$89*Assumptions!$F$91</f>
        <v>1500</v>
      </c>
      <c r="BE65" s="44" t="n">
        <f aca="false">BE8*Assumptions!$F$89*Assumptions!$F$91</f>
        <v>1500</v>
      </c>
      <c r="BF65" s="44" t="n">
        <f aca="false">BF8*Assumptions!$F$89*Assumptions!$F$91</f>
        <v>1500</v>
      </c>
      <c r="BG65" s="44" t="n">
        <f aca="false">BG8*Assumptions!$F$89*Assumptions!$F$91</f>
        <v>1500</v>
      </c>
      <c r="BH65" s="44" t="n">
        <f aca="false">BH8*Assumptions!$F$89*Assumptions!$F$91</f>
        <v>1500</v>
      </c>
      <c r="BI65" s="44" t="n">
        <f aca="false">BI8*Assumptions!$F$89*Assumptions!$F$91</f>
        <v>1500</v>
      </c>
      <c r="BJ65" s="44" t="n">
        <f aca="false">BJ8*Assumptions!$F$89*Assumptions!$F$91</f>
        <v>1500</v>
      </c>
      <c r="BK65" s="44" t="n">
        <f aca="false">BK8*Assumptions!$F$89*Assumptions!$F$91</f>
        <v>1500</v>
      </c>
    </row>
    <row r="66" customFormat="false" ht="15" hidden="false" customHeight="false" outlineLevel="0" collapsed="false">
      <c r="A66" s="28" t="s">
        <v>644</v>
      </c>
      <c r="B66" s="6" t="s">
        <v>645</v>
      </c>
      <c r="C66" s="43"/>
      <c r="D66" s="17" t="n">
        <f aca="false">D35*Assumptions!$F$90*Assumptions!$F$91</f>
        <v>0</v>
      </c>
      <c r="E66" s="17" t="n">
        <f aca="false">E35*Assumptions!$F$90*Assumptions!$F$91</f>
        <v>0</v>
      </c>
      <c r="F66" s="17" t="n">
        <f aca="false">F35*Assumptions!$F$90*Assumptions!$F$91</f>
        <v>0</v>
      </c>
      <c r="G66" s="17" t="n">
        <f aca="false">G35*Assumptions!$F$90*Assumptions!$F$91</f>
        <v>0</v>
      </c>
      <c r="H66" s="17" t="n">
        <f aca="false">H35*Assumptions!$F$90*Assumptions!$F$91</f>
        <v>0</v>
      </c>
      <c r="I66" s="17" t="n">
        <f aca="false">I35*Assumptions!$F$90*Assumptions!$F$91</f>
        <v>0</v>
      </c>
      <c r="J66" s="17" t="n">
        <f aca="false">J35*Assumptions!$F$90*Assumptions!$F$91</f>
        <v>0</v>
      </c>
      <c r="K66" s="17" t="n">
        <f aca="false">K35*Assumptions!$F$90*Assumptions!$F$91</f>
        <v>0</v>
      </c>
      <c r="L66" s="17" t="n">
        <f aca="false">L35*Assumptions!$F$90*Assumptions!$F$91</f>
        <v>0</v>
      </c>
      <c r="M66" s="17" t="n">
        <f aca="false">M35*Assumptions!$F$90*Assumptions!$F$91</f>
        <v>0</v>
      </c>
      <c r="N66" s="17" t="n">
        <f aca="false">N35*Assumptions!$F$90*Assumptions!$F$91</f>
        <v>0</v>
      </c>
      <c r="O66" s="17" t="n">
        <f aca="false">O35*Assumptions!$F$90*Assumptions!$F$91</f>
        <v>23.4033466656295</v>
      </c>
      <c r="P66" s="17" t="n">
        <f aca="false">P35*Assumptions!$F$90*Assumptions!$F$91</f>
        <v>27.7841310870422</v>
      </c>
      <c r="Q66" s="17" t="n">
        <f aca="false">Q35*Assumptions!$F$90*Assumptions!$F$91</f>
        <v>32.2999309458707</v>
      </c>
      <c r="R66" s="17" t="n">
        <f aca="false">R35*Assumptions!$F$90*Assumptions!$F$91</f>
        <v>36.706899894214</v>
      </c>
      <c r="S66" s="17" t="n">
        <f aca="false">S35*Assumptions!$F$90*Assumptions!$F$91</f>
        <v>41.2526003627912</v>
      </c>
      <c r="T66" s="17" t="n">
        <f aca="false">T35*Assumptions!$F$90*Assumptions!$F$91</f>
        <v>191.417592612537</v>
      </c>
      <c r="U66" s="17" t="n">
        <f aca="false">U35*Assumptions!$F$90*Assumptions!$F$91</f>
        <v>207.069940009167</v>
      </c>
      <c r="V66" s="17" t="n">
        <f aca="false">V35*Assumptions!$F$90*Assumptions!$F$91</f>
        <v>222.274600383393</v>
      </c>
      <c r="W66" s="17" t="n">
        <f aca="false">W35*Assumptions!$F$90*Assumptions!$F$91</f>
        <v>244.494207122832</v>
      </c>
      <c r="X66" s="17" t="n">
        <f aca="false">X35*Assumptions!$F$90*Assumptions!$F$91</f>
        <v>265.020939390511</v>
      </c>
      <c r="Y66" s="17" t="n">
        <f aca="false">Y35*Assumptions!$F$90*Assumptions!$F$91</f>
        <v>282.771131035224</v>
      </c>
      <c r="Z66" s="17" t="n">
        <f aca="false">Z35*Assumptions!$F$90*Assumptions!$F$91</f>
        <v>305.934409897728</v>
      </c>
      <c r="AA66" s="17" t="n">
        <f aca="false">AA35*Assumptions!$F$90*Assumptions!$F$91</f>
        <v>326.19041841916</v>
      </c>
      <c r="AB66" s="17" t="n">
        <f aca="false">AB35*Assumptions!$F$90*Assumptions!$F$91</f>
        <v>343.414658014047</v>
      </c>
      <c r="AC66" s="17" t="n">
        <f aca="false">AC35*Assumptions!$F$90*Assumptions!$F$91</f>
        <v>364.918141601106</v>
      </c>
      <c r="AD66" s="17" t="n">
        <f aca="false">AD35*Assumptions!$F$90*Assumptions!$F$91</f>
        <v>391.062443016226</v>
      </c>
      <c r="AE66" s="17" t="n">
        <f aca="false">AE35*Assumptions!$F$90*Assumptions!$F$91</f>
        <v>412.680133671128</v>
      </c>
      <c r="AF66" s="17" t="n">
        <f aca="false">AF35*Assumptions!$F$90*Assumptions!$F$91</f>
        <v>436.27728434069</v>
      </c>
      <c r="AG66" s="17" t="n">
        <f aca="false">AG35*Assumptions!$F$90*Assumptions!$F$91</f>
        <v>462.940433132462</v>
      </c>
      <c r="AH66" s="17" t="n">
        <f aca="false">AH35*Assumptions!$F$90*Assumptions!$F$91</f>
        <v>483.887732615764</v>
      </c>
      <c r="AI66" s="17" t="n">
        <f aca="false">AI35*Assumptions!$F$90*Assumptions!$F$91</f>
        <v>506.285435893182</v>
      </c>
      <c r="AJ66" s="17" t="n">
        <f aca="false">AJ35*Assumptions!$F$90*Assumptions!$F$91</f>
        <v>530.65366465182</v>
      </c>
      <c r="AK66" s="17" t="n">
        <f aca="false">AK35*Assumptions!$F$90*Assumptions!$F$91</f>
        <v>556.889866605475</v>
      </c>
      <c r="AL66" s="17" t="n">
        <f aca="false">AL35*Assumptions!$F$90*Assumptions!$F$91</f>
        <v>583.412160383325</v>
      </c>
      <c r="AM66" s="17" t="n">
        <f aca="false">AM35*Assumptions!$F$90*Assumptions!$F$91</f>
        <v>609.322401426787</v>
      </c>
      <c r="AN66" s="44" t="n">
        <f aca="false">AN35*Assumptions!$F$90*Assumptions!$F$91</f>
        <v>635.55585096217</v>
      </c>
      <c r="AO66" s="44" t="n">
        <f aca="false">AO35*Assumptions!$F$90*Assumptions!$F$91</f>
        <v>660.91417509045</v>
      </c>
      <c r="AP66" s="44" t="n">
        <f aca="false">AP35*Assumptions!$F$90*Assumptions!$F$91</f>
        <v>685.454765102136</v>
      </c>
      <c r="AQ66" s="44" t="n">
        <f aca="false">AQ35*Assumptions!$F$90*Assumptions!$F$91</f>
        <v>709.230898655025</v>
      </c>
      <c r="AR66" s="44" t="n">
        <f aca="false">AR35*Assumptions!$F$90*Assumptions!$F$91</f>
        <v>732.292043141457</v>
      </c>
      <c r="AS66" s="44" t="n">
        <f aca="false">AS35*Assumptions!$F$90*Assumptions!$F$91</f>
        <v>754.684136396621</v>
      </c>
      <c r="AT66" s="44" t="n">
        <f aca="false">AT35*Assumptions!$F$90*Assumptions!$F$91</f>
        <v>776.152606250692</v>
      </c>
      <c r="AU66" s="44" t="n">
        <f aca="false">AU35*Assumptions!$F$90*Assumptions!$F$91</f>
        <v>797.050907919284</v>
      </c>
      <c r="AV66" s="44" t="n">
        <f aca="false">AV35*Assumptions!$F$90*Assumptions!$F$91</f>
        <v>817.414737367177</v>
      </c>
      <c r="AW66" s="44" t="n">
        <f aca="false">AW35*Assumptions!$F$90*Assumptions!$F$91</f>
        <v>836.980032014894</v>
      </c>
      <c r="AX66" s="44" t="n">
        <f aca="false">AX35*Assumptions!$F$90*Assumptions!$F$91</f>
        <v>856.091452159518</v>
      </c>
      <c r="AY66" s="44" t="n">
        <f aca="false">AY35*Assumptions!$F$90*Assumptions!$F$91</f>
        <v>874.776542574104</v>
      </c>
      <c r="AZ66" s="44" t="n">
        <f aca="false">AZ35*Assumptions!$F$90*Assumptions!$F$91</f>
        <v>892.763685337293</v>
      </c>
      <c r="BA66" s="44" t="n">
        <f aca="false">BA35*Assumptions!$F$90*Assumptions!$F$91</f>
        <v>910.093296767741</v>
      </c>
      <c r="BB66" s="44" t="n">
        <f aca="false">BB35*Assumptions!$F$90*Assumptions!$F$91</f>
        <v>927.100245073936</v>
      </c>
      <c r="BC66" s="44" t="n">
        <f aca="false">BC35*Assumptions!$F$90*Assumptions!$F$91</f>
        <v>943.505756197885</v>
      </c>
      <c r="BD66" s="44" t="n">
        <f aca="false">BD35*Assumptions!$F$90*Assumptions!$F$91</f>
        <v>959.34361072089</v>
      </c>
      <c r="BE66" s="44" t="n">
        <f aca="false">BE35*Assumptions!$F$90*Assumptions!$F$91</f>
        <v>974.94252293628</v>
      </c>
      <c r="BF66" s="44" t="n">
        <f aca="false">BF35*Assumptions!$F$90*Assumptions!$F$91</f>
        <v>990.018011005051</v>
      </c>
      <c r="BG66" s="44" t="n">
        <f aca="false">BG35*Assumptions!$F$90*Assumptions!$F$91</f>
        <v>1004.59856084497</v>
      </c>
      <c r="BH66" s="44" t="n">
        <f aca="false">BH35*Assumptions!$F$90*Assumptions!$F$91</f>
        <v>1018.7107344534</v>
      </c>
      <c r="BI66" s="44" t="n">
        <f aca="false">BI35*Assumptions!$F$90*Assumptions!$F$91</f>
        <v>1032.37930881155</v>
      </c>
      <c r="BJ66" s="44" t="n">
        <f aca="false">BJ35*Assumptions!$F$90*Assumptions!$F$91</f>
        <v>1045.62740452634</v>
      </c>
      <c r="BK66" s="44" t="n">
        <f aca="false">BK35*Assumptions!$F$90*Assumptions!$F$91</f>
        <v>1058.47660497656</v>
      </c>
    </row>
    <row r="67" customFormat="false" ht="15" hidden="false" customHeight="false" outlineLevel="0" collapsed="false">
      <c r="A67" s="28" t="s">
        <v>646</v>
      </c>
      <c r="B67" s="5" t="s">
        <v>647</v>
      </c>
      <c r="C67" s="43"/>
      <c r="D67" s="45" t="n">
        <f aca="false">D62+D63+D64+D65+D66</f>
        <v>0</v>
      </c>
      <c r="E67" s="45" t="n">
        <f aca="false">E62+E63+E64+E65+E66</f>
        <v>0</v>
      </c>
      <c r="F67" s="45" t="n">
        <f aca="false">F62+F63+F64+F65+F66</f>
        <v>0</v>
      </c>
      <c r="G67" s="45" t="n">
        <f aca="false">G62+G63+G64+G65+G66</f>
        <v>0</v>
      </c>
      <c r="H67" s="45" t="n">
        <f aca="false">H62+H63+H64+H65+H66</f>
        <v>1312.0795</v>
      </c>
      <c r="I67" s="45" t="n">
        <f aca="false">I62+I63+I64+I65+I66</f>
        <v>494.62996</v>
      </c>
      <c r="J67" s="45" t="n">
        <f aca="false">J62+J63+J64+J65+J66</f>
        <v>337.2477</v>
      </c>
      <c r="K67" s="45" t="n">
        <f aca="false">K62+K63+K64+K65+K66</f>
        <v>1536.9113</v>
      </c>
      <c r="L67" s="45" t="n">
        <f aca="false">L62+L63+L64+L65+L66</f>
        <v>1941.60854</v>
      </c>
      <c r="M67" s="45" t="n">
        <f aca="false">M62+M63+M64+M65+M66</f>
        <v>944.29356</v>
      </c>
      <c r="N67" s="45" t="n">
        <f aca="false">N62+N63+N64+N65+N66</f>
        <v>1896.64218</v>
      </c>
      <c r="O67" s="45" t="n">
        <f aca="false">O62+O63+O64+O65+O66</f>
        <v>2234.39531466563</v>
      </c>
      <c r="P67" s="45" t="n">
        <f aca="false">P62+P63+P64+P65+P66</f>
        <v>2467.05609408704</v>
      </c>
      <c r="Q67" s="45" t="n">
        <f aca="false">Q62+Q63+Q64+Q65+Q66</f>
        <v>2585.71189144587</v>
      </c>
      <c r="R67" s="45" t="n">
        <f aca="false">R62+R63+R64+R65+R66</f>
        <v>2635.77485939421</v>
      </c>
      <c r="S67" s="45" t="n">
        <f aca="false">S62+S63+S64+S65+S66</f>
        <v>2754.46055736279</v>
      </c>
      <c r="T67" s="45" t="n">
        <f aca="false">T62+T63+T64+T65+T66</f>
        <v>2927.45354911254</v>
      </c>
      <c r="U67" s="45" t="n">
        <f aca="false">U62+U63+U64+U65+U66</f>
        <v>2965.93389600917</v>
      </c>
      <c r="V67" s="45" t="n">
        <f aca="false">V62+V63+V64+V65+V66</f>
        <v>3003.96655588339</v>
      </c>
      <c r="W67" s="45" t="n">
        <f aca="false">W62+W63+W64+W65+W66</f>
        <v>4369.71414962283</v>
      </c>
      <c r="X67" s="45" t="n">
        <f aca="false">X62+X63+X64+X65+X66</f>
        <v>3594.58488289051</v>
      </c>
      <c r="Y67" s="45" t="n">
        <f aca="false">Y62+Y63+Y64+Y65+Y66</f>
        <v>3475.36707753522</v>
      </c>
      <c r="Z67" s="45" t="n">
        <f aca="false">Z62+Z63+Z64+Z65+Z66</f>
        <v>4727.91834589773</v>
      </c>
      <c r="AA67" s="45" t="n">
        <f aca="false">AA62+AA63+AA64+AA65+AA66</f>
        <v>3904.32603589416</v>
      </c>
      <c r="AB67" s="45" t="n">
        <f aca="false">AB62+AB63+AB64+AB65+AB66</f>
        <v>3759.28019907655</v>
      </c>
      <c r="AC67" s="45" t="n">
        <f aca="false">AC62+AC63+AC64+AC65+AC66</f>
        <v>4924.86815395111</v>
      </c>
      <c r="AD67" s="45" t="n">
        <f aca="false">AD62+AD63+AD64+AD65+AD66</f>
        <v>5391.45980562873</v>
      </c>
      <c r="AE67" s="45" t="n">
        <f aca="false">AE62+AE63+AE64+AE65+AE66</f>
        <v>4408.08166192113</v>
      </c>
      <c r="AF67" s="45" t="n">
        <f aca="false">AF62+AF63+AF64+AF65+AF66</f>
        <v>5413.49320746569</v>
      </c>
      <c r="AG67" s="45" t="n">
        <f aca="false">AG62+AG63+AG64+AG65+AG66</f>
        <v>5764.69650908246</v>
      </c>
      <c r="AH67" s="45" t="n">
        <f aca="false">AH62+AH63+AH64+AH65+AH66</f>
        <v>4687.92221625327</v>
      </c>
      <c r="AI67" s="45" t="n">
        <f aca="false">AI62+AI63+AI64+AI65+AI66</f>
        <v>5645.77143543068</v>
      </c>
      <c r="AJ67" s="45" t="n">
        <f aca="false">AJ62+AJ63+AJ64+AJ65+AJ66</f>
        <v>5901.95405906432</v>
      </c>
      <c r="AK67" s="45" t="n">
        <f aca="false">AK62+AK63+AK64+AK65+AK66</f>
        <v>6160.00465589297</v>
      </c>
      <c r="AL67" s="45" t="n">
        <f aca="false">AL62+AL63+AL64+AL65+AL66</f>
        <v>6302.43414710833</v>
      </c>
      <c r="AM67" s="45" t="n">
        <f aca="false">AM62+AM63+AM64+AM65+AM66</f>
        <v>6441.36604876929</v>
      </c>
      <c r="AN67" s="46" t="n">
        <f aca="false">AN62+AN63+AN64+AN65+AN66</f>
        <v>6585.31807567811</v>
      </c>
      <c r="AO67" s="46" t="n">
        <f aca="false">AO62+AO63+AO64+AO65+AO66</f>
        <v>6634.22011528107</v>
      </c>
      <c r="AP67" s="46" t="n">
        <f aca="false">AP62+AP63+AP64+AP65+AP66</f>
        <v>6682.30442076745</v>
      </c>
      <c r="AQ67" s="46" t="n">
        <f aca="false">AQ62+AQ63+AQ64+AQ65+AQ66</f>
        <v>6729.62426979503</v>
      </c>
      <c r="AR67" s="46" t="n">
        <f aca="false">AR62+AR63+AR64+AR65+AR66</f>
        <v>6776.22912975614</v>
      </c>
      <c r="AS67" s="46" t="n">
        <f aca="false">AS62+AS63+AS64+AS65+AS66</f>
        <v>6822.164938486</v>
      </c>
      <c r="AT67" s="46" t="n">
        <f aca="false">AT62+AT63+AT64+AT65+AT66</f>
        <v>6843.63340834007</v>
      </c>
      <c r="AU67" s="46" t="n">
        <f aca="false">AU62+AU63+AU64+AU65+AU66</f>
        <v>6888.07542548335</v>
      </c>
      <c r="AV67" s="46" t="n">
        <f aca="false">AV62+AV63+AV64+AV65+AV66</f>
        <v>6931.98297040593</v>
      </c>
      <c r="AW67" s="46" t="n">
        <f aca="false">AW62+AW63+AW64+AW65+AW66</f>
        <v>6951.54826505364</v>
      </c>
      <c r="AX67" s="46" t="n">
        <f aca="false">AX62+AX63+AX64+AX65+AX66</f>
        <v>6994.20340067296</v>
      </c>
      <c r="AY67" s="46" t="n">
        <f aca="false">AY62+AY63+AY64+AY65+AY66</f>
        <v>7109.95611816193</v>
      </c>
      <c r="AZ67" s="46" t="n">
        <f aca="false">AZ62+AZ63+AZ64+AZ65+AZ66</f>
        <v>7127.94326092512</v>
      </c>
      <c r="BA67" s="46" t="n">
        <f aca="false">BA62+BA63+BA64+BA65+BA66</f>
        <v>7145.27287235557</v>
      </c>
      <c r="BB67" s="46" t="n">
        <f aca="false">BB62+BB63+BB64+BB65+BB66</f>
        <v>7186.19486902332</v>
      </c>
      <c r="BC67" s="46" t="n">
        <f aca="false">BC62+BC63+BC64+BC65+BC66</f>
        <v>7202.60038014727</v>
      </c>
      <c r="BD67" s="46" t="n">
        <f aca="false">BD62+BD63+BD64+BD65+BD66</f>
        <v>7218.43823467027</v>
      </c>
      <c r="BE67" s="46" t="n">
        <f aca="false">BE62+BE63+BE64+BE65+BE66</f>
        <v>7257.95219524722</v>
      </c>
      <c r="BF67" s="46" t="n">
        <f aca="false">BF62+BF63+BF64+BF65+BF66</f>
        <v>7273.02768331599</v>
      </c>
      <c r="BG67" s="46" t="n">
        <f aca="false">BG62+BG63+BG64+BG65+BG66</f>
        <v>7287.60823315591</v>
      </c>
      <c r="BH67" s="46" t="n">
        <f aca="false">BH62+BH63+BH64+BH65+BH66</f>
        <v>7301.72040676433</v>
      </c>
      <c r="BI67" s="46" t="n">
        <f aca="false">BI62+BI63+BI64+BI65+BI66</f>
        <v>7315.38898112248</v>
      </c>
      <c r="BJ67" s="46" t="n">
        <f aca="false">BJ62+BJ63+BJ64+BJ65+BJ66</f>
        <v>7328.63707683728</v>
      </c>
      <c r="BK67" s="46" t="n">
        <f aca="false">BK62+BK63+BK64+BK65+BK66</f>
        <v>7417.60951909528</v>
      </c>
    </row>
    <row r="68" customFormat="false" ht="15" hidden="false" customHeight="false" outlineLevel="0" collapsed="false">
      <c r="B68" s="5" t="s">
        <v>648</v>
      </c>
    </row>
    <row r="69" customFormat="false" ht="15" hidden="false" customHeight="false" outlineLevel="0" collapsed="false">
      <c r="A69" s="28" t="s">
        <v>649</v>
      </c>
      <c r="B69" s="6" t="s">
        <v>650</v>
      </c>
      <c r="C69" s="43"/>
      <c r="D69" s="17" t="n">
        <f aca="false">Assumptions!$F$108</f>
        <v>1465</v>
      </c>
      <c r="E69" s="17" t="n">
        <f aca="false">Assumptions!$F$108</f>
        <v>1465</v>
      </c>
      <c r="F69" s="17" t="n">
        <f aca="false">Assumptions!$F$108</f>
        <v>1465</v>
      </c>
      <c r="G69" s="17" t="n">
        <f aca="false">Assumptions!$F$108</f>
        <v>1465</v>
      </c>
      <c r="H69" s="17" t="n">
        <f aca="false">Assumptions!$F$108</f>
        <v>1465</v>
      </c>
      <c r="I69" s="17" t="n">
        <f aca="false">Assumptions!$F$108</f>
        <v>1465</v>
      </c>
      <c r="J69" s="17" t="n">
        <f aca="false">Assumptions!$F$108</f>
        <v>1465</v>
      </c>
      <c r="K69" s="17" t="n">
        <f aca="false">Assumptions!$F$108</f>
        <v>1465</v>
      </c>
      <c r="L69" s="17" t="n">
        <f aca="false">Assumptions!$F$108</f>
        <v>1465</v>
      </c>
      <c r="M69" s="17" t="n">
        <f aca="false">Assumptions!$F$108</f>
        <v>1465</v>
      </c>
      <c r="N69" s="17" t="n">
        <f aca="false">Assumptions!$F$108</f>
        <v>1465</v>
      </c>
      <c r="O69" s="17" t="n">
        <f aca="false">Assumptions!$F$108</f>
        <v>1465</v>
      </c>
      <c r="P69" s="17" t="n">
        <f aca="false">Assumptions!$F$108</f>
        <v>1465</v>
      </c>
      <c r="Q69" s="17" t="n">
        <f aca="false">Assumptions!$F$108</f>
        <v>1465</v>
      </c>
      <c r="R69" s="17" t="n">
        <f aca="false">Assumptions!$F$108</f>
        <v>1465</v>
      </c>
      <c r="S69" s="17" t="n">
        <f aca="false">Assumptions!$F$108</f>
        <v>1465</v>
      </c>
      <c r="T69" s="17" t="n">
        <f aca="false">Assumptions!$F$108</f>
        <v>1465</v>
      </c>
      <c r="U69" s="17" t="n">
        <f aca="false">Assumptions!$F$108</f>
        <v>1465</v>
      </c>
      <c r="V69" s="17" t="n">
        <f aca="false">Assumptions!$F$108</f>
        <v>1465</v>
      </c>
      <c r="W69" s="17" t="n">
        <f aca="false">Assumptions!$F$108</f>
        <v>1465</v>
      </c>
      <c r="X69" s="17" t="n">
        <f aca="false">Assumptions!$F$108</f>
        <v>1465</v>
      </c>
      <c r="Y69" s="17" t="n">
        <f aca="false">Assumptions!$F$108</f>
        <v>1465</v>
      </c>
      <c r="Z69" s="17" t="n">
        <f aca="false">Assumptions!$F$108</f>
        <v>1465</v>
      </c>
      <c r="AA69" s="17" t="n">
        <f aca="false">Assumptions!$F$108</f>
        <v>1465</v>
      </c>
      <c r="AB69" s="17" t="n">
        <f aca="false">Assumptions!$F$108</f>
        <v>1465</v>
      </c>
      <c r="AC69" s="17" t="n">
        <f aca="false">Assumptions!$F$108</f>
        <v>1465</v>
      </c>
      <c r="AD69" s="17" t="n">
        <f aca="false">Assumptions!$F$108</f>
        <v>1465</v>
      </c>
      <c r="AE69" s="17" t="n">
        <f aca="false">Assumptions!$F$108</f>
        <v>1465</v>
      </c>
      <c r="AF69" s="17" t="n">
        <f aca="false">Assumptions!$F$108</f>
        <v>1465</v>
      </c>
      <c r="AG69" s="17" t="n">
        <f aca="false">Assumptions!$F$108</f>
        <v>1465</v>
      </c>
      <c r="AH69" s="17" t="n">
        <f aca="false">Assumptions!$F$108</f>
        <v>1465</v>
      </c>
      <c r="AI69" s="17" t="n">
        <f aca="false">Assumptions!$F$108</f>
        <v>1465</v>
      </c>
      <c r="AJ69" s="17" t="n">
        <f aca="false">Assumptions!$F$108</f>
        <v>1465</v>
      </c>
      <c r="AK69" s="17" t="n">
        <f aca="false">Assumptions!$F$108</f>
        <v>1465</v>
      </c>
      <c r="AL69" s="17" t="n">
        <f aca="false">Assumptions!$F$108</f>
        <v>1465</v>
      </c>
      <c r="AM69" s="17" t="n">
        <f aca="false">Assumptions!$F$108</f>
        <v>1465</v>
      </c>
      <c r="AN69" s="44" t="n">
        <f aca="false">Assumptions!$F$108</f>
        <v>1465</v>
      </c>
      <c r="AO69" s="44" t="n">
        <f aca="false">Assumptions!$F$108</f>
        <v>1465</v>
      </c>
      <c r="AP69" s="44" t="n">
        <f aca="false">Assumptions!$F$108</f>
        <v>1465</v>
      </c>
      <c r="AQ69" s="44" t="n">
        <f aca="false">Assumptions!$F$108</f>
        <v>1465</v>
      </c>
      <c r="AR69" s="44" t="n">
        <f aca="false">Assumptions!$F$108</f>
        <v>1465</v>
      </c>
      <c r="AS69" s="44" t="n">
        <f aca="false">Assumptions!$F$108</f>
        <v>1465</v>
      </c>
      <c r="AT69" s="44" t="n">
        <f aca="false">Assumptions!$F$108</f>
        <v>1465</v>
      </c>
      <c r="AU69" s="44" t="n">
        <f aca="false">Assumptions!$F$108</f>
        <v>1465</v>
      </c>
      <c r="AV69" s="44" t="n">
        <f aca="false">Assumptions!$F$108</f>
        <v>1465</v>
      </c>
      <c r="AW69" s="44" t="n">
        <f aca="false">Assumptions!$F$108</f>
        <v>1465</v>
      </c>
      <c r="AX69" s="44" t="n">
        <f aca="false">Assumptions!$F$108</f>
        <v>1465</v>
      </c>
      <c r="AY69" s="44" t="n">
        <f aca="false">Assumptions!$F$108</f>
        <v>1465</v>
      </c>
      <c r="AZ69" s="44" t="n">
        <f aca="false">Assumptions!$F$108</f>
        <v>1465</v>
      </c>
      <c r="BA69" s="44" t="n">
        <f aca="false">Assumptions!$F$108</f>
        <v>1465</v>
      </c>
      <c r="BB69" s="44" t="n">
        <f aca="false">Assumptions!$F$108</f>
        <v>1465</v>
      </c>
      <c r="BC69" s="44" t="n">
        <f aca="false">Assumptions!$F$108</f>
        <v>1465</v>
      </c>
      <c r="BD69" s="44" t="n">
        <f aca="false">Assumptions!$F$108</f>
        <v>1465</v>
      </c>
      <c r="BE69" s="44" t="n">
        <f aca="false">Assumptions!$F$108</f>
        <v>1465</v>
      </c>
      <c r="BF69" s="44" t="n">
        <f aca="false">Assumptions!$F$108</f>
        <v>1465</v>
      </c>
      <c r="BG69" s="44" t="n">
        <f aca="false">Assumptions!$F$108</f>
        <v>1465</v>
      </c>
      <c r="BH69" s="44" t="n">
        <f aca="false">Assumptions!$F$108</f>
        <v>1465</v>
      </c>
      <c r="BI69" s="44" t="n">
        <f aca="false">Assumptions!$F$108</f>
        <v>1465</v>
      </c>
      <c r="BJ69" s="44" t="n">
        <f aca="false">Assumptions!$F$108</f>
        <v>1465</v>
      </c>
      <c r="BK69" s="44" t="n">
        <f aca="false">Assumptions!$F$108</f>
        <v>1465</v>
      </c>
    </row>
    <row r="70" customFormat="false" ht="15" hidden="false" customHeight="false" outlineLevel="0" collapsed="false">
      <c r="A70" s="28" t="s">
        <v>651</v>
      </c>
      <c r="B70" s="6" t="s">
        <v>652</v>
      </c>
      <c r="C70" s="43"/>
      <c r="D70" s="17" t="n">
        <f aca="false">IF(D7&lt;=12,Assumptions!$F$100,IF(D7&lt;=24,Assumptions!$F$101,Assumptions!$F$102))</f>
        <v>2000</v>
      </c>
      <c r="E70" s="17" t="n">
        <f aca="false">IF(E7&lt;=12,Assumptions!$F$100,IF(E7&lt;=24,Assumptions!$F$101,Assumptions!$F$102))</f>
        <v>2000</v>
      </c>
      <c r="F70" s="17" t="n">
        <f aca="false">IF(F7&lt;=12,Assumptions!$F$100,IF(F7&lt;=24,Assumptions!$F$101,Assumptions!$F$102))</f>
        <v>2000</v>
      </c>
      <c r="G70" s="17" t="n">
        <f aca="false">IF(G7&lt;=12,Assumptions!$F$100,IF(G7&lt;=24,Assumptions!$F$101,Assumptions!$F$102))</f>
        <v>2000</v>
      </c>
      <c r="H70" s="17" t="n">
        <f aca="false">IF(H7&lt;=12,Assumptions!$F$100,IF(H7&lt;=24,Assumptions!$F$101,Assumptions!$F$102))</f>
        <v>2000</v>
      </c>
      <c r="I70" s="17" t="n">
        <f aca="false">IF(I7&lt;=12,Assumptions!$F$100,IF(I7&lt;=24,Assumptions!$F$101,Assumptions!$F$102))</f>
        <v>2000</v>
      </c>
      <c r="J70" s="17" t="n">
        <f aca="false">IF(J7&lt;=12,Assumptions!$F$100,IF(J7&lt;=24,Assumptions!$F$101,Assumptions!$F$102))</f>
        <v>2000</v>
      </c>
      <c r="K70" s="17" t="n">
        <f aca="false">IF(K7&lt;=12,Assumptions!$F$100,IF(K7&lt;=24,Assumptions!$F$101,Assumptions!$F$102))</f>
        <v>2000</v>
      </c>
      <c r="L70" s="17" t="n">
        <f aca="false">IF(L7&lt;=12,Assumptions!$F$100,IF(L7&lt;=24,Assumptions!$F$101,Assumptions!$F$102))</f>
        <v>2000</v>
      </c>
      <c r="M70" s="17" t="n">
        <f aca="false">IF(M7&lt;=12,Assumptions!$F$100,IF(M7&lt;=24,Assumptions!$F$101,Assumptions!$F$102))</f>
        <v>2000</v>
      </c>
      <c r="N70" s="17" t="n">
        <f aca="false">IF(N7&lt;=12,Assumptions!$F$100,IF(N7&lt;=24,Assumptions!$F$101,Assumptions!$F$102))</f>
        <v>2000</v>
      </c>
      <c r="O70" s="17" t="n">
        <f aca="false">IF(O7&lt;=12,Assumptions!$F$100,IF(O7&lt;=24,Assumptions!$F$101,Assumptions!$F$102))</f>
        <v>2000</v>
      </c>
      <c r="P70" s="17" t="n">
        <f aca="false">IF(P7&lt;=12,Assumptions!$F$100,IF(P7&lt;=24,Assumptions!$F$101,Assumptions!$F$102))</f>
        <v>2500</v>
      </c>
      <c r="Q70" s="17" t="n">
        <f aca="false">IF(Q7&lt;=12,Assumptions!$F$100,IF(Q7&lt;=24,Assumptions!$F$101,Assumptions!$F$102))</f>
        <v>2500</v>
      </c>
      <c r="R70" s="17" t="n">
        <f aca="false">IF(R7&lt;=12,Assumptions!$F$100,IF(R7&lt;=24,Assumptions!$F$101,Assumptions!$F$102))</f>
        <v>2500</v>
      </c>
      <c r="S70" s="17" t="n">
        <f aca="false">IF(S7&lt;=12,Assumptions!$F$100,IF(S7&lt;=24,Assumptions!$F$101,Assumptions!$F$102))</f>
        <v>2500</v>
      </c>
      <c r="T70" s="17" t="n">
        <f aca="false">IF(T7&lt;=12,Assumptions!$F$100,IF(T7&lt;=24,Assumptions!$F$101,Assumptions!$F$102))</f>
        <v>2500</v>
      </c>
      <c r="U70" s="17" t="n">
        <f aca="false">IF(U7&lt;=12,Assumptions!$F$100,IF(U7&lt;=24,Assumptions!$F$101,Assumptions!$F$102))</f>
        <v>2500</v>
      </c>
      <c r="V70" s="17" t="n">
        <f aca="false">IF(V7&lt;=12,Assumptions!$F$100,IF(V7&lt;=24,Assumptions!$F$101,Assumptions!$F$102))</f>
        <v>2500</v>
      </c>
      <c r="W70" s="17" t="n">
        <f aca="false">IF(W7&lt;=12,Assumptions!$F$100,IF(W7&lt;=24,Assumptions!$F$101,Assumptions!$F$102))</f>
        <v>2500</v>
      </c>
      <c r="X70" s="17" t="n">
        <f aca="false">IF(X7&lt;=12,Assumptions!$F$100,IF(X7&lt;=24,Assumptions!$F$101,Assumptions!$F$102))</f>
        <v>2500</v>
      </c>
      <c r="Y70" s="17" t="n">
        <f aca="false">IF(Y7&lt;=12,Assumptions!$F$100,IF(Y7&lt;=24,Assumptions!$F$101,Assumptions!$F$102))</f>
        <v>2500</v>
      </c>
      <c r="Z70" s="17" t="n">
        <f aca="false">IF(Z7&lt;=12,Assumptions!$F$100,IF(Z7&lt;=24,Assumptions!$F$101,Assumptions!$F$102))</f>
        <v>2500</v>
      </c>
      <c r="AA70" s="17" t="n">
        <f aca="false">IF(AA7&lt;=12,Assumptions!$F$100,IF(AA7&lt;=24,Assumptions!$F$101,Assumptions!$F$102))</f>
        <v>2500</v>
      </c>
      <c r="AB70" s="17" t="n">
        <f aca="false">IF(AB7&lt;=12,Assumptions!$F$100,IF(AB7&lt;=24,Assumptions!$F$101,Assumptions!$F$102))</f>
        <v>3000</v>
      </c>
      <c r="AC70" s="17" t="n">
        <f aca="false">IF(AC7&lt;=12,Assumptions!$F$100,IF(AC7&lt;=24,Assumptions!$F$101,Assumptions!$F$102))</f>
        <v>3000</v>
      </c>
      <c r="AD70" s="17" t="n">
        <f aca="false">IF(AD7&lt;=12,Assumptions!$F$100,IF(AD7&lt;=24,Assumptions!$F$101,Assumptions!$F$102))</f>
        <v>3000</v>
      </c>
      <c r="AE70" s="17" t="n">
        <f aca="false">IF(AE7&lt;=12,Assumptions!$F$100,IF(AE7&lt;=24,Assumptions!$F$101,Assumptions!$F$102))</f>
        <v>3000</v>
      </c>
      <c r="AF70" s="17" t="n">
        <f aca="false">IF(AF7&lt;=12,Assumptions!$F$100,IF(AF7&lt;=24,Assumptions!$F$101,Assumptions!$F$102))</f>
        <v>3000</v>
      </c>
      <c r="AG70" s="17" t="n">
        <f aca="false">IF(AG7&lt;=12,Assumptions!$F$100,IF(AG7&lt;=24,Assumptions!$F$101,Assumptions!$F$102))</f>
        <v>3000</v>
      </c>
      <c r="AH70" s="17" t="n">
        <f aca="false">IF(AH7&lt;=12,Assumptions!$F$100,IF(AH7&lt;=24,Assumptions!$F$101,Assumptions!$F$102))</f>
        <v>3000</v>
      </c>
      <c r="AI70" s="17" t="n">
        <f aca="false">IF(AI7&lt;=12,Assumptions!$F$100,IF(AI7&lt;=24,Assumptions!$F$101,Assumptions!$F$102))</f>
        <v>3000</v>
      </c>
      <c r="AJ70" s="17" t="n">
        <f aca="false">IF(AJ7&lt;=12,Assumptions!$F$100,IF(AJ7&lt;=24,Assumptions!$F$101,Assumptions!$F$102))</f>
        <v>3000</v>
      </c>
      <c r="AK70" s="17" t="n">
        <f aca="false">IF(AK7&lt;=12,Assumptions!$F$100,IF(AK7&lt;=24,Assumptions!$F$101,Assumptions!$F$102))</f>
        <v>3000</v>
      </c>
      <c r="AL70" s="17" t="n">
        <f aca="false">IF(AL7&lt;=12,Assumptions!$F$100,IF(AL7&lt;=24,Assumptions!$F$101,Assumptions!$F$102))</f>
        <v>3000</v>
      </c>
      <c r="AM70" s="17" t="n">
        <f aca="false">IF(AM7&lt;=12,Assumptions!$F$100,IF(AM7&lt;=24,Assumptions!$F$101,Assumptions!$F$102))</f>
        <v>3000</v>
      </c>
      <c r="AN70" s="44" t="n">
        <f aca="false">IF(AN7&lt;=12,Assumptions!$F$100,IF(AN7&lt;=24,Assumptions!$F$101,Assumptions!$F$102))</f>
        <v>3000</v>
      </c>
      <c r="AO70" s="44" t="n">
        <f aca="false">IF(AO7&lt;=12,Assumptions!$F$100,IF(AO7&lt;=24,Assumptions!$F$101,Assumptions!$F$102))</f>
        <v>3000</v>
      </c>
      <c r="AP70" s="44" t="n">
        <f aca="false">IF(AP7&lt;=12,Assumptions!$F$100,IF(AP7&lt;=24,Assumptions!$F$101,Assumptions!$F$102))</f>
        <v>3000</v>
      </c>
      <c r="AQ70" s="44" t="n">
        <f aca="false">IF(AQ7&lt;=12,Assumptions!$F$100,IF(AQ7&lt;=24,Assumptions!$F$101,Assumptions!$F$102))</f>
        <v>3000</v>
      </c>
      <c r="AR70" s="44" t="n">
        <f aca="false">IF(AR7&lt;=12,Assumptions!$F$100,IF(AR7&lt;=24,Assumptions!$F$101,Assumptions!$F$102))</f>
        <v>3000</v>
      </c>
      <c r="AS70" s="44" t="n">
        <f aca="false">IF(AS7&lt;=12,Assumptions!$F$100,IF(AS7&lt;=24,Assumptions!$F$101,Assumptions!$F$102))</f>
        <v>3000</v>
      </c>
      <c r="AT70" s="44" t="n">
        <f aca="false">IF(AT7&lt;=12,Assumptions!$F$100,IF(AT7&lt;=24,Assumptions!$F$101,Assumptions!$F$102))</f>
        <v>3000</v>
      </c>
      <c r="AU70" s="44" t="n">
        <f aca="false">IF(AU7&lt;=12,Assumptions!$F$100,IF(AU7&lt;=24,Assumptions!$F$101,Assumptions!$F$102))</f>
        <v>3000</v>
      </c>
      <c r="AV70" s="44" t="n">
        <f aca="false">IF(AV7&lt;=12,Assumptions!$F$100,IF(AV7&lt;=24,Assumptions!$F$101,Assumptions!$F$102))</f>
        <v>3000</v>
      </c>
      <c r="AW70" s="44" t="n">
        <f aca="false">IF(AW7&lt;=12,Assumptions!$F$100,IF(AW7&lt;=24,Assumptions!$F$101,Assumptions!$F$102))</f>
        <v>3000</v>
      </c>
      <c r="AX70" s="44" t="n">
        <f aca="false">IF(AX7&lt;=12,Assumptions!$F$100,IF(AX7&lt;=24,Assumptions!$F$101,Assumptions!$F$102))</f>
        <v>3000</v>
      </c>
      <c r="AY70" s="44" t="n">
        <f aca="false">IF(AY7&lt;=12,Assumptions!$F$100,IF(AY7&lt;=24,Assumptions!$F$101,Assumptions!$F$102))</f>
        <v>3000</v>
      </c>
      <c r="AZ70" s="44" t="n">
        <f aca="false">IF(AZ7&lt;=12,Assumptions!$F$100,IF(AZ7&lt;=24,Assumptions!$F$101,Assumptions!$F$102))</f>
        <v>3000</v>
      </c>
      <c r="BA70" s="44" t="n">
        <f aca="false">IF(BA7&lt;=12,Assumptions!$F$100,IF(BA7&lt;=24,Assumptions!$F$101,Assumptions!$F$102))</f>
        <v>3000</v>
      </c>
      <c r="BB70" s="44" t="n">
        <f aca="false">IF(BB7&lt;=12,Assumptions!$F$100,IF(BB7&lt;=24,Assumptions!$F$101,Assumptions!$F$102))</f>
        <v>3000</v>
      </c>
      <c r="BC70" s="44" t="n">
        <f aca="false">IF(BC7&lt;=12,Assumptions!$F$100,IF(BC7&lt;=24,Assumptions!$F$101,Assumptions!$F$102))</f>
        <v>3000</v>
      </c>
      <c r="BD70" s="44" t="n">
        <f aca="false">IF(BD7&lt;=12,Assumptions!$F$100,IF(BD7&lt;=24,Assumptions!$F$101,Assumptions!$F$102))</f>
        <v>3000</v>
      </c>
      <c r="BE70" s="44" t="n">
        <f aca="false">IF(BE7&lt;=12,Assumptions!$F$100,IF(BE7&lt;=24,Assumptions!$F$101,Assumptions!$F$102))</f>
        <v>3000</v>
      </c>
      <c r="BF70" s="44" t="n">
        <f aca="false">IF(BF7&lt;=12,Assumptions!$F$100,IF(BF7&lt;=24,Assumptions!$F$101,Assumptions!$F$102))</f>
        <v>3000</v>
      </c>
      <c r="BG70" s="44" t="n">
        <f aca="false">IF(BG7&lt;=12,Assumptions!$F$100,IF(BG7&lt;=24,Assumptions!$F$101,Assumptions!$F$102))</f>
        <v>3000</v>
      </c>
      <c r="BH70" s="44" t="n">
        <f aca="false">IF(BH7&lt;=12,Assumptions!$F$100,IF(BH7&lt;=24,Assumptions!$F$101,Assumptions!$F$102))</f>
        <v>3000</v>
      </c>
      <c r="BI70" s="44" t="n">
        <f aca="false">IF(BI7&lt;=12,Assumptions!$F$100,IF(BI7&lt;=24,Assumptions!$F$101,Assumptions!$F$102))</f>
        <v>3000</v>
      </c>
      <c r="BJ70" s="44" t="n">
        <f aca="false">IF(BJ7&lt;=12,Assumptions!$F$100,IF(BJ7&lt;=24,Assumptions!$F$101,Assumptions!$F$102))</f>
        <v>3000</v>
      </c>
      <c r="BK70" s="44" t="n">
        <f aca="false">IF(BK7&lt;=12,Assumptions!$F$100,IF(BK7&lt;=24,Assumptions!$F$101,Assumptions!$F$102))</f>
        <v>3000</v>
      </c>
    </row>
    <row r="71" customFormat="false" ht="15" hidden="false" customHeight="false" outlineLevel="0" collapsed="false">
      <c r="A71" s="28" t="s">
        <v>653</v>
      </c>
      <c r="B71" s="6" t="s">
        <v>654</v>
      </c>
      <c r="C71" s="43"/>
      <c r="D71" s="17" t="n">
        <f aca="false">INT(D13/Assumptions!$F$103)*Assumptions!$F$104</f>
        <v>0</v>
      </c>
      <c r="E71" s="17" t="n">
        <f aca="false">INT(E13/Assumptions!$F$103)*Assumptions!$F$104</f>
        <v>0</v>
      </c>
      <c r="F71" s="17" t="n">
        <f aca="false">INT(F13/Assumptions!$F$103)*Assumptions!$F$104</f>
        <v>0</v>
      </c>
      <c r="G71" s="17" t="n">
        <f aca="false">INT(G13/Assumptions!$F$103)*Assumptions!$F$104</f>
        <v>0</v>
      </c>
      <c r="H71" s="17" t="n">
        <f aca="false">INT(H13/Assumptions!$F$103)*Assumptions!$F$104</f>
        <v>0</v>
      </c>
      <c r="I71" s="17" t="n">
        <f aca="false">INT(I13/Assumptions!$F$103)*Assumptions!$F$104</f>
        <v>0</v>
      </c>
      <c r="J71" s="17" t="n">
        <f aca="false">INT(J13/Assumptions!$F$103)*Assumptions!$F$104</f>
        <v>0</v>
      </c>
      <c r="K71" s="17" t="n">
        <f aca="false">INT(K13/Assumptions!$F$103)*Assumptions!$F$104</f>
        <v>0</v>
      </c>
      <c r="L71" s="17" t="n">
        <f aca="false">INT(L13/Assumptions!$F$103)*Assumptions!$F$104</f>
        <v>0</v>
      </c>
      <c r="M71" s="17" t="n">
        <f aca="false">INT(M13/Assumptions!$F$103)*Assumptions!$F$104</f>
        <v>0</v>
      </c>
      <c r="N71" s="17" t="n">
        <f aca="false">INT(N13/Assumptions!$F$103)*Assumptions!$F$104</f>
        <v>0</v>
      </c>
      <c r="O71" s="17" t="n">
        <f aca="false">INT(O13/Assumptions!$F$103)*Assumptions!$F$104</f>
        <v>0</v>
      </c>
      <c r="P71" s="17" t="n">
        <f aca="false">INT(P13/Assumptions!$F$103)*Assumptions!$F$104</f>
        <v>0</v>
      </c>
      <c r="Q71" s="17" t="n">
        <f aca="false">INT(Q13/Assumptions!$F$103)*Assumptions!$F$104</f>
        <v>0</v>
      </c>
      <c r="R71" s="17" t="n">
        <f aca="false">INT(R13/Assumptions!$F$103)*Assumptions!$F$104</f>
        <v>0</v>
      </c>
      <c r="S71" s="17" t="n">
        <f aca="false">INT(S13/Assumptions!$F$103)*Assumptions!$F$104</f>
        <v>0</v>
      </c>
      <c r="T71" s="17" t="n">
        <f aca="false">INT(T13/Assumptions!$F$103)*Assumptions!$F$104</f>
        <v>0</v>
      </c>
      <c r="U71" s="17" t="n">
        <f aca="false">INT(U13/Assumptions!$F$103)*Assumptions!$F$104</f>
        <v>0</v>
      </c>
      <c r="V71" s="17" t="n">
        <f aca="false">INT(V13/Assumptions!$F$103)*Assumptions!$F$104</f>
        <v>0</v>
      </c>
      <c r="W71" s="17" t="n">
        <f aca="false">INT(W13/Assumptions!$F$103)*Assumptions!$F$104</f>
        <v>0</v>
      </c>
      <c r="X71" s="17" t="n">
        <f aca="false">INT(X13/Assumptions!$F$103)*Assumptions!$F$104</f>
        <v>0</v>
      </c>
      <c r="Y71" s="17" t="n">
        <f aca="false">INT(Y13/Assumptions!$F$103)*Assumptions!$F$104</f>
        <v>0</v>
      </c>
      <c r="Z71" s="17" t="n">
        <f aca="false">INT(Z13/Assumptions!$F$103)*Assumptions!$F$104</f>
        <v>0</v>
      </c>
      <c r="AA71" s="17" t="n">
        <f aca="false">INT(AA13/Assumptions!$F$103)*Assumptions!$F$104</f>
        <v>0</v>
      </c>
      <c r="AB71" s="17" t="n">
        <f aca="false">INT(AB13/Assumptions!$F$103)*Assumptions!$F$104</f>
        <v>0</v>
      </c>
      <c r="AC71" s="17" t="n">
        <f aca="false">INT(AC13/Assumptions!$F$103)*Assumptions!$F$104</f>
        <v>0</v>
      </c>
      <c r="AD71" s="17" t="n">
        <f aca="false">INT(AD13/Assumptions!$F$103)*Assumptions!$F$104</f>
        <v>0</v>
      </c>
      <c r="AE71" s="17" t="n">
        <f aca="false">INT(AE13/Assumptions!$F$103)*Assumptions!$F$104</f>
        <v>0</v>
      </c>
      <c r="AF71" s="17" t="n">
        <f aca="false">INT(AF13/Assumptions!$F$103)*Assumptions!$F$104</f>
        <v>0</v>
      </c>
      <c r="AG71" s="17" t="n">
        <f aca="false">INT(AG13/Assumptions!$F$103)*Assumptions!$F$104</f>
        <v>0</v>
      </c>
      <c r="AH71" s="17" t="n">
        <f aca="false">INT(AH13/Assumptions!$F$103)*Assumptions!$F$104</f>
        <v>0</v>
      </c>
      <c r="AI71" s="17" t="n">
        <f aca="false">INT(AI13/Assumptions!$F$103)*Assumptions!$F$104</f>
        <v>0</v>
      </c>
      <c r="AJ71" s="17" t="n">
        <f aca="false">INT(AJ13/Assumptions!$F$103)*Assumptions!$F$104</f>
        <v>0</v>
      </c>
      <c r="AK71" s="17" t="n">
        <f aca="false">INT(AK13/Assumptions!$F$103)*Assumptions!$F$104</f>
        <v>0</v>
      </c>
      <c r="AL71" s="17" t="n">
        <f aca="false">INT(AL13/Assumptions!$F$103)*Assumptions!$F$104</f>
        <v>0</v>
      </c>
      <c r="AM71" s="17" t="n">
        <f aca="false">INT(AM13/Assumptions!$F$103)*Assumptions!$F$104</f>
        <v>0</v>
      </c>
      <c r="AN71" s="44" t="n">
        <f aca="false">INT(AN13/Assumptions!$F$103)*Assumptions!$F$104</f>
        <v>0</v>
      </c>
      <c r="AO71" s="44" t="n">
        <f aca="false">INT(AO13/Assumptions!$F$103)*Assumptions!$F$104</f>
        <v>0</v>
      </c>
      <c r="AP71" s="44" t="n">
        <f aca="false">INT(AP13/Assumptions!$F$103)*Assumptions!$F$104</f>
        <v>0</v>
      </c>
      <c r="AQ71" s="44" t="n">
        <f aca="false">INT(AQ13/Assumptions!$F$103)*Assumptions!$F$104</f>
        <v>0</v>
      </c>
      <c r="AR71" s="44" t="n">
        <f aca="false">INT(AR13/Assumptions!$F$103)*Assumptions!$F$104</f>
        <v>0</v>
      </c>
      <c r="AS71" s="44" t="n">
        <f aca="false">INT(AS13/Assumptions!$F$103)*Assumptions!$F$104</f>
        <v>0</v>
      </c>
      <c r="AT71" s="44" t="n">
        <f aca="false">INT(AT13/Assumptions!$F$103)*Assumptions!$F$104</f>
        <v>0</v>
      </c>
      <c r="AU71" s="44" t="n">
        <f aca="false">INT(AU13/Assumptions!$F$103)*Assumptions!$F$104</f>
        <v>0</v>
      </c>
      <c r="AV71" s="44" t="n">
        <f aca="false">INT(AV13/Assumptions!$F$103)*Assumptions!$F$104</f>
        <v>0</v>
      </c>
      <c r="AW71" s="44" t="n">
        <f aca="false">INT(AW13/Assumptions!$F$103)*Assumptions!$F$104</f>
        <v>0</v>
      </c>
      <c r="AX71" s="44" t="n">
        <f aca="false">INT(AX13/Assumptions!$F$103)*Assumptions!$F$104</f>
        <v>0</v>
      </c>
      <c r="AY71" s="44" t="n">
        <f aca="false">INT(AY13/Assumptions!$F$103)*Assumptions!$F$104</f>
        <v>0</v>
      </c>
      <c r="AZ71" s="44" t="n">
        <f aca="false">INT(AZ13/Assumptions!$F$103)*Assumptions!$F$104</f>
        <v>0</v>
      </c>
      <c r="BA71" s="44" t="n">
        <f aca="false">INT(BA13/Assumptions!$F$103)*Assumptions!$F$104</f>
        <v>0</v>
      </c>
      <c r="BB71" s="44" t="n">
        <f aca="false">INT(BB13/Assumptions!$F$103)*Assumptions!$F$104</f>
        <v>0</v>
      </c>
      <c r="BC71" s="44" t="n">
        <f aca="false">INT(BC13/Assumptions!$F$103)*Assumptions!$F$104</f>
        <v>0</v>
      </c>
      <c r="BD71" s="44" t="n">
        <f aca="false">INT(BD13/Assumptions!$F$103)*Assumptions!$F$104</f>
        <v>0</v>
      </c>
      <c r="BE71" s="44" t="n">
        <f aca="false">INT(BE13/Assumptions!$F$103)*Assumptions!$F$104</f>
        <v>0</v>
      </c>
      <c r="BF71" s="44" t="n">
        <f aca="false">INT(BF13/Assumptions!$F$103)*Assumptions!$F$104</f>
        <v>0</v>
      </c>
      <c r="BG71" s="44" t="n">
        <f aca="false">INT(BG13/Assumptions!$F$103)*Assumptions!$F$104</f>
        <v>0</v>
      </c>
      <c r="BH71" s="44" t="n">
        <f aca="false">INT(BH13/Assumptions!$F$103)*Assumptions!$F$104</f>
        <v>0</v>
      </c>
      <c r="BI71" s="44" t="n">
        <f aca="false">INT(BI13/Assumptions!$F$103)*Assumptions!$F$104</f>
        <v>0</v>
      </c>
      <c r="BJ71" s="44" t="n">
        <f aca="false">INT(BJ13/Assumptions!$F$103)*Assumptions!$F$104</f>
        <v>0</v>
      </c>
      <c r="BK71" s="44" t="n">
        <f aca="false">INT(BK13/Assumptions!$F$103)*Assumptions!$F$104</f>
        <v>0</v>
      </c>
    </row>
    <row r="72" customFormat="false" ht="15" hidden="false" customHeight="false" outlineLevel="0" collapsed="false">
      <c r="A72" s="28" t="s">
        <v>655</v>
      </c>
      <c r="B72" s="6" t="s">
        <v>342</v>
      </c>
      <c r="C72" s="43"/>
      <c r="D72" s="17" t="n">
        <f aca="false">IF(D7&gt;=Assumptions!$F$106,Assumptions!$F$105,0)</f>
        <v>0</v>
      </c>
      <c r="E72" s="17" t="n">
        <f aca="false">IF(E7&gt;=Assumptions!$F$106,Assumptions!$F$105,0)</f>
        <v>0</v>
      </c>
      <c r="F72" s="17" t="n">
        <f aca="false">IF(F7&gt;=Assumptions!$F$106,Assumptions!$F$105,0)</f>
        <v>0</v>
      </c>
      <c r="G72" s="17" t="n">
        <f aca="false">IF(G7&gt;=Assumptions!$F$106,Assumptions!$F$105,0)</f>
        <v>0</v>
      </c>
      <c r="H72" s="17" t="n">
        <f aca="false">IF(H7&gt;=Assumptions!$F$106,Assumptions!$F$105,0)</f>
        <v>0</v>
      </c>
      <c r="I72" s="17" t="n">
        <f aca="false">IF(I7&gt;=Assumptions!$F$106,Assumptions!$F$105,0)</f>
        <v>0</v>
      </c>
      <c r="J72" s="17" t="n">
        <f aca="false">IF(J7&gt;=Assumptions!$F$106,Assumptions!$F$105,0)</f>
        <v>0</v>
      </c>
      <c r="K72" s="17" t="n">
        <f aca="false">IF(K7&gt;=Assumptions!$F$106,Assumptions!$F$105,0)</f>
        <v>0</v>
      </c>
      <c r="L72" s="17" t="n">
        <f aca="false">IF(L7&gt;=Assumptions!$F$106,Assumptions!$F$105,0)</f>
        <v>0</v>
      </c>
      <c r="M72" s="17" t="n">
        <f aca="false">IF(M7&gt;=Assumptions!$F$106,Assumptions!$F$105,0)</f>
        <v>0</v>
      </c>
      <c r="N72" s="17" t="n">
        <f aca="false">IF(N7&gt;=Assumptions!$F$106,Assumptions!$F$105,0)</f>
        <v>0</v>
      </c>
      <c r="O72" s="17" t="n">
        <f aca="false">IF(O7&gt;=Assumptions!$F$106,Assumptions!$F$105,0)</f>
        <v>0</v>
      </c>
      <c r="P72" s="17" t="n">
        <f aca="false">IF(P7&gt;=Assumptions!$F$106,Assumptions!$F$105,0)</f>
        <v>0</v>
      </c>
      <c r="Q72" s="17" t="n">
        <f aca="false">IF(Q7&gt;=Assumptions!$F$106,Assumptions!$F$105,0)</f>
        <v>0</v>
      </c>
      <c r="R72" s="17" t="n">
        <f aca="false">IF(R7&gt;=Assumptions!$F$106,Assumptions!$F$105,0)</f>
        <v>0</v>
      </c>
      <c r="S72" s="17" t="n">
        <f aca="false">IF(S7&gt;=Assumptions!$F$106,Assumptions!$F$105,0)</f>
        <v>0</v>
      </c>
      <c r="T72" s="17" t="n">
        <f aca="false">IF(T7&gt;=Assumptions!$F$106,Assumptions!$F$105,0)</f>
        <v>0</v>
      </c>
      <c r="U72" s="17" t="n">
        <f aca="false">IF(U7&gt;=Assumptions!$F$106,Assumptions!$F$105,0)</f>
        <v>0</v>
      </c>
      <c r="V72" s="17" t="n">
        <f aca="false">IF(V7&gt;=Assumptions!$F$106,Assumptions!$F$105,0)</f>
        <v>0</v>
      </c>
      <c r="W72" s="17" t="n">
        <f aca="false">IF(W7&gt;=Assumptions!$F$106,Assumptions!$F$105,0)</f>
        <v>0</v>
      </c>
      <c r="X72" s="17" t="n">
        <f aca="false">IF(X7&gt;=Assumptions!$F$106,Assumptions!$F$105,0)</f>
        <v>0</v>
      </c>
      <c r="Y72" s="17" t="n">
        <f aca="false">IF(Y7&gt;=Assumptions!$F$106,Assumptions!$F$105,0)</f>
        <v>0</v>
      </c>
      <c r="Z72" s="17" t="n">
        <f aca="false">IF(Z7&gt;=Assumptions!$F$106,Assumptions!$F$105,0)</f>
        <v>0</v>
      </c>
      <c r="AA72" s="17" t="n">
        <f aca="false">IF(AA7&gt;=Assumptions!$F$106,Assumptions!$F$105,0)</f>
        <v>0</v>
      </c>
      <c r="AB72" s="17" t="n">
        <f aca="false">IF(AB7&gt;=Assumptions!$F$106,Assumptions!$F$105,0)</f>
        <v>0</v>
      </c>
      <c r="AC72" s="17" t="n">
        <f aca="false">IF(AC7&gt;=Assumptions!$F$106,Assumptions!$F$105,0)</f>
        <v>0</v>
      </c>
      <c r="AD72" s="17" t="n">
        <f aca="false">IF(AD7&gt;=Assumptions!$F$106,Assumptions!$F$105,0)</f>
        <v>0</v>
      </c>
      <c r="AE72" s="17" t="n">
        <f aca="false">IF(AE7&gt;=Assumptions!$F$106,Assumptions!$F$105,0)</f>
        <v>0</v>
      </c>
      <c r="AF72" s="17" t="n">
        <f aca="false">IF(AF7&gt;=Assumptions!$F$106,Assumptions!$F$105,0)</f>
        <v>0</v>
      </c>
      <c r="AG72" s="17" t="n">
        <f aca="false">IF(AG7&gt;=Assumptions!$F$106,Assumptions!$F$105,0)</f>
        <v>0</v>
      </c>
      <c r="AH72" s="17" t="n">
        <f aca="false">IF(AH7&gt;=Assumptions!$F$106,Assumptions!$F$105,0)</f>
        <v>0</v>
      </c>
      <c r="AI72" s="17" t="n">
        <f aca="false">IF(AI7&gt;=Assumptions!$F$106,Assumptions!$F$105,0)</f>
        <v>0</v>
      </c>
      <c r="AJ72" s="17" t="n">
        <f aca="false">IF(AJ7&gt;=Assumptions!$F$106,Assumptions!$F$105,0)</f>
        <v>0</v>
      </c>
      <c r="AK72" s="17" t="n">
        <f aca="false">IF(AK7&gt;=Assumptions!$F$106,Assumptions!$F$105,0)</f>
        <v>0</v>
      </c>
      <c r="AL72" s="17" t="n">
        <f aca="false">IF(AL7&gt;=Assumptions!$F$106,Assumptions!$F$105,0)</f>
        <v>0</v>
      </c>
      <c r="AM72" s="17" t="n">
        <f aca="false">IF(AM7&gt;=Assumptions!$F$106,Assumptions!$F$105,0)</f>
        <v>0</v>
      </c>
      <c r="AN72" s="44" t="n">
        <f aca="false">IF(AN7&gt;=Assumptions!$F$106,Assumptions!$F$105,0)</f>
        <v>0</v>
      </c>
      <c r="AO72" s="44" t="n">
        <f aca="false">IF(AO7&gt;=Assumptions!$F$106,Assumptions!$F$105,0)</f>
        <v>0</v>
      </c>
      <c r="AP72" s="44" t="n">
        <f aca="false">IF(AP7&gt;=Assumptions!$F$106,Assumptions!$F$105,0)</f>
        <v>0</v>
      </c>
      <c r="AQ72" s="44" t="n">
        <f aca="false">IF(AQ7&gt;=Assumptions!$F$106,Assumptions!$F$105,0)</f>
        <v>0</v>
      </c>
      <c r="AR72" s="44" t="n">
        <f aca="false">IF(AR7&gt;=Assumptions!$F$106,Assumptions!$F$105,0)</f>
        <v>0</v>
      </c>
      <c r="AS72" s="44" t="n">
        <f aca="false">IF(AS7&gt;=Assumptions!$F$106,Assumptions!$F$105,0)</f>
        <v>0</v>
      </c>
      <c r="AT72" s="44" t="n">
        <f aca="false">IF(AT7&gt;=Assumptions!$F$106,Assumptions!$F$105,0)</f>
        <v>0</v>
      </c>
      <c r="AU72" s="44" t="n">
        <f aca="false">IF(AU7&gt;=Assumptions!$F$106,Assumptions!$F$105,0)</f>
        <v>0</v>
      </c>
      <c r="AV72" s="44" t="n">
        <f aca="false">IF(AV7&gt;=Assumptions!$F$106,Assumptions!$F$105,0)</f>
        <v>0</v>
      </c>
      <c r="AW72" s="44" t="n">
        <f aca="false">IF(AW7&gt;=Assumptions!$F$106,Assumptions!$F$105,0)</f>
        <v>0</v>
      </c>
      <c r="AX72" s="44" t="n">
        <f aca="false">IF(AX7&gt;=Assumptions!$F$106,Assumptions!$F$105,0)</f>
        <v>0</v>
      </c>
      <c r="AY72" s="44" t="n">
        <f aca="false">IF(AY7&gt;=Assumptions!$F$106,Assumptions!$F$105,0)</f>
        <v>0</v>
      </c>
      <c r="AZ72" s="44" t="n">
        <f aca="false">IF(AZ7&gt;=Assumptions!$F$106,Assumptions!$F$105,0)</f>
        <v>0</v>
      </c>
      <c r="BA72" s="44" t="n">
        <f aca="false">IF(BA7&gt;=Assumptions!$F$106,Assumptions!$F$105,0)</f>
        <v>0</v>
      </c>
      <c r="BB72" s="44" t="n">
        <f aca="false">IF(BB7&gt;=Assumptions!$F$106,Assumptions!$F$105,0)</f>
        <v>0</v>
      </c>
      <c r="BC72" s="44" t="n">
        <f aca="false">IF(BC7&gt;=Assumptions!$F$106,Assumptions!$F$105,0)</f>
        <v>0</v>
      </c>
      <c r="BD72" s="44" t="n">
        <f aca="false">IF(BD7&gt;=Assumptions!$F$106,Assumptions!$F$105,0)</f>
        <v>0</v>
      </c>
      <c r="BE72" s="44" t="n">
        <f aca="false">IF(BE7&gt;=Assumptions!$F$106,Assumptions!$F$105,0)</f>
        <v>0</v>
      </c>
      <c r="BF72" s="44" t="n">
        <f aca="false">IF(BF7&gt;=Assumptions!$F$106,Assumptions!$F$105,0)</f>
        <v>0</v>
      </c>
      <c r="BG72" s="44" t="n">
        <f aca="false">IF(BG7&gt;=Assumptions!$F$106,Assumptions!$F$105,0)</f>
        <v>0</v>
      </c>
      <c r="BH72" s="44" t="n">
        <f aca="false">IF(BH7&gt;=Assumptions!$F$106,Assumptions!$F$105,0)</f>
        <v>0</v>
      </c>
      <c r="BI72" s="44" t="n">
        <f aca="false">IF(BI7&gt;=Assumptions!$F$106,Assumptions!$F$105,0)</f>
        <v>0</v>
      </c>
      <c r="BJ72" s="44" t="n">
        <f aca="false">IF(BJ7&gt;=Assumptions!$F$106,Assumptions!$F$105,0)</f>
        <v>0</v>
      </c>
      <c r="BK72" s="44" t="n">
        <f aca="false">IF(BK7&gt;=Assumptions!$F$106,Assumptions!$F$105,0)</f>
        <v>0</v>
      </c>
    </row>
    <row r="73" customFormat="false" ht="15" hidden="false" customHeight="false" outlineLevel="0" collapsed="false">
      <c r="A73" s="28" t="s">
        <v>656</v>
      </c>
      <c r="B73" s="6" t="s">
        <v>657</v>
      </c>
      <c r="C73" s="43"/>
      <c r="D73" s="22" t="n">
        <f aca="false">Assumptions!C$144</f>
        <v>3500</v>
      </c>
      <c r="E73" s="22" t="n">
        <f aca="false">Assumptions!D$144</f>
        <v>1500</v>
      </c>
      <c r="F73" s="22" t="n">
        <f aca="false">Assumptions!E$144</f>
        <v>3000</v>
      </c>
      <c r="G73" s="22" t="n">
        <f aca="false">Assumptions!F$144</f>
        <v>0</v>
      </c>
      <c r="H73" s="22" t="n">
        <f aca="false">Assumptions!G$144</f>
        <v>0</v>
      </c>
      <c r="I73" s="22" t="n">
        <f aca="false">Assumptions!H$144</f>
        <v>0</v>
      </c>
      <c r="J73" s="22" t="n">
        <f aca="false">Assumptions!I$144</f>
        <v>0</v>
      </c>
      <c r="K73" s="22" t="n">
        <f aca="false">Assumptions!J$144</f>
        <v>0</v>
      </c>
      <c r="L73" s="22" t="n">
        <f aca="false">Assumptions!K$144</f>
        <v>0</v>
      </c>
      <c r="M73" s="22" t="n">
        <f aca="false">Assumptions!L$144</f>
        <v>0</v>
      </c>
      <c r="N73" s="22" t="n">
        <f aca="false">Assumptions!M$144</f>
        <v>0</v>
      </c>
      <c r="O73" s="22" t="n">
        <f aca="false">Assumptions!N$144</f>
        <v>0</v>
      </c>
      <c r="P73" s="22" t="n">
        <f aca="false">Assumptions!O$144</f>
        <v>0</v>
      </c>
      <c r="Q73" s="22" t="n">
        <f aca="false">Assumptions!P$144</f>
        <v>0</v>
      </c>
      <c r="R73" s="22" t="n">
        <f aca="false">Assumptions!Q$144</f>
        <v>0</v>
      </c>
      <c r="S73" s="22" t="n">
        <f aca="false">Assumptions!R$144</f>
        <v>0</v>
      </c>
      <c r="T73" s="22" t="n">
        <f aca="false">Assumptions!S$144</f>
        <v>0</v>
      </c>
      <c r="U73" s="22" t="n">
        <f aca="false">Assumptions!T$144</f>
        <v>0</v>
      </c>
      <c r="V73" s="22" t="n">
        <f aca="false">Assumptions!U$144</f>
        <v>0</v>
      </c>
      <c r="W73" s="22" t="n">
        <f aca="false">Assumptions!V$144</f>
        <v>0</v>
      </c>
      <c r="X73" s="22" t="n">
        <f aca="false">Assumptions!W$144</f>
        <v>0</v>
      </c>
      <c r="Y73" s="22" t="n">
        <f aca="false">Assumptions!X$144</f>
        <v>0</v>
      </c>
      <c r="Z73" s="22" t="n">
        <f aca="false">Assumptions!Y$144</f>
        <v>0</v>
      </c>
      <c r="AA73" s="22" t="n">
        <f aca="false">Assumptions!Z$144</f>
        <v>0</v>
      </c>
      <c r="AB73" s="22" t="n">
        <f aca="false">Assumptions!AA$144</f>
        <v>0</v>
      </c>
      <c r="AC73" s="22" t="n">
        <f aca="false">Assumptions!AB$144</f>
        <v>0</v>
      </c>
      <c r="AD73" s="22" t="n">
        <f aca="false">Assumptions!AC$144</f>
        <v>0</v>
      </c>
      <c r="AE73" s="22" t="n">
        <f aca="false">Assumptions!AD$144</f>
        <v>0</v>
      </c>
      <c r="AF73" s="22" t="n">
        <f aca="false">Assumptions!AE$144</f>
        <v>0</v>
      </c>
      <c r="AG73" s="22" t="n">
        <f aca="false">Assumptions!AF$144</f>
        <v>0</v>
      </c>
      <c r="AH73" s="22" t="n">
        <f aca="false">Assumptions!AG$144</f>
        <v>0</v>
      </c>
      <c r="AI73" s="22" t="n">
        <f aca="false">Assumptions!AH$144</f>
        <v>0</v>
      </c>
      <c r="AJ73" s="22" t="n">
        <f aca="false">Assumptions!AI$144</f>
        <v>0</v>
      </c>
      <c r="AK73" s="22" t="n">
        <f aca="false">Assumptions!AJ$144</f>
        <v>0</v>
      </c>
      <c r="AL73" s="22" t="n">
        <f aca="false">Assumptions!AK$144</f>
        <v>0</v>
      </c>
      <c r="AM73" s="22" t="n">
        <f aca="false">Assumptions!AL$144</f>
        <v>0</v>
      </c>
      <c r="AN73" s="49" t="n">
        <f aca="false">Assumptions!AM$144</f>
        <v>0</v>
      </c>
      <c r="AO73" s="49" t="n">
        <f aca="false">Assumptions!AN$144</f>
        <v>0</v>
      </c>
      <c r="AP73" s="49" t="n">
        <f aca="false">Assumptions!AO$144</f>
        <v>0</v>
      </c>
      <c r="AQ73" s="49" t="n">
        <f aca="false">Assumptions!AP$144</f>
        <v>0</v>
      </c>
      <c r="AR73" s="49" t="n">
        <f aca="false">Assumptions!AQ$144</f>
        <v>0</v>
      </c>
      <c r="AS73" s="49" t="n">
        <f aca="false">Assumptions!AR$144</f>
        <v>0</v>
      </c>
      <c r="AT73" s="49" t="n">
        <f aca="false">Assumptions!AS$144</f>
        <v>0</v>
      </c>
      <c r="AU73" s="49" t="n">
        <f aca="false">Assumptions!AT$144</f>
        <v>0</v>
      </c>
      <c r="AV73" s="49" t="n">
        <f aca="false">Assumptions!AU$144</f>
        <v>0</v>
      </c>
      <c r="AW73" s="49" t="n">
        <f aca="false">Assumptions!AV$144</f>
        <v>0</v>
      </c>
      <c r="AX73" s="49" t="n">
        <f aca="false">Assumptions!AW$144</f>
        <v>0</v>
      </c>
      <c r="AY73" s="49" t="n">
        <f aca="false">Assumptions!AX$144</f>
        <v>0</v>
      </c>
      <c r="AZ73" s="49" t="n">
        <f aca="false">Assumptions!AY$144</f>
        <v>0</v>
      </c>
      <c r="BA73" s="49" t="n">
        <f aca="false">Assumptions!AZ$144</f>
        <v>0</v>
      </c>
      <c r="BB73" s="49" t="n">
        <f aca="false">Assumptions!BA$144</f>
        <v>0</v>
      </c>
      <c r="BC73" s="49" t="n">
        <f aca="false">Assumptions!BB$144</f>
        <v>0</v>
      </c>
      <c r="BD73" s="49" t="n">
        <f aca="false">Assumptions!BC$144</f>
        <v>0</v>
      </c>
      <c r="BE73" s="49" t="n">
        <f aca="false">Assumptions!BD$144</f>
        <v>0</v>
      </c>
      <c r="BF73" s="49" t="n">
        <f aca="false">Assumptions!BE$144</f>
        <v>0</v>
      </c>
      <c r="BG73" s="49" t="n">
        <f aca="false">Assumptions!BF$144</f>
        <v>0</v>
      </c>
      <c r="BH73" s="49" t="n">
        <f aca="false">Assumptions!BG$144</f>
        <v>0</v>
      </c>
      <c r="BI73" s="49" t="n">
        <f aca="false">Assumptions!BH$144</f>
        <v>0</v>
      </c>
      <c r="BJ73" s="49" t="n">
        <f aca="false">Assumptions!BI$144</f>
        <v>0</v>
      </c>
      <c r="BK73" s="49" t="n">
        <f aca="false">Assumptions!BJ$144</f>
        <v>0</v>
      </c>
    </row>
    <row r="74" customFormat="false" ht="15" hidden="false" customHeight="false" outlineLevel="0" collapsed="false">
      <c r="A74" s="28" t="s">
        <v>658</v>
      </c>
      <c r="B74" s="5" t="s">
        <v>659</v>
      </c>
      <c r="C74" s="43"/>
      <c r="D74" s="45" t="n">
        <f aca="false">D69+D70+D71+D72+D73</f>
        <v>6965</v>
      </c>
      <c r="E74" s="45" t="n">
        <f aca="false">E69+E70+E71+E72+E73</f>
        <v>4965</v>
      </c>
      <c r="F74" s="45" t="n">
        <f aca="false">F69+F70+F71+F72+F73</f>
        <v>6465</v>
      </c>
      <c r="G74" s="45" t="n">
        <f aca="false">G69+G70+G71+G72+G73</f>
        <v>3465</v>
      </c>
      <c r="H74" s="45" t="n">
        <f aca="false">H69+H70+H71+H72+H73</f>
        <v>3465</v>
      </c>
      <c r="I74" s="45" t="n">
        <f aca="false">I69+I70+I71+I72+I73</f>
        <v>3465</v>
      </c>
      <c r="J74" s="45" t="n">
        <f aca="false">J69+J70+J71+J72+J73</f>
        <v>3465</v>
      </c>
      <c r="K74" s="45" t="n">
        <f aca="false">K69+K70+K71+K72+K73</f>
        <v>3465</v>
      </c>
      <c r="L74" s="45" t="n">
        <f aca="false">L69+L70+L71+L72+L73</f>
        <v>3465</v>
      </c>
      <c r="M74" s="45" t="n">
        <f aca="false">M69+M70+M71+M72+M73</f>
        <v>3465</v>
      </c>
      <c r="N74" s="45" t="n">
        <f aca="false">N69+N70+N71+N72+N73</f>
        <v>3465</v>
      </c>
      <c r="O74" s="45" t="n">
        <f aca="false">O69+O70+O71+O72+O73</f>
        <v>3465</v>
      </c>
      <c r="P74" s="45" t="n">
        <f aca="false">P69+P70+P71+P72+P73</f>
        <v>3965</v>
      </c>
      <c r="Q74" s="45" t="n">
        <f aca="false">Q69+Q70+Q71+Q72+Q73</f>
        <v>3965</v>
      </c>
      <c r="R74" s="45" t="n">
        <f aca="false">R69+R70+R71+R72+R73</f>
        <v>3965</v>
      </c>
      <c r="S74" s="45" t="n">
        <f aca="false">S69+S70+S71+S72+S73</f>
        <v>3965</v>
      </c>
      <c r="T74" s="45" t="n">
        <f aca="false">T69+T70+T71+T72+T73</f>
        <v>3965</v>
      </c>
      <c r="U74" s="45" t="n">
        <f aca="false">U69+U70+U71+U72+U73</f>
        <v>3965</v>
      </c>
      <c r="V74" s="45" t="n">
        <f aca="false">V69+V70+V71+V72+V73</f>
        <v>3965</v>
      </c>
      <c r="W74" s="45" t="n">
        <f aca="false">W69+W70+W71+W72+W73</f>
        <v>3965</v>
      </c>
      <c r="X74" s="45" t="n">
        <f aca="false">X69+X70+X71+X72+X73</f>
        <v>3965</v>
      </c>
      <c r="Y74" s="45" t="n">
        <f aca="false">Y69+Y70+Y71+Y72+Y73</f>
        <v>3965</v>
      </c>
      <c r="Z74" s="45" t="n">
        <f aca="false">Z69+Z70+Z71+Z72+Z73</f>
        <v>3965</v>
      </c>
      <c r="AA74" s="45" t="n">
        <f aca="false">AA69+AA70+AA71+AA72+AA73</f>
        <v>3965</v>
      </c>
      <c r="AB74" s="45" t="n">
        <f aca="false">AB69+AB70+AB71+AB72+AB73</f>
        <v>4465</v>
      </c>
      <c r="AC74" s="45" t="n">
        <f aca="false">AC69+AC70+AC71+AC72+AC73</f>
        <v>4465</v>
      </c>
      <c r="AD74" s="45" t="n">
        <f aca="false">AD69+AD70+AD71+AD72+AD73</f>
        <v>4465</v>
      </c>
      <c r="AE74" s="45" t="n">
        <f aca="false">AE69+AE70+AE71+AE72+AE73</f>
        <v>4465</v>
      </c>
      <c r="AF74" s="45" t="n">
        <f aca="false">AF69+AF70+AF71+AF72+AF73</f>
        <v>4465</v>
      </c>
      <c r="AG74" s="45" t="n">
        <f aca="false">AG69+AG70+AG71+AG72+AG73</f>
        <v>4465</v>
      </c>
      <c r="AH74" s="45" t="n">
        <f aca="false">AH69+AH70+AH71+AH72+AH73</f>
        <v>4465</v>
      </c>
      <c r="AI74" s="45" t="n">
        <f aca="false">AI69+AI70+AI71+AI72+AI73</f>
        <v>4465</v>
      </c>
      <c r="AJ74" s="45" t="n">
        <f aca="false">AJ69+AJ70+AJ71+AJ72+AJ73</f>
        <v>4465</v>
      </c>
      <c r="AK74" s="45" t="n">
        <f aca="false">AK69+AK70+AK71+AK72+AK73</f>
        <v>4465</v>
      </c>
      <c r="AL74" s="45" t="n">
        <f aca="false">AL69+AL70+AL71+AL72+AL73</f>
        <v>4465</v>
      </c>
      <c r="AM74" s="45" t="n">
        <f aca="false">AM69+AM70+AM71+AM72+AM73</f>
        <v>4465</v>
      </c>
      <c r="AN74" s="46" t="n">
        <f aca="false">AN69+AN70+AN71+AN72+AN73</f>
        <v>4465</v>
      </c>
      <c r="AO74" s="46" t="n">
        <f aca="false">AO69+AO70+AO71+AO72+AO73</f>
        <v>4465</v>
      </c>
      <c r="AP74" s="46" t="n">
        <f aca="false">AP69+AP70+AP71+AP72+AP73</f>
        <v>4465</v>
      </c>
      <c r="AQ74" s="46" t="n">
        <f aca="false">AQ69+AQ70+AQ71+AQ72+AQ73</f>
        <v>4465</v>
      </c>
      <c r="AR74" s="46" t="n">
        <f aca="false">AR69+AR70+AR71+AR72+AR73</f>
        <v>4465</v>
      </c>
      <c r="AS74" s="46" t="n">
        <f aca="false">AS69+AS70+AS71+AS72+AS73</f>
        <v>4465</v>
      </c>
      <c r="AT74" s="46" t="n">
        <f aca="false">AT69+AT70+AT71+AT72+AT73</f>
        <v>4465</v>
      </c>
      <c r="AU74" s="46" t="n">
        <f aca="false">AU69+AU70+AU71+AU72+AU73</f>
        <v>4465</v>
      </c>
      <c r="AV74" s="46" t="n">
        <f aca="false">AV69+AV70+AV71+AV72+AV73</f>
        <v>4465</v>
      </c>
      <c r="AW74" s="46" t="n">
        <f aca="false">AW69+AW70+AW71+AW72+AW73</f>
        <v>4465</v>
      </c>
      <c r="AX74" s="46" t="n">
        <f aca="false">AX69+AX70+AX71+AX72+AX73</f>
        <v>4465</v>
      </c>
      <c r="AY74" s="46" t="n">
        <f aca="false">AY69+AY70+AY71+AY72+AY73</f>
        <v>4465</v>
      </c>
      <c r="AZ74" s="46" t="n">
        <f aca="false">AZ69+AZ70+AZ71+AZ72+AZ73</f>
        <v>4465</v>
      </c>
      <c r="BA74" s="46" t="n">
        <f aca="false">BA69+BA70+BA71+BA72+BA73</f>
        <v>4465</v>
      </c>
      <c r="BB74" s="46" t="n">
        <f aca="false">BB69+BB70+BB71+BB72+BB73</f>
        <v>4465</v>
      </c>
      <c r="BC74" s="46" t="n">
        <f aca="false">BC69+BC70+BC71+BC72+BC73</f>
        <v>4465</v>
      </c>
      <c r="BD74" s="46" t="n">
        <f aca="false">BD69+BD70+BD71+BD72+BD73</f>
        <v>4465</v>
      </c>
      <c r="BE74" s="46" t="n">
        <f aca="false">BE69+BE70+BE71+BE72+BE73</f>
        <v>4465</v>
      </c>
      <c r="BF74" s="46" t="n">
        <f aca="false">BF69+BF70+BF71+BF72+BF73</f>
        <v>4465</v>
      </c>
      <c r="BG74" s="46" t="n">
        <f aca="false">BG69+BG70+BG71+BG72+BG73</f>
        <v>4465</v>
      </c>
      <c r="BH74" s="46" t="n">
        <f aca="false">BH69+BH70+BH71+BH72+BH73</f>
        <v>4465</v>
      </c>
      <c r="BI74" s="46" t="n">
        <f aca="false">BI69+BI70+BI71+BI72+BI73</f>
        <v>4465</v>
      </c>
      <c r="BJ74" s="46" t="n">
        <f aca="false">BJ69+BJ70+BJ71+BJ72+BJ73</f>
        <v>4465</v>
      </c>
      <c r="BK74" s="46" t="n">
        <f aca="false">BK69+BK70+BK71+BK72+BK73</f>
        <v>4465</v>
      </c>
    </row>
    <row r="75" customFormat="false" ht="15" hidden="false" customHeight="false" outlineLevel="0" collapsed="false">
      <c r="B75" s="5" t="s">
        <v>660</v>
      </c>
    </row>
    <row r="76" customFormat="false" ht="15" hidden="false" customHeight="false" outlineLevel="0" collapsed="false">
      <c r="A76" s="28" t="s">
        <v>661</v>
      </c>
      <c r="B76" s="5" t="s">
        <v>662</v>
      </c>
      <c r="C76" s="43"/>
      <c r="D76" s="45" t="n">
        <f aca="false">D59-D67-D74</f>
        <v>-6965</v>
      </c>
      <c r="E76" s="45" t="n">
        <f aca="false">E59-E67-E74</f>
        <v>-4965</v>
      </c>
      <c r="F76" s="45" t="n">
        <f aca="false">F59-F67-F74</f>
        <v>-6465</v>
      </c>
      <c r="G76" s="45" t="n">
        <f aca="false">G59-G67-G74</f>
        <v>-3465</v>
      </c>
      <c r="H76" s="45" t="n">
        <f aca="false">H59-H67-H74</f>
        <v>-4819.27066666667</v>
      </c>
      <c r="I76" s="45" t="n">
        <f aca="false">I59-I67-I74</f>
        <v>-4031.62809083333</v>
      </c>
      <c r="J76" s="45" t="n">
        <f aca="false">J59-J67-J74</f>
        <v>-3888.24731452083</v>
      </c>
      <c r="K76" s="45" t="n">
        <f aca="false">K59-K67-K74</f>
        <v>-5135.02390780885</v>
      </c>
      <c r="L76" s="45" t="n">
        <f aca="false">L59-L67-L74</f>
        <v>-5610.87395923718</v>
      </c>
      <c r="M76" s="45" t="n">
        <f aca="false">M59-M67-M74</f>
        <v>-4656.6045082365</v>
      </c>
      <c r="N76" s="45" t="n">
        <f aca="false">N59-N67-N74</f>
        <v>-5663.97536810008</v>
      </c>
      <c r="O76" s="45" t="n">
        <f aca="false">O59-O67-O74</f>
        <v>-6045.06214456931</v>
      </c>
      <c r="P76" s="45" t="n">
        <f aca="false">P59-P67-P74</f>
        <v>-6826.20932536668</v>
      </c>
      <c r="Q76" s="45" t="n">
        <f aca="false">Q59-Q67-Q74</f>
        <v>-6989.35998417537</v>
      </c>
      <c r="R76" s="45" t="n">
        <f aca="false">R59-R67-R74</f>
        <v>-7076.11764965666</v>
      </c>
      <c r="S76" s="45" t="n">
        <f aca="false">S59-S67-S74</f>
        <v>-7230.21951654491</v>
      </c>
      <c r="T76" s="45" t="n">
        <f aca="false">T59-T67-T74</f>
        <v>-6282.33710039208</v>
      </c>
      <c r="U76" s="45" t="n">
        <f aca="false">U59-U67-U74</f>
        <v>-5976.58676666833</v>
      </c>
      <c r="V76" s="45" t="n">
        <f aca="false">V59-V67-V74</f>
        <v>-5660.96698745181</v>
      </c>
      <c r="W76" s="45" t="n">
        <f aca="false">W59-W67-W74</f>
        <v>-6700.81955357256</v>
      </c>
      <c r="X76" s="45" t="n">
        <f aca="false">X59-X67-X74</f>
        <v>-5575.13212813776</v>
      </c>
      <c r="Y76" s="45" t="n">
        <f aca="false">Y59-Y67-Y74</f>
        <v>-5080.14473000372</v>
      </c>
      <c r="Z76" s="45" t="n">
        <f aca="false">Z59-Z67-Z74</f>
        <v>-5976.59771958977</v>
      </c>
      <c r="AA76" s="45" t="n">
        <f aca="false">AA59-AA67-AA74</f>
        <v>-4768.21696149453</v>
      </c>
      <c r="AB76" s="45" t="n">
        <f aca="false">AB59-AB67-AB74</f>
        <v>-4715.00390251182</v>
      </c>
      <c r="AC76" s="45" t="n">
        <f aca="false">AC59-AC67-AC74</f>
        <v>-5226.80090238383</v>
      </c>
      <c r="AD76" s="45" t="n">
        <f aca="false">AD59-AD67-AD74</f>
        <v>-5313.85405790315</v>
      </c>
      <c r="AE76" s="45" t="n">
        <f aca="false">AE59-AE67-AE74</f>
        <v>-3912.32184672672</v>
      </c>
      <c r="AF76" s="45" t="n">
        <f aca="false">AF59-AF67-AF74</f>
        <v>-4018.26415320717</v>
      </c>
      <c r="AG76" s="45" t="n">
        <f aca="false">AG59-AG67-AG74</f>
        <v>-3705.23128748201</v>
      </c>
      <c r="AH76" s="45" t="n">
        <f aca="false">AH59-AH67-AH74</f>
        <v>-1895.95989578189</v>
      </c>
      <c r="AI76" s="45" t="n">
        <f aca="false">AI59-AI67-AI74</f>
        <v>-1830.76182110439</v>
      </c>
      <c r="AJ76" s="45" t="n">
        <f aca="false">AJ59-AJ67-AJ74</f>
        <v>-1032.48965224953</v>
      </c>
      <c r="AK76" s="45" t="n">
        <f aca="false">AK59-AK67-AK74</f>
        <v>-461.162544849428</v>
      </c>
      <c r="AL76" s="45" t="n">
        <f aca="false">AL59-AL67-AL74</f>
        <v>220.995628211068</v>
      </c>
      <c r="AM76" s="45" t="n">
        <f aca="false">AM59-AM67-AM74</f>
        <v>921.197511327672</v>
      </c>
      <c r="AN76" s="46" t="n">
        <f aca="false">AN59-AN67-AN74</f>
        <v>1363.96140054693</v>
      </c>
      <c r="AO76" s="46" t="n">
        <f aca="false">AO59-AO67-AO74</f>
        <v>2177.51178777819</v>
      </c>
      <c r="AP76" s="46" t="n">
        <f aca="false">AP59-AP67-AP74</f>
        <v>3002.98360501319</v>
      </c>
      <c r="AQ76" s="46" t="n">
        <f aca="false">AQ59-AQ67-AQ74</f>
        <v>3838.6697253201</v>
      </c>
      <c r="AR76" s="46" t="n">
        <f aca="false">AR59-AR67-AR74</f>
        <v>4683.19875306451</v>
      </c>
      <c r="AS76" s="46" t="n">
        <f aca="false">AS59-AS67-AS74</f>
        <v>5535.43763980885</v>
      </c>
      <c r="AT76" s="46" t="n">
        <f aca="false">AT59-AT67-AT74</f>
        <v>6419.05860388003</v>
      </c>
      <c r="AU76" s="46" t="n">
        <f aca="false">AU59-AU67-AU74</f>
        <v>7284.51553245315</v>
      </c>
      <c r="AV76" s="46" t="n">
        <f aca="false">AV59-AV67-AV74</f>
        <v>8154.7485529735</v>
      </c>
      <c r="AW76" s="46" t="n">
        <f aca="false">AW59-AW67-AW74</f>
        <v>9053.82779730591</v>
      </c>
      <c r="AX76" s="46" t="n">
        <f aca="false">AX59-AX67-AX74</f>
        <v>9932.51557505631</v>
      </c>
      <c r="AY76" s="46" t="n">
        <f aca="false">AY59-AY67-AY74</f>
        <v>10740.4746648662</v>
      </c>
      <c r="AZ76" s="46" t="n">
        <f aca="false">AZ59-AZ67-AZ74</f>
        <v>11649.0259585928</v>
      </c>
      <c r="BA76" s="46" t="n">
        <f aca="false">BA59-BA67-BA74</f>
        <v>12560.2109775121</v>
      </c>
      <c r="BB76" s="46" t="n">
        <f aca="false">BB59-BB67-BB74</f>
        <v>13448.2763832928</v>
      </c>
      <c r="BC76" s="46" t="n">
        <f aca="false">BC59-BC67-BC74</f>
        <v>14362.036994743</v>
      </c>
      <c r="BD76" s="46" t="n">
        <f aca="false">BD59-BD67-BD74</f>
        <v>15276.8899823637</v>
      </c>
      <c r="BE76" s="46" t="n">
        <f aca="false">BE59-BE67-BE74</f>
        <v>16167.2483219549</v>
      </c>
      <c r="BF76" s="46" t="n">
        <f aca="false">BF59-BF67-BF74</f>
        <v>17082.0666963269</v>
      </c>
      <c r="BG76" s="46" t="n">
        <f aca="false">BG59-BG67-BG74</f>
        <v>17996.8625776919</v>
      </c>
      <c r="BH76" s="46" t="n">
        <f aca="false">BH59-BH67-BH74</f>
        <v>18911.1573738261</v>
      </c>
      <c r="BI76" s="46" t="n">
        <f aca="false">BI59-BI67-BI74</f>
        <v>19824.5400763063</v>
      </c>
      <c r="BJ76" s="46" t="n">
        <f aca="false">BJ59-BJ67-BJ74</f>
        <v>20736.652676778</v>
      </c>
      <c r="BK76" s="46" t="n">
        <f aca="false">BK59-BK67-BK74</f>
        <v>21571.0567635142</v>
      </c>
    </row>
    <row r="77" customFormat="false" ht="15" hidden="false" customHeight="false" outlineLevel="0" collapsed="false">
      <c r="A77" s="28" t="s">
        <v>663</v>
      </c>
      <c r="B77" s="5" t="s">
        <v>664</v>
      </c>
      <c r="C77" s="50" t="n">
        <f aca="false">Assumptions!$F$9</f>
        <v>0</v>
      </c>
      <c r="D77" s="45" t="n">
        <f aca="false">C77+D76</f>
        <v>-6965</v>
      </c>
      <c r="E77" s="45" t="n">
        <f aca="false">D77+E76</f>
        <v>-11930</v>
      </c>
      <c r="F77" s="45" t="n">
        <f aca="false">E77+F76</f>
        <v>-18395</v>
      </c>
      <c r="G77" s="45" t="n">
        <f aca="false">F77+G76</f>
        <v>-21860</v>
      </c>
      <c r="H77" s="45" t="n">
        <f aca="false">G77+H76</f>
        <v>-26679.2706666667</v>
      </c>
      <c r="I77" s="45" t="n">
        <f aca="false">H77+I76</f>
        <v>-30710.8987575</v>
      </c>
      <c r="J77" s="45" t="n">
        <f aca="false">I77+J76</f>
        <v>-34599.1460720208</v>
      </c>
      <c r="K77" s="45" t="n">
        <f aca="false">J77+K76</f>
        <v>-39734.1699798297</v>
      </c>
      <c r="L77" s="45" t="n">
        <f aca="false">K77+L76</f>
        <v>-45345.0439390669</v>
      </c>
      <c r="M77" s="45" t="n">
        <f aca="false">L77+M76</f>
        <v>-50001.6484473034</v>
      </c>
      <c r="N77" s="45" t="n">
        <f aca="false">M77+N76</f>
        <v>-55665.6238154035</v>
      </c>
      <c r="O77" s="45" t="n">
        <f aca="false">N77+O76</f>
        <v>-61710.6859599728</v>
      </c>
      <c r="P77" s="45" t="n">
        <f aca="false">O77+P76</f>
        <v>-68536.8952853394</v>
      </c>
      <c r="Q77" s="45" t="n">
        <f aca="false">P77+Q76</f>
        <v>-75526.2552695148</v>
      </c>
      <c r="R77" s="45" t="n">
        <f aca="false">Q77+R76</f>
        <v>-82602.3729191715</v>
      </c>
      <c r="S77" s="45" t="n">
        <f aca="false">R77+S76</f>
        <v>-89832.5924357164</v>
      </c>
      <c r="T77" s="45" t="n">
        <f aca="false">S77+T76</f>
        <v>-96114.9295361085</v>
      </c>
      <c r="U77" s="45" t="n">
        <f aca="false">T77+U76</f>
        <v>-102091.516302777</v>
      </c>
      <c r="V77" s="45" t="n">
        <f aca="false">U77+V76</f>
        <v>-107752.483290229</v>
      </c>
      <c r="W77" s="45" t="n">
        <f aca="false">V77+W76</f>
        <v>-114453.302843801</v>
      </c>
      <c r="X77" s="45" t="n">
        <f aca="false">W77+X76</f>
        <v>-120028.434971939</v>
      </c>
      <c r="Y77" s="45" t="n">
        <f aca="false">X77+Y76</f>
        <v>-125108.579701943</v>
      </c>
      <c r="Z77" s="45" t="n">
        <f aca="false">Y77+Z76</f>
        <v>-131085.177421532</v>
      </c>
      <c r="AA77" s="45" t="n">
        <f aca="false">Z77+AA76</f>
        <v>-135853.394383027</v>
      </c>
      <c r="AB77" s="45" t="n">
        <f aca="false">AA77+AB76</f>
        <v>-140568.398285539</v>
      </c>
      <c r="AC77" s="45" t="n">
        <f aca="false">AB77+AC76</f>
        <v>-145795.199187923</v>
      </c>
      <c r="AD77" s="45" t="n">
        <f aca="false">AC77+AD76</f>
        <v>-151109.053245826</v>
      </c>
      <c r="AE77" s="45" t="n">
        <f aca="false">AD77+AE76</f>
        <v>-155021.375092552</v>
      </c>
      <c r="AF77" s="45" t="n">
        <f aca="false">AE77+AF76</f>
        <v>-159039.63924576</v>
      </c>
      <c r="AG77" s="45" t="n">
        <f aca="false">AF77+AG76</f>
        <v>-162744.870533242</v>
      </c>
      <c r="AH77" s="45" t="n">
        <f aca="false">AG77+AH76</f>
        <v>-164640.830429024</v>
      </c>
      <c r="AI77" s="45" t="n">
        <f aca="false">AH77+AI76</f>
        <v>-166471.592250128</v>
      </c>
      <c r="AJ77" s="45" t="n">
        <f aca="false">AI77+AJ76</f>
        <v>-167504.081902377</v>
      </c>
      <c r="AK77" s="45" t="n">
        <f aca="false">AJ77+AK76</f>
        <v>-167965.244447227</v>
      </c>
      <c r="AL77" s="45" t="n">
        <f aca="false">AK77+AL76</f>
        <v>-167744.248819016</v>
      </c>
      <c r="AM77" s="45" t="n">
        <f aca="false">AL77+AM76</f>
        <v>-166823.051307688</v>
      </c>
      <c r="AN77" s="46" t="n">
        <f aca="false">AM77+AN76</f>
        <v>-165459.089907141</v>
      </c>
      <c r="AO77" s="46" t="n">
        <f aca="false">AN77+AO76</f>
        <v>-163281.578119363</v>
      </c>
      <c r="AP77" s="46" t="n">
        <f aca="false">AO77+AP76</f>
        <v>-160278.59451435</v>
      </c>
      <c r="AQ77" s="46" t="n">
        <f aca="false">AP77+AQ76</f>
        <v>-156439.92478903</v>
      </c>
      <c r="AR77" s="46" t="n">
        <f aca="false">AQ77+AR76</f>
        <v>-151756.726035965</v>
      </c>
      <c r="AS77" s="46" t="n">
        <f aca="false">AR77+AS76</f>
        <v>-146221.288396156</v>
      </c>
      <c r="AT77" s="46" t="n">
        <f aca="false">AS77+AT76</f>
        <v>-139802.229792276</v>
      </c>
      <c r="AU77" s="46" t="n">
        <f aca="false">AT77+AU76</f>
        <v>-132517.714259823</v>
      </c>
      <c r="AV77" s="46" t="n">
        <f aca="false">AU77+AV76</f>
        <v>-124362.96570685</v>
      </c>
      <c r="AW77" s="46" t="n">
        <f aca="false">AV77+AW76</f>
        <v>-115309.137909544</v>
      </c>
      <c r="AX77" s="46" t="n">
        <f aca="false">AW77+AX76</f>
        <v>-105376.622334487</v>
      </c>
      <c r="AY77" s="46" t="n">
        <f aca="false">AX77+AY76</f>
        <v>-94636.1476696212</v>
      </c>
      <c r="AZ77" s="46" t="n">
        <f aca="false">AY77+AZ76</f>
        <v>-82987.1217110284</v>
      </c>
      <c r="BA77" s="46" t="n">
        <f aca="false">AZ77+BA76</f>
        <v>-70426.9107335163</v>
      </c>
      <c r="BB77" s="46" t="n">
        <f aca="false">BA77+BB76</f>
        <v>-56978.6343502235</v>
      </c>
      <c r="BC77" s="46" t="n">
        <f aca="false">BB77+BC76</f>
        <v>-42616.5973554805</v>
      </c>
      <c r="BD77" s="46" t="n">
        <f aca="false">BC77+BD76</f>
        <v>-27339.7073731168</v>
      </c>
      <c r="BE77" s="46" t="n">
        <f aca="false">BD77+BE76</f>
        <v>-11172.459051162</v>
      </c>
      <c r="BF77" s="46" t="n">
        <f aca="false">BE77+BF76</f>
        <v>5909.60764516492</v>
      </c>
      <c r="BG77" s="46" t="n">
        <f aca="false">BF77+BG76</f>
        <v>23906.4702228568</v>
      </c>
      <c r="BH77" s="46" t="n">
        <f aca="false">BG77+BH76</f>
        <v>42817.6275966828</v>
      </c>
      <c r="BI77" s="46" t="n">
        <f aca="false">BH77+BI76</f>
        <v>62642.1676729891</v>
      </c>
      <c r="BJ77" s="46" t="n">
        <f aca="false">BI77+BJ76</f>
        <v>83378.8203497671</v>
      </c>
      <c r="BK77" s="46" t="n">
        <f aca="false">BJ77+BK76</f>
        <v>104949.877113281</v>
      </c>
    </row>
    <row r="78" customFormat="false" ht="15" hidden="false" customHeight="false" outlineLevel="0" collapsed="false">
      <c r="A78" s="28" t="s">
        <v>665</v>
      </c>
      <c r="B78" s="6" t="s">
        <v>666</v>
      </c>
      <c r="C78" s="43"/>
      <c r="D78" s="17" t="n">
        <f aca="false">D39*Assumptions!$F$49+D39/Assumptions!$F$48*Assumptions!$F$50</f>
        <v>0</v>
      </c>
      <c r="E78" s="17" t="n">
        <f aca="false">E39*Assumptions!$F$49+E39/Assumptions!$F$48*Assumptions!$F$50</f>
        <v>0</v>
      </c>
      <c r="F78" s="17" t="n">
        <f aca="false">F39*Assumptions!$F$49+F39/Assumptions!$F$48*Assumptions!$F$50</f>
        <v>0</v>
      </c>
      <c r="G78" s="17" t="n">
        <f aca="false">G39*Assumptions!$F$49+G39/Assumptions!$F$48*Assumptions!$F$50</f>
        <v>0</v>
      </c>
      <c r="H78" s="17" t="n">
        <f aca="false">H39*Assumptions!$F$49+H39/Assumptions!$F$48*Assumptions!$F$50</f>
        <v>0</v>
      </c>
      <c r="I78" s="17" t="n">
        <f aca="false">I39*Assumptions!$F$49+I39/Assumptions!$F$48*Assumptions!$F$50</f>
        <v>0</v>
      </c>
      <c r="J78" s="17" t="n">
        <f aca="false">J39*Assumptions!$F$49+J39/Assumptions!$F$48*Assumptions!$F$50</f>
        <v>0</v>
      </c>
      <c r="K78" s="17" t="n">
        <f aca="false">K39*Assumptions!$F$49+K39/Assumptions!$F$48*Assumptions!$F$50</f>
        <v>0</v>
      </c>
      <c r="L78" s="17" t="n">
        <f aca="false">L39*Assumptions!$F$49+L39/Assumptions!$F$48*Assumptions!$F$50</f>
        <v>0</v>
      </c>
      <c r="M78" s="17" t="n">
        <f aca="false">M39*Assumptions!$F$49+M39/Assumptions!$F$48*Assumptions!$F$50</f>
        <v>0</v>
      </c>
      <c r="N78" s="17" t="n">
        <f aca="false">N39*Assumptions!$F$49+N39/Assumptions!$F$48*Assumptions!$F$50</f>
        <v>0</v>
      </c>
      <c r="O78" s="17" t="n">
        <f aca="false">O39*Assumptions!$F$49+O39/Assumptions!$F$48*Assumptions!$F$50</f>
        <v>57.7698239100111</v>
      </c>
      <c r="P78" s="17" t="n">
        <f aca="false">P39*Assumptions!$F$49+P39/Assumptions!$F$48*Assumptions!$F$50</f>
        <v>124.620269116441</v>
      </c>
      <c r="Q78" s="17" t="n">
        <f aca="false">Q39*Assumptions!$F$49+Q39/Assumptions!$F$48*Assumptions!$F$50</f>
        <v>200.61219487249</v>
      </c>
      <c r="R78" s="17" t="n">
        <f aca="false">R39*Assumptions!$F$49+R39/Assumptions!$F$48*Assumptions!$F$50</f>
        <v>285.202713878046</v>
      </c>
      <c r="S78" s="17" t="n">
        <f aca="false">S39*Assumptions!$F$49+S39/Assumptions!$F$48*Assumptions!$F$50</f>
        <v>378.476319165805</v>
      </c>
      <c r="T78" s="17" t="n">
        <f aca="false">T39*Assumptions!$F$49+T39/Assumptions!$F$48*Assumptions!$F$50</f>
        <v>663.435267221056</v>
      </c>
      <c r="U78" s="17" t="n">
        <f aca="false">U39*Assumptions!$F$49+U39/Assumptions!$F$48*Assumptions!$F$50</f>
        <v>964.674347671762</v>
      </c>
      <c r="V78" s="17" t="n">
        <f aca="false">V39*Assumptions!$F$49+V39/Assumptions!$F$48*Assumptions!$F$50</f>
        <v>1280.95067615447</v>
      </c>
      <c r="W78" s="17" t="n">
        <f aca="false">W39*Assumptions!$F$49+W39/Assumptions!$F$48*Assumptions!$F$50</f>
        <v>1622.87254903972</v>
      </c>
      <c r="X78" s="17" t="n">
        <f aca="false">X39*Assumptions!$F$49+X39/Assumptions!$F$48*Assumptions!$F$50</f>
        <v>1986.93688563248</v>
      </c>
      <c r="Y78" s="17" t="n">
        <f aca="false">Y39*Assumptions!$F$49+Y39/Assumptions!$F$48*Assumptions!$F$50</f>
        <v>2368.03859786469</v>
      </c>
      <c r="Z78" s="17" t="n">
        <f aca="false">Z39*Assumptions!$F$49+Z39/Assumptions!$F$48*Assumptions!$F$50</f>
        <v>2774.19544740259</v>
      </c>
      <c r="AA78" s="17" t="n">
        <f aca="false">AA39*Assumptions!$F$49+AA39/Assumptions!$F$48*Assumptions!$F$50</f>
        <v>3200.00801791031</v>
      </c>
      <c r="AB78" s="17" t="n">
        <f aca="false">AB39*Assumptions!$F$49+AB39/Assumptions!$F$48*Assumptions!$F$50</f>
        <v>3640.05186776278</v>
      </c>
      <c r="AC78" s="17" t="n">
        <f aca="false">AC39*Assumptions!$F$49+AC39/Assumptions!$F$48*Assumptions!$F$50</f>
        <v>4100.64446611114</v>
      </c>
      <c r="AD78" s="17" t="n">
        <f aca="false">AD39*Assumptions!$F$49+AD39/Assumptions!$F$48*Assumptions!$F$50</f>
        <v>4588.47803476229</v>
      </c>
      <c r="AE78" s="17" t="n">
        <f aca="false">AE39*Assumptions!$F$49+AE39/Assumptions!$F$48*Assumptions!$F$50</f>
        <v>5095.52848156723</v>
      </c>
      <c r="AF78" s="17" t="n">
        <f aca="false">AF39*Assumptions!$F$49+AF39/Assumptions!$F$48*Assumptions!$F$50</f>
        <v>5624.32162409281</v>
      </c>
      <c r="AG78" s="17" t="n">
        <f aca="false">AG39*Assumptions!$F$49+AG39/Assumptions!$F$48*Assumptions!$F$50</f>
        <v>6179.02445904426</v>
      </c>
      <c r="AH78" s="17" t="n">
        <f aca="false">AH39*Assumptions!$F$49+AH39/Assumptions!$F$48*Assumptions!$F$50</f>
        <v>6749.77701339593</v>
      </c>
      <c r="AI78" s="17" t="n">
        <f aca="false">AI39*Assumptions!$F$49+AI39/Assumptions!$F$48*Assumptions!$F$50</f>
        <v>7338.37133249368</v>
      </c>
      <c r="AJ78" s="17" t="n">
        <f aca="false">AJ39*Assumptions!$F$49+AJ39/Assumptions!$F$48*Assumptions!$F$50</f>
        <v>7947.36694538341</v>
      </c>
      <c r="AK78" s="17" t="n">
        <f aca="false">AK39*Assumptions!$F$49+AK39/Assumptions!$F$48*Assumptions!$F$50</f>
        <v>8579.08137488433</v>
      </c>
      <c r="AL78" s="17" t="n">
        <f aca="false">AL39*Assumptions!$F$49+AL39/Assumptions!$F$48*Assumptions!$F$50</f>
        <v>9233.25680057747</v>
      </c>
      <c r="AM78" s="17" t="n">
        <f aca="false">AM39*Assumptions!$F$49+AM39/Assumptions!$F$48*Assumptions!$F$50</f>
        <v>9908.22312774484</v>
      </c>
      <c r="AN78" s="44" t="n">
        <f aca="false">AN39*Assumptions!$F$49+AN39/Assumptions!$F$48*Assumptions!$F$50</f>
        <v>10603.843670486</v>
      </c>
      <c r="AO78" s="44" t="n">
        <f aca="false">AO39*Assumptions!$F$49+AO39/Assumptions!$F$48*Assumptions!$F$50</f>
        <v>11318.0903917044</v>
      </c>
      <c r="AP78" s="44" t="n">
        <f aca="false">AP39*Assumptions!$F$49+AP39/Assumptions!$F$48*Assumptions!$F$50</f>
        <v>12049.0905103881</v>
      </c>
      <c r="AQ78" s="44" t="n">
        <f aca="false">AQ39*Assumptions!$F$49+AQ39/Assumptions!$F$48*Assumptions!$F$50</f>
        <v>12795.1149627637</v>
      </c>
      <c r="AR78" s="44" t="n">
        <f aca="false">AR39*Assumptions!$F$49+AR39/Assumptions!$F$48*Assumptions!$F$50</f>
        <v>13554.5677240903</v>
      </c>
      <c r="AS78" s="44" t="n">
        <f aca="false">AS39*Assumptions!$F$49+AS39/Assumptions!$F$48*Assumptions!$F$50</f>
        <v>14325.9759263888</v>
      </c>
      <c r="AT78" s="44" t="n">
        <f aca="false">AT39*Assumptions!$F$49+AT39/Assumptions!$F$48*Assumptions!$F$50</f>
        <v>15107.5103349042</v>
      </c>
      <c r="AU78" s="44" t="n">
        <f aca="false">AU39*Assumptions!$F$49+AU39/Assumptions!$F$48*Assumptions!$F$50</f>
        <v>15897.9586676631</v>
      </c>
      <c r="AV78" s="44" t="n">
        <f aca="false">AV39*Assumptions!$F$49+AV39/Assumptions!$F$48*Assumptions!$F$50</f>
        <v>16696.2032418649</v>
      </c>
      <c r="AW78" s="44" t="n">
        <f aca="false">AW39*Assumptions!$F$49+AW39/Assumptions!$F$48*Assumptions!$F$50</f>
        <v>17500.7435757384</v>
      </c>
      <c r="AX78" s="44" t="n">
        <f aca="false">AX39*Assumptions!$F$49+AX39/Assumptions!$F$48*Assumptions!$F$50</f>
        <v>18310.6716740695</v>
      </c>
      <c r="AY78" s="44" t="n">
        <f aca="false">AY39*Assumptions!$F$49+AY39/Assumptions!$F$48*Assumptions!$F$50</f>
        <v>19125.1514931906</v>
      </c>
      <c r="AZ78" s="44" t="n">
        <f aca="false">AZ39*Assumptions!$F$49+AZ39/Assumptions!$F$48*Assumptions!$F$50</f>
        <v>19942.9432251937</v>
      </c>
      <c r="BA78" s="44" t="n">
        <f aca="false">BA39*Assumptions!$F$49+BA39/Assumptions!$F$48*Assumptions!$F$50</f>
        <v>20762.9097624664</v>
      </c>
      <c r="BB78" s="44" t="n">
        <f aca="false">BB39*Assumptions!$F$49+BB39/Assumptions!$F$48*Assumptions!$F$50</f>
        <v>21584.4793874842</v>
      </c>
      <c r="BC78" s="44" t="n">
        <f aca="false">BC39*Assumptions!$F$49+BC39/Assumptions!$F$48*Assumptions!$F$50</f>
        <v>22406.6568712429</v>
      </c>
      <c r="BD78" s="44" t="n">
        <f aca="false">BD39*Assumptions!$F$49+BD39/Assumptions!$F$48*Assumptions!$F$50</f>
        <v>23228.5314028029</v>
      </c>
      <c r="BE78" s="44" t="n">
        <f aca="false">BE39*Assumptions!$F$49+BE39/Assumptions!$F$48*Assumptions!$F$50</f>
        <v>24049.7406346133</v>
      </c>
      <c r="BF78" s="44" t="n">
        <f aca="false">BF39*Assumptions!$F$49+BF39/Assumptions!$F$48*Assumptions!$F$50</f>
        <v>24869.4830352431</v>
      </c>
      <c r="BG78" s="44" t="n">
        <f aca="false">BG39*Assumptions!$F$49+BG39/Assumptions!$F$48*Assumptions!$F$50</f>
        <v>25687.0269796198</v>
      </c>
      <c r="BH78" s="44" t="n">
        <f aca="false">BH39*Assumptions!$F$49+BH39/Assumptions!$F$48*Assumptions!$F$50</f>
        <v>26501.7054910865</v>
      </c>
      <c r="BI78" s="44" t="n">
        <f aca="false">BI39*Assumptions!$F$49+BI39/Assumptions!$F$48*Assumptions!$F$50</f>
        <v>27312.9113730619</v>
      </c>
      <c r="BJ78" s="44" t="n">
        <f aca="false">BJ39*Assumptions!$F$49+BJ39/Assumptions!$F$48*Assumptions!$F$50</f>
        <v>28120.0927012513</v>
      </c>
      <c r="BK78" s="44" t="n">
        <f aca="false">BK39*Assumptions!$F$49+BK39/Assumptions!$F$48*Assumptions!$F$50</f>
        <v>28922.748649547</v>
      </c>
    </row>
    <row r="79" customFormat="false" ht="15" hidden="false" customHeight="false" outlineLevel="0" collapsed="false">
      <c r="B79" s="5" t="s">
        <v>667</v>
      </c>
    </row>
    <row r="80" customFormat="false" ht="15" hidden="false" customHeight="false" outlineLevel="0" collapsed="false">
      <c r="A80" s="28" t="s">
        <v>668</v>
      </c>
      <c r="B80" s="6" t="s">
        <v>669</v>
      </c>
      <c r="C80" s="51"/>
      <c r="D80" s="39" t="n">
        <f aca="false">IF(D76&gt;=0,1,0)</f>
        <v>0</v>
      </c>
      <c r="E80" s="39" t="n">
        <f aca="false">IF(E76&gt;=0,1,0)</f>
        <v>0</v>
      </c>
      <c r="F80" s="39" t="n">
        <f aca="false">IF(F76&gt;=0,1,0)</f>
        <v>0</v>
      </c>
      <c r="G80" s="39" t="n">
        <f aca="false">IF(G76&gt;=0,1,0)</f>
        <v>0</v>
      </c>
      <c r="H80" s="39" t="n">
        <f aca="false">IF(H76&gt;=0,1,0)</f>
        <v>0</v>
      </c>
      <c r="I80" s="39" t="n">
        <f aca="false">IF(I76&gt;=0,1,0)</f>
        <v>0</v>
      </c>
      <c r="J80" s="39" t="n">
        <f aca="false">IF(J76&gt;=0,1,0)</f>
        <v>0</v>
      </c>
      <c r="K80" s="39" t="n">
        <f aca="false">IF(K76&gt;=0,1,0)</f>
        <v>0</v>
      </c>
      <c r="L80" s="39" t="n">
        <f aca="false">IF(L76&gt;=0,1,0)</f>
        <v>0</v>
      </c>
      <c r="M80" s="39" t="n">
        <f aca="false">IF(M76&gt;=0,1,0)</f>
        <v>0</v>
      </c>
      <c r="N80" s="39" t="n">
        <f aca="false">IF(N76&gt;=0,1,0)</f>
        <v>0</v>
      </c>
      <c r="O80" s="39" t="n">
        <f aca="false">IF(O76&gt;=0,1,0)</f>
        <v>0</v>
      </c>
      <c r="P80" s="39" t="n">
        <f aca="false">IF(P76&gt;=0,1,0)</f>
        <v>0</v>
      </c>
      <c r="Q80" s="39" t="n">
        <f aca="false">IF(Q76&gt;=0,1,0)</f>
        <v>0</v>
      </c>
      <c r="R80" s="39" t="n">
        <f aca="false">IF(R76&gt;=0,1,0)</f>
        <v>0</v>
      </c>
      <c r="S80" s="39" t="n">
        <f aca="false">IF(S76&gt;=0,1,0)</f>
        <v>0</v>
      </c>
      <c r="T80" s="39" t="n">
        <f aca="false">IF(T76&gt;=0,1,0)</f>
        <v>0</v>
      </c>
      <c r="U80" s="39" t="n">
        <f aca="false">IF(U76&gt;=0,1,0)</f>
        <v>0</v>
      </c>
      <c r="V80" s="39" t="n">
        <f aca="false">IF(V76&gt;=0,1,0)</f>
        <v>0</v>
      </c>
      <c r="W80" s="39" t="n">
        <f aca="false">IF(W76&gt;=0,1,0)</f>
        <v>0</v>
      </c>
      <c r="X80" s="39" t="n">
        <f aca="false">IF(X76&gt;=0,1,0)</f>
        <v>0</v>
      </c>
      <c r="Y80" s="39" t="n">
        <f aca="false">IF(Y76&gt;=0,1,0)</f>
        <v>0</v>
      </c>
      <c r="Z80" s="39" t="n">
        <f aca="false">IF(Z76&gt;=0,1,0)</f>
        <v>0</v>
      </c>
      <c r="AA80" s="39" t="n">
        <f aca="false">IF(AA76&gt;=0,1,0)</f>
        <v>0</v>
      </c>
      <c r="AB80" s="39" t="n">
        <f aca="false">IF(AB76&gt;=0,1,0)</f>
        <v>0</v>
      </c>
      <c r="AC80" s="39" t="n">
        <f aca="false">IF(AC76&gt;=0,1,0)</f>
        <v>0</v>
      </c>
      <c r="AD80" s="39" t="n">
        <f aca="false">IF(AD76&gt;=0,1,0)</f>
        <v>0</v>
      </c>
      <c r="AE80" s="39" t="n">
        <f aca="false">IF(AE76&gt;=0,1,0)</f>
        <v>0</v>
      </c>
      <c r="AF80" s="39" t="n">
        <f aca="false">IF(AF76&gt;=0,1,0)</f>
        <v>0</v>
      </c>
      <c r="AG80" s="39" t="n">
        <f aca="false">IF(AG76&gt;=0,1,0)</f>
        <v>0</v>
      </c>
      <c r="AH80" s="39" t="n">
        <f aca="false">IF(AH76&gt;=0,1,0)</f>
        <v>0</v>
      </c>
      <c r="AI80" s="39" t="n">
        <f aca="false">IF(AI76&gt;=0,1,0)</f>
        <v>0</v>
      </c>
      <c r="AJ80" s="39" t="n">
        <f aca="false">IF(AJ76&gt;=0,1,0)</f>
        <v>0</v>
      </c>
      <c r="AK80" s="39" t="n">
        <f aca="false">IF(AK76&gt;=0,1,0)</f>
        <v>0</v>
      </c>
      <c r="AL80" s="39" t="n">
        <f aca="false">IF(AL76&gt;=0,1,0)</f>
        <v>1</v>
      </c>
      <c r="AM80" s="39" t="n">
        <f aca="false">IF(AM76&gt;=0,1,0)</f>
        <v>1</v>
      </c>
      <c r="AN80" s="40" t="n">
        <f aca="false">IF(AN76&gt;=0,1,0)</f>
        <v>1</v>
      </c>
      <c r="AO80" s="40" t="n">
        <f aca="false">IF(AO76&gt;=0,1,0)</f>
        <v>1</v>
      </c>
      <c r="AP80" s="40" t="n">
        <f aca="false">IF(AP76&gt;=0,1,0)</f>
        <v>1</v>
      </c>
      <c r="AQ80" s="40" t="n">
        <f aca="false">IF(AQ76&gt;=0,1,0)</f>
        <v>1</v>
      </c>
      <c r="AR80" s="40" t="n">
        <f aca="false">IF(AR76&gt;=0,1,0)</f>
        <v>1</v>
      </c>
      <c r="AS80" s="40" t="n">
        <f aca="false">IF(AS76&gt;=0,1,0)</f>
        <v>1</v>
      </c>
      <c r="AT80" s="40" t="n">
        <f aca="false">IF(AT76&gt;=0,1,0)</f>
        <v>1</v>
      </c>
      <c r="AU80" s="40" t="n">
        <f aca="false">IF(AU76&gt;=0,1,0)</f>
        <v>1</v>
      </c>
      <c r="AV80" s="40" t="n">
        <f aca="false">IF(AV76&gt;=0,1,0)</f>
        <v>1</v>
      </c>
      <c r="AW80" s="40" t="n">
        <f aca="false">IF(AW76&gt;=0,1,0)</f>
        <v>1</v>
      </c>
      <c r="AX80" s="40" t="n">
        <f aca="false">IF(AX76&gt;=0,1,0)</f>
        <v>1</v>
      </c>
      <c r="AY80" s="40" t="n">
        <f aca="false">IF(AY76&gt;=0,1,0)</f>
        <v>1</v>
      </c>
      <c r="AZ80" s="40" t="n">
        <f aca="false">IF(AZ76&gt;=0,1,0)</f>
        <v>1</v>
      </c>
      <c r="BA80" s="40" t="n">
        <f aca="false">IF(BA76&gt;=0,1,0)</f>
        <v>1</v>
      </c>
      <c r="BB80" s="40" t="n">
        <f aca="false">IF(BB76&gt;=0,1,0)</f>
        <v>1</v>
      </c>
      <c r="BC80" s="40" t="n">
        <f aca="false">IF(BC76&gt;=0,1,0)</f>
        <v>1</v>
      </c>
      <c r="BD80" s="40" t="n">
        <f aca="false">IF(BD76&gt;=0,1,0)</f>
        <v>1</v>
      </c>
      <c r="BE80" s="40" t="n">
        <f aca="false">IF(BE76&gt;=0,1,0)</f>
        <v>1</v>
      </c>
      <c r="BF80" s="40" t="n">
        <f aca="false">IF(BF76&gt;=0,1,0)</f>
        <v>1</v>
      </c>
      <c r="BG80" s="40" t="n">
        <f aca="false">IF(BG76&gt;=0,1,0)</f>
        <v>1</v>
      </c>
      <c r="BH80" s="40" t="n">
        <f aca="false">IF(BH76&gt;=0,1,0)</f>
        <v>1</v>
      </c>
      <c r="BI80" s="40" t="n">
        <f aca="false">IF(BI76&gt;=0,1,0)</f>
        <v>1</v>
      </c>
      <c r="BJ80" s="40" t="n">
        <f aca="false">IF(BJ76&gt;=0,1,0)</f>
        <v>1</v>
      </c>
      <c r="BK80" s="40" t="n">
        <f aca="false">IF(BK76&gt;=0,1,0)</f>
        <v>1</v>
      </c>
    </row>
    <row r="81" customFormat="false" ht="15" hidden="false" customHeight="false" outlineLevel="0" collapsed="false">
      <c r="A81" s="28" t="s">
        <v>670</v>
      </c>
      <c r="B81" s="6" t="s">
        <v>671</v>
      </c>
      <c r="C81" s="51"/>
      <c r="D81" s="39" t="n">
        <f aca="false">IF(AND(D80=1,E81=1),1,0)</f>
        <v>0</v>
      </c>
      <c r="E81" s="39" t="n">
        <f aca="false">IF(AND(E80=1,F81=1),1,0)</f>
        <v>0</v>
      </c>
      <c r="F81" s="39" t="n">
        <f aca="false">IF(AND(F80=1,G81=1),1,0)</f>
        <v>0</v>
      </c>
      <c r="G81" s="39" t="n">
        <f aca="false">IF(AND(G80=1,H81=1),1,0)</f>
        <v>0</v>
      </c>
      <c r="H81" s="39" t="n">
        <f aca="false">IF(AND(H80=1,I81=1),1,0)</f>
        <v>0</v>
      </c>
      <c r="I81" s="39" t="n">
        <f aca="false">IF(AND(I80=1,J81=1),1,0)</f>
        <v>0</v>
      </c>
      <c r="J81" s="39" t="n">
        <f aca="false">IF(AND(J80=1,K81=1),1,0)</f>
        <v>0</v>
      </c>
      <c r="K81" s="39" t="n">
        <f aca="false">IF(AND(K80=1,L81=1),1,0)</f>
        <v>0</v>
      </c>
      <c r="L81" s="39" t="n">
        <f aca="false">IF(AND(L80=1,M81=1),1,0)</f>
        <v>0</v>
      </c>
      <c r="M81" s="39" t="n">
        <f aca="false">IF(AND(M80=1,N81=1),1,0)</f>
        <v>0</v>
      </c>
      <c r="N81" s="39" t="n">
        <f aca="false">IF(AND(N80=1,O81=1),1,0)</f>
        <v>0</v>
      </c>
      <c r="O81" s="39" t="n">
        <f aca="false">IF(AND(O80=1,P81=1),1,0)</f>
        <v>0</v>
      </c>
      <c r="P81" s="39" t="n">
        <f aca="false">IF(AND(P80=1,Q81=1),1,0)</f>
        <v>0</v>
      </c>
      <c r="Q81" s="39" t="n">
        <f aca="false">IF(AND(Q80=1,R81=1),1,0)</f>
        <v>0</v>
      </c>
      <c r="R81" s="39" t="n">
        <f aca="false">IF(AND(R80=1,S81=1),1,0)</f>
        <v>0</v>
      </c>
      <c r="S81" s="39" t="n">
        <f aca="false">IF(AND(S80=1,T81=1),1,0)</f>
        <v>0</v>
      </c>
      <c r="T81" s="39" t="n">
        <f aca="false">IF(AND(T80=1,U81=1),1,0)</f>
        <v>0</v>
      </c>
      <c r="U81" s="39" t="n">
        <f aca="false">IF(AND(U80=1,V81=1),1,0)</f>
        <v>0</v>
      </c>
      <c r="V81" s="39" t="n">
        <f aca="false">IF(AND(V80=1,W81=1),1,0)</f>
        <v>0</v>
      </c>
      <c r="W81" s="39" t="n">
        <f aca="false">IF(AND(W80=1,X81=1),1,0)</f>
        <v>0</v>
      </c>
      <c r="X81" s="39" t="n">
        <f aca="false">IF(AND(X80=1,Y81=1),1,0)</f>
        <v>0</v>
      </c>
      <c r="Y81" s="39" t="n">
        <f aca="false">IF(AND(Y80=1,Z81=1),1,0)</f>
        <v>0</v>
      </c>
      <c r="Z81" s="39" t="n">
        <f aca="false">IF(AND(Z80=1,AA81=1),1,0)</f>
        <v>0</v>
      </c>
      <c r="AA81" s="39" t="n">
        <f aca="false">IF(AND(AA80=1,AB81=1),1,0)</f>
        <v>0</v>
      </c>
      <c r="AB81" s="39" t="n">
        <f aca="false">IF(AND(AB80=1,AC81=1),1,0)</f>
        <v>0</v>
      </c>
      <c r="AC81" s="39" t="n">
        <f aca="false">IF(AND(AC80=1,AD81=1),1,0)</f>
        <v>0</v>
      </c>
      <c r="AD81" s="39" t="n">
        <f aca="false">IF(AND(AD80=1,AE81=1),1,0)</f>
        <v>0</v>
      </c>
      <c r="AE81" s="39" t="n">
        <f aca="false">IF(AND(AE80=1,AF81=1),1,0)</f>
        <v>0</v>
      </c>
      <c r="AF81" s="39" t="n">
        <f aca="false">IF(AND(AF80=1,AG81=1),1,0)</f>
        <v>0</v>
      </c>
      <c r="AG81" s="39" t="n">
        <f aca="false">IF(AND(AG80=1,AH81=1),1,0)</f>
        <v>0</v>
      </c>
      <c r="AH81" s="39" t="n">
        <f aca="false">IF(AND(AH80=1,AI81=1),1,0)</f>
        <v>0</v>
      </c>
      <c r="AI81" s="39" t="n">
        <f aca="false">IF(AND(AI80=1,AJ81=1),1,0)</f>
        <v>0</v>
      </c>
      <c r="AJ81" s="39" t="n">
        <f aca="false">IF(AND(AJ80=1,AK81=1),1,0)</f>
        <v>0</v>
      </c>
      <c r="AK81" s="39" t="n">
        <f aca="false">IF(AND(AK80=1,AL81=1),1,0)</f>
        <v>0</v>
      </c>
      <c r="AL81" s="39" t="n">
        <f aca="false">IF(AND(AL80=1,AM81=1),1,0)</f>
        <v>1</v>
      </c>
      <c r="AM81" s="39" t="n">
        <f aca="false">AM80</f>
        <v>1</v>
      </c>
    </row>
    <row r="82" customFormat="false" ht="15" hidden="false" customHeight="false" outlineLevel="0" collapsed="false">
      <c r="A82" s="28" t="s">
        <v>672</v>
      </c>
      <c r="B82" s="6" t="s">
        <v>673</v>
      </c>
      <c r="C82" s="51"/>
      <c r="D82" s="39" t="n">
        <f aca="false">IF(AND(D80=1,E82=1),1,0)</f>
        <v>0</v>
      </c>
      <c r="E82" s="39" t="n">
        <f aca="false">IF(AND(E80=1,F82=1),1,0)</f>
        <v>0</v>
      </c>
      <c r="F82" s="39" t="n">
        <f aca="false">IF(AND(F80=1,G82=1),1,0)</f>
        <v>0</v>
      </c>
      <c r="G82" s="39" t="n">
        <f aca="false">IF(AND(G80=1,H82=1),1,0)</f>
        <v>0</v>
      </c>
      <c r="H82" s="39" t="n">
        <f aca="false">IF(AND(H80=1,I82=1),1,0)</f>
        <v>0</v>
      </c>
      <c r="I82" s="39" t="n">
        <f aca="false">IF(AND(I80=1,J82=1),1,0)</f>
        <v>0</v>
      </c>
      <c r="J82" s="39" t="n">
        <f aca="false">IF(AND(J80=1,K82=1),1,0)</f>
        <v>0</v>
      </c>
      <c r="K82" s="39" t="n">
        <f aca="false">IF(AND(K80=1,L82=1),1,0)</f>
        <v>0</v>
      </c>
      <c r="L82" s="39" t="n">
        <f aca="false">IF(AND(L80=1,M82=1),1,0)</f>
        <v>0</v>
      </c>
      <c r="M82" s="39" t="n">
        <f aca="false">IF(AND(M80=1,N82=1),1,0)</f>
        <v>0</v>
      </c>
      <c r="N82" s="39" t="n">
        <f aca="false">IF(AND(N80=1,O82=1),1,0)</f>
        <v>0</v>
      </c>
      <c r="O82" s="39" t="n">
        <f aca="false">IF(AND(O80=1,P82=1),1,0)</f>
        <v>0</v>
      </c>
      <c r="P82" s="39" t="n">
        <f aca="false">IF(AND(P80=1,Q82=1),1,0)</f>
        <v>0</v>
      </c>
      <c r="Q82" s="39" t="n">
        <f aca="false">IF(AND(Q80=1,R82=1),1,0)</f>
        <v>0</v>
      </c>
      <c r="R82" s="39" t="n">
        <f aca="false">IF(AND(R80=1,S82=1),1,0)</f>
        <v>0</v>
      </c>
      <c r="S82" s="39" t="n">
        <f aca="false">IF(AND(S80=1,T82=1),1,0)</f>
        <v>0</v>
      </c>
      <c r="T82" s="39" t="n">
        <f aca="false">IF(AND(T80=1,U82=1),1,0)</f>
        <v>0</v>
      </c>
      <c r="U82" s="39" t="n">
        <f aca="false">IF(AND(U80=1,V82=1),1,0)</f>
        <v>0</v>
      </c>
      <c r="V82" s="39" t="n">
        <f aca="false">IF(AND(V80=1,W82=1),1,0)</f>
        <v>0</v>
      </c>
      <c r="W82" s="39" t="n">
        <f aca="false">IF(AND(W80=1,X82=1),1,0)</f>
        <v>0</v>
      </c>
      <c r="X82" s="39" t="n">
        <f aca="false">IF(AND(X80=1,Y82=1),1,0)</f>
        <v>0</v>
      </c>
      <c r="Y82" s="39" t="n">
        <f aca="false">IF(AND(Y80=1,Z82=1),1,0)</f>
        <v>0</v>
      </c>
      <c r="Z82" s="39" t="n">
        <f aca="false">IF(AND(Z80=1,AA82=1),1,0)</f>
        <v>0</v>
      </c>
      <c r="AA82" s="39" t="n">
        <f aca="false">IF(AND(AA80=1,AB82=1),1,0)</f>
        <v>0</v>
      </c>
      <c r="AB82" s="39" t="n">
        <f aca="false">IF(AND(AB80=1,AC82=1),1,0)</f>
        <v>0</v>
      </c>
      <c r="AC82" s="39" t="n">
        <f aca="false">IF(AND(AC80=1,AD82=1),1,0)</f>
        <v>0</v>
      </c>
      <c r="AD82" s="39" t="n">
        <f aca="false">IF(AND(AD80=1,AE82=1),1,0)</f>
        <v>0</v>
      </c>
      <c r="AE82" s="39" t="n">
        <f aca="false">IF(AND(AE80=1,AF82=1),1,0)</f>
        <v>0</v>
      </c>
      <c r="AF82" s="39" t="n">
        <f aca="false">IF(AND(AF80=1,AG82=1),1,0)</f>
        <v>0</v>
      </c>
      <c r="AG82" s="39" t="n">
        <f aca="false">IF(AND(AG80=1,AH82=1),1,0)</f>
        <v>0</v>
      </c>
      <c r="AH82" s="39" t="n">
        <f aca="false">IF(AND(AH80=1,AI82=1),1,0)</f>
        <v>0</v>
      </c>
      <c r="AI82" s="39" t="n">
        <f aca="false">IF(AND(AI80=1,AJ82=1),1,0)</f>
        <v>0</v>
      </c>
      <c r="AJ82" s="39" t="n">
        <f aca="false">IF(AND(AJ80=1,AK82=1),1,0)</f>
        <v>0</v>
      </c>
      <c r="AK82" s="39" t="n">
        <f aca="false">IF(AND(AK80=1,AL82=1),1,0)</f>
        <v>0</v>
      </c>
      <c r="AL82" s="39" t="n">
        <f aca="false">IF(AND(AL80=1,AM82=1),1,0)</f>
        <v>1</v>
      </c>
      <c r="AM82" s="39" t="n">
        <f aca="false">IF(AND(AM80=1,AN82=1),1,0)</f>
        <v>1</v>
      </c>
      <c r="AN82" s="39" t="n">
        <f aca="false">IF(AND(AN80=1,AO82=1),1,0)</f>
        <v>1</v>
      </c>
      <c r="AO82" s="39" t="n">
        <f aca="false">IF(AND(AO80=1,AP82=1),1,0)</f>
        <v>1</v>
      </c>
      <c r="AP82" s="39" t="n">
        <f aca="false">IF(AND(AP80=1,AQ82=1),1,0)</f>
        <v>1</v>
      </c>
      <c r="AQ82" s="39" t="n">
        <f aca="false">IF(AND(AQ80=1,AR82=1),1,0)</f>
        <v>1</v>
      </c>
      <c r="AR82" s="39" t="n">
        <f aca="false">IF(AND(AR80=1,AS82=1),1,0)</f>
        <v>1</v>
      </c>
      <c r="AS82" s="39" t="n">
        <f aca="false">IF(AND(AS80=1,AT82=1),1,0)</f>
        <v>1</v>
      </c>
      <c r="AT82" s="39" t="n">
        <f aca="false">IF(AND(AT80=1,AU82=1),1,0)</f>
        <v>1</v>
      </c>
      <c r="AU82" s="39" t="n">
        <f aca="false">IF(AND(AU80=1,AV82=1),1,0)</f>
        <v>1</v>
      </c>
      <c r="AV82" s="39" t="n">
        <f aca="false">IF(AND(AV80=1,AW82=1),1,0)</f>
        <v>1</v>
      </c>
      <c r="AW82" s="39" t="n">
        <f aca="false">IF(AND(AW80=1,AX82=1),1,0)</f>
        <v>1</v>
      </c>
      <c r="AX82" s="39" t="n">
        <f aca="false">IF(AND(AX80=1,AY82=1),1,0)</f>
        <v>1</v>
      </c>
      <c r="AY82" s="39" t="n">
        <f aca="false">IF(AND(AY80=1,AZ82=1),1,0)</f>
        <v>1</v>
      </c>
      <c r="AZ82" s="39" t="n">
        <f aca="false">IF(AND(AZ80=1,BA82=1),1,0)</f>
        <v>1</v>
      </c>
      <c r="BA82" s="39" t="n">
        <f aca="false">IF(AND(BA80=1,BB82=1),1,0)</f>
        <v>1</v>
      </c>
      <c r="BB82" s="39" t="n">
        <f aca="false">IF(AND(BB80=1,BC82=1),1,0)</f>
        <v>1</v>
      </c>
      <c r="BC82" s="39" t="n">
        <f aca="false">IF(AND(BC80=1,BD82=1),1,0)</f>
        <v>1</v>
      </c>
      <c r="BD82" s="39" t="n">
        <f aca="false">IF(AND(BD80=1,BE82=1),1,0)</f>
        <v>1</v>
      </c>
      <c r="BE82" s="39" t="n">
        <f aca="false">IF(AND(BE80=1,BF82=1),1,0)</f>
        <v>1</v>
      </c>
      <c r="BF82" s="39" t="n">
        <f aca="false">IF(AND(BF80=1,BG82=1),1,0)</f>
        <v>1</v>
      </c>
      <c r="BG82" s="39" t="n">
        <f aca="false">IF(AND(BG80=1,BH82=1),1,0)</f>
        <v>1</v>
      </c>
      <c r="BH82" s="39" t="n">
        <f aca="false">IF(AND(BH80=1,BI82=1),1,0)</f>
        <v>1</v>
      </c>
      <c r="BI82" s="39" t="n">
        <f aca="false">IF(AND(BI80=1,BJ82=1),1,0)</f>
        <v>1</v>
      </c>
      <c r="BJ82" s="39" t="n">
        <f aca="false">IF(AND(BJ80=1,BK82=1),1,0)</f>
        <v>1</v>
      </c>
      <c r="BK82" s="39" t="n">
        <f aca="false">BK80</f>
        <v>1</v>
      </c>
    </row>
    <row r="84" customFormat="false" ht="17.35" hidden="false" customHeight="false" outlineLevel="0" collapsed="false">
      <c r="B84" s="1" t="s">
        <v>674</v>
      </c>
    </row>
    <row r="85" customFormat="false" ht="15" hidden="false" customHeight="false" outlineLevel="0" collapsed="false">
      <c r="B85" s="5" t="s">
        <v>675</v>
      </c>
      <c r="C85" s="52" t="n">
        <f aca="false">IFERROR(MATCH(1,D81:AM81,0),"none")</f>
        <v>35</v>
      </c>
    </row>
    <row r="86" customFormat="false" ht="15" hidden="false" customHeight="false" outlineLevel="0" collapsed="false">
      <c r="B86" s="5" t="s">
        <v>676</v>
      </c>
      <c r="C86" s="52" t="n">
        <f aca="false">IFERROR(MATCH(1,D82:BK82,0),"none")</f>
        <v>35</v>
      </c>
    </row>
    <row r="87" customFormat="false" ht="15" hidden="false" customHeight="false" outlineLevel="0" collapsed="false">
      <c r="B87" s="5" t="s">
        <v>677</v>
      </c>
      <c r="C87" s="52" t="n">
        <f aca="false">IFERROR(MATCH(1,D80:AM80,0),"none")</f>
        <v>35</v>
      </c>
    </row>
    <row r="88" customFormat="false" ht="15" hidden="false" customHeight="false" outlineLevel="0" collapsed="false">
      <c r="B88" s="5" t="s">
        <v>486</v>
      </c>
      <c r="C88" s="53" t="n">
        <f aca="false">-MIN(0,MIN(D77:AM77))</f>
        <v>167965.244447227</v>
      </c>
    </row>
    <row r="89" customFormat="false" ht="15" hidden="false" customHeight="false" outlineLevel="0" collapsed="false">
      <c r="B89" s="5" t="s">
        <v>678</v>
      </c>
      <c r="C89" s="52" t="n">
        <f aca="false">MATCH(MIN(D77:AM77),D77:AM77,0)</f>
        <v>34</v>
      </c>
    </row>
    <row r="90" customFormat="false" ht="15" hidden="false" customHeight="false" outlineLevel="0" collapsed="false">
      <c r="B90" s="5" t="s">
        <v>679</v>
      </c>
      <c r="C90" s="53" t="n">
        <f aca="false">-MIN(0,MIN(D77:BK77))</f>
        <v>167965.244447227</v>
      </c>
    </row>
    <row r="91" customFormat="false" ht="15" hidden="false" customHeight="false" outlineLevel="0" collapsed="false">
      <c r="B91" s="5" t="s">
        <v>489</v>
      </c>
      <c r="C91" s="52" t="n">
        <f aca="false">IFERROR(MATCH(1,D16:AM16,0),"none")</f>
        <v>17</v>
      </c>
    </row>
    <row r="92" customFormat="false" ht="15" hidden="false" customHeight="false" outlineLevel="0" collapsed="false">
      <c r="B92" s="5" t="s">
        <v>490</v>
      </c>
      <c r="C92" s="52" t="n">
        <f aca="false">IFERROR(MATCH(1,D17:AM17,0),"none")</f>
        <v>12</v>
      </c>
    </row>
    <row r="93" customFormat="false" ht="15" hidden="false" customHeight="false" outlineLevel="0" collapsed="false">
      <c r="B93" s="5" t="s">
        <v>680</v>
      </c>
      <c r="C93" s="52" t="n">
        <f aca="false">IFERROR(MATCH(1,D18:AM18,0),"none")</f>
        <v>17</v>
      </c>
    </row>
    <row r="94" customFormat="false" ht="15" hidden="false" customHeight="false" outlineLevel="0" collapsed="false">
      <c r="B94" s="5" t="s">
        <v>492</v>
      </c>
      <c r="C94" s="52" t="n">
        <f aca="false">IFERROR(MATCH(1,D19:AM19,0),"none")</f>
        <v>29</v>
      </c>
    </row>
    <row r="95" customFormat="false" ht="15" hidden="false" customHeight="false" outlineLevel="0" collapsed="false">
      <c r="B95" s="5" t="s">
        <v>493</v>
      </c>
      <c r="C95" s="54" t="n">
        <f aca="false">AM13</f>
        <v>464.110957471505</v>
      </c>
    </row>
    <row r="96" customFormat="false" ht="15" hidden="false" customHeight="false" outlineLevel="0" collapsed="false">
      <c r="B96" s="5" t="s">
        <v>494</v>
      </c>
      <c r="C96" s="54" t="n">
        <f aca="false">AM32</f>
        <v>125.970041205955</v>
      </c>
    </row>
    <row r="97" customFormat="false" ht="15" hidden="false" customHeight="false" outlineLevel="0" collapsed="false">
      <c r="B97" s="5" t="s">
        <v>495</v>
      </c>
      <c r="C97" s="54" t="n">
        <f aca="false">AM24</f>
        <v>22616.6893550718</v>
      </c>
    </row>
    <row r="98" customFormat="false" ht="15" hidden="false" customHeight="false" outlineLevel="0" collapsed="false">
      <c r="B98" s="5" t="s">
        <v>496</v>
      </c>
      <c r="C98" s="53" t="n">
        <f aca="false">AM46</f>
        <v>21390.1929037585</v>
      </c>
    </row>
    <row r="99" customFormat="false" ht="15" hidden="false" customHeight="false" outlineLevel="0" collapsed="false">
      <c r="B99" s="5" t="s">
        <v>497</v>
      </c>
      <c r="C99" s="53" t="n">
        <f aca="false">AM76</f>
        <v>921.197511327672</v>
      </c>
    </row>
    <row r="100" customFormat="false" ht="15" hidden="false" customHeight="false" outlineLevel="0" collapsed="false">
      <c r="B100" s="5" t="s">
        <v>498</v>
      </c>
      <c r="C100" s="53" t="n">
        <f aca="false">SUM(D46:O46)</f>
        <v>45.7008852013079</v>
      </c>
    </row>
    <row r="101" customFormat="false" ht="15" hidden="false" customHeight="false" outlineLevel="0" collapsed="false">
      <c r="B101" s="5" t="s">
        <v>499</v>
      </c>
      <c r="C101" s="53" t="n">
        <f aca="false">SUM(P46:AA46)</f>
        <v>35645.8842022033</v>
      </c>
    </row>
    <row r="102" customFormat="false" ht="15" hidden="false" customHeight="false" outlineLevel="0" collapsed="false">
      <c r="B102" s="5" t="s">
        <v>500</v>
      </c>
      <c r="C102" s="53" t="n">
        <f aca="false">SUM(AB46:AM46)</f>
        <v>167203.253698663</v>
      </c>
    </row>
    <row r="103" customFormat="false" ht="15" hidden="false" customHeight="false" outlineLevel="0" collapsed="false">
      <c r="B103" s="5" t="s">
        <v>501</v>
      </c>
      <c r="C103" s="53" t="n">
        <f aca="false">SUM(D76:O76)</f>
        <v>-61710.6859599728</v>
      </c>
    </row>
    <row r="104" customFormat="false" ht="15" hidden="false" customHeight="false" outlineLevel="0" collapsed="false">
      <c r="B104" s="5" t="s">
        <v>502</v>
      </c>
      <c r="C104" s="53" t="n">
        <f aca="false">SUM(P76:AA76)</f>
        <v>-74142.7084230542</v>
      </c>
    </row>
    <row r="105" customFormat="false" ht="15" hidden="false" customHeight="false" outlineLevel="0" collapsed="false">
      <c r="B105" s="5" t="s">
        <v>503</v>
      </c>
      <c r="C105" s="53" t="n">
        <f aca="false">SUM(AB76:AM76)</f>
        <v>-30969.6569246612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6"/>
    <col collapsed="false" customWidth="true" hidden="false" outlineLevel="0" max="63" min="3" style="0" width="11"/>
  </cols>
  <sheetData>
    <row r="1" customFormat="false" ht="17.35" hidden="false" customHeight="false" outlineLevel="0" collapsed="false">
      <c r="A1" s="1" t="s">
        <v>687</v>
      </c>
    </row>
    <row r="2" customFormat="false" ht="15" hidden="false" customHeight="false" outlineLevel="0" collapsed="false">
      <c r="A2" s="3" t="s">
        <v>688</v>
      </c>
    </row>
    <row r="4" customFormat="false" ht="15" hidden="false" customHeight="false" outlineLevel="0" collapsed="false">
      <c r="B4" s="5" t="s">
        <v>532</v>
      </c>
      <c r="C4" s="4" t="n">
        <v>0</v>
      </c>
      <c r="D4" s="4" t="n">
        <v>1</v>
      </c>
      <c r="E4" s="4" t="n">
        <v>2</v>
      </c>
      <c r="F4" s="4" t="n">
        <v>3</v>
      </c>
      <c r="G4" s="4" t="n">
        <v>4</v>
      </c>
      <c r="H4" s="4" t="n">
        <v>5</v>
      </c>
      <c r="I4" s="4" t="n">
        <v>6</v>
      </c>
      <c r="J4" s="4" t="n">
        <v>7</v>
      </c>
      <c r="K4" s="4" t="n">
        <v>8</v>
      </c>
      <c r="L4" s="4" t="n">
        <v>9</v>
      </c>
      <c r="M4" s="4" t="n">
        <v>10</v>
      </c>
      <c r="N4" s="4" t="n">
        <v>11</v>
      </c>
      <c r="O4" s="4" t="n">
        <v>12</v>
      </c>
      <c r="P4" s="4" t="n">
        <v>13</v>
      </c>
      <c r="Q4" s="4" t="n">
        <v>14</v>
      </c>
      <c r="R4" s="4" t="n">
        <v>15</v>
      </c>
      <c r="S4" s="4" t="n">
        <v>16</v>
      </c>
      <c r="T4" s="4" t="n">
        <v>17</v>
      </c>
      <c r="U4" s="4" t="n">
        <v>18</v>
      </c>
      <c r="V4" s="4" t="n">
        <v>19</v>
      </c>
      <c r="W4" s="4" t="n">
        <v>20</v>
      </c>
      <c r="X4" s="4" t="n">
        <v>21</v>
      </c>
      <c r="Y4" s="4" t="n">
        <v>22</v>
      </c>
      <c r="Z4" s="4" t="n">
        <v>23</v>
      </c>
      <c r="AA4" s="4" t="n">
        <v>24</v>
      </c>
      <c r="AB4" s="4" t="n">
        <v>25</v>
      </c>
      <c r="AC4" s="4" t="n">
        <v>26</v>
      </c>
      <c r="AD4" s="4" t="n">
        <v>27</v>
      </c>
      <c r="AE4" s="4" t="n">
        <v>28</v>
      </c>
      <c r="AF4" s="4" t="n">
        <v>29</v>
      </c>
      <c r="AG4" s="4" t="n">
        <v>30</v>
      </c>
      <c r="AH4" s="4" t="n">
        <v>31</v>
      </c>
      <c r="AI4" s="4" t="n">
        <v>32</v>
      </c>
      <c r="AJ4" s="4" t="n">
        <v>33</v>
      </c>
      <c r="AK4" s="4" t="n">
        <v>34</v>
      </c>
      <c r="AL4" s="4" t="n">
        <v>35</v>
      </c>
      <c r="AM4" s="4" t="n">
        <v>36</v>
      </c>
      <c r="AN4" s="19" t="n">
        <v>37</v>
      </c>
      <c r="AO4" s="19" t="n">
        <v>38</v>
      </c>
      <c r="AP4" s="19" t="n">
        <v>39</v>
      </c>
      <c r="AQ4" s="19" t="n">
        <v>40</v>
      </c>
      <c r="AR4" s="19" t="n">
        <v>41</v>
      </c>
      <c r="AS4" s="19" t="n">
        <v>42</v>
      </c>
      <c r="AT4" s="19" t="n">
        <v>43</v>
      </c>
      <c r="AU4" s="19" t="n">
        <v>44</v>
      </c>
      <c r="AV4" s="19" t="n">
        <v>45</v>
      </c>
      <c r="AW4" s="19" t="n">
        <v>46</v>
      </c>
      <c r="AX4" s="19" t="n">
        <v>47</v>
      </c>
      <c r="AY4" s="19" t="n">
        <v>48</v>
      </c>
      <c r="AZ4" s="19" t="n">
        <v>49</v>
      </c>
      <c r="BA4" s="19" t="n">
        <v>50</v>
      </c>
      <c r="BB4" s="19" t="n">
        <v>51</v>
      </c>
      <c r="BC4" s="19" t="n">
        <v>52</v>
      </c>
      <c r="BD4" s="19" t="n">
        <v>53</v>
      </c>
      <c r="BE4" s="19" t="n">
        <v>54</v>
      </c>
      <c r="BF4" s="19" t="n">
        <v>55</v>
      </c>
      <c r="BG4" s="19" t="n">
        <v>56</v>
      </c>
      <c r="BH4" s="19" t="n">
        <v>57</v>
      </c>
      <c r="BI4" s="19" t="n">
        <v>58</v>
      </c>
      <c r="BJ4" s="19" t="n">
        <v>59</v>
      </c>
      <c r="BK4" s="19" t="n">
        <v>60</v>
      </c>
    </row>
    <row r="5" customFormat="false" ht="15" hidden="false" customHeight="false" outlineLevel="0" collapsed="false">
      <c r="B5" s="5" t="s">
        <v>403</v>
      </c>
      <c r="C5" s="5" t="s">
        <v>533</v>
      </c>
      <c r="D5" s="5" t="s">
        <v>404</v>
      </c>
      <c r="E5" s="5" t="s">
        <v>405</v>
      </c>
      <c r="F5" s="5" t="s">
        <v>406</v>
      </c>
      <c r="G5" s="5" t="s">
        <v>407</v>
      </c>
      <c r="H5" s="5" t="s">
        <v>408</v>
      </c>
      <c r="I5" s="5" t="s">
        <v>409</v>
      </c>
      <c r="J5" s="5" t="s">
        <v>410</v>
      </c>
      <c r="K5" s="5" t="s">
        <v>411</v>
      </c>
      <c r="L5" s="5" t="s">
        <v>412</v>
      </c>
      <c r="M5" s="5" t="s">
        <v>413</v>
      </c>
      <c r="N5" s="5" t="s">
        <v>414</v>
      </c>
      <c r="O5" s="5" t="s">
        <v>415</v>
      </c>
      <c r="P5" s="5" t="s">
        <v>416</v>
      </c>
      <c r="Q5" s="5" t="s">
        <v>417</v>
      </c>
      <c r="R5" s="5" t="s">
        <v>418</v>
      </c>
      <c r="S5" s="5" t="s">
        <v>419</v>
      </c>
      <c r="T5" s="5" t="s">
        <v>420</v>
      </c>
      <c r="U5" s="5" t="s">
        <v>421</v>
      </c>
      <c r="V5" s="5" t="s">
        <v>422</v>
      </c>
      <c r="W5" s="5" t="s">
        <v>423</v>
      </c>
      <c r="X5" s="5" t="s">
        <v>424</v>
      </c>
      <c r="Y5" s="5" t="s">
        <v>425</v>
      </c>
      <c r="Z5" s="5" t="s">
        <v>426</v>
      </c>
      <c r="AA5" s="5" t="s">
        <v>427</v>
      </c>
      <c r="AB5" s="5" t="s">
        <v>428</v>
      </c>
      <c r="AC5" s="5" t="s">
        <v>429</v>
      </c>
      <c r="AD5" s="5" t="s">
        <v>430</v>
      </c>
      <c r="AE5" s="5" t="s">
        <v>431</v>
      </c>
      <c r="AF5" s="5" t="s">
        <v>432</v>
      </c>
      <c r="AG5" s="5" t="s">
        <v>433</v>
      </c>
      <c r="AH5" s="5" t="s">
        <v>434</v>
      </c>
      <c r="AI5" s="5" t="s">
        <v>435</v>
      </c>
      <c r="AJ5" s="5" t="s">
        <v>436</v>
      </c>
      <c r="AK5" s="5" t="s">
        <v>437</v>
      </c>
      <c r="AL5" s="5" t="s">
        <v>438</v>
      </c>
      <c r="AM5" s="5" t="s">
        <v>439</v>
      </c>
      <c r="AN5" s="5" t="s">
        <v>440</v>
      </c>
      <c r="AO5" s="5" t="s">
        <v>441</v>
      </c>
      <c r="AP5" s="5" t="s">
        <v>442</v>
      </c>
      <c r="AQ5" s="5" t="s">
        <v>443</v>
      </c>
      <c r="AR5" s="5" t="s">
        <v>444</v>
      </c>
      <c r="AS5" s="5" t="s">
        <v>445</v>
      </c>
      <c r="AT5" s="5" t="s">
        <v>446</v>
      </c>
      <c r="AU5" s="5" t="s">
        <v>447</v>
      </c>
      <c r="AV5" s="5" t="s">
        <v>448</v>
      </c>
      <c r="AW5" s="5" t="s">
        <v>449</v>
      </c>
      <c r="AX5" s="5" t="s">
        <v>450</v>
      </c>
      <c r="AY5" s="5" t="s">
        <v>451</v>
      </c>
      <c r="AZ5" s="5" t="s">
        <v>452</v>
      </c>
      <c r="BA5" s="5" t="s">
        <v>453</v>
      </c>
      <c r="BB5" s="5" t="s">
        <v>454</v>
      </c>
      <c r="BC5" s="5" t="s">
        <v>455</v>
      </c>
      <c r="BD5" s="5" t="s">
        <v>456</v>
      </c>
      <c r="BE5" s="5" t="s">
        <v>457</v>
      </c>
      <c r="BF5" s="5" t="s">
        <v>458</v>
      </c>
      <c r="BG5" s="5" t="s">
        <v>459</v>
      </c>
      <c r="BH5" s="5" t="s">
        <v>460</v>
      </c>
      <c r="BI5" s="5" t="s">
        <v>461</v>
      </c>
      <c r="BJ5" s="5" t="s">
        <v>462</v>
      </c>
      <c r="BK5" s="5" t="s">
        <v>463</v>
      </c>
    </row>
    <row r="6" customFormat="false" ht="15" hidden="false" customHeight="false" outlineLevel="0" collapsed="false">
      <c r="B6" s="5" t="s">
        <v>534</v>
      </c>
    </row>
    <row r="7" customFormat="false" ht="15" hidden="false" customHeight="false" outlineLevel="0" collapsed="false">
      <c r="A7" s="28" t="s">
        <v>535</v>
      </c>
      <c r="B7" s="6" t="s">
        <v>532</v>
      </c>
      <c r="C7" s="29" t="n">
        <v>0</v>
      </c>
      <c r="D7" s="30" t="n">
        <v>1</v>
      </c>
      <c r="E7" s="30" t="n">
        <v>2</v>
      </c>
      <c r="F7" s="30" t="n">
        <v>3</v>
      </c>
      <c r="G7" s="30" t="n">
        <v>4</v>
      </c>
      <c r="H7" s="30" t="n">
        <v>5</v>
      </c>
      <c r="I7" s="30" t="n">
        <v>6</v>
      </c>
      <c r="J7" s="30" t="n">
        <v>7</v>
      </c>
      <c r="K7" s="30" t="n">
        <v>8</v>
      </c>
      <c r="L7" s="30" t="n">
        <v>9</v>
      </c>
      <c r="M7" s="30" t="n">
        <v>10</v>
      </c>
      <c r="N7" s="30" t="n">
        <v>11</v>
      </c>
      <c r="O7" s="30" t="n">
        <v>12</v>
      </c>
      <c r="P7" s="30" t="n">
        <v>13</v>
      </c>
      <c r="Q7" s="30" t="n">
        <v>14</v>
      </c>
      <c r="R7" s="30" t="n">
        <v>15</v>
      </c>
      <c r="S7" s="30" t="n">
        <v>16</v>
      </c>
      <c r="T7" s="30" t="n">
        <v>17</v>
      </c>
      <c r="U7" s="30" t="n">
        <v>18</v>
      </c>
      <c r="V7" s="30" t="n">
        <v>19</v>
      </c>
      <c r="W7" s="30" t="n">
        <v>20</v>
      </c>
      <c r="X7" s="30" t="n">
        <v>21</v>
      </c>
      <c r="Y7" s="30" t="n">
        <v>22</v>
      </c>
      <c r="Z7" s="30" t="n">
        <v>23</v>
      </c>
      <c r="AA7" s="30" t="n">
        <v>24</v>
      </c>
      <c r="AB7" s="30" t="n">
        <v>25</v>
      </c>
      <c r="AC7" s="30" t="n">
        <v>26</v>
      </c>
      <c r="AD7" s="30" t="n">
        <v>27</v>
      </c>
      <c r="AE7" s="30" t="n">
        <v>28</v>
      </c>
      <c r="AF7" s="30" t="n">
        <v>29</v>
      </c>
      <c r="AG7" s="30" t="n">
        <v>30</v>
      </c>
      <c r="AH7" s="30" t="n">
        <v>31</v>
      </c>
      <c r="AI7" s="30" t="n">
        <v>32</v>
      </c>
      <c r="AJ7" s="30" t="n">
        <v>33</v>
      </c>
      <c r="AK7" s="30" t="n">
        <v>34</v>
      </c>
      <c r="AL7" s="30" t="n">
        <v>35</v>
      </c>
      <c r="AM7" s="30" t="n">
        <v>36</v>
      </c>
      <c r="AN7" s="31" t="n">
        <v>37</v>
      </c>
      <c r="AO7" s="31" t="n">
        <v>38</v>
      </c>
      <c r="AP7" s="31" t="n">
        <v>39</v>
      </c>
      <c r="AQ7" s="31" t="n">
        <v>40</v>
      </c>
      <c r="AR7" s="31" t="n">
        <v>41</v>
      </c>
      <c r="AS7" s="31" t="n">
        <v>42</v>
      </c>
      <c r="AT7" s="31" t="n">
        <v>43</v>
      </c>
      <c r="AU7" s="31" t="n">
        <v>44</v>
      </c>
      <c r="AV7" s="31" t="n">
        <v>45</v>
      </c>
      <c r="AW7" s="31" t="n">
        <v>46</v>
      </c>
      <c r="AX7" s="31" t="n">
        <v>47</v>
      </c>
      <c r="AY7" s="31" t="n">
        <v>48</v>
      </c>
      <c r="AZ7" s="31" t="n">
        <v>49</v>
      </c>
      <c r="BA7" s="31" t="n">
        <v>50</v>
      </c>
      <c r="BB7" s="31" t="n">
        <v>51</v>
      </c>
      <c r="BC7" s="31" t="n">
        <v>52</v>
      </c>
      <c r="BD7" s="31" t="n">
        <v>53</v>
      </c>
      <c r="BE7" s="31" t="n">
        <v>54</v>
      </c>
      <c r="BF7" s="31" t="n">
        <v>55</v>
      </c>
      <c r="BG7" s="31" t="n">
        <v>56</v>
      </c>
      <c r="BH7" s="31" t="n">
        <v>57</v>
      </c>
      <c r="BI7" s="31" t="n">
        <v>58</v>
      </c>
      <c r="BJ7" s="31" t="n">
        <v>59</v>
      </c>
      <c r="BK7" s="31" t="n">
        <v>60</v>
      </c>
    </row>
    <row r="8" customFormat="false" ht="15" hidden="false" customHeight="false" outlineLevel="0" collapsed="false">
      <c r="A8" s="28" t="s">
        <v>536</v>
      </c>
      <c r="B8" s="6" t="s">
        <v>537</v>
      </c>
      <c r="C8" s="32" t="n">
        <v>0</v>
      </c>
      <c r="D8" s="23" t="n">
        <f aca="false">Assumptions!C$143</f>
        <v>0</v>
      </c>
      <c r="E8" s="23" t="n">
        <f aca="false">Assumptions!D$143</f>
        <v>0</v>
      </c>
      <c r="F8" s="23" t="n">
        <f aca="false">Assumptions!E$143</f>
        <v>0</v>
      </c>
      <c r="G8" s="23" t="n">
        <f aca="false">Assumptions!F$143</f>
        <v>0</v>
      </c>
      <c r="H8" s="23" t="n">
        <f aca="false">Assumptions!G$143</f>
        <v>1</v>
      </c>
      <c r="I8" s="23" t="n">
        <f aca="false">Assumptions!H$143</f>
        <v>0</v>
      </c>
      <c r="J8" s="23" t="n">
        <f aca="false">Assumptions!I$143</f>
        <v>0</v>
      </c>
      <c r="K8" s="23" t="n">
        <f aca="false">Assumptions!J$143</f>
        <v>1</v>
      </c>
      <c r="L8" s="23" t="n">
        <f aca="false">Assumptions!K$143</f>
        <v>1</v>
      </c>
      <c r="M8" s="23" t="n">
        <f aca="false">Assumptions!L$143</f>
        <v>0</v>
      </c>
      <c r="N8" s="23" t="n">
        <f aca="false">Assumptions!M$143</f>
        <v>1</v>
      </c>
      <c r="O8" s="23" t="n">
        <f aca="false">Assumptions!N$143</f>
        <v>1</v>
      </c>
      <c r="P8" s="23" t="n">
        <f aca="false">Assumptions!O$143</f>
        <v>1</v>
      </c>
      <c r="Q8" s="23" t="n">
        <f aca="false">Assumptions!P$143</f>
        <v>1</v>
      </c>
      <c r="R8" s="23" t="n">
        <f aca="false">Assumptions!Q$143</f>
        <v>1</v>
      </c>
      <c r="S8" s="23" t="n">
        <f aca="false">Assumptions!R$143</f>
        <v>1</v>
      </c>
      <c r="T8" s="23" t="n">
        <f aca="false">Assumptions!S$143</f>
        <v>1</v>
      </c>
      <c r="U8" s="23" t="n">
        <f aca="false">Assumptions!T$143</f>
        <v>1</v>
      </c>
      <c r="V8" s="23" t="n">
        <f aca="false">Assumptions!U$143</f>
        <v>1</v>
      </c>
      <c r="W8" s="23" t="n">
        <f aca="false">Assumptions!V$143</f>
        <v>2</v>
      </c>
      <c r="X8" s="23" t="n">
        <f aca="false">Assumptions!W$143</f>
        <v>1</v>
      </c>
      <c r="Y8" s="23" t="n">
        <f aca="false">Assumptions!X$143</f>
        <v>1</v>
      </c>
      <c r="Z8" s="23" t="n">
        <f aca="false">Assumptions!Y$143</f>
        <v>2</v>
      </c>
      <c r="AA8" s="23" t="n">
        <f aca="false">Assumptions!Z$143</f>
        <v>1</v>
      </c>
      <c r="AB8" s="23" t="n">
        <f aca="false">Assumptions!AA$143</f>
        <v>1</v>
      </c>
      <c r="AC8" s="23" t="n">
        <f aca="false">Assumptions!AB$143</f>
        <v>2</v>
      </c>
      <c r="AD8" s="23" t="n">
        <f aca="false">Assumptions!AC$143</f>
        <v>2</v>
      </c>
      <c r="AE8" s="23" t="n">
        <f aca="false">Assumptions!AD$143</f>
        <v>1</v>
      </c>
      <c r="AF8" s="23" t="n">
        <f aca="false">Assumptions!AE$143</f>
        <v>2</v>
      </c>
      <c r="AG8" s="23" t="n">
        <f aca="false">Assumptions!AF$143</f>
        <v>2</v>
      </c>
      <c r="AH8" s="23" t="n">
        <f aca="false">Assumptions!AG$143</f>
        <v>1</v>
      </c>
      <c r="AI8" s="23" t="n">
        <f aca="false">Assumptions!AH$143</f>
        <v>2</v>
      </c>
      <c r="AJ8" s="23" t="n">
        <f aca="false">Assumptions!AI$143</f>
        <v>2</v>
      </c>
      <c r="AK8" s="23" t="n">
        <f aca="false">Assumptions!AJ$143</f>
        <v>2</v>
      </c>
      <c r="AL8" s="23" t="n">
        <f aca="false">Assumptions!AK$143</f>
        <v>2</v>
      </c>
      <c r="AM8" s="23" t="n">
        <f aca="false">Assumptions!AL$143</f>
        <v>2</v>
      </c>
      <c r="AN8" s="33" t="n">
        <f aca="false">Assumptions!AM$143</f>
        <v>2</v>
      </c>
      <c r="AO8" s="33" t="n">
        <f aca="false">Assumptions!AN$143</f>
        <v>2</v>
      </c>
      <c r="AP8" s="33" t="n">
        <f aca="false">Assumptions!AO$143</f>
        <v>2</v>
      </c>
      <c r="AQ8" s="33" t="n">
        <f aca="false">Assumptions!AP$143</f>
        <v>2</v>
      </c>
      <c r="AR8" s="33" t="n">
        <f aca="false">Assumptions!AQ$143</f>
        <v>2</v>
      </c>
      <c r="AS8" s="33" t="n">
        <f aca="false">Assumptions!AR$143</f>
        <v>2</v>
      </c>
      <c r="AT8" s="33" t="n">
        <f aca="false">Assumptions!AS$143</f>
        <v>2</v>
      </c>
      <c r="AU8" s="33" t="n">
        <f aca="false">Assumptions!AT$143</f>
        <v>2</v>
      </c>
      <c r="AV8" s="33" t="n">
        <f aca="false">Assumptions!AU$143</f>
        <v>2</v>
      </c>
      <c r="AW8" s="33" t="n">
        <f aca="false">Assumptions!AV$143</f>
        <v>2</v>
      </c>
      <c r="AX8" s="33" t="n">
        <f aca="false">Assumptions!AW$143</f>
        <v>2</v>
      </c>
      <c r="AY8" s="33" t="n">
        <f aca="false">Assumptions!AX$143</f>
        <v>2</v>
      </c>
      <c r="AZ8" s="33" t="n">
        <f aca="false">Assumptions!AY$143</f>
        <v>2</v>
      </c>
      <c r="BA8" s="33" t="n">
        <f aca="false">Assumptions!AZ$143</f>
        <v>2</v>
      </c>
      <c r="BB8" s="33" t="n">
        <f aca="false">Assumptions!BA$143</f>
        <v>2</v>
      </c>
      <c r="BC8" s="33" t="n">
        <f aca="false">Assumptions!BB$143</f>
        <v>2</v>
      </c>
      <c r="BD8" s="33" t="n">
        <f aca="false">Assumptions!BC$143</f>
        <v>2</v>
      </c>
      <c r="BE8" s="33" t="n">
        <f aca="false">Assumptions!BD$143</f>
        <v>2</v>
      </c>
      <c r="BF8" s="33" t="n">
        <f aca="false">Assumptions!BE$143</f>
        <v>2</v>
      </c>
      <c r="BG8" s="33" t="n">
        <f aca="false">Assumptions!BF$143</f>
        <v>2</v>
      </c>
      <c r="BH8" s="33" t="n">
        <f aca="false">Assumptions!BG$143</f>
        <v>2</v>
      </c>
      <c r="BI8" s="33" t="n">
        <f aca="false">Assumptions!BH$143</f>
        <v>2</v>
      </c>
      <c r="BJ8" s="33" t="n">
        <f aca="false">Assumptions!BI$143</f>
        <v>2</v>
      </c>
      <c r="BK8" s="33" t="n">
        <f aca="false">Assumptions!BJ$143</f>
        <v>2</v>
      </c>
    </row>
    <row r="9" customFormat="false" ht="15" hidden="false" customHeight="false" outlineLevel="0" collapsed="false">
      <c r="A9" s="28" t="s">
        <v>538</v>
      </c>
      <c r="B9" s="6" t="s">
        <v>539</v>
      </c>
      <c r="C9" s="32" t="n">
        <v>0</v>
      </c>
      <c r="D9" s="34" t="n">
        <f aca="false">C9+D8</f>
        <v>0</v>
      </c>
      <c r="E9" s="34" t="n">
        <f aca="false">D9+E8</f>
        <v>0</v>
      </c>
      <c r="F9" s="34" t="n">
        <f aca="false">E9+F8</f>
        <v>0</v>
      </c>
      <c r="G9" s="34" t="n">
        <f aca="false">F9+G8</f>
        <v>0</v>
      </c>
      <c r="H9" s="34" t="n">
        <f aca="false">G9+H8</f>
        <v>1</v>
      </c>
      <c r="I9" s="34" t="n">
        <f aca="false">H9+I8</f>
        <v>1</v>
      </c>
      <c r="J9" s="34" t="n">
        <f aca="false">I9+J8</f>
        <v>1</v>
      </c>
      <c r="K9" s="34" t="n">
        <f aca="false">J9+K8</f>
        <v>2</v>
      </c>
      <c r="L9" s="34" t="n">
        <f aca="false">K9+L8</f>
        <v>3</v>
      </c>
      <c r="M9" s="34" t="n">
        <f aca="false">L9+M8</f>
        <v>3</v>
      </c>
      <c r="N9" s="34" t="n">
        <f aca="false">M9+N8</f>
        <v>4</v>
      </c>
      <c r="O9" s="34" t="n">
        <f aca="false">N9+O8</f>
        <v>5</v>
      </c>
      <c r="P9" s="34" t="n">
        <f aca="false">O9+P8</f>
        <v>6</v>
      </c>
      <c r="Q9" s="34" t="n">
        <f aca="false">P9+Q8</f>
        <v>7</v>
      </c>
      <c r="R9" s="34" t="n">
        <f aca="false">Q9+R8</f>
        <v>8</v>
      </c>
      <c r="S9" s="34" t="n">
        <f aca="false">R9+S8</f>
        <v>9</v>
      </c>
      <c r="T9" s="34" t="n">
        <f aca="false">S9+T8</f>
        <v>10</v>
      </c>
      <c r="U9" s="34" t="n">
        <f aca="false">T9+U8</f>
        <v>11</v>
      </c>
      <c r="V9" s="34" t="n">
        <f aca="false">U9+V8</f>
        <v>12</v>
      </c>
      <c r="W9" s="34" t="n">
        <f aca="false">V9+W8</f>
        <v>14</v>
      </c>
      <c r="X9" s="34" t="n">
        <f aca="false">W9+X8</f>
        <v>15</v>
      </c>
      <c r="Y9" s="34" t="n">
        <f aca="false">X9+Y8</f>
        <v>16</v>
      </c>
      <c r="Z9" s="34" t="n">
        <f aca="false">Y9+Z8</f>
        <v>18</v>
      </c>
      <c r="AA9" s="34" t="n">
        <f aca="false">Z9+AA8</f>
        <v>19</v>
      </c>
      <c r="AB9" s="34" t="n">
        <f aca="false">AA9+AB8</f>
        <v>20</v>
      </c>
      <c r="AC9" s="34" t="n">
        <f aca="false">AB9+AC8</f>
        <v>22</v>
      </c>
      <c r="AD9" s="34" t="n">
        <f aca="false">AC9+AD8</f>
        <v>24</v>
      </c>
      <c r="AE9" s="34" t="n">
        <f aca="false">AD9+AE8</f>
        <v>25</v>
      </c>
      <c r="AF9" s="34" t="n">
        <f aca="false">AE9+AF8</f>
        <v>27</v>
      </c>
      <c r="AG9" s="34" t="n">
        <f aca="false">AF9+AG8</f>
        <v>29</v>
      </c>
      <c r="AH9" s="34" t="n">
        <f aca="false">AG9+AH8</f>
        <v>30</v>
      </c>
      <c r="AI9" s="34" t="n">
        <f aca="false">AH9+AI8</f>
        <v>32</v>
      </c>
      <c r="AJ9" s="34" t="n">
        <f aca="false">AI9+AJ8</f>
        <v>34</v>
      </c>
      <c r="AK9" s="34" t="n">
        <f aca="false">AJ9+AK8</f>
        <v>36</v>
      </c>
      <c r="AL9" s="34" t="n">
        <f aca="false">AK9+AL8</f>
        <v>38</v>
      </c>
      <c r="AM9" s="34" t="n">
        <f aca="false">AL9+AM8</f>
        <v>40</v>
      </c>
      <c r="AN9" s="35" t="n">
        <f aca="false">AM9+AN8</f>
        <v>42</v>
      </c>
      <c r="AO9" s="35" t="n">
        <f aca="false">AN9+AO8</f>
        <v>44</v>
      </c>
      <c r="AP9" s="35" t="n">
        <f aca="false">AO9+AP8</f>
        <v>46</v>
      </c>
      <c r="AQ9" s="35" t="n">
        <f aca="false">AP9+AQ8</f>
        <v>48</v>
      </c>
      <c r="AR9" s="35" t="n">
        <f aca="false">AQ9+AR8</f>
        <v>50</v>
      </c>
      <c r="AS9" s="35" t="n">
        <f aca="false">AR9+AS8</f>
        <v>52</v>
      </c>
      <c r="AT9" s="35" t="n">
        <f aca="false">AS9+AT8</f>
        <v>54</v>
      </c>
      <c r="AU9" s="35" t="n">
        <f aca="false">AT9+AU8</f>
        <v>56</v>
      </c>
      <c r="AV9" s="35" t="n">
        <f aca="false">AU9+AV8</f>
        <v>58</v>
      </c>
      <c r="AW9" s="35" t="n">
        <f aca="false">AV9+AW8</f>
        <v>60</v>
      </c>
      <c r="AX9" s="35" t="n">
        <f aca="false">AW9+AX8</f>
        <v>62</v>
      </c>
      <c r="AY9" s="35" t="n">
        <f aca="false">AX9+AY8</f>
        <v>64</v>
      </c>
      <c r="AZ9" s="35" t="n">
        <f aca="false">AY9+AZ8</f>
        <v>66</v>
      </c>
      <c r="BA9" s="35" t="n">
        <f aca="false">AZ9+BA8</f>
        <v>68</v>
      </c>
      <c r="BB9" s="35" t="n">
        <f aca="false">BA9+BB8</f>
        <v>70</v>
      </c>
      <c r="BC9" s="35" t="n">
        <f aca="false">BB9+BC8</f>
        <v>72</v>
      </c>
      <c r="BD9" s="35" t="n">
        <f aca="false">BC9+BD8</f>
        <v>74</v>
      </c>
      <c r="BE9" s="35" t="n">
        <f aca="false">BD9+BE8</f>
        <v>76</v>
      </c>
      <c r="BF9" s="35" t="n">
        <f aca="false">BE9+BF8</f>
        <v>78</v>
      </c>
      <c r="BG9" s="35" t="n">
        <f aca="false">BF9+BG8</f>
        <v>80</v>
      </c>
      <c r="BH9" s="35" t="n">
        <f aca="false">BG9+BH8</f>
        <v>82</v>
      </c>
      <c r="BI9" s="35" t="n">
        <f aca="false">BH9+BI8</f>
        <v>84</v>
      </c>
      <c r="BJ9" s="35" t="n">
        <f aca="false">BI9+BJ8</f>
        <v>86</v>
      </c>
      <c r="BK9" s="35" t="n">
        <f aca="false">BJ9+BK8</f>
        <v>88</v>
      </c>
    </row>
    <row r="10" customFormat="false" ht="15" hidden="false" customHeight="false" outlineLevel="0" collapsed="false">
      <c r="A10" s="28" t="s">
        <v>540</v>
      </c>
      <c r="B10" s="6" t="s">
        <v>541</v>
      </c>
      <c r="C10" s="32" t="n">
        <v>0</v>
      </c>
      <c r="D10" s="34" t="n">
        <f aca="false">IF(D7&gt;Assumptions!$G$79,INDEX($D$9:$BK$9,D7-Assumptions!$G$79),0)</f>
        <v>0</v>
      </c>
      <c r="E10" s="34" t="n">
        <f aca="false">IF(E7&gt;Assumptions!$G$79,INDEX($D$9:$BK$9,E7-Assumptions!$G$79),0)</f>
        <v>0</v>
      </c>
      <c r="F10" s="34" t="n">
        <f aca="false">IF(F7&gt;Assumptions!$G$79,INDEX($D$9:$BK$9,F7-Assumptions!$G$79),0)</f>
        <v>0</v>
      </c>
      <c r="G10" s="34" t="n">
        <f aca="false">IF(G7&gt;Assumptions!$G$79,INDEX($D$9:$BK$9,G7-Assumptions!$G$79),0)</f>
        <v>0</v>
      </c>
      <c r="H10" s="34" t="n">
        <f aca="false">IF(H7&gt;Assumptions!$G$79,INDEX($D$9:$BK$9,H7-Assumptions!$G$79),0)</f>
        <v>0</v>
      </c>
      <c r="I10" s="34" t="n">
        <f aca="false">IF(I7&gt;Assumptions!$G$79,INDEX($D$9:$BK$9,I7-Assumptions!$G$79),0)</f>
        <v>0</v>
      </c>
      <c r="J10" s="34" t="n">
        <f aca="false">IF(J7&gt;Assumptions!$G$79,INDEX($D$9:$BK$9,J7-Assumptions!$G$79),0)</f>
        <v>0</v>
      </c>
      <c r="K10" s="34" t="n">
        <f aca="false">IF(K7&gt;Assumptions!$G$79,INDEX($D$9:$BK$9,K7-Assumptions!$G$79),0)</f>
        <v>0</v>
      </c>
      <c r="L10" s="34" t="n">
        <f aca="false">IF(L7&gt;Assumptions!$G$79,INDEX($D$9:$BK$9,L7-Assumptions!$G$79),0)</f>
        <v>0</v>
      </c>
      <c r="M10" s="34" t="n">
        <f aca="false">IF(M7&gt;Assumptions!$G$79,INDEX($D$9:$BK$9,M7-Assumptions!$G$79),0)</f>
        <v>0</v>
      </c>
      <c r="N10" s="34" t="n">
        <f aca="false">IF(N7&gt;Assumptions!$G$79,INDEX($D$9:$BK$9,N7-Assumptions!$G$79),0)</f>
        <v>1</v>
      </c>
      <c r="O10" s="34" t="n">
        <f aca="false">IF(O7&gt;Assumptions!$G$79,INDEX($D$9:$BK$9,O7-Assumptions!$G$79),0)</f>
        <v>1</v>
      </c>
      <c r="P10" s="34" t="n">
        <f aca="false">IF(P7&gt;Assumptions!$G$79,INDEX($D$9:$BK$9,P7-Assumptions!$G$79),0)</f>
        <v>1</v>
      </c>
      <c r="Q10" s="34" t="n">
        <f aca="false">IF(Q7&gt;Assumptions!$G$79,INDEX($D$9:$BK$9,Q7-Assumptions!$G$79),0)</f>
        <v>2</v>
      </c>
      <c r="R10" s="34" t="n">
        <f aca="false">IF(R7&gt;Assumptions!$G$79,INDEX($D$9:$BK$9,R7-Assumptions!$G$79),0)</f>
        <v>3</v>
      </c>
      <c r="S10" s="34" t="n">
        <f aca="false">IF(S7&gt;Assumptions!$G$79,INDEX($D$9:$BK$9,S7-Assumptions!$G$79),0)</f>
        <v>3</v>
      </c>
      <c r="T10" s="34" t="n">
        <f aca="false">IF(T7&gt;Assumptions!$G$79,INDEX($D$9:$BK$9,T7-Assumptions!$G$79),0)</f>
        <v>4</v>
      </c>
      <c r="U10" s="34" t="n">
        <f aca="false">IF(U7&gt;Assumptions!$G$79,INDEX($D$9:$BK$9,U7-Assumptions!$G$79),0)</f>
        <v>5</v>
      </c>
      <c r="V10" s="34" t="n">
        <f aca="false">IF(V7&gt;Assumptions!$G$79,INDEX($D$9:$BK$9,V7-Assumptions!$G$79),0)</f>
        <v>6</v>
      </c>
      <c r="W10" s="34" t="n">
        <f aca="false">IF(W7&gt;Assumptions!$G$79,INDEX($D$9:$BK$9,W7-Assumptions!$G$79),0)</f>
        <v>7</v>
      </c>
      <c r="X10" s="34" t="n">
        <f aca="false">IF(X7&gt;Assumptions!$G$79,INDEX($D$9:$BK$9,X7-Assumptions!$G$79),0)</f>
        <v>8</v>
      </c>
      <c r="Y10" s="34" t="n">
        <f aca="false">IF(Y7&gt;Assumptions!$G$79,INDEX($D$9:$BK$9,Y7-Assumptions!$G$79),0)</f>
        <v>9</v>
      </c>
      <c r="Z10" s="34" t="n">
        <f aca="false">IF(Z7&gt;Assumptions!$G$79,INDEX($D$9:$BK$9,Z7-Assumptions!$G$79),0)</f>
        <v>10</v>
      </c>
      <c r="AA10" s="34" t="n">
        <f aca="false">IF(AA7&gt;Assumptions!$G$79,INDEX($D$9:$BK$9,AA7-Assumptions!$G$79),0)</f>
        <v>11</v>
      </c>
      <c r="AB10" s="34" t="n">
        <f aca="false">IF(AB7&gt;Assumptions!$G$79,INDEX($D$9:$BK$9,AB7-Assumptions!$G$79),0)</f>
        <v>12</v>
      </c>
      <c r="AC10" s="34" t="n">
        <f aca="false">IF(AC7&gt;Assumptions!$G$79,INDEX($D$9:$BK$9,AC7-Assumptions!$G$79),0)</f>
        <v>14</v>
      </c>
      <c r="AD10" s="34" t="n">
        <f aca="false">IF(AD7&gt;Assumptions!$G$79,INDEX($D$9:$BK$9,AD7-Assumptions!$G$79),0)</f>
        <v>15</v>
      </c>
      <c r="AE10" s="34" t="n">
        <f aca="false">IF(AE7&gt;Assumptions!$G$79,INDEX($D$9:$BK$9,AE7-Assumptions!$G$79),0)</f>
        <v>16</v>
      </c>
      <c r="AF10" s="34" t="n">
        <f aca="false">IF(AF7&gt;Assumptions!$G$79,INDEX($D$9:$BK$9,AF7-Assumptions!$G$79),0)</f>
        <v>18</v>
      </c>
      <c r="AG10" s="34" t="n">
        <f aca="false">IF(AG7&gt;Assumptions!$G$79,INDEX($D$9:$BK$9,AG7-Assumptions!$G$79),0)</f>
        <v>19</v>
      </c>
      <c r="AH10" s="34" t="n">
        <f aca="false">IF(AH7&gt;Assumptions!$G$79,INDEX($D$9:$BK$9,AH7-Assumptions!$G$79),0)</f>
        <v>20</v>
      </c>
      <c r="AI10" s="34" t="n">
        <f aca="false">IF(AI7&gt;Assumptions!$G$79,INDEX($D$9:$BK$9,AI7-Assumptions!$G$79),0)</f>
        <v>22</v>
      </c>
      <c r="AJ10" s="34" t="n">
        <f aca="false">IF(AJ7&gt;Assumptions!$G$79,INDEX($D$9:$BK$9,AJ7-Assumptions!$G$79),0)</f>
        <v>24</v>
      </c>
      <c r="AK10" s="34" t="n">
        <f aca="false">IF(AK7&gt;Assumptions!$G$79,INDEX($D$9:$BK$9,AK7-Assumptions!$G$79),0)</f>
        <v>25</v>
      </c>
      <c r="AL10" s="34" t="n">
        <f aca="false">IF(AL7&gt;Assumptions!$G$79,INDEX($D$9:$BK$9,AL7-Assumptions!$G$79),0)</f>
        <v>27</v>
      </c>
      <c r="AM10" s="34" t="n">
        <f aca="false">IF(AM7&gt;Assumptions!$G$79,INDEX($D$9:$BK$9,AM7-Assumptions!$G$79),0)</f>
        <v>29</v>
      </c>
      <c r="AN10" s="35" t="n">
        <f aca="false">IF(AN7&gt;Assumptions!$G$79,INDEX($D$9:$BK$9,AN7-Assumptions!$G$79),0)</f>
        <v>30</v>
      </c>
      <c r="AO10" s="35" t="n">
        <f aca="false">IF(AO7&gt;Assumptions!$G$79,INDEX($D$9:$BK$9,AO7-Assumptions!$G$79),0)</f>
        <v>32</v>
      </c>
      <c r="AP10" s="35" t="n">
        <f aca="false">IF(AP7&gt;Assumptions!$G$79,INDEX($D$9:$BK$9,AP7-Assumptions!$G$79),0)</f>
        <v>34</v>
      </c>
      <c r="AQ10" s="35" t="n">
        <f aca="false">IF(AQ7&gt;Assumptions!$G$79,INDEX($D$9:$BK$9,AQ7-Assumptions!$G$79),0)</f>
        <v>36</v>
      </c>
      <c r="AR10" s="35" t="n">
        <f aca="false">IF(AR7&gt;Assumptions!$G$79,INDEX($D$9:$BK$9,AR7-Assumptions!$G$79),0)</f>
        <v>38</v>
      </c>
      <c r="AS10" s="35" t="n">
        <f aca="false">IF(AS7&gt;Assumptions!$G$79,INDEX($D$9:$BK$9,AS7-Assumptions!$G$79),0)</f>
        <v>40</v>
      </c>
      <c r="AT10" s="35" t="n">
        <f aca="false">IF(AT7&gt;Assumptions!$G$79,INDEX($D$9:$BK$9,AT7-Assumptions!$G$79),0)</f>
        <v>42</v>
      </c>
      <c r="AU10" s="35" t="n">
        <f aca="false">IF(AU7&gt;Assumptions!$G$79,INDEX($D$9:$BK$9,AU7-Assumptions!$G$79),0)</f>
        <v>44</v>
      </c>
      <c r="AV10" s="35" t="n">
        <f aca="false">IF(AV7&gt;Assumptions!$G$79,INDEX($D$9:$BK$9,AV7-Assumptions!$G$79),0)</f>
        <v>46</v>
      </c>
      <c r="AW10" s="35" t="n">
        <f aca="false">IF(AW7&gt;Assumptions!$G$79,INDEX($D$9:$BK$9,AW7-Assumptions!$G$79),0)</f>
        <v>48</v>
      </c>
      <c r="AX10" s="35" t="n">
        <f aca="false">IF(AX7&gt;Assumptions!$G$79,INDEX($D$9:$BK$9,AX7-Assumptions!$G$79),0)</f>
        <v>50</v>
      </c>
      <c r="AY10" s="35" t="n">
        <f aca="false">IF(AY7&gt;Assumptions!$G$79,INDEX($D$9:$BK$9,AY7-Assumptions!$G$79),0)</f>
        <v>52</v>
      </c>
      <c r="AZ10" s="35" t="n">
        <f aca="false">IF(AZ7&gt;Assumptions!$G$79,INDEX($D$9:$BK$9,AZ7-Assumptions!$G$79),0)</f>
        <v>54</v>
      </c>
      <c r="BA10" s="35" t="n">
        <f aca="false">IF(BA7&gt;Assumptions!$G$79,INDEX($D$9:$BK$9,BA7-Assumptions!$G$79),0)</f>
        <v>56</v>
      </c>
      <c r="BB10" s="35" t="n">
        <f aca="false">IF(BB7&gt;Assumptions!$G$79,INDEX($D$9:$BK$9,BB7-Assumptions!$G$79),0)</f>
        <v>58</v>
      </c>
      <c r="BC10" s="35" t="n">
        <f aca="false">IF(BC7&gt;Assumptions!$G$79,INDEX($D$9:$BK$9,BC7-Assumptions!$G$79),0)</f>
        <v>60</v>
      </c>
      <c r="BD10" s="35" t="n">
        <f aca="false">IF(BD7&gt;Assumptions!$G$79,INDEX($D$9:$BK$9,BD7-Assumptions!$G$79),0)</f>
        <v>62</v>
      </c>
      <c r="BE10" s="35" t="n">
        <f aca="false">IF(BE7&gt;Assumptions!$G$79,INDEX($D$9:$BK$9,BE7-Assumptions!$G$79),0)</f>
        <v>64</v>
      </c>
      <c r="BF10" s="35" t="n">
        <f aca="false">IF(BF7&gt;Assumptions!$G$79,INDEX($D$9:$BK$9,BF7-Assumptions!$G$79),0)</f>
        <v>66</v>
      </c>
      <c r="BG10" s="35" t="n">
        <f aca="false">IF(BG7&gt;Assumptions!$G$79,INDEX($D$9:$BK$9,BG7-Assumptions!$G$79),0)</f>
        <v>68</v>
      </c>
      <c r="BH10" s="35" t="n">
        <f aca="false">IF(BH7&gt;Assumptions!$G$79,INDEX($D$9:$BK$9,BH7-Assumptions!$G$79),0)</f>
        <v>70</v>
      </c>
      <c r="BI10" s="35" t="n">
        <f aca="false">IF(BI7&gt;Assumptions!$G$79,INDEX($D$9:$BK$9,BI7-Assumptions!$G$79),0)</f>
        <v>72</v>
      </c>
      <c r="BJ10" s="35" t="n">
        <f aca="false">IF(BJ7&gt;Assumptions!$G$79,INDEX($D$9:$BK$9,BJ7-Assumptions!$G$79),0)</f>
        <v>74</v>
      </c>
      <c r="BK10" s="35" t="n">
        <f aca="false">IF(BK7&gt;Assumptions!$G$79,INDEX($D$9:$BK$9,BK7-Assumptions!$G$79),0)</f>
        <v>76</v>
      </c>
    </row>
    <row r="11" customFormat="false" ht="15" hidden="false" customHeight="false" outlineLevel="0" collapsed="false">
      <c r="A11" s="28" t="s">
        <v>542</v>
      </c>
      <c r="B11" s="6" t="s">
        <v>543</v>
      </c>
      <c r="C11" s="36" t="n">
        <v>0</v>
      </c>
      <c r="D11" s="26" t="n">
        <f aca="false">Assumptions!$G$10*(D8*Assumptions!$G$111)</f>
        <v>0</v>
      </c>
      <c r="E11" s="26" t="n">
        <f aca="false">Assumptions!$G$10*(E8*Assumptions!$G$111+D8*Assumptions!$G$112)</f>
        <v>0</v>
      </c>
      <c r="F11" s="26" t="n">
        <f aca="false">Assumptions!$G$10*(F8*Assumptions!$G$111+E8*Assumptions!$G$112+D8*Assumptions!$G$113)</f>
        <v>0</v>
      </c>
      <c r="G11" s="26" t="n">
        <f aca="false">Assumptions!$G$10*(G8*Assumptions!$G$111+F8*Assumptions!$G$112+E8*Assumptions!$G$113+D8*Assumptions!$G$114)</f>
        <v>0</v>
      </c>
      <c r="H11" s="26" t="n">
        <f aca="false">Assumptions!$G$10*(H8*Assumptions!$G$111+G8*Assumptions!$G$112+F8*Assumptions!$G$113+E8*Assumptions!$G$114+D8*Assumptions!$G$115)</f>
        <v>8.075</v>
      </c>
      <c r="I11" s="26" t="n">
        <f aca="false">Assumptions!$G$10*(I8*Assumptions!$G$111+H8*Assumptions!$G$112+G8*Assumptions!$G$113+F8*Assumptions!$G$114+E8*Assumptions!$G$115+D8*Assumptions!$G$116)</f>
        <v>7.106</v>
      </c>
      <c r="J11" s="26" t="n">
        <f aca="false">Assumptions!$G$10*(J8*Assumptions!$G$111+I8*Assumptions!$G$112+H8*Assumptions!$G$113+G8*Assumptions!$G$114+F8*Assumptions!$G$115+E8*Assumptions!$G$116+D8*Assumptions!$G$117)</f>
        <v>4.845</v>
      </c>
      <c r="K11" s="26" t="n">
        <f aca="false">Assumptions!$G$10*(K8*Assumptions!$G$111+J8*Assumptions!$G$112+I8*Assumptions!$G$113+H8*Assumptions!$G$114+G8*Assumptions!$G$115+F8*Assumptions!$G$116+E8*Assumptions!$G$117+D8*Assumptions!$G$118)</f>
        <v>11.305</v>
      </c>
      <c r="L11" s="26" t="n">
        <f aca="false">Assumptions!$G$10*(L8*Assumptions!$G$111+K8*Assumptions!$G$112+J8*Assumptions!$G$113+I8*Assumptions!$G$114+H8*Assumptions!$G$115+G8*Assumptions!$G$116+F8*Assumptions!$G$117+E8*Assumptions!$G$118+D8*Assumptions!$G$119)</f>
        <v>17.119</v>
      </c>
      <c r="M11" s="26" t="n">
        <f aca="false">Assumptions!$G$10*(M8*Assumptions!$G$111+L8*Assumptions!$G$112+K8*Assumptions!$G$113+J8*Assumptions!$G$114+I8*Assumptions!$G$115+H8*Assumptions!$G$116+G8*Assumptions!$G$117+F8*Assumptions!$G$118+E8*Assumptions!$G$119+D8*Assumptions!$G$120)</f>
        <v>13.566</v>
      </c>
      <c r="N11" s="26" t="n">
        <f aca="false">Assumptions!$G$10*(N8*Assumptions!$G$111+M8*Assumptions!$G$112+L8*Assumptions!$G$113+K8*Assumptions!$G$114+J8*Assumptions!$G$115+I8*Assumptions!$G$116+H8*Assumptions!$G$117+G8*Assumptions!$G$118+F8*Assumptions!$G$119+E8*Assumptions!$G$120+D8*Assumptions!$G$121)</f>
        <v>16.473</v>
      </c>
      <c r="O11" s="26" t="n">
        <f aca="false">Assumptions!$G$10*(O8*Assumptions!$G$111+N8*Assumptions!$G$112+M8*Assumptions!$G$113+L8*Assumptions!$G$114+K8*Assumptions!$G$115+J8*Assumptions!$G$116+I8*Assumptions!$G$117+H8*Assumptions!$G$118+G8*Assumptions!$G$119+F8*Assumptions!$G$120+E8*Assumptions!$G$121+D8*Assumptions!$G$122)</f>
        <v>20.672</v>
      </c>
      <c r="P11" s="26" t="n">
        <f aca="false">Assumptions!$G$10*(P8*Assumptions!$G$111+O8*Assumptions!$G$112+N8*Assumptions!$G$113+M8*Assumptions!$G$114+L8*Assumptions!$G$115+K8*Assumptions!$G$116+J8*Assumptions!$G$117+I8*Assumptions!$G$118+H8*Assumptions!$G$119+G8*Assumptions!$G$120+F8*Assumptions!$G$121+E8*Assumptions!$G$122+D8*Assumptions!$G$123)</f>
        <v>23.902</v>
      </c>
      <c r="Q11" s="26" t="n">
        <f aca="false">Assumptions!$G$10*(Q8*Assumptions!$G$111+P8*Assumptions!$G$112+O8*Assumptions!$G$113+N8*Assumptions!$G$114+M8*Assumptions!$G$115+L8*Assumptions!$G$116+K8*Assumptions!$G$117+J8*Assumptions!$G$118+I8*Assumptions!$G$119+H8*Assumptions!$G$120+G8*Assumptions!$G$121+F8*Assumptions!$G$122+E8*Assumptions!$G$123+D8*Assumptions!$G$124)</f>
        <v>25.517</v>
      </c>
      <c r="R11" s="26" t="n">
        <f aca="false">Assumptions!$G$10*(R8*Assumptions!$G$111+Q8*Assumptions!$G$112+P8*Assumptions!$G$113+O8*Assumptions!$G$114+N8*Assumptions!$G$115+M8*Assumptions!$G$116+L8*Assumptions!$G$117+K8*Assumptions!$G$118+J8*Assumptions!$G$119+I8*Assumptions!$G$120+H8*Assumptions!$G$121+G8*Assumptions!$G$122+F8*Assumptions!$G$123+E8*Assumptions!$G$124+D8*Assumptions!$G$125)</f>
        <v>26.163</v>
      </c>
      <c r="S11" s="26" t="n">
        <f aca="false">Assumptions!$G$10*(S8*Assumptions!$G$111+R8*Assumptions!$G$112+Q8*Assumptions!$G$113+P8*Assumptions!$G$114+O8*Assumptions!$G$115+N8*Assumptions!$G$116+M8*Assumptions!$G$117+L8*Assumptions!$G$118+K8*Assumptions!$G$119+J8*Assumptions!$G$120+I8*Assumptions!$G$121+H8*Assumptions!$G$122+G8*Assumptions!$G$123+F8*Assumptions!$G$124+E8*Assumptions!$G$125+D8*Assumptions!$G$126)</f>
        <v>27.778</v>
      </c>
      <c r="T11" s="26" t="n">
        <f aca="false">Assumptions!$G$10*(T8*Assumptions!$G$111+S8*Assumptions!$G$112+R8*Assumptions!$G$113+Q8*Assumptions!$G$114+P8*Assumptions!$G$115+O8*Assumptions!$G$116+N8*Assumptions!$G$117+M8*Assumptions!$G$118+L8*Assumptions!$G$119+K8*Assumptions!$G$120+J8*Assumptions!$G$121+I8*Assumptions!$G$122+H8*Assumptions!$G$123+G8*Assumptions!$G$124+F8*Assumptions!$G$125+E8*Assumptions!$G$126+D8*Assumptions!$G$127)</f>
        <v>28.101</v>
      </c>
      <c r="U11" s="26" t="n">
        <f aca="false">Assumptions!$G$10*(U8*Assumptions!$G$111+T8*Assumptions!$G$112+S8*Assumptions!$G$113+R8*Assumptions!$G$114+Q8*Assumptions!$G$115+P8*Assumptions!$G$116+O8*Assumptions!$G$117+N8*Assumptions!$G$118+M8*Assumptions!$G$119+L8*Assumptions!$G$120+K8*Assumptions!$G$121+J8*Assumptions!$G$122+I8*Assumptions!$G$123+H8*Assumptions!$G$124+G8*Assumptions!$G$125+F8*Assumptions!$G$126+E8*Assumptions!$G$127+D8*Assumptions!$G$128)</f>
        <v>28.424</v>
      </c>
      <c r="V11" s="26" t="n">
        <f aca="false">Assumptions!$G$10*(V8*Assumptions!$G$111+U8*Assumptions!$G$112+T8*Assumptions!$G$113+S8*Assumptions!$G$114+R8*Assumptions!$G$115+Q8*Assumptions!$G$116+P8*Assumptions!$G$117+O8*Assumptions!$G$118+N8*Assumptions!$G$119+M8*Assumptions!$G$120+L8*Assumptions!$G$121+K8*Assumptions!$G$122+J8*Assumptions!$G$123+I8*Assumptions!$G$124+H8*Assumptions!$G$125+G8*Assumptions!$G$126+F8*Assumptions!$G$127+E8*Assumptions!$G$128+D8*Assumptions!$G$129)</f>
        <v>28.747</v>
      </c>
      <c r="W11" s="26" t="n">
        <f aca="false">Assumptions!$G$10*(W8*Assumptions!$G$111+V8*Assumptions!$G$112+U8*Assumptions!$G$113+T8*Assumptions!$G$114+S8*Assumptions!$G$115+R8*Assumptions!$G$116+Q8*Assumptions!$G$117+P8*Assumptions!$G$118+O8*Assumptions!$G$119+N8*Assumptions!$G$120+M8*Assumptions!$G$121+L8*Assumptions!$G$122+K8*Assumptions!$G$123+J8*Assumptions!$G$124+I8*Assumptions!$G$125+H8*Assumptions!$G$126+G8*Assumptions!$G$127+F8*Assumptions!$G$128+E8*Assumptions!$G$129+D8*Assumptions!$G$130)</f>
        <v>37.145</v>
      </c>
      <c r="X11" s="26" t="n">
        <f aca="false">Assumptions!$G$10*(X8*Assumptions!$G$111+W8*Assumptions!$G$112+V8*Assumptions!$G$113+U8*Assumptions!$G$114+T8*Assumptions!$G$115+S8*Assumptions!$G$116+R8*Assumptions!$G$117+Q8*Assumptions!$G$118+P8*Assumptions!$G$119+O8*Assumptions!$G$120+N8*Assumptions!$G$121+M8*Assumptions!$G$122+L8*Assumptions!$G$123+K8*Assumptions!$G$124+J8*Assumptions!$G$125+I8*Assumptions!$G$126+H8*Assumptions!$G$127+G8*Assumptions!$G$128+F8*Assumptions!$G$129+E8*Assumptions!$G$130+D8*Assumptions!$G$131)</f>
        <v>36.499</v>
      </c>
      <c r="Y11" s="26" t="n">
        <f aca="false">Assumptions!$G$10*(Y8*Assumptions!$G$111+X8*Assumptions!$G$112+W8*Assumptions!$G$113+V8*Assumptions!$G$114+U8*Assumptions!$G$115+T8*Assumptions!$G$116+S8*Assumptions!$G$117+R8*Assumptions!$G$118+Q8*Assumptions!$G$119+P8*Assumptions!$G$120+O8*Assumptions!$G$121+N8*Assumptions!$G$122+M8*Assumptions!$G$123+L8*Assumptions!$G$124+K8*Assumptions!$G$125+J8*Assumptions!$G$126+I8*Assumptions!$G$127+H8*Assumptions!$G$128+G8*Assumptions!$G$129+F8*Assumptions!$G$130+E8*Assumptions!$G$131+D8*Assumptions!$G$132)</f>
        <v>34.561</v>
      </c>
      <c r="Z11" s="26" t="n">
        <f aca="false">Assumptions!$G$10*(Z8*Assumptions!$G$111+Y8*Assumptions!$G$112+X8*Assumptions!$G$113+W8*Assumptions!$G$114+V8*Assumptions!$G$115+U8*Assumptions!$G$116+T8*Assumptions!$G$117+S8*Assumptions!$G$118+R8*Assumptions!$G$119+Q8*Assumptions!$G$120+P8*Assumptions!$G$121+O8*Assumptions!$G$122+N8*Assumptions!$G$123+M8*Assumptions!$G$124+L8*Assumptions!$G$125+K8*Assumptions!$G$126+J8*Assumptions!$G$127+I8*Assumptions!$G$128+H8*Assumptions!$G$129+G8*Assumptions!$G$130+F8*Assumptions!$G$131+E8*Assumptions!$G$132+D8*Assumptions!$G$133)</f>
        <v>41.344</v>
      </c>
      <c r="AA11" s="26" t="n">
        <f aca="false">Assumptions!$G$10*(AA8*Assumptions!$G$111+Z8*Assumptions!$G$112+Y8*Assumptions!$G$113+X8*Assumptions!$G$114+W8*Assumptions!$G$115+V8*Assumptions!$G$116+U8*Assumptions!$G$117+T8*Assumptions!$G$118+S8*Assumptions!$G$119+R8*Assumptions!$G$120+Q8*Assumptions!$G$121+P8*Assumptions!$G$122+O8*Assumptions!$G$123+N8*Assumptions!$G$124+M8*Assumptions!$G$125+L8*Assumptions!$G$126+K8*Assumptions!$G$127+J8*Assumptions!$G$128+I8*Assumptions!$G$129+H8*Assumptions!$G$130+G8*Assumptions!$G$131+F8*Assumptions!$G$132+E8*Assumptions!$G$133)</f>
        <v>39.406</v>
      </c>
      <c r="AB11" s="26" t="n">
        <f aca="false">Assumptions!$G$10*(AB8*Assumptions!$G$111+AA8*Assumptions!$G$112+Z8*Assumptions!$G$113+Y8*Assumptions!$G$114+X8*Assumptions!$G$115+W8*Assumptions!$G$116+V8*Assumptions!$G$117+U8*Assumptions!$G$118+T8*Assumptions!$G$119+S8*Assumptions!$G$120+R8*Assumptions!$G$121+Q8*Assumptions!$G$122+P8*Assumptions!$G$123+O8*Assumptions!$G$124+N8*Assumptions!$G$125+M8*Assumptions!$G$126+L8*Assumptions!$G$127+K8*Assumptions!$G$128+J8*Assumptions!$G$129+I8*Assumptions!$G$130+H8*Assumptions!$G$131+G8*Assumptions!$G$132+F8*Assumptions!$G$133)</f>
        <v>37.145</v>
      </c>
      <c r="AC11" s="26" t="n">
        <f aca="false">Assumptions!$G$10*(AC8*Assumptions!$G$111+AB8*Assumptions!$G$112+AA8*Assumptions!$G$113+Z8*Assumptions!$G$114+Y8*Assumptions!$G$115+X8*Assumptions!$G$116+W8*Assumptions!$G$117+V8*Assumptions!$G$118+U8*Assumptions!$G$119+T8*Assumptions!$G$120+S8*Assumptions!$G$121+R8*Assumptions!$G$122+Q8*Assumptions!$G$123+P8*Assumptions!$G$124+O8*Assumptions!$G$125+N8*Assumptions!$G$126+M8*Assumptions!$G$127+L8*Assumptions!$G$128+K8*Assumptions!$G$129+J8*Assumptions!$G$130+I8*Assumptions!$G$131+H8*Assumptions!$G$132+G8*Assumptions!$G$133)</f>
        <v>42.636</v>
      </c>
      <c r="AD11" s="26" t="n">
        <f aca="false">Assumptions!$G$10*(AD8*Assumptions!$G$111+AC8*Assumptions!$G$112+AB8*Assumptions!$G$113+AA8*Assumptions!$G$114+Z8*Assumptions!$G$115+Y8*Assumptions!$G$116+X8*Assumptions!$G$117+W8*Assumptions!$G$118+V8*Assumptions!$G$119+U8*Assumptions!$G$120+T8*Assumptions!$G$121+S8*Assumptions!$G$122+R8*Assumptions!$G$123+Q8*Assumptions!$G$124+P8*Assumptions!$G$125+O8*Assumptions!$G$126+N8*Assumptions!$G$127+M8*Assumptions!$G$128+L8*Assumptions!$G$129+K8*Assumptions!$G$130+J8*Assumptions!$G$131+I8*Assumptions!$G$132+H8*Assumptions!$G$133)</f>
        <v>48.773</v>
      </c>
      <c r="AE11" s="26" t="n">
        <f aca="false">Assumptions!$G$10*(AE8*Assumptions!$G$111+AD8*Assumptions!$G$112+AC8*Assumptions!$G$113+AB8*Assumptions!$G$114+AA8*Assumptions!$G$115+Z8*Assumptions!$G$116+Y8*Assumptions!$G$117+X8*Assumptions!$G$118+W8*Assumptions!$G$119+V8*Assumptions!$G$120+U8*Assumptions!$G$121+T8*Assumptions!$G$122+S8*Assumptions!$G$123+R8*Assumptions!$G$124+Q8*Assumptions!$G$125+P8*Assumptions!$G$126+O8*Assumptions!$G$127+N8*Assumptions!$G$128+M8*Assumptions!$G$129+L8*Assumptions!$G$130+K8*Assumptions!$G$131+J8*Assumptions!$G$132+I8*Assumptions!$G$133)</f>
        <v>45.22</v>
      </c>
      <c r="AF11" s="26" t="n">
        <f aca="false">Assumptions!$G$10*(AF8*Assumptions!$G$111+AE8*Assumptions!$G$112+AD8*Assumptions!$G$113+AC8*Assumptions!$G$114+AB8*Assumptions!$G$115+AA8*Assumptions!$G$116+Z8*Assumptions!$G$117+Y8*Assumptions!$G$118+X8*Assumptions!$G$119+W8*Assumptions!$G$120+V8*Assumptions!$G$121+U8*Assumptions!$G$122+T8*Assumptions!$G$123+S8*Assumptions!$G$124+R8*Assumptions!$G$125+Q8*Assumptions!$G$126+P8*Assumptions!$G$127+O8*Assumptions!$G$128+N8*Assumptions!$G$129+M8*Assumptions!$G$130+L8*Assumptions!$G$131+K8*Assumptions!$G$132+J8*Assumptions!$G$133)</f>
        <v>48.45</v>
      </c>
      <c r="AG11" s="26" t="n">
        <f aca="false">Assumptions!$G$10*(AG8*Assumptions!$G$111+AF8*Assumptions!$G$112+AE8*Assumptions!$G$113+AD8*Assumptions!$G$114+AC8*Assumptions!$G$115+AB8*Assumptions!$G$116+AA8*Assumptions!$G$117+Z8*Assumptions!$G$118+Y8*Assumptions!$G$119+X8*Assumptions!$G$120+W8*Assumptions!$G$121+V8*Assumptions!$G$122+U8*Assumptions!$G$123+T8*Assumptions!$G$124+S8*Assumptions!$G$125+R8*Assumptions!$G$126+Q8*Assumptions!$G$127+P8*Assumptions!$G$128+O8*Assumptions!$G$129+N8*Assumptions!$G$130+M8*Assumptions!$G$131+L8*Assumptions!$G$132+K8*Assumptions!$G$133)</f>
        <v>52.972</v>
      </c>
      <c r="AH11" s="26" t="n">
        <f aca="false">Assumptions!$G$10*(AH8*Assumptions!$G$111+AG8*Assumptions!$G$112+AF8*Assumptions!$G$113+AE8*Assumptions!$G$114+AD8*Assumptions!$G$115+AC8*Assumptions!$G$116+AB8*Assumptions!$G$117+AA8*Assumptions!$G$118+Z8*Assumptions!$G$119+Y8*Assumptions!$G$120+X8*Assumptions!$G$121+W8*Assumptions!$G$122+V8*Assumptions!$G$123+U8*Assumptions!$G$124+T8*Assumptions!$G$125+S8*Assumptions!$G$126+R8*Assumptions!$G$127+Q8*Assumptions!$G$128+P8*Assumptions!$G$129+O8*Assumptions!$G$130+N8*Assumptions!$G$131+M8*Assumptions!$G$132+L8*Assumptions!$G$133)</f>
        <v>48.127</v>
      </c>
      <c r="AI11" s="26" t="n">
        <f aca="false">Assumptions!$G$10*(AI8*Assumptions!$G$111+AH8*Assumptions!$G$112+AG8*Assumptions!$G$113+AF8*Assumptions!$G$114+AE8*Assumptions!$G$115+AD8*Assumptions!$G$116+AC8*Assumptions!$G$117+AB8*Assumptions!$G$118+AA8*Assumptions!$G$119+Z8*Assumptions!$G$120+Y8*Assumptions!$G$121+X8*Assumptions!$G$122+W8*Assumptions!$G$123+V8*Assumptions!$G$124+U8*Assumptions!$G$125+T8*Assumptions!$G$126+S8*Assumptions!$G$127+R8*Assumptions!$G$128+Q8*Assumptions!$G$129+P8*Assumptions!$G$130+O8*Assumptions!$G$131+N8*Assumptions!$G$132+M8*Assumptions!$G$133)</f>
        <v>50.711</v>
      </c>
      <c r="AJ11" s="26" t="n">
        <f aca="false">Assumptions!$G$10*(AJ8*Assumptions!$G$111+AI8*Assumptions!$G$112+AH8*Assumptions!$G$113+AG8*Assumptions!$G$114+AF8*Assumptions!$G$115+AE8*Assumptions!$G$116+AD8*Assumptions!$G$117+AC8*Assumptions!$G$118+AB8*Assumptions!$G$119+AA8*Assumptions!$G$120+Z8*Assumptions!$G$121+Y8*Assumptions!$G$122+X8*Assumptions!$G$123+W8*Assumptions!$G$124+V8*Assumptions!$G$125+U8*Assumptions!$G$126+T8*Assumptions!$G$127+S8*Assumptions!$G$128+R8*Assumptions!$G$129+Q8*Assumptions!$G$130+P8*Assumptions!$G$131+O8*Assumptions!$G$132+N8*Assumptions!$G$133)</f>
        <v>53.941</v>
      </c>
      <c r="AK11" s="26" t="n">
        <f aca="false">Assumptions!$G$10*(AK8*Assumptions!$G$111+AJ8*Assumptions!$G$112+AI8*Assumptions!$G$113+AH8*Assumptions!$G$114+AG8*Assumptions!$G$115+AF8*Assumptions!$G$116+AE8*Assumptions!$G$117+AD8*Assumptions!$G$118+AC8*Assumptions!$G$119+AB8*Assumptions!$G$120+AA8*Assumptions!$G$121+Z8*Assumptions!$G$122+Y8*Assumptions!$G$123+X8*Assumptions!$G$124+W8*Assumptions!$G$125+V8*Assumptions!$G$126+U8*Assumptions!$G$127+T8*Assumptions!$G$128+S8*Assumptions!$G$129+R8*Assumptions!$G$130+Q8*Assumptions!$G$131+P8*Assumptions!$G$132+O8*Assumptions!$G$133)</f>
        <v>57.171</v>
      </c>
      <c r="AL11" s="26" t="n">
        <f aca="false">Assumptions!$G$10*(AL8*Assumptions!$G$111+AK8*Assumptions!$G$112+AJ8*Assumptions!$G$113+AI8*Assumptions!$G$114+AH8*Assumptions!$G$115+AG8*Assumptions!$G$116+AF8*Assumptions!$G$117+AE8*Assumptions!$G$118+AD8*Assumptions!$G$119+AC8*Assumptions!$G$120+AB8*Assumptions!$G$121+AA8*Assumptions!$G$122+Z8*Assumptions!$G$123+Y8*Assumptions!$G$124+X8*Assumptions!$G$125+W8*Assumptions!$G$126+V8*Assumptions!$G$127+U8*Assumptions!$G$128+T8*Assumptions!$G$129+S8*Assumptions!$G$130+R8*Assumptions!$G$131+Q8*Assumptions!$G$132+P8*Assumptions!$G$133)</f>
        <v>58.786</v>
      </c>
      <c r="AM11" s="26" t="n">
        <f aca="false">Assumptions!$G$10*(AM8*Assumptions!$G$111+AL8*Assumptions!$G$112+AK8*Assumptions!$G$113+AJ8*Assumptions!$G$114+AI8*Assumptions!$G$115+AH8*Assumptions!$G$116+AG8*Assumptions!$G$117+AF8*Assumptions!$G$118+AE8*Assumptions!$G$119+AD8*Assumptions!$G$120+AC8*Assumptions!$G$121+AB8*Assumptions!$G$122+AA8*Assumptions!$G$123+Z8*Assumptions!$G$124+Y8*Assumptions!$G$125+X8*Assumptions!$G$126+W8*Assumptions!$G$127+V8*Assumptions!$G$128+U8*Assumptions!$G$129+T8*Assumptions!$G$130+S8*Assumptions!$G$131+R8*Assumptions!$G$132+Q8*Assumptions!$G$133)</f>
        <v>59.432</v>
      </c>
      <c r="AN11" s="37" t="n">
        <f aca="false">Assumptions!$G$10*(AN8*Assumptions!$G$111+AM8*Assumptions!$G$112+AL8*Assumptions!$G$113+AK8*Assumptions!$G$114+AJ8*Assumptions!$G$115+AI8*Assumptions!$G$116+AH8*Assumptions!$G$117+AG8*Assumptions!$G$118+AF8*Assumptions!$G$119+AE8*Assumptions!$G$120+AD8*Assumptions!$G$121+AC8*Assumptions!$G$122+AB8*Assumptions!$G$123+AA8*Assumptions!$G$124+Z8*Assumptions!$G$125+Y8*Assumptions!$G$126+X8*Assumptions!$G$127+W8*Assumptions!$G$128+V8*Assumptions!$G$129+U8*Assumptions!$G$130+T8*Assumptions!$G$131+S8*Assumptions!$G$132+R8*Assumptions!$G$133)</f>
        <v>61.047</v>
      </c>
      <c r="AO11" s="37" t="n">
        <f aca="false">Assumptions!$G$10*(AO8*Assumptions!$G$111+AN8*Assumptions!$G$112+AM8*Assumptions!$G$113+AL8*Assumptions!$G$114+AK8*Assumptions!$G$115+AJ8*Assumptions!$G$116+AI8*Assumptions!$G$117+AH8*Assumptions!$G$118+AG8*Assumptions!$G$119+AF8*Assumptions!$G$120+AE8*Assumptions!$G$121+AD8*Assumptions!$G$122+AC8*Assumptions!$G$123+AB8*Assumptions!$G$124+AA8*Assumptions!$G$125+Z8*Assumptions!$G$126+Y8*Assumptions!$G$127+X8*Assumptions!$G$128+W8*Assumptions!$G$129+V8*Assumptions!$G$130+U8*Assumptions!$G$131+T8*Assumptions!$G$132+S8*Assumptions!$G$133)</f>
        <v>61.37</v>
      </c>
      <c r="AP11" s="37" t="n">
        <f aca="false">Assumptions!$G$10*(AP8*Assumptions!$G$111+AO8*Assumptions!$G$112+AN8*Assumptions!$G$113+AM8*Assumptions!$G$114+AL8*Assumptions!$G$115+AK8*Assumptions!$G$116+AJ8*Assumptions!$G$117+AI8*Assumptions!$G$118+AH8*Assumptions!$G$119+AG8*Assumptions!$G$120+AF8*Assumptions!$G$121+AE8*Assumptions!$G$122+AD8*Assumptions!$G$123+AC8*Assumptions!$G$124+AB8*Assumptions!$G$125+AA8*Assumptions!$G$126+Z8*Assumptions!$G$127+Y8*Assumptions!$G$128+X8*Assumptions!$G$129+W8*Assumptions!$G$130+V8*Assumptions!$G$131+U8*Assumptions!$G$132+T8*Assumptions!$G$133)</f>
        <v>61.693</v>
      </c>
      <c r="AQ11" s="37" t="n">
        <f aca="false">Assumptions!$G$10*(AQ8*Assumptions!$G$111+AP8*Assumptions!$G$112+AO8*Assumptions!$G$113+AN8*Assumptions!$G$114+AM8*Assumptions!$G$115+AL8*Assumptions!$G$116+AK8*Assumptions!$G$117+AJ8*Assumptions!$G$118+AI8*Assumptions!$G$119+AH8*Assumptions!$G$120+AG8*Assumptions!$G$121+AF8*Assumptions!$G$122+AE8*Assumptions!$G$123+AD8*Assumptions!$G$124+AC8*Assumptions!$G$125+AB8*Assumptions!$G$126+AA8*Assumptions!$G$127+Z8*Assumptions!$G$128+Y8*Assumptions!$G$129+X8*Assumptions!$G$130+W8*Assumptions!$G$131+V8*Assumptions!$G$132+U8*Assumptions!$G$133)</f>
        <v>62.016</v>
      </c>
      <c r="AR11" s="37" t="n">
        <f aca="false">Assumptions!$G$10*(AR8*Assumptions!$G$111+AQ8*Assumptions!$G$112+AP8*Assumptions!$G$113+AO8*Assumptions!$G$114+AN8*Assumptions!$G$115+AM8*Assumptions!$G$116+AL8*Assumptions!$G$117+AK8*Assumptions!$G$118+AJ8*Assumptions!$G$119+AI8*Assumptions!$G$120+AH8*Assumptions!$G$121+AG8*Assumptions!$G$122+AF8*Assumptions!$G$123+AE8*Assumptions!$G$124+AD8*Assumptions!$G$125+AC8*Assumptions!$G$126+AB8*Assumptions!$G$127+AA8*Assumptions!$G$128+Z8*Assumptions!$G$129+Y8*Assumptions!$G$130+X8*Assumptions!$G$131+W8*Assumptions!$G$132+V8*Assumptions!$G$133)</f>
        <v>62.339</v>
      </c>
      <c r="AS11" s="37" t="n">
        <f aca="false">Assumptions!$G$10*(AS8*Assumptions!$G$111+AR8*Assumptions!$G$112+AQ8*Assumptions!$G$113+AP8*Assumptions!$G$114+AO8*Assumptions!$G$115+AN8*Assumptions!$G$116+AM8*Assumptions!$G$117+AL8*Assumptions!$G$118+AK8*Assumptions!$G$119+AJ8*Assumptions!$G$120+AI8*Assumptions!$G$121+AH8*Assumptions!$G$122+AG8*Assumptions!$G$123+AF8*Assumptions!$G$124+AE8*Assumptions!$G$125+AD8*Assumptions!$G$126+AC8*Assumptions!$G$127+AB8*Assumptions!$G$128+AA8*Assumptions!$G$129+Z8*Assumptions!$G$130+Y8*Assumptions!$G$131+X8*Assumptions!$G$132+W8*Assumptions!$G$133)</f>
        <v>62.662</v>
      </c>
      <c r="AT11" s="37" t="n">
        <f aca="false">Assumptions!$G$10*(AT8*Assumptions!$G$111+AS8*Assumptions!$G$112+AR8*Assumptions!$G$113+AQ8*Assumptions!$G$114+AP8*Assumptions!$G$115+AO8*Assumptions!$G$116+AN8*Assumptions!$G$117+AM8*Assumptions!$G$118+AL8*Assumptions!$G$119+AK8*Assumptions!$G$120+AJ8*Assumptions!$G$121+AI8*Assumptions!$G$122+AH8*Assumptions!$G$123+AG8*Assumptions!$G$124+AF8*Assumptions!$G$125+AE8*Assumptions!$G$126+AD8*Assumptions!$G$127+AC8*Assumptions!$G$128+AB8*Assumptions!$G$129+AA8*Assumptions!$G$130+Z8*Assumptions!$G$131+Y8*Assumptions!$G$132+X8*Assumptions!$G$133)</f>
        <v>62.662</v>
      </c>
      <c r="AU11" s="37" t="n">
        <f aca="false">Assumptions!$G$10*(AU8*Assumptions!$G$111+AT8*Assumptions!$G$112+AS8*Assumptions!$G$113+AR8*Assumptions!$G$114+AQ8*Assumptions!$G$115+AP8*Assumptions!$G$116+AO8*Assumptions!$G$117+AN8*Assumptions!$G$118+AM8*Assumptions!$G$119+AL8*Assumptions!$G$120+AK8*Assumptions!$G$121+AJ8*Assumptions!$G$122+AI8*Assumptions!$G$123+AH8*Assumptions!$G$124+AG8*Assumptions!$G$125+AF8*Assumptions!$G$126+AE8*Assumptions!$G$127+AD8*Assumptions!$G$128+AC8*Assumptions!$G$129+AB8*Assumptions!$G$130+AA8*Assumptions!$G$131+Z8*Assumptions!$G$132+Y8*Assumptions!$G$133)</f>
        <v>62.985</v>
      </c>
      <c r="AV11" s="37" t="n">
        <f aca="false">Assumptions!$G$10*(AV8*Assumptions!$G$111+AU8*Assumptions!$G$112+AT8*Assumptions!$G$113+AS8*Assumptions!$G$114+AR8*Assumptions!$G$115+AQ8*Assumptions!$G$116+AP8*Assumptions!$G$117+AO8*Assumptions!$G$118+AN8*Assumptions!$G$119+AM8*Assumptions!$G$120+AL8*Assumptions!$G$121+AK8*Assumptions!$G$122+AJ8*Assumptions!$G$123+AI8*Assumptions!$G$124+AH8*Assumptions!$G$125+AG8*Assumptions!$G$126+AF8*Assumptions!$G$127+AE8*Assumptions!$G$128+AD8*Assumptions!$G$129+AC8*Assumptions!$G$130+AB8*Assumptions!$G$131+AA8*Assumptions!$G$132+Z8*Assumptions!$G$133)</f>
        <v>63.308</v>
      </c>
      <c r="AW11" s="37" t="n">
        <f aca="false">Assumptions!$G$10*(AW8*Assumptions!$G$111+AV8*Assumptions!$G$112+AU8*Assumptions!$G$113+AT8*Assumptions!$G$114+AS8*Assumptions!$G$115+AR8*Assumptions!$G$116+AQ8*Assumptions!$G$117+AP8*Assumptions!$G$118+AO8*Assumptions!$G$119+AN8*Assumptions!$G$120+AM8*Assumptions!$G$121+AL8*Assumptions!$G$122+AK8*Assumptions!$G$123+AJ8*Assumptions!$G$124+AI8*Assumptions!$G$125+AH8*Assumptions!$G$126+AG8*Assumptions!$G$127+AF8*Assumptions!$G$128+AE8*Assumptions!$G$129+AD8*Assumptions!$G$130+AC8*Assumptions!$G$131+AB8*Assumptions!$G$132+AA8*Assumptions!$G$133)</f>
        <v>63.308</v>
      </c>
      <c r="AX11" s="37" t="n">
        <f aca="false">Assumptions!$G$10*(AX8*Assumptions!$G$111+AW8*Assumptions!$G$112+AV8*Assumptions!$G$113+AU8*Assumptions!$G$114+AT8*Assumptions!$G$115+AS8*Assumptions!$G$116+AR8*Assumptions!$G$117+AQ8*Assumptions!$G$118+AP8*Assumptions!$G$119+AO8*Assumptions!$G$120+AN8*Assumptions!$G$121+AM8*Assumptions!$G$122+AL8*Assumptions!$G$123+AK8*Assumptions!$G$124+AJ8*Assumptions!$G$125+AI8*Assumptions!$G$126+AH8*Assumptions!$G$127+AG8*Assumptions!$G$128+AF8*Assumptions!$G$129+AE8*Assumptions!$G$130+AD8*Assumptions!$G$131+AC8*Assumptions!$G$132+AB8*Assumptions!$G$133)</f>
        <v>63.631</v>
      </c>
      <c r="AY11" s="37" t="n">
        <f aca="false">Assumptions!$G$10*(AY8*Assumptions!$G$111+AX8*Assumptions!$G$112+AW8*Assumptions!$G$113+AV8*Assumptions!$G$114+AU8*Assumptions!$G$115+AT8*Assumptions!$G$116+AS8*Assumptions!$G$117+AR8*Assumptions!$G$118+AQ8*Assumptions!$G$119+AP8*Assumptions!$G$120+AO8*Assumptions!$G$121+AN8*Assumptions!$G$122+AM8*Assumptions!$G$123+AL8*Assumptions!$G$124+AK8*Assumptions!$G$125+AJ8*Assumptions!$G$126+AI8*Assumptions!$G$127+AH8*Assumptions!$G$128+AG8*Assumptions!$G$129+AF8*Assumptions!$G$130+AE8*Assumptions!$G$131+AD8*Assumptions!$G$132+AC8*Assumptions!$G$133)</f>
        <v>63.954</v>
      </c>
      <c r="AZ11" s="37" t="n">
        <f aca="false">Assumptions!$G$10*(AZ8*Assumptions!$G$111+AY8*Assumptions!$G$112+AX8*Assumptions!$G$113+AW8*Assumptions!$G$114+AV8*Assumptions!$G$115+AU8*Assumptions!$G$116+AT8*Assumptions!$G$117+AS8*Assumptions!$G$118+AR8*Assumptions!$G$119+AQ8*Assumptions!$G$120+AP8*Assumptions!$G$121+AO8*Assumptions!$G$122+AN8*Assumptions!$G$123+AM8*Assumptions!$G$124+AL8*Assumptions!$G$125+AK8*Assumptions!$G$126+AJ8*Assumptions!$G$127+AI8*Assumptions!$G$128+AH8*Assumptions!$G$129+AG8*Assumptions!$G$130+AF8*Assumptions!$G$131+AE8*Assumptions!$G$132+AD8*Assumptions!$G$133)</f>
        <v>63.954</v>
      </c>
      <c r="BA11" s="37" t="n">
        <f aca="false">Assumptions!$G$10*(BA8*Assumptions!$G$111+AZ8*Assumptions!$G$112+AY8*Assumptions!$G$113+AX8*Assumptions!$G$114+AW8*Assumptions!$G$115+AV8*Assumptions!$G$116+AU8*Assumptions!$G$117+AT8*Assumptions!$G$118+AS8*Assumptions!$G$119+AR8*Assumptions!$G$120+AQ8*Assumptions!$G$121+AP8*Assumptions!$G$122+AO8*Assumptions!$G$123+AN8*Assumptions!$G$124+AM8*Assumptions!$G$125+AL8*Assumptions!$G$126+AK8*Assumptions!$G$127+AJ8*Assumptions!$G$128+AI8*Assumptions!$G$129+AH8*Assumptions!$G$130+AG8*Assumptions!$G$131+AF8*Assumptions!$G$132+AE8*Assumptions!$G$133)</f>
        <v>63.954</v>
      </c>
      <c r="BB11" s="37" t="n">
        <f aca="false">Assumptions!$G$10*(BB8*Assumptions!$G$111+BA8*Assumptions!$G$112+AZ8*Assumptions!$G$113+AY8*Assumptions!$G$114+AX8*Assumptions!$G$115+AW8*Assumptions!$G$116+AV8*Assumptions!$G$117+AU8*Assumptions!$G$118+AT8*Assumptions!$G$119+AS8*Assumptions!$G$120+AR8*Assumptions!$G$121+AQ8*Assumptions!$G$122+AP8*Assumptions!$G$123+AO8*Assumptions!$G$124+AN8*Assumptions!$G$125+AM8*Assumptions!$G$126+AL8*Assumptions!$G$127+AK8*Assumptions!$G$128+AJ8*Assumptions!$G$129+AI8*Assumptions!$G$130+AH8*Assumptions!$G$131+AG8*Assumptions!$G$132+AF8*Assumptions!$G$133)</f>
        <v>64.277</v>
      </c>
      <c r="BC11" s="37" t="n">
        <f aca="false">Assumptions!$G$10*(BC8*Assumptions!$G$111+BB8*Assumptions!$G$112+BA8*Assumptions!$G$113+AZ8*Assumptions!$G$114+AY8*Assumptions!$G$115+AX8*Assumptions!$G$116+AW8*Assumptions!$G$117+AV8*Assumptions!$G$118+AU8*Assumptions!$G$119+AT8*Assumptions!$G$120+AS8*Assumptions!$G$121+AR8*Assumptions!$G$122+AQ8*Assumptions!$G$123+AP8*Assumptions!$G$124+AO8*Assumptions!$G$125+AN8*Assumptions!$G$126+AM8*Assumptions!$G$127+AL8*Assumptions!$G$128+AK8*Assumptions!$G$129+AJ8*Assumptions!$G$130+AI8*Assumptions!$G$131+AH8*Assumptions!$G$132+AG8*Assumptions!$G$133)</f>
        <v>64.277</v>
      </c>
      <c r="BD11" s="37" t="n">
        <f aca="false">Assumptions!$G$10*(BD8*Assumptions!$G$111+BC8*Assumptions!$G$112+BB8*Assumptions!$G$113+BA8*Assumptions!$G$114+AZ8*Assumptions!$G$115+AY8*Assumptions!$G$116+AX8*Assumptions!$G$117+AW8*Assumptions!$G$118+AV8*Assumptions!$G$119+AU8*Assumptions!$G$120+AT8*Assumptions!$G$121+AS8*Assumptions!$G$122+AR8*Assumptions!$G$123+AQ8*Assumptions!$G$124+AP8*Assumptions!$G$125+AO8*Assumptions!$G$126+AN8*Assumptions!$G$127+AM8*Assumptions!$G$128+AL8*Assumptions!$G$129+AK8*Assumptions!$G$130+AJ8*Assumptions!$G$131+AI8*Assumptions!$G$132+AH8*Assumptions!$G$133)</f>
        <v>64.277</v>
      </c>
      <c r="BE11" s="37" t="n">
        <f aca="false">Assumptions!$G$10*(BE8*Assumptions!$G$111+BD8*Assumptions!$G$112+BC8*Assumptions!$G$113+BB8*Assumptions!$G$114+BA8*Assumptions!$G$115+AZ8*Assumptions!$G$116+AY8*Assumptions!$G$117+AX8*Assumptions!$G$118+AW8*Assumptions!$G$119+AV8*Assumptions!$G$120+AU8*Assumptions!$G$121+AT8*Assumptions!$G$122+AS8*Assumptions!$G$123+AR8*Assumptions!$G$124+AQ8*Assumptions!$G$125+AP8*Assumptions!$G$126+AO8*Assumptions!$G$127+AN8*Assumptions!$G$128+AM8*Assumptions!$G$129+AL8*Assumptions!$G$130+AK8*Assumptions!$G$131+AJ8*Assumptions!$G$132+AI8*Assumptions!$G$133)</f>
        <v>64.6</v>
      </c>
      <c r="BF11" s="37" t="n">
        <f aca="false">Assumptions!$G$10*(BF8*Assumptions!$G$111+BE8*Assumptions!$G$112+BD8*Assumptions!$G$113+BC8*Assumptions!$G$114+BB8*Assumptions!$G$115+BA8*Assumptions!$G$116+AZ8*Assumptions!$G$117+AY8*Assumptions!$G$118+AX8*Assumptions!$G$119+AW8*Assumptions!$G$120+AV8*Assumptions!$G$121+AU8*Assumptions!$G$122+AT8*Assumptions!$G$123+AS8*Assumptions!$G$124+AR8*Assumptions!$G$125+AQ8*Assumptions!$G$126+AP8*Assumptions!$G$127+AO8*Assumptions!$G$128+AN8*Assumptions!$G$129+AM8*Assumptions!$G$130+AL8*Assumptions!$G$131+AK8*Assumptions!$G$132+AJ8*Assumptions!$G$133)</f>
        <v>64.6</v>
      </c>
      <c r="BG11" s="37" t="n">
        <f aca="false">Assumptions!$G$10*(BG8*Assumptions!$G$111+BF8*Assumptions!$G$112+BE8*Assumptions!$G$113+BD8*Assumptions!$G$114+BC8*Assumptions!$G$115+BB8*Assumptions!$G$116+BA8*Assumptions!$G$117+AZ8*Assumptions!$G$118+AY8*Assumptions!$G$119+AX8*Assumptions!$G$120+AW8*Assumptions!$G$121+AV8*Assumptions!$G$122+AU8*Assumptions!$G$123+AT8*Assumptions!$G$124+AS8*Assumptions!$G$125+AR8*Assumptions!$G$126+AQ8*Assumptions!$G$127+AP8*Assumptions!$G$128+AO8*Assumptions!$G$129+AN8*Assumptions!$G$130+AM8*Assumptions!$G$131+AL8*Assumptions!$G$132+AK8*Assumptions!$G$133)</f>
        <v>64.6</v>
      </c>
      <c r="BH11" s="37" t="n">
        <f aca="false">Assumptions!$G$10*(BH8*Assumptions!$G$111+BG8*Assumptions!$G$112+BF8*Assumptions!$G$113+BE8*Assumptions!$G$114+BD8*Assumptions!$G$115+BC8*Assumptions!$G$116+BB8*Assumptions!$G$117+BA8*Assumptions!$G$118+AZ8*Assumptions!$G$119+AY8*Assumptions!$G$120+AX8*Assumptions!$G$121+AW8*Assumptions!$G$122+AV8*Assumptions!$G$123+AU8*Assumptions!$G$124+AT8*Assumptions!$G$125+AS8*Assumptions!$G$126+AR8*Assumptions!$G$127+AQ8*Assumptions!$G$128+AP8*Assumptions!$G$129+AO8*Assumptions!$G$130+AN8*Assumptions!$G$131+AM8*Assumptions!$G$132+AL8*Assumptions!$G$133)</f>
        <v>64.6</v>
      </c>
      <c r="BI11" s="37" t="n">
        <f aca="false">Assumptions!$G$10*(BI8*Assumptions!$G$111+BH8*Assumptions!$G$112+BG8*Assumptions!$G$113+BF8*Assumptions!$G$114+BE8*Assumptions!$G$115+BD8*Assumptions!$G$116+BC8*Assumptions!$G$117+BB8*Assumptions!$G$118+BA8*Assumptions!$G$119+AZ8*Assumptions!$G$120+AY8*Assumptions!$G$121+AX8*Assumptions!$G$122+AW8*Assumptions!$G$123+AV8*Assumptions!$G$124+AU8*Assumptions!$G$125+AT8*Assumptions!$G$126+AS8*Assumptions!$G$127+AR8*Assumptions!$G$128+AQ8*Assumptions!$G$129+AP8*Assumptions!$G$130+AO8*Assumptions!$G$131+AN8*Assumptions!$G$132+AM8*Assumptions!$G$133)</f>
        <v>64.6</v>
      </c>
      <c r="BJ11" s="37" t="n">
        <f aca="false">Assumptions!$G$10*(BJ8*Assumptions!$G$111+BI8*Assumptions!$G$112+BH8*Assumptions!$G$113+BG8*Assumptions!$G$114+BF8*Assumptions!$G$115+BE8*Assumptions!$G$116+BD8*Assumptions!$G$117+BC8*Assumptions!$G$118+BB8*Assumptions!$G$119+BA8*Assumptions!$G$120+AZ8*Assumptions!$G$121+AY8*Assumptions!$G$122+AX8*Assumptions!$G$123+AW8*Assumptions!$G$124+AV8*Assumptions!$G$125+AU8*Assumptions!$G$126+AT8*Assumptions!$G$127+AS8*Assumptions!$G$128+AR8*Assumptions!$G$129+AQ8*Assumptions!$G$130+AP8*Assumptions!$G$131+AO8*Assumptions!$G$132+AN8*Assumptions!$G$133)</f>
        <v>64.6</v>
      </c>
      <c r="BK11" s="37" t="n">
        <f aca="false">Assumptions!$G$10*(BK8*Assumptions!$G$111+BJ8*Assumptions!$G$112+BI8*Assumptions!$G$113+BH8*Assumptions!$G$114+BG8*Assumptions!$G$115+BF8*Assumptions!$G$116+BE8*Assumptions!$G$117+BD8*Assumptions!$G$118+BC8*Assumptions!$G$119+BB8*Assumptions!$G$120+BA8*Assumptions!$G$121+AZ8*Assumptions!$G$122+AY8*Assumptions!$G$123+AX8*Assumptions!$G$124+AW8*Assumptions!$G$125+AV8*Assumptions!$G$126+AU8*Assumptions!$G$127+AT8*Assumptions!$G$128+AS8*Assumptions!$G$129+AR8*Assumptions!$G$130+AQ8*Assumptions!$G$131+AP8*Assumptions!$G$132+AO8*Assumptions!$G$133)</f>
        <v>64.6</v>
      </c>
    </row>
    <row r="12" customFormat="false" ht="15" hidden="false" customHeight="false" outlineLevel="0" collapsed="false">
      <c r="A12" s="28" t="s">
        <v>544</v>
      </c>
      <c r="B12" s="6" t="s">
        <v>545</v>
      </c>
      <c r="C12" s="36" t="n">
        <v>0</v>
      </c>
      <c r="D12" s="26" t="n">
        <f aca="false">C12*(1-Assumptions!$G$12)+D11</f>
        <v>0</v>
      </c>
      <c r="E12" s="26" t="n">
        <f aca="false">D12*(1-Assumptions!$G$12)+E11</f>
        <v>0</v>
      </c>
      <c r="F12" s="26" t="n">
        <f aca="false">E12*(1-Assumptions!$G$12)+F11</f>
        <v>0</v>
      </c>
      <c r="G12" s="26" t="n">
        <f aca="false">F12*(1-Assumptions!$G$12)+G11</f>
        <v>0</v>
      </c>
      <c r="H12" s="26" t="n">
        <f aca="false">G12*(1-Assumptions!$G$12)+H11</f>
        <v>8.075</v>
      </c>
      <c r="I12" s="26" t="n">
        <f aca="false">H12*(1-Assumptions!$G$12)+I11</f>
        <v>15.10025</v>
      </c>
      <c r="J12" s="26" t="n">
        <f aca="false">I12*(1-Assumptions!$G$12)+J11</f>
        <v>19.7942475</v>
      </c>
      <c r="K12" s="26" t="n">
        <f aca="false">J12*(1-Assumptions!$G$12)+K11</f>
        <v>30.901305025</v>
      </c>
      <c r="L12" s="26" t="n">
        <f aca="false">K12*(1-Assumptions!$G$12)+L11</f>
        <v>47.71129197475</v>
      </c>
      <c r="M12" s="26" t="n">
        <f aca="false">L12*(1-Assumptions!$G$12)+M11</f>
        <v>60.8001790550025</v>
      </c>
      <c r="N12" s="26" t="n">
        <f aca="false">M12*(1-Assumptions!$G$12)+N11</f>
        <v>76.6651772644525</v>
      </c>
      <c r="O12" s="26" t="n">
        <f aca="false">N12*(1-Assumptions!$G$12)+O11</f>
        <v>96.5705254918079</v>
      </c>
      <c r="P12" s="26" t="n">
        <f aca="false">O12*(1-Assumptions!$G$12)+P11</f>
        <v>119.50682023689</v>
      </c>
      <c r="Q12" s="26" t="n">
        <f aca="false">P12*(1-Assumptions!$G$12)+Q11</f>
        <v>143.828752034521</v>
      </c>
      <c r="R12" s="26" t="n">
        <f aca="false">Q12*(1-Assumptions!$G$12)+R11</f>
        <v>168.553464514176</v>
      </c>
      <c r="S12" s="26" t="n">
        <f aca="false">R12*(1-Assumptions!$G$12)+S11</f>
        <v>194.645929869034</v>
      </c>
      <c r="T12" s="26" t="n">
        <f aca="false">S12*(1-Assumptions!$G$12)+T11</f>
        <v>220.800470570344</v>
      </c>
      <c r="U12" s="26" t="n">
        <f aca="false">T12*(1-Assumptions!$G$12)+U11</f>
        <v>247.01646586464</v>
      </c>
      <c r="V12" s="26" t="n">
        <f aca="false">U12*(1-Assumptions!$G$12)+V11</f>
        <v>273.293301205994</v>
      </c>
      <c r="W12" s="26" t="n">
        <f aca="false">V12*(1-Assumptions!$G$12)+W11</f>
        <v>307.705368193934</v>
      </c>
      <c r="X12" s="26" t="n">
        <f aca="false">W12*(1-Assumptions!$G$12)+X11</f>
        <v>341.127314511995</v>
      </c>
      <c r="Y12" s="26" t="n">
        <f aca="false">X12*(1-Assumptions!$G$12)+Y11</f>
        <v>372.277041366875</v>
      </c>
      <c r="Z12" s="26" t="n">
        <f aca="false">Y12*(1-Assumptions!$G$12)+Z11</f>
        <v>409.898270953206</v>
      </c>
      <c r="AA12" s="26" t="n">
        <f aca="false">Z12*(1-Assumptions!$G$12)+AA11</f>
        <v>445.205288243674</v>
      </c>
      <c r="AB12" s="26" t="n">
        <f aca="false">AA12*(1-Assumptions!$G$12)+AB11</f>
        <v>477.898235361237</v>
      </c>
      <c r="AC12" s="26" t="n">
        <f aca="false">AB12*(1-Assumptions!$G$12)+AC11</f>
        <v>515.755253007625</v>
      </c>
      <c r="AD12" s="26" t="n">
        <f aca="false">AC12*(1-Assumptions!$G$12)+AD11</f>
        <v>559.370700477548</v>
      </c>
      <c r="AE12" s="26" t="n">
        <f aca="false">AD12*(1-Assumptions!$G$12)+AE11</f>
        <v>598.996993472773</v>
      </c>
      <c r="AF12" s="26" t="n">
        <f aca="false">AE12*(1-Assumptions!$G$12)+AF11</f>
        <v>641.457023538045</v>
      </c>
      <c r="AG12" s="26" t="n">
        <f aca="false">AF12*(1-Assumptions!$G$12)+AG11</f>
        <v>688.014453302665</v>
      </c>
      <c r="AH12" s="26" t="n">
        <f aca="false">AG12*(1-Assumptions!$G$12)+AH11</f>
        <v>729.261308769638</v>
      </c>
      <c r="AI12" s="26" t="n">
        <f aca="false">AH12*(1-Assumptions!$G$12)+AI11</f>
        <v>772.679695681942</v>
      </c>
      <c r="AJ12" s="26" t="n">
        <f aca="false">AI12*(1-Assumptions!$G$12)+AJ11</f>
        <v>818.893898725122</v>
      </c>
      <c r="AK12" s="26" t="n">
        <f aca="false">AJ12*(1-Assumptions!$G$12)+AK11</f>
        <v>867.875959737871</v>
      </c>
      <c r="AL12" s="26" t="n">
        <f aca="false">AK12*(1-Assumptions!$G$12)+AL11</f>
        <v>917.983200140493</v>
      </c>
      <c r="AM12" s="26" t="n">
        <f aca="false">AL12*(1-Assumptions!$G$12)+AM11</f>
        <v>968.235368139088</v>
      </c>
      <c r="AN12" s="37" t="n">
        <f aca="false">AM12*(1-Assumptions!$G$12)+AN11</f>
        <v>1019.6000144577</v>
      </c>
      <c r="AO12" s="37" t="n">
        <f aca="false">AN12*(1-Assumptions!$G$12)+AO11</f>
        <v>1070.77401431312</v>
      </c>
      <c r="AP12" s="37" t="n">
        <f aca="false">AO12*(1-Assumptions!$G$12)+AP11</f>
        <v>1121.75927416999</v>
      </c>
      <c r="AQ12" s="37" t="n">
        <f aca="false">AP12*(1-Assumptions!$G$12)+AQ11</f>
        <v>1172.55768142829</v>
      </c>
      <c r="AR12" s="37" t="n">
        <f aca="false">AQ12*(1-Assumptions!$G$12)+AR11</f>
        <v>1223.17110461401</v>
      </c>
      <c r="AS12" s="37" t="n">
        <f aca="false">AR12*(1-Assumptions!$G$12)+AS11</f>
        <v>1273.60139356787</v>
      </c>
      <c r="AT12" s="37" t="n">
        <f aca="false">AS12*(1-Assumptions!$G$12)+AT11</f>
        <v>1323.52737963219</v>
      </c>
      <c r="AU12" s="37" t="n">
        <f aca="false">AT12*(1-Assumptions!$G$12)+AU11</f>
        <v>1373.27710583587</v>
      </c>
      <c r="AV12" s="37" t="n">
        <f aca="false">AU12*(1-Assumptions!$G$12)+AV11</f>
        <v>1422.85233477751</v>
      </c>
      <c r="AW12" s="37" t="n">
        <f aca="false">AV12*(1-Assumptions!$G$12)+AW11</f>
        <v>1471.93181142973</v>
      </c>
      <c r="AX12" s="37" t="n">
        <f aca="false">AW12*(1-Assumptions!$G$12)+AX11</f>
        <v>1520.84349331543</v>
      </c>
      <c r="AY12" s="37" t="n">
        <f aca="false">AX12*(1-Assumptions!$G$12)+AY11</f>
        <v>1569.58905838228</v>
      </c>
      <c r="AZ12" s="37" t="n">
        <f aca="false">AY12*(1-Assumptions!$G$12)+AZ11</f>
        <v>1617.84716779846</v>
      </c>
      <c r="BA12" s="37" t="n">
        <f aca="false">AZ12*(1-Assumptions!$G$12)+BA11</f>
        <v>1665.62269612047</v>
      </c>
      <c r="BB12" s="37" t="n">
        <f aca="false">BA12*(1-Assumptions!$G$12)+BB11</f>
        <v>1713.24346915927</v>
      </c>
      <c r="BC12" s="37" t="n">
        <f aca="false">BB12*(1-Assumptions!$G$12)+BC11</f>
        <v>1760.38803446768</v>
      </c>
      <c r="BD12" s="37" t="n">
        <f aca="false">BC12*(1-Assumptions!$G$12)+BD11</f>
        <v>1807.061154123</v>
      </c>
      <c r="BE12" s="37" t="n">
        <f aca="false">BD12*(1-Assumptions!$G$12)+BE11</f>
        <v>1853.59054258177</v>
      </c>
      <c r="BF12" s="37" t="n">
        <f aca="false">BE12*(1-Assumptions!$G$12)+BF11</f>
        <v>1899.65463715595</v>
      </c>
      <c r="BG12" s="37" t="n">
        <f aca="false">BF12*(1-Assumptions!$G$12)+BG11</f>
        <v>1945.25809078439</v>
      </c>
      <c r="BH12" s="37" t="n">
        <f aca="false">BG12*(1-Assumptions!$G$12)+BH11</f>
        <v>1990.40550987655</v>
      </c>
      <c r="BI12" s="37" t="n">
        <f aca="false">BH12*(1-Assumptions!$G$12)+BI11</f>
        <v>2035.10145477778</v>
      </c>
      <c r="BJ12" s="37" t="n">
        <f aca="false">BI12*(1-Assumptions!$G$12)+BJ11</f>
        <v>2079.35044023</v>
      </c>
      <c r="BK12" s="37" t="n">
        <f aca="false">BJ12*(1-Assumptions!$G$12)+BK11</f>
        <v>2123.1569358277</v>
      </c>
    </row>
    <row r="13" customFormat="false" ht="15" hidden="false" customHeight="false" outlineLevel="0" collapsed="false">
      <c r="A13" s="28" t="s">
        <v>546</v>
      </c>
      <c r="B13" s="6" t="s">
        <v>547</v>
      </c>
      <c r="C13" s="36" t="n">
        <v>0</v>
      </c>
      <c r="D13" s="26" t="n">
        <f aca="false">D12*Assumptions!$G$11</f>
        <v>0</v>
      </c>
      <c r="E13" s="26" t="n">
        <f aca="false">E12*Assumptions!$G$11</f>
        <v>0</v>
      </c>
      <c r="F13" s="26" t="n">
        <f aca="false">F12*Assumptions!$G$11</f>
        <v>0</v>
      </c>
      <c r="G13" s="26" t="n">
        <f aca="false">G12*Assumptions!$G$11</f>
        <v>0</v>
      </c>
      <c r="H13" s="26" t="n">
        <f aca="false">H12*Assumptions!$G$11</f>
        <v>5.6525</v>
      </c>
      <c r="I13" s="26" t="n">
        <f aca="false">I12*Assumptions!$G$11</f>
        <v>10.570175</v>
      </c>
      <c r="J13" s="26" t="n">
        <f aca="false">J12*Assumptions!$G$11</f>
        <v>13.85597325</v>
      </c>
      <c r="K13" s="26" t="n">
        <f aca="false">K12*Assumptions!$G$11</f>
        <v>21.6309135175</v>
      </c>
      <c r="L13" s="26" t="n">
        <f aca="false">L12*Assumptions!$G$11</f>
        <v>33.397904382325</v>
      </c>
      <c r="M13" s="26" t="n">
        <f aca="false">M12*Assumptions!$G$11</f>
        <v>42.5601253385017</v>
      </c>
      <c r="N13" s="26" t="n">
        <f aca="false">N12*Assumptions!$G$11</f>
        <v>53.6656240851167</v>
      </c>
      <c r="O13" s="26" t="n">
        <f aca="false">O12*Assumptions!$G$11</f>
        <v>67.5993678442656</v>
      </c>
      <c r="P13" s="26" t="n">
        <f aca="false">P12*Assumptions!$G$11</f>
        <v>83.6547741658229</v>
      </c>
      <c r="Q13" s="26" t="n">
        <f aca="false">Q12*Assumptions!$G$11</f>
        <v>100.680126424165</v>
      </c>
      <c r="R13" s="26" t="n">
        <f aca="false">R12*Assumptions!$G$11</f>
        <v>117.987425159923</v>
      </c>
      <c r="S13" s="26" t="n">
        <f aca="false">S12*Assumptions!$G$11</f>
        <v>136.252150908324</v>
      </c>
      <c r="T13" s="26" t="n">
        <f aca="false">T12*Assumptions!$G$11</f>
        <v>154.560329399241</v>
      </c>
      <c r="U13" s="26" t="n">
        <f aca="false">U12*Assumptions!$G$11</f>
        <v>172.911526105248</v>
      </c>
      <c r="V13" s="26" t="n">
        <f aca="false">V12*Assumptions!$G$11</f>
        <v>191.305310844196</v>
      </c>
      <c r="W13" s="26" t="n">
        <f aca="false">W12*Assumptions!$G$11</f>
        <v>215.393757735754</v>
      </c>
      <c r="X13" s="26" t="n">
        <f aca="false">X12*Assumptions!$G$11</f>
        <v>238.789120158396</v>
      </c>
      <c r="Y13" s="26" t="n">
        <f aca="false">Y12*Assumptions!$G$11</f>
        <v>260.593928956812</v>
      </c>
      <c r="Z13" s="26" t="n">
        <f aca="false">Z12*Assumptions!$G$11</f>
        <v>286.928789667244</v>
      </c>
      <c r="AA13" s="26" t="n">
        <f aca="false">AA12*Assumptions!$G$11</f>
        <v>311.643701770572</v>
      </c>
      <c r="AB13" s="26" t="n">
        <f aca="false">AB12*Assumptions!$G$11</f>
        <v>334.528764752866</v>
      </c>
      <c r="AC13" s="26" t="n">
        <f aca="false">AC12*Assumptions!$G$11</f>
        <v>361.028677105337</v>
      </c>
      <c r="AD13" s="26" t="n">
        <f aca="false">AD12*Assumptions!$G$11</f>
        <v>391.559490334284</v>
      </c>
      <c r="AE13" s="26" t="n">
        <f aca="false">AE12*Assumptions!$G$11</f>
        <v>419.297895430941</v>
      </c>
      <c r="AF13" s="26" t="n">
        <f aca="false">AF12*Assumptions!$G$11</f>
        <v>449.019916476632</v>
      </c>
      <c r="AG13" s="26" t="n">
        <f aca="false">AG12*Assumptions!$G$11</f>
        <v>481.610117311865</v>
      </c>
      <c r="AH13" s="26" t="n">
        <f aca="false">AH12*Assumptions!$G$11</f>
        <v>510.482916138747</v>
      </c>
      <c r="AI13" s="26" t="n">
        <f aca="false">AI12*Assumptions!$G$11</f>
        <v>540.875786977359</v>
      </c>
      <c r="AJ13" s="26" t="n">
        <f aca="false">AJ12*Assumptions!$G$11</f>
        <v>573.225729107586</v>
      </c>
      <c r="AK13" s="26" t="n">
        <f aca="false">AK12*Assumptions!$G$11</f>
        <v>607.51317181651</v>
      </c>
      <c r="AL13" s="26" t="n">
        <f aca="false">AL12*Assumptions!$G$11</f>
        <v>642.588240098345</v>
      </c>
      <c r="AM13" s="26" t="n">
        <f aca="false">AM12*Assumptions!$G$11</f>
        <v>677.764757697361</v>
      </c>
      <c r="AN13" s="37" t="n">
        <f aca="false">AN12*Assumptions!$G$11</f>
        <v>713.720010120388</v>
      </c>
      <c r="AO13" s="37" t="n">
        <f aca="false">AO12*Assumptions!$G$11</f>
        <v>749.541810019184</v>
      </c>
      <c r="AP13" s="37" t="n">
        <f aca="false">AP12*Assumptions!$G$11</f>
        <v>785.231491918992</v>
      </c>
      <c r="AQ13" s="37" t="n">
        <f aca="false">AQ12*Assumptions!$G$11</f>
        <v>820.790376999802</v>
      </c>
      <c r="AR13" s="37" t="n">
        <f aca="false">AR12*Assumptions!$G$11</f>
        <v>856.219773229804</v>
      </c>
      <c r="AS13" s="37" t="n">
        <f aca="false">AS12*Assumptions!$G$11</f>
        <v>891.520975497506</v>
      </c>
      <c r="AT13" s="37" t="n">
        <f aca="false">AT12*Assumptions!$G$11</f>
        <v>926.469165742531</v>
      </c>
      <c r="AU13" s="37" t="n">
        <f aca="false">AU12*Assumptions!$G$11</f>
        <v>961.293974085105</v>
      </c>
      <c r="AV13" s="37" t="n">
        <f aca="false">AV12*Assumptions!$G$11</f>
        <v>995.996634344255</v>
      </c>
      <c r="AW13" s="37" t="n">
        <f aca="false">AW12*Assumptions!$G$11</f>
        <v>1030.35226800081</v>
      </c>
      <c r="AX13" s="37" t="n">
        <f aca="false">AX12*Assumptions!$G$11</f>
        <v>1064.5904453208</v>
      </c>
      <c r="AY13" s="37" t="n">
        <f aca="false">AY12*Assumptions!$G$11</f>
        <v>1098.7123408676</v>
      </c>
      <c r="AZ13" s="37" t="n">
        <f aca="false">AZ12*Assumptions!$G$11</f>
        <v>1132.49301745892</v>
      </c>
      <c r="BA13" s="37" t="n">
        <f aca="false">BA12*Assumptions!$G$11</f>
        <v>1165.93588728433</v>
      </c>
      <c r="BB13" s="37" t="n">
        <f aca="false">BB12*Assumptions!$G$11</f>
        <v>1199.27042841149</v>
      </c>
      <c r="BC13" s="37" t="n">
        <f aca="false">BC12*Assumptions!$G$11</f>
        <v>1232.27162412737</v>
      </c>
      <c r="BD13" s="37" t="n">
        <f aca="false">BD12*Assumptions!$G$11</f>
        <v>1264.9428078861</v>
      </c>
      <c r="BE13" s="37" t="n">
        <f aca="false">BE12*Assumptions!$G$11</f>
        <v>1297.51337980724</v>
      </c>
      <c r="BF13" s="37" t="n">
        <f aca="false">BF12*Assumptions!$G$11</f>
        <v>1329.75824600917</v>
      </c>
      <c r="BG13" s="37" t="n">
        <f aca="false">BG12*Assumptions!$G$11</f>
        <v>1361.68066354907</v>
      </c>
      <c r="BH13" s="37" t="n">
        <f aca="false">BH12*Assumptions!$G$11</f>
        <v>1393.28385691358</v>
      </c>
      <c r="BI13" s="37" t="n">
        <f aca="false">BI12*Assumptions!$G$11</f>
        <v>1424.57101834445</v>
      </c>
      <c r="BJ13" s="37" t="n">
        <f aca="false">BJ12*Assumptions!$G$11</f>
        <v>1455.545308161</v>
      </c>
      <c r="BK13" s="37" t="n">
        <f aca="false">BK12*Assumptions!$G$11</f>
        <v>1486.20985507939</v>
      </c>
    </row>
    <row r="14" customFormat="false" ht="15" hidden="false" customHeight="false" outlineLevel="0" collapsed="false">
      <c r="A14" s="28" t="s">
        <v>548</v>
      </c>
      <c r="B14" s="6" t="s">
        <v>549</v>
      </c>
      <c r="C14" s="36" t="n">
        <v>0</v>
      </c>
      <c r="D14" s="26" t="n">
        <f aca="false">D11*Assumptions!$G$11</f>
        <v>0</v>
      </c>
      <c r="E14" s="26" t="n">
        <f aca="false">E11*Assumptions!$G$11</f>
        <v>0</v>
      </c>
      <c r="F14" s="26" t="n">
        <f aca="false">F11*Assumptions!$G$11</f>
        <v>0</v>
      </c>
      <c r="G14" s="26" t="n">
        <f aca="false">G11*Assumptions!$G$11</f>
        <v>0</v>
      </c>
      <c r="H14" s="26" t="n">
        <f aca="false">H11*Assumptions!$G$11</f>
        <v>5.6525</v>
      </c>
      <c r="I14" s="26" t="n">
        <f aca="false">I11*Assumptions!$G$11</f>
        <v>4.9742</v>
      </c>
      <c r="J14" s="26" t="n">
        <f aca="false">J11*Assumptions!$G$11</f>
        <v>3.3915</v>
      </c>
      <c r="K14" s="26" t="n">
        <f aca="false">K11*Assumptions!$G$11</f>
        <v>7.9135</v>
      </c>
      <c r="L14" s="26" t="n">
        <f aca="false">L11*Assumptions!$G$11</f>
        <v>11.9833</v>
      </c>
      <c r="M14" s="26" t="n">
        <f aca="false">M11*Assumptions!$G$11</f>
        <v>9.4962</v>
      </c>
      <c r="N14" s="26" t="n">
        <f aca="false">N11*Assumptions!$G$11</f>
        <v>11.5311</v>
      </c>
      <c r="O14" s="26" t="n">
        <f aca="false">O11*Assumptions!$G$11</f>
        <v>14.4704</v>
      </c>
      <c r="P14" s="26" t="n">
        <f aca="false">P11*Assumptions!$G$11</f>
        <v>16.7314</v>
      </c>
      <c r="Q14" s="26" t="n">
        <f aca="false">Q11*Assumptions!$G$11</f>
        <v>17.8619</v>
      </c>
      <c r="R14" s="26" t="n">
        <f aca="false">R11*Assumptions!$G$11</f>
        <v>18.3141</v>
      </c>
      <c r="S14" s="26" t="n">
        <f aca="false">S11*Assumptions!$G$11</f>
        <v>19.4446</v>
      </c>
      <c r="T14" s="26" t="n">
        <f aca="false">T11*Assumptions!$G$11</f>
        <v>19.6707</v>
      </c>
      <c r="U14" s="26" t="n">
        <f aca="false">U11*Assumptions!$G$11</f>
        <v>19.8968</v>
      </c>
      <c r="V14" s="26" t="n">
        <f aca="false">V11*Assumptions!$G$11</f>
        <v>20.1229</v>
      </c>
      <c r="W14" s="26" t="n">
        <f aca="false">W11*Assumptions!$G$11</f>
        <v>26.0015</v>
      </c>
      <c r="X14" s="26" t="n">
        <f aca="false">X11*Assumptions!$G$11</f>
        <v>25.5493</v>
      </c>
      <c r="Y14" s="26" t="n">
        <f aca="false">Y11*Assumptions!$G$11</f>
        <v>24.1927</v>
      </c>
      <c r="Z14" s="26" t="n">
        <f aca="false">Z11*Assumptions!$G$11</f>
        <v>28.9408</v>
      </c>
      <c r="AA14" s="26" t="n">
        <f aca="false">AA11*Assumptions!$G$11</f>
        <v>27.5842</v>
      </c>
      <c r="AB14" s="26" t="n">
        <f aca="false">AB11*Assumptions!$G$11</f>
        <v>26.0015</v>
      </c>
      <c r="AC14" s="26" t="n">
        <f aca="false">AC11*Assumptions!$G$11</f>
        <v>29.8452</v>
      </c>
      <c r="AD14" s="26" t="n">
        <f aca="false">AD11*Assumptions!$G$11</f>
        <v>34.1411</v>
      </c>
      <c r="AE14" s="26" t="n">
        <f aca="false">AE11*Assumptions!$G$11</f>
        <v>31.654</v>
      </c>
      <c r="AF14" s="26" t="n">
        <f aca="false">AF11*Assumptions!$G$11</f>
        <v>33.915</v>
      </c>
      <c r="AG14" s="26" t="n">
        <f aca="false">AG11*Assumptions!$G$11</f>
        <v>37.0804</v>
      </c>
      <c r="AH14" s="26" t="n">
        <f aca="false">AH11*Assumptions!$G$11</f>
        <v>33.6889</v>
      </c>
      <c r="AI14" s="26" t="n">
        <f aca="false">AI11*Assumptions!$G$11</f>
        <v>35.4977</v>
      </c>
      <c r="AJ14" s="26" t="n">
        <f aca="false">AJ11*Assumptions!$G$11</f>
        <v>37.7587</v>
      </c>
      <c r="AK14" s="26" t="n">
        <f aca="false">AK11*Assumptions!$G$11</f>
        <v>40.0197</v>
      </c>
      <c r="AL14" s="26" t="n">
        <f aca="false">AL11*Assumptions!$G$11</f>
        <v>41.1502</v>
      </c>
      <c r="AM14" s="26" t="n">
        <f aca="false">AM11*Assumptions!$G$11</f>
        <v>41.6024</v>
      </c>
      <c r="AN14" s="37" t="n">
        <f aca="false">AN11*Assumptions!$G$11</f>
        <v>42.7329</v>
      </c>
      <c r="AO14" s="37" t="n">
        <f aca="false">AO11*Assumptions!$G$11</f>
        <v>42.959</v>
      </c>
      <c r="AP14" s="37" t="n">
        <f aca="false">AP11*Assumptions!$G$11</f>
        <v>43.1851</v>
      </c>
      <c r="AQ14" s="37" t="n">
        <f aca="false">AQ11*Assumptions!$G$11</f>
        <v>43.4112</v>
      </c>
      <c r="AR14" s="37" t="n">
        <f aca="false">AR11*Assumptions!$G$11</f>
        <v>43.6373</v>
      </c>
      <c r="AS14" s="37" t="n">
        <f aca="false">AS11*Assumptions!$G$11</f>
        <v>43.8634</v>
      </c>
      <c r="AT14" s="37" t="n">
        <f aca="false">AT11*Assumptions!$G$11</f>
        <v>43.8634</v>
      </c>
      <c r="AU14" s="37" t="n">
        <f aca="false">AU11*Assumptions!$G$11</f>
        <v>44.0895</v>
      </c>
      <c r="AV14" s="37" t="n">
        <f aca="false">AV11*Assumptions!$G$11</f>
        <v>44.3156</v>
      </c>
      <c r="AW14" s="37" t="n">
        <f aca="false">AW11*Assumptions!$G$11</f>
        <v>44.3156</v>
      </c>
      <c r="AX14" s="37" t="n">
        <f aca="false">AX11*Assumptions!$G$11</f>
        <v>44.5417</v>
      </c>
      <c r="AY14" s="37" t="n">
        <f aca="false">AY11*Assumptions!$G$11</f>
        <v>44.7678</v>
      </c>
      <c r="AZ14" s="37" t="n">
        <f aca="false">AZ11*Assumptions!$G$11</f>
        <v>44.7678</v>
      </c>
      <c r="BA14" s="37" t="n">
        <f aca="false">BA11*Assumptions!$G$11</f>
        <v>44.7678</v>
      </c>
      <c r="BB14" s="37" t="n">
        <f aca="false">BB11*Assumptions!$G$11</f>
        <v>44.9939</v>
      </c>
      <c r="BC14" s="37" t="n">
        <f aca="false">BC11*Assumptions!$G$11</f>
        <v>44.9939</v>
      </c>
      <c r="BD14" s="37" t="n">
        <f aca="false">BD11*Assumptions!$G$11</f>
        <v>44.9939</v>
      </c>
      <c r="BE14" s="37" t="n">
        <f aca="false">BE11*Assumptions!$G$11</f>
        <v>45.22</v>
      </c>
      <c r="BF14" s="37" t="n">
        <f aca="false">BF11*Assumptions!$G$11</f>
        <v>45.22</v>
      </c>
      <c r="BG14" s="37" t="n">
        <f aca="false">BG11*Assumptions!$G$11</f>
        <v>45.22</v>
      </c>
      <c r="BH14" s="37" t="n">
        <f aca="false">BH11*Assumptions!$G$11</f>
        <v>45.22</v>
      </c>
      <c r="BI14" s="37" t="n">
        <f aca="false">BI11*Assumptions!$G$11</f>
        <v>45.22</v>
      </c>
      <c r="BJ14" s="37" t="n">
        <f aca="false">BJ11*Assumptions!$G$11</f>
        <v>45.22</v>
      </c>
      <c r="BK14" s="37" t="n">
        <f aca="false">BK11*Assumptions!$G$11</f>
        <v>45.22</v>
      </c>
    </row>
    <row r="15" customFormat="false" ht="15" hidden="false" customHeight="false" outlineLevel="0" collapsed="false">
      <c r="B15" s="5" t="s">
        <v>550</v>
      </c>
    </row>
    <row r="16" customFormat="false" ht="15" hidden="false" customHeight="false" outlineLevel="0" collapsed="false">
      <c r="A16" s="28" t="s">
        <v>551</v>
      </c>
      <c r="B16" s="6" t="s">
        <v>552</v>
      </c>
      <c r="C16" s="38" t="n">
        <v>0</v>
      </c>
      <c r="D16" s="39" t="n">
        <f aca="false">IF(OR(C16=1,AND(D13&gt;=Assumptions!$G$18,D7&gt;=Assumptions!$G$19)),1,0)</f>
        <v>0</v>
      </c>
      <c r="E16" s="39" t="n">
        <f aca="false">IF(OR(D16=1,AND(E13&gt;=Assumptions!$G$18,E7&gt;=Assumptions!$G$19)),1,0)</f>
        <v>0</v>
      </c>
      <c r="F16" s="39" t="n">
        <f aca="false">IF(OR(E16=1,AND(F13&gt;=Assumptions!$G$18,F7&gt;=Assumptions!$G$19)),1,0)</f>
        <v>0</v>
      </c>
      <c r="G16" s="39" t="n">
        <f aca="false">IF(OR(F16=1,AND(G13&gt;=Assumptions!$G$18,G7&gt;=Assumptions!$G$19)),1,0)</f>
        <v>0</v>
      </c>
      <c r="H16" s="39" t="n">
        <f aca="false">IF(OR(G16=1,AND(H13&gt;=Assumptions!$G$18,H7&gt;=Assumptions!$G$19)),1,0)</f>
        <v>0</v>
      </c>
      <c r="I16" s="39" t="n">
        <f aca="false">IF(OR(H16=1,AND(I13&gt;=Assumptions!$G$18,I7&gt;=Assumptions!$G$19)),1,0)</f>
        <v>0</v>
      </c>
      <c r="J16" s="39" t="n">
        <f aca="false">IF(OR(I16=1,AND(J13&gt;=Assumptions!$G$18,J7&gt;=Assumptions!$G$19)),1,0)</f>
        <v>0</v>
      </c>
      <c r="K16" s="39" t="n">
        <f aca="false">IF(OR(J16=1,AND(K13&gt;=Assumptions!$G$18,K7&gt;=Assumptions!$G$19)),1,0)</f>
        <v>0</v>
      </c>
      <c r="L16" s="39" t="n">
        <f aca="false">IF(OR(K16=1,AND(L13&gt;=Assumptions!$G$18,L7&gt;=Assumptions!$G$19)),1,0)</f>
        <v>0</v>
      </c>
      <c r="M16" s="39" t="n">
        <f aca="false">IF(OR(L16=1,AND(M13&gt;=Assumptions!$G$18,M7&gt;=Assumptions!$G$19)),1,0)</f>
        <v>0</v>
      </c>
      <c r="N16" s="39" t="n">
        <f aca="false">IF(OR(M16=1,AND(N13&gt;=Assumptions!$G$18,N7&gt;=Assumptions!$G$19)),1,0)</f>
        <v>0</v>
      </c>
      <c r="O16" s="39" t="n">
        <f aca="false">IF(OR(N16=1,AND(O13&gt;=Assumptions!$G$18,O7&gt;=Assumptions!$G$19)),1,0)</f>
        <v>0</v>
      </c>
      <c r="P16" s="39" t="n">
        <f aca="false">IF(OR(O16=1,AND(P13&gt;=Assumptions!$G$18,P7&gt;=Assumptions!$G$19)),1,0)</f>
        <v>0</v>
      </c>
      <c r="Q16" s="39" t="n">
        <f aca="false">IF(OR(P16=1,AND(Q13&gt;=Assumptions!$G$18,Q7&gt;=Assumptions!$G$19)),1,0)</f>
        <v>0</v>
      </c>
      <c r="R16" s="39" t="n">
        <f aca="false">IF(OR(Q16=1,AND(R13&gt;=Assumptions!$G$18,R7&gt;=Assumptions!$G$19)),1,0)</f>
        <v>0</v>
      </c>
      <c r="S16" s="39" t="n">
        <f aca="false">IF(OR(R16=1,AND(S13&gt;=Assumptions!$G$18,S7&gt;=Assumptions!$G$19)),1,0)</f>
        <v>0</v>
      </c>
      <c r="T16" s="39" t="n">
        <f aca="false">IF(OR(S16=1,AND(T13&gt;=Assumptions!$G$18,T7&gt;=Assumptions!$G$19)),1,0)</f>
        <v>1</v>
      </c>
      <c r="U16" s="39" t="n">
        <f aca="false">IF(OR(T16=1,AND(U13&gt;=Assumptions!$G$18,U7&gt;=Assumptions!$G$19)),1,0)</f>
        <v>1</v>
      </c>
      <c r="V16" s="39" t="n">
        <f aca="false">IF(OR(U16=1,AND(V13&gt;=Assumptions!$G$18,V7&gt;=Assumptions!$G$19)),1,0)</f>
        <v>1</v>
      </c>
      <c r="W16" s="39" t="n">
        <f aca="false">IF(OR(V16=1,AND(W13&gt;=Assumptions!$G$18,W7&gt;=Assumptions!$G$19)),1,0)</f>
        <v>1</v>
      </c>
      <c r="X16" s="39" t="n">
        <f aca="false">IF(OR(W16=1,AND(X13&gt;=Assumptions!$G$18,X7&gt;=Assumptions!$G$19)),1,0)</f>
        <v>1</v>
      </c>
      <c r="Y16" s="39" t="n">
        <f aca="false">IF(OR(X16=1,AND(Y13&gt;=Assumptions!$G$18,Y7&gt;=Assumptions!$G$19)),1,0)</f>
        <v>1</v>
      </c>
      <c r="Z16" s="39" t="n">
        <f aca="false">IF(OR(Y16=1,AND(Z13&gt;=Assumptions!$G$18,Z7&gt;=Assumptions!$G$19)),1,0)</f>
        <v>1</v>
      </c>
      <c r="AA16" s="39" t="n">
        <f aca="false">IF(OR(Z16=1,AND(AA13&gt;=Assumptions!$G$18,AA7&gt;=Assumptions!$G$19)),1,0)</f>
        <v>1</v>
      </c>
      <c r="AB16" s="39" t="n">
        <f aca="false">IF(OR(AA16=1,AND(AB13&gt;=Assumptions!$G$18,AB7&gt;=Assumptions!$G$19)),1,0)</f>
        <v>1</v>
      </c>
      <c r="AC16" s="39" t="n">
        <f aca="false">IF(OR(AB16=1,AND(AC13&gt;=Assumptions!$G$18,AC7&gt;=Assumptions!$G$19)),1,0)</f>
        <v>1</v>
      </c>
      <c r="AD16" s="39" t="n">
        <f aca="false">IF(OR(AC16=1,AND(AD13&gt;=Assumptions!$G$18,AD7&gt;=Assumptions!$G$19)),1,0)</f>
        <v>1</v>
      </c>
      <c r="AE16" s="39" t="n">
        <f aca="false">IF(OR(AD16=1,AND(AE13&gt;=Assumptions!$G$18,AE7&gt;=Assumptions!$G$19)),1,0)</f>
        <v>1</v>
      </c>
      <c r="AF16" s="39" t="n">
        <f aca="false">IF(OR(AE16=1,AND(AF13&gt;=Assumptions!$G$18,AF7&gt;=Assumptions!$G$19)),1,0)</f>
        <v>1</v>
      </c>
      <c r="AG16" s="39" t="n">
        <f aca="false">IF(OR(AF16=1,AND(AG13&gt;=Assumptions!$G$18,AG7&gt;=Assumptions!$G$19)),1,0)</f>
        <v>1</v>
      </c>
      <c r="AH16" s="39" t="n">
        <f aca="false">IF(OR(AG16=1,AND(AH13&gt;=Assumptions!$G$18,AH7&gt;=Assumptions!$G$19)),1,0)</f>
        <v>1</v>
      </c>
      <c r="AI16" s="39" t="n">
        <f aca="false">IF(OR(AH16=1,AND(AI13&gt;=Assumptions!$G$18,AI7&gt;=Assumptions!$G$19)),1,0)</f>
        <v>1</v>
      </c>
      <c r="AJ16" s="39" t="n">
        <f aca="false">IF(OR(AI16=1,AND(AJ13&gt;=Assumptions!$G$18,AJ7&gt;=Assumptions!$G$19)),1,0)</f>
        <v>1</v>
      </c>
      <c r="AK16" s="39" t="n">
        <f aca="false">IF(OR(AJ16=1,AND(AK13&gt;=Assumptions!$G$18,AK7&gt;=Assumptions!$G$19)),1,0)</f>
        <v>1</v>
      </c>
      <c r="AL16" s="39" t="n">
        <f aca="false">IF(OR(AK16=1,AND(AL13&gt;=Assumptions!$G$18,AL7&gt;=Assumptions!$G$19)),1,0)</f>
        <v>1</v>
      </c>
      <c r="AM16" s="39" t="n">
        <f aca="false">IF(OR(AL16=1,AND(AM13&gt;=Assumptions!$G$18,AM7&gt;=Assumptions!$G$19)),1,0)</f>
        <v>1</v>
      </c>
      <c r="AN16" s="40" t="n">
        <f aca="false">IF(OR(AM16=1,AND(AN13&gt;=Assumptions!$G$18,AN7&gt;=Assumptions!$G$19)),1,0)</f>
        <v>1</v>
      </c>
      <c r="AO16" s="40" t="n">
        <f aca="false">IF(OR(AN16=1,AND(AO13&gt;=Assumptions!$G$18,AO7&gt;=Assumptions!$G$19)),1,0)</f>
        <v>1</v>
      </c>
      <c r="AP16" s="40" t="n">
        <f aca="false">IF(OR(AO16=1,AND(AP13&gt;=Assumptions!$G$18,AP7&gt;=Assumptions!$G$19)),1,0)</f>
        <v>1</v>
      </c>
      <c r="AQ16" s="40" t="n">
        <f aca="false">IF(OR(AP16=1,AND(AQ13&gt;=Assumptions!$G$18,AQ7&gt;=Assumptions!$G$19)),1,0)</f>
        <v>1</v>
      </c>
      <c r="AR16" s="40" t="n">
        <f aca="false">IF(OR(AQ16=1,AND(AR13&gt;=Assumptions!$G$18,AR7&gt;=Assumptions!$G$19)),1,0)</f>
        <v>1</v>
      </c>
      <c r="AS16" s="40" t="n">
        <f aca="false">IF(OR(AR16=1,AND(AS13&gt;=Assumptions!$G$18,AS7&gt;=Assumptions!$G$19)),1,0)</f>
        <v>1</v>
      </c>
      <c r="AT16" s="40" t="n">
        <f aca="false">IF(OR(AS16=1,AND(AT13&gt;=Assumptions!$G$18,AT7&gt;=Assumptions!$G$19)),1,0)</f>
        <v>1</v>
      </c>
      <c r="AU16" s="40" t="n">
        <f aca="false">IF(OR(AT16=1,AND(AU13&gt;=Assumptions!$G$18,AU7&gt;=Assumptions!$G$19)),1,0)</f>
        <v>1</v>
      </c>
      <c r="AV16" s="40" t="n">
        <f aca="false">IF(OR(AU16=1,AND(AV13&gt;=Assumptions!$G$18,AV7&gt;=Assumptions!$G$19)),1,0)</f>
        <v>1</v>
      </c>
      <c r="AW16" s="40" t="n">
        <f aca="false">IF(OR(AV16=1,AND(AW13&gt;=Assumptions!$G$18,AW7&gt;=Assumptions!$G$19)),1,0)</f>
        <v>1</v>
      </c>
      <c r="AX16" s="40" t="n">
        <f aca="false">IF(OR(AW16=1,AND(AX13&gt;=Assumptions!$G$18,AX7&gt;=Assumptions!$G$19)),1,0)</f>
        <v>1</v>
      </c>
      <c r="AY16" s="40" t="n">
        <f aca="false">IF(OR(AX16=1,AND(AY13&gt;=Assumptions!$G$18,AY7&gt;=Assumptions!$G$19)),1,0)</f>
        <v>1</v>
      </c>
      <c r="AZ16" s="40" t="n">
        <f aca="false">IF(OR(AY16=1,AND(AZ13&gt;=Assumptions!$G$18,AZ7&gt;=Assumptions!$G$19)),1,0)</f>
        <v>1</v>
      </c>
      <c r="BA16" s="40" t="n">
        <f aca="false">IF(OR(AZ16=1,AND(BA13&gt;=Assumptions!$G$18,BA7&gt;=Assumptions!$G$19)),1,0)</f>
        <v>1</v>
      </c>
      <c r="BB16" s="40" t="n">
        <f aca="false">IF(OR(BA16=1,AND(BB13&gt;=Assumptions!$G$18,BB7&gt;=Assumptions!$G$19)),1,0)</f>
        <v>1</v>
      </c>
      <c r="BC16" s="40" t="n">
        <f aca="false">IF(OR(BB16=1,AND(BC13&gt;=Assumptions!$G$18,BC7&gt;=Assumptions!$G$19)),1,0)</f>
        <v>1</v>
      </c>
      <c r="BD16" s="40" t="n">
        <f aca="false">IF(OR(BC16=1,AND(BD13&gt;=Assumptions!$G$18,BD7&gt;=Assumptions!$G$19)),1,0)</f>
        <v>1</v>
      </c>
      <c r="BE16" s="40" t="n">
        <f aca="false">IF(OR(BD16=1,AND(BE13&gt;=Assumptions!$G$18,BE7&gt;=Assumptions!$G$19)),1,0)</f>
        <v>1</v>
      </c>
      <c r="BF16" s="40" t="n">
        <f aca="false">IF(OR(BE16=1,AND(BF13&gt;=Assumptions!$G$18,BF7&gt;=Assumptions!$G$19)),1,0)</f>
        <v>1</v>
      </c>
      <c r="BG16" s="40" t="n">
        <f aca="false">IF(OR(BF16=1,AND(BG13&gt;=Assumptions!$G$18,BG7&gt;=Assumptions!$G$19)),1,0)</f>
        <v>1</v>
      </c>
      <c r="BH16" s="40" t="n">
        <f aca="false">IF(OR(BG16=1,AND(BH13&gt;=Assumptions!$G$18,BH7&gt;=Assumptions!$G$19)),1,0)</f>
        <v>1</v>
      </c>
      <c r="BI16" s="40" t="n">
        <f aca="false">IF(OR(BH16=1,AND(BI13&gt;=Assumptions!$G$18,BI7&gt;=Assumptions!$G$19)),1,0)</f>
        <v>1</v>
      </c>
      <c r="BJ16" s="40" t="n">
        <f aca="false">IF(OR(BI16=1,AND(BJ13&gt;=Assumptions!$G$18,BJ7&gt;=Assumptions!$G$19)),1,0)</f>
        <v>1</v>
      </c>
      <c r="BK16" s="40" t="n">
        <f aca="false">IF(OR(BJ16=1,AND(BK13&gt;=Assumptions!$G$18,BK7&gt;=Assumptions!$G$19)),1,0)</f>
        <v>1</v>
      </c>
    </row>
    <row r="17" customFormat="false" ht="15" hidden="false" customHeight="false" outlineLevel="0" collapsed="false">
      <c r="A17" s="28" t="s">
        <v>553</v>
      </c>
      <c r="B17" s="6" t="s">
        <v>554</v>
      </c>
      <c r="C17" s="38" t="n">
        <v>0</v>
      </c>
      <c r="D17" s="39" t="n">
        <f aca="false">IF(OR(C17=1,AND(D13&gt;=Assumptions!$G$20,D7&gt;=Assumptions!$G$21)),1,0)</f>
        <v>0</v>
      </c>
      <c r="E17" s="39" t="n">
        <f aca="false">IF(OR(D17=1,AND(E13&gt;=Assumptions!$G$20,E7&gt;=Assumptions!$G$21)),1,0)</f>
        <v>0</v>
      </c>
      <c r="F17" s="39" t="n">
        <f aca="false">IF(OR(E17=1,AND(F13&gt;=Assumptions!$G$20,F7&gt;=Assumptions!$G$21)),1,0)</f>
        <v>0</v>
      </c>
      <c r="G17" s="39" t="n">
        <f aca="false">IF(OR(F17=1,AND(G13&gt;=Assumptions!$G$20,G7&gt;=Assumptions!$G$21)),1,0)</f>
        <v>0</v>
      </c>
      <c r="H17" s="39" t="n">
        <f aca="false">IF(OR(G17=1,AND(H13&gt;=Assumptions!$G$20,H7&gt;=Assumptions!$G$21)),1,0)</f>
        <v>0</v>
      </c>
      <c r="I17" s="39" t="n">
        <f aca="false">IF(OR(H17=1,AND(I13&gt;=Assumptions!$G$20,I7&gt;=Assumptions!$G$21)),1,0)</f>
        <v>0</v>
      </c>
      <c r="J17" s="39" t="n">
        <f aca="false">IF(OR(I17=1,AND(J13&gt;=Assumptions!$G$20,J7&gt;=Assumptions!$G$21)),1,0)</f>
        <v>0</v>
      </c>
      <c r="K17" s="39" t="n">
        <f aca="false">IF(OR(J17=1,AND(K13&gt;=Assumptions!$G$20,K7&gt;=Assumptions!$G$21)),1,0)</f>
        <v>0</v>
      </c>
      <c r="L17" s="39" t="n">
        <f aca="false">IF(OR(K17=1,AND(L13&gt;=Assumptions!$G$20,L7&gt;=Assumptions!$G$21)),1,0)</f>
        <v>0</v>
      </c>
      <c r="M17" s="39" t="n">
        <f aca="false">IF(OR(L17=1,AND(M13&gt;=Assumptions!$G$20,M7&gt;=Assumptions!$G$21)),1,0)</f>
        <v>0</v>
      </c>
      <c r="N17" s="39" t="n">
        <f aca="false">IF(OR(M17=1,AND(N13&gt;=Assumptions!$G$20,N7&gt;=Assumptions!$G$21)),1,0)</f>
        <v>0</v>
      </c>
      <c r="O17" s="39" t="n">
        <f aca="false">IF(OR(N17=1,AND(O13&gt;=Assumptions!$G$20,O7&gt;=Assumptions!$G$21)),1,0)</f>
        <v>0</v>
      </c>
      <c r="P17" s="39" t="n">
        <f aca="false">IF(OR(O17=1,AND(P13&gt;=Assumptions!$G$20,P7&gt;=Assumptions!$G$21)),1,0)</f>
        <v>0</v>
      </c>
      <c r="Q17" s="39" t="n">
        <f aca="false">IF(OR(P17=1,AND(Q13&gt;=Assumptions!$G$20,Q7&gt;=Assumptions!$G$21)),1,0)</f>
        <v>0</v>
      </c>
      <c r="R17" s="39" t="n">
        <f aca="false">IF(OR(Q17=1,AND(R13&gt;=Assumptions!$G$20,R7&gt;=Assumptions!$G$21)),1,0)</f>
        <v>0</v>
      </c>
      <c r="S17" s="39" t="n">
        <f aca="false">IF(OR(R17=1,AND(S13&gt;=Assumptions!$G$20,S7&gt;=Assumptions!$G$21)),1,0)</f>
        <v>0</v>
      </c>
      <c r="T17" s="39" t="n">
        <f aca="false">IF(OR(S17=1,AND(T13&gt;=Assumptions!$G$20,T7&gt;=Assumptions!$G$21)),1,0)</f>
        <v>1</v>
      </c>
      <c r="U17" s="39" t="n">
        <f aca="false">IF(OR(T17=1,AND(U13&gt;=Assumptions!$G$20,U7&gt;=Assumptions!$G$21)),1,0)</f>
        <v>1</v>
      </c>
      <c r="V17" s="39" t="n">
        <f aca="false">IF(OR(U17=1,AND(V13&gt;=Assumptions!$G$20,V7&gt;=Assumptions!$G$21)),1,0)</f>
        <v>1</v>
      </c>
      <c r="W17" s="39" t="n">
        <f aca="false">IF(OR(V17=1,AND(W13&gt;=Assumptions!$G$20,W7&gt;=Assumptions!$G$21)),1,0)</f>
        <v>1</v>
      </c>
      <c r="X17" s="39" t="n">
        <f aca="false">IF(OR(W17=1,AND(X13&gt;=Assumptions!$G$20,X7&gt;=Assumptions!$G$21)),1,0)</f>
        <v>1</v>
      </c>
      <c r="Y17" s="39" t="n">
        <f aca="false">IF(OR(X17=1,AND(Y13&gt;=Assumptions!$G$20,Y7&gt;=Assumptions!$G$21)),1,0)</f>
        <v>1</v>
      </c>
      <c r="Z17" s="39" t="n">
        <f aca="false">IF(OR(Y17=1,AND(Z13&gt;=Assumptions!$G$20,Z7&gt;=Assumptions!$G$21)),1,0)</f>
        <v>1</v>
      </c>
      <c r="AA17" s="39" t="n">
        <f aca="false">IF(OR(Z17=1,AND(AA13&gt;=Assumptions!$G$20,AA7&gt;=Assumptions!$G$21)),1,0)</f>
        <v>1</v>
      </c>
      <c r="AB17" s="39" t="n">
        <f aca="false">IF(OR(AA17=1,AND(AB13&gt;=Assumptions!$G$20,AB7&gt;=Assumptions!$G$21)),1,0)</f>
        <v>1</v>
      </c>
      <c r="AC17" s="39" t="n">
        <f aca="false">IF(OR(AB17=1,AND(AC13&gt;=Assumptions!$G$20,AC7&gt;=Assumptions!$G$21)),1,0)</f>
        <v>1</v>
      </c>
      <c r="AD17" s="39" t="n">
        <f aca="false">IF(OR(AC17=1,AND(AD13&gt;=Assumptions!$G$20,AD7&gt;=Assumptions!$G$21)),1,0)</f>
        <v>1</v>
      </c>
      <c r="AE17" s="39" t="n">
        <f aca="false">IF(OR(AD17=1,AND(AE13&gt;=Assumptions!$G$20,AE7&gt;=Assumptions!$G$21)),1,0)</f>
        <v>1</v>
      </c>
      <c r="AF17" s="39" t="n">
        <f aca="false">IF(OR(AE17=1,AND(AF13&gt;=Assumptions!$G$20,AF7&gt;=Assumptions!$G$21)),1,0)</f>
        <v>1</v>
      </c>
      <c r="AG17" s="39" t="n">
        <f aca="false">IF(OR(AF17=1,AND(AG13&gt;=Assumptions!$G$20,AG7&gt;=Assumptions!$G$21)),1,0)</f>
        <v>1</v>
      </c>
      <c r="AH17" s="39" t="n">
        <f aca="false">IF(OR(AG17=1,AND(AH13&gt;=Assumptions!$G$20,AH7&gt;=Assumptions!$G$21)),1,0)</f>
        <v>1</v>
      </c>
      <c r="AI17" s="39" t="n">
        <f aca="false">IF(OR(AH17=1,AND(AI13&gt;=Assumptions!$G$20,AI7&gt;=Assumptions!$G$21)),1,0)</f>
        <v>1</v>
      </c>
      <c r="AJ17" s="39" t="n">
        <f aca="false">IF(OR(AI17=1,AND(AJ13&gt;=Assumptions!$G$20,AJ7&gt;=Assumptions!$G$21)),1,0)</f>
        <v>1</v>
      </c>
      <c r="AK17" s="39" t="n">
        <f aca="false">IF(OR(AJ17=1,AND(AK13&gt;=Assumptions!$G$20,AK7&gt;=Assumptions!$G$21)),1,0)</f>
        <v>1</v>
      </c>
      <c r="AL17" s="39" t="n">
        <f aca="false">IF(OR(AK17=1,AND(AL13&gt;=Assumptions!$G$20,AL7&gt;=Assumptions!$G$21)),1,0)</f>
        <v>1</v>
      </c>
      <c r="AM17" s="39" t="n">
        <f aca="false">IF(OR(AL17=1,AND(AM13&gt;=Assumptions!$G$20,AM7&gt;=Assumptions!$G$21)),1,0)</f>
        <v>1</v>
      </c>
      <c r="AN17" s="40" t="n">
        <f aca="false">IF(OR(AM17=1,AND(AN13&gt;=Assumptions!$G$20,AN7&gt;=Assumptions!$G$21)),1,0)</f>
        <v>1</v>
      </c>
      <c r="AO17" s="40" t="n">
        <f aca="false">IF(OR(AN17=1,AND(AO13&gt;=Assumptions!$G$20,AO7&gt;=Assumptions!$G$21)),1,0)</f>
        <v>1</v>
      </c>
      <c r="AP17" s="40" t="n">
        <f aca="false">IF(OR(AO17=1,AND(AP13&gt;=Assumptions!$G$20,AP7&gt;=Assumptions!$G$21)),1,0)</f>
        <v>1</v>
      </c>
      <c r="AQ17" s="40" t="n">
        <f aca="false">IF(OR(AP17=1,AND(AQ13&gt;=Assumptions!$G$20,AQ7&gt;=Assumptions!$G$21)),1,0)</f>
        <v>1</v>
      </c>
      <c r="AR17" s="40" t="n">
        <f aca="false">IF(OR(AQ17=1,AND(AR13&gt;=Assumptions!$G$20,AR7&gt;=Assumptions!$G$21)),1,0)</f>
        <v>1</v>
      </c>
      <c r="AS17" s="40" t="n">
        <f aca="false">IF(OR(AR17=1,AND(AS13&gt;=Assumptions!$G$20,AS7&gt;=Assumptions!$G$21)),1,0)</f>
        <v>1</v>
      </c>
      <c r="AT17" s="40" t="n">
        <f aca="false">IF(OR(AS17=1,AND(AT13&gt;=Assumptions!$G$20,AT7&gt;=Assumptions!$G$21)),1,0)</f>
        <v>1</v>
      </c>
      <c r="AU17" s="40" t="n">
        <f aca="false">IF(OR(AT17=1,AND(AU13&gt;=Assumptions!$G$20,AU7&gt;=Assumptions!$G$21)),1,0)</f>
        <v>1</v>
      </c>
      <c r="AV17" s="40" t="n">
        <f aca="false">IF(OR(AU17=1,AND(AV13&gt;=Assumptions!$G$20,AV7&gt;=Assumptions!$G$21)),1,0)</f>
        <v>1</v>
      </c>
      <c r="AW17" s="40" t="n">
        <f aca="false">IF(OR(AV17=1,AND(AW13&gt;=Assumptions!$G$20,AW7&gt;=Assumptions!$G$21)),1,0)</f>
        <v>1</v>
      </c>
      <c r="AX17" s="40" t="n">
        <f aca="false">IF(OR(AW17=1,AND(AX13&gt;=Assumptions!$G$20,AX7&gt;=Assumptions!$G$21)),1,0)</f>
        <v>1</v>
      </c>
      <c r="AY17" s="40" t="n">
        <f aca="false">IF(OR(AX17=1,AND(AY13&gt;=Assumptions!$G$20,AY7&gt;=Assumptions!$G$21)),1,0)</f>
        <v>1</v>
      </c>
      <c r="AZ17" s="40" t="n">
        <f aca="false">IF(OR(AY17=1,AND(AZ13&gt;=Assumptions!$G$20,AZ7&gt;=Assumptions!$G$21)),1,0)</f>
        <v>1</v>
      </c>
      <c r="BA17" s="40" t="n">
        <f aca="false">IF(OR(AZ17=1,AND(BA13&gt;=Assumptions!$G$20,BA7&gt;=Assumptions!$G$21)),1,0)</f>
        <v>1</v>
      </c>
      <c r="BB17" s="40" t="n">
        <f aca="false">IF(OR(BA17=1,AND(BB13&gt;=Assumptions!$G$20,BB7&gt;=Assumptions!$G$21)),1,0)</f>
        <v>1</v>
      </c>
      <c r="BC17" s="40" t="n">
        <f aca="false">IF(OR(BB17=1,AND(BC13&gt;=Assumptions!$G$20,BC7&gt;=Assumptions!$G$21)),1,0)</f>
        <v>1</v>
      </c>
      <c r="BD17" s="40" t="n">
        <f aca="false">IF(OR(BC17=1,AND(BD13&gt;=Assumptions!$G$20,BD7&gt;=Assumptions!$G$21)),1,0)</f>
        <v>1</v>
      </c>
      <c r="BE17" s="40" t="n">
        <f aca="false">IF(OR(BD17=1,AND(BE13&gt;=Assumptions!$G$20,BE7&gt;=Assumptions!$G$21)),1,0)</f>
        <v>1</v>
      </c>
      <c r="BF17" s="40" t="n">
        <f aca="false">IF(OR(BE17=1,AND(BF13&gt;=Assumptions!$G$20,BF7&gt;=Assumptions!$G$21)),1,0)</f>
        <v>1</v>
      </c>
      <c r="BG17" s="40" t="n">
        <f aca="false">IF(OR(BF17=1,AND(BG13&gt;=Assumptions!$G$20,BG7&gt;=Assumptions!$G$21)),1,0)</f>
        <v>1</v>
      </c>
      <c r="BH17" s="40" t="n">
        <f aca="false">IF(OR(BG17=1,AND(BH13&gt;=Assumptions!$G$20,BH7&gt;=Assumptions!$G$21)),1,0)</f>
        <v>1</v>
      </c>
      <c r="BI17" s="40" t="n">
        <f aca="false">IF(OR(BH17=1,AND(BI13&gt;=Assumptions!$G$20,BI7&gt;=Assumptions!$G$21)),1,0)</f>
        <v>1</v>
      </c>
      <c r="BJ17" s="40" t="n">
        <f aca="false">IF(OR(BI17=1,AND(BJ13&gt;=Assumptions!$G$20,BJ7&gt;=Assumptions!$G$21)),1,0)</f>
        <v>1</v>
      </c>
      <c r="BK17" s="40" t="n">
        <f aca="false">IF(OR(BJ17=1,AND(BK13&gt;=Assumptions!$G$20,BK7&gt;=Assumptions!$G$21)),1,0)</f>
        <v>1</v>
      </c>
    </row>
    <row r="18" customFormat="false" ht="15" hidden="false" customHeight="false" outlineLevel="0" collapsed="false">
      <c r="A18" s="28" t="s">
        <v>555</v>
      </c>
      <c r="B18" s="6" t="s">
        <v>556</v>
      </c>
      <c r="C18" s="38" t="n">
        <v>0</v>
      </c>
      <c r="D18" s="39" t="n">
        <f aca="false">IF(OR(C18=1,D13&gt;=Assumptions!$G$22),1,0)</f>
        <v>0</v>
      </c>
      <c r="E18" s="39" t="n">
        <f aca="false">IF(OR(D18=1,E13&gt;=Assumptions!$G$22),1,0)</f>
        <v>0</v>
      </c>
      <c r="F18" s="39" t="n">
        <f aca="false">IF(OR(E18=1,F13&gt;=Assumptions!$G$22),1,0)</f>
        <v>0</v>
      </c>
      <c r="G18" s="39" t="n">
        <f aca="false">IF(OR(F18=1,G13&gt;=Assumptions!$G$22),1,0)</f>
        <v>0</v>
      </c>
      <c r="H18" s="39" t="n">
        <f aca="false">IF(OR(G18=1,H13&gt;=Assumptions!$G$22),1,0)</f>
        <v>0</v>
      </c>
      <c r="I18" s="39" t="n">
        <f aca="false">IF(OR(H18=1,I13&gt;=Assumptions!$G$22),1,0)</f>
        <v>0</v>
      </c>
      <c r="J18" s="39" t="n">
        <f aca="false">IF(OR(I18=1,J13&gt;=Assumptions!$G$22),1,0)</f>
        <v>0</v>
      </c>
      <c r="K18" s="39" t="n">
        <f aca="false">IF(OR(J18=1,K13&gt;=Assumptions!$G$22),1,0)</f>
        <v>0</v>
      </c>
      <c r="L18" s="39" t="n">
        <f aca="false">IF(OR(K18=1,L13&gt;=Assumptions!$G$22),1,0)</f>
        <v>0</v>
      </c>
      <c r="M18" s="39" t="n">
        <f aca="false">IF(OR(L18=1,M13&gt;=Assumptions!$G$22),1,0)</f>
        <v>0</v>
      </c>
      <c r="N18" s="39" t="n">
        <f aca="false">IF(OR(M18=1,N13&gt;=Assumptions!$G$22),1,0)</f>
        <v>0</v>
      </c>
      <c r="O18" s="39" t="n">
        <f aca="false">IF(OR(N18=1,O13&gt;=Assumptions!$G$22),1,0)</f>
        <v>0</v>
      </c>
      <c r="P18" s="39" t="n">
        <f aca="false">IF(OR(O18=1,P13&gt;=Assumptions!$G$22),1,0)</f>
        <v>0</v>
      </c>
      <c r="Q18" s="39" t="n">
        <f aca="false">IF(OR(P18=1,Q13&gt;=Assumptions!$G$22),1,0)</f>
        <v>1</v>
      </c>
      <c r="R18" s="39" t="n">
        <f aca="false">IF(OR(Q18=1,R13&gt;=Assumptions!$G$22),1,0)</f>
        <v>1</v>
      </c>
      <c r="S18" s="39" t="n">
        <f aca="false">IF(OR(R18=1,S13&gt;=Assumptions!$G$22),1,0)</f>
        <v>1</v>
      </c>
      <c r="T18" s="39" t="n">
        <f aca="false">IF(OR(S18=1,T13&gt;=Assumptions!$G$22),1,0)</f>
        <v>1</v>
      </c>
      <c r="U18" s="39" t="n">
        <f aca="false">IF(OR(T18=1,U13&gt;=Assumptions!$G$22),1,0)</f>
        <v>1</v>
      </c>
      <c r="V18" s="39" t="n">
        <f aca="false">IF(OR(U18=1,V13&gt;=Assumptions!$G$22),1,0)</f>
        <v>1</v>
      </c>
      <c r="W18" s="39" t="n">
        <f aca="false">IF(OR(V18=1,W13&gt;=Assumptions!$G$22),1,0)</f>
        <v>1</v>
      </c>
      <c r="X18" s="39" t="n">
        <f aca="false">IF(OR(W18=1,X13&gt;=Assumptions!$G$22),1,0)</f>
        <v>1</v>
      </c>
      <c r="Y18" s="39" t="n">
        <f aca="false">IF(OR(X18=1,Y13&gt;=Assumptions!$G$22),1,0)</f>
        <v>1</v>
      </c>
      <c r="Z18" s="39" t="n">
        <f aca="false">IF(OR(Y18=1,Z13&gt;=Assumptions!$G$22),1,0)</f>
        <v>1</v>
      </c>
      <c r="AA18" s="39" t="n">
        <f aca="false">IF(OR(Z18=1,AA13&gt;=Assumptions!$G$22),1,0)</f>
        <v>1</v>
      </c>
      <c r="AB18" s="39" t="n">
        <f aca="false">IF(OR(AA18=1,AB13&gt;=Assumptions!$G$22),1,0)</f>
        <v>1</v>
      </c>
      <c r="AC18" s="39" t="n">
        <f aca="false">IF(OR(AB18=1,AC13&gt;=Assumptions!$G$22),1,0)</f>
        <v>1</v>
      </c>
      <c r="AD18" s="39" t="n">
        <f aca="false">IF(OR(AC18=1,AD13&gt;=Assumptions!$G$22),1,0)</f>
        <v>1</v>
      </c>
      <c r="AE18" s="39" t="n">
        <f aca="false">IF(OR(AD18=1,AE13&gt;=Assumptions!$G$22),1,0)</f>
        <v>1</v>
      </c>
      <c r="AF18" s="39" t="n">
        <f aca="false">IF(OR(AE18=1,AF13&gt;=Assumptions!$G$22),1,0)</f>
        <v>1</v>
      </c>
      <c r="AG18" s="39" t="n">
        <f aca="false">IF(OR(AF18=1,AG13&gt;=Assumptions!$G$22),1,0)</f>
        <v>1</v>
      </c>
      <c r="AH18" s="39" t="n">
        <f aca="false">IF(OR(AG18=1,AH13&gt;=Assumptions!$G$22),1,0)</f>
        <v>1</v>
      </c>
      <c r="AI18" s="39" t="n">
        <f aca="false">IF(OR(AH18=1,AI13&gt;=Assumptions!$G$22),1,0)</f>
        <v>1</v>
      </c>
      <c r="AJ18" s="39" t="n">
        <f aca="false">IF(OR(AI18=1,AJ13&gt;=Assumptions!$G$22),1,0)</f>
        <v>1</v>
      </c>
      <c r="AK18" s="39" t="n">
        <f aca="false">IF(OR(AJ18=1,AK13&gt;=Assumptions!$G$22),1,0)</f>
        <v>1</v>
      </c>
      <c r="AL18" s="39" t="n">
        <f aca="false">IF(OR(AK18=1,AL13&gt;=Assumptions!$G$22),1,0)</f>
        <v>1</v>
      </c>
      <c r="AM18" s="39" t="n">
        <f aca="false">IF(OR(AL18=1,AM13&gt;=Assumptions!$G$22),1,0)</f>
        <v>1</v>
      </c>
      <c r="AN18" s="40" t="n">
        <f aca="false">IF(OR(AM18=1,AN13&gt;=Assumptions!$G$22),1,0)</f>
        <v>1</v>
      </c>
      <c r="AO18" s="40" t="n">
        <f aca="false">IF(OR(AN18=1,AO13&gt;=Assumptions!$G$22),1,0)</f>
        <v>1</v>
      </c>
      <c r="AP18" s="40" t="n">
        <f aca="false">IF(OR(AO18=1,AP13&gt;=Assumptions!$G$22),1,0)</f>
        <v>1</v>
      </c>
      <c r="AQ18" s="40" t="n">
        <f aca="false">IF(OR(AP18=1,AQ13&gt;=Assumptions!$G$22),1,0)</f>
        <v>1</v>
      </c>
      <c r="AR18" s="40" t="n">
        <f aca="false">IF(OR(AQ18=1,AR13&gt;=Assumptions!$G$22),1,0)</f>
        <v>1</v>
      </c>
      <c r="AS18" s="40" t="n">
        <f aca="false">IF(OR(AR18=1,AS13&gt;=Assumptions!$G$22),1,0)</f>
        <v>1</v>
      </c>
      <c r="AT18" s="40" t="n">
        <f aca="false">IF(OR(AS18=1,AT13&gt;=Assumptions!$G$22),1,0)</f>
        <v>1</v>
      </c>
      <c r="AU18" s="40" t="n">
        <f aca="false">IF(OR(AT18=1,AU13&gt;=Assumptions!$G$22),1,0)</f>
        <v>1</v>
      </c>
      <c r="AV18" s="40" t="n">
        <f aca="false">IF(OR(AU18=1,AV13&gt;=Assumptions!$G$22),1,0)</f>
        <v>1</v>
      </c>
      <c r="AW18" s="40" t="n">
        <f aca="false">IF(OR(AV18=1,AW13&gt;=Assumptions!$G$22),1,0)</f>
        <v>1</v>
      </c>
      <c r="AX18" s="40" t="n">
        <f aca="false">IF(OR(AW18=1,AX13&gt;=Assumptions!$G$22),1,0)</f>
        <v>1</v>
      </c>
      <c r="AY18" s="40" t="n">
        <f aca="false">IF(OR(AX18=1,AY13&gt;=Assumptions!$G$22),1,0)</f>
        <v>1</v>
      </c>
      <c r="AZ18" s="40" t="n">
        <f aca="false">IF(OR(AY18=1,AZ13&gt;=Assumptions!$G$22),1,0)</f>
        <v>1</v>
      </c>
      <c r="BA18" s="40" t="n">
        <f aca="false">IF(OR(AZ18=1,BA13&gt;=Assumptions!$G$22),1,0)</f>
        <v>1</v>
      </c>
      <c r="BB18" s="40" t="n">
        <f aca="false">IF(OR(BA18=1,BB13&gt;=Assumptions!$G$22),1,0)</f>
        <v>1</v>
      </c>
      <c r="BC18" s="40" t="n">
        <f aca="false">IF(OR(BB18=1,BC13&gt;=Assumptions!$G$22),1,0)</f>
        <v>1</v>
      </c>
      <c r="BD18" s="40" t="n">
        <f aca="false">IF(OR(BC18=1,BD13&gt;=Assumptions!$G$22),1,0)</f>
        <v>1</v>
      </c>
      <c r="BE18" s="40" t="n">
        <f aca="false">IF(OR(BD18=1,BE13&gt;=Assumptions!$G$22),1,0)</f>
        <v>1</v>
      </c>
      <c r="BF18" s="40" t="n">
        <f aca="false">IF(OR(BE18=1,BF13&gt;=Assumptions!$G$22),1,0)</f>
        <v>1</v>
      </c>
      <c r="BG18" s="40" t="n">
        <f aca="false">IF(OR(BF18=1,BG13&gt;=Assumptions!$G$22),1,0)</f>
        <v>1</v>
      </c>
      <c r="BH18" s="40" t="n">
        <f aca="false">IF(OR(BG18=1,BH13&gt;=Assumptions!$G$22),1,0)</f>
        <v>1</v>
      </c>
      <c r="BI18" s="40" t="n">
        <f aca="false">IF(OR(BH18=1,BI13&gt;=Assumptions!$G$22),1,0)</f>
        <v>1</v>
      </c>
      <c r="BJ18" s="40" t="n">
        <f aca="false">IF(OR(BI18=1,BJ13&gt;=Assumptions!$G$22),1,0)</f>
        <v>1</v>
      </c>
      <c r="BK18" s="40" t="n">
        <f aca="false">IF(OR(BJ18=1,BK13&gt;=Assumptions!$G$22),1,0)</f>
        <v>1</v>
      </c>
    </row>
    <row r="19" customFormat="false" ht="15" hidden="false" customHeight="false" outlineLevel="0" collapsed="false">
      <c r="A19" s="28" t="s">
        <v>557</v>
      </c>
      <c r="B19" s="6" t="s">
        <v>558</v>
      </c>
      <c r="C19" s="38" t="n">
        <v>0</v>
      </c>
      <c r="D19" s="39" t="n">
        <f aca="false">IF(OR(C19=1,AND(D13&gt;=Assumptions!$G$23,D7&gt;=Assumptions!$G$24)),1,0)</f>
        <v>0</v>
      </c>
      <c r="E19" s="39" t="n">
        <f aca="false">IF(OR(D19=1,AND(E13&gt;=Assumptions!$G$23,E7&gt;=Assumptions!$G$24)),1,0)</f>
        <v>0</v>
      </c>
      <c r="F19" s="39" t="n">
        <f aca="false">IF(OR(E19=1,AND(F13&gt;=Assumptions!$G$23,F7&gt;=Assumptions!$G$24)),1,0)</f>
        <v>0</v>
      </c>
      <c r="G19" s="39" t="n">
        <f aca="false">IF(OR(F19=1,AND(G13&gt;=Assumptions!$G$23,G7&gt;=Assumptions!$G$24)),1,0)</f>
        <v>0</v>
      </c>
      <c r="H19" s="39" t="n">
        <f aca="false">IF(OR(G19=1,AND(H13&gt;=Assumptions!$G$23,H7&gt;=Assumptions!$G$24)),1,0)</f>
        <v>0</v>
      </c>
      <c r="I19" s="39" t="n">
        <f aca="false">IF(OR(H19=1,AND(I13&gt;=Assumptions!$G$23,I7&gt;=Assumptions!$G$24)),1,0)</f>
        <v>0</v>
      </c>
      <c r="J19" s="39" t="n">
        <f aca="false">IF(OR(I19=1,AND(J13&gt;=Assumptions!$G$23,J7&gt;=Assumptions!$G$24)),1,0)</f>
        <v>0</v>
      </c>
      <c r="K19" s="39" t="n">
        <f aca="false">IF(OR(J19=1,AND(K13&gt;=Assumptions!$G$23,K7&gt;=Assumptions!$G$24)),1,0)</f>
        <v>0</v>
      </c>
      <c r="L19" s="39" t="n">
        <f aca="false">IF(OR(K19=1,AND(L13&gt;=Assumptions!$G$23,L7&gt;=Assumptions!$G$24)),1,0)</f>
        <v>0</v>
      </c>
      <c r="M19" s="39" t="n">
        <f aca="false">IF(OR(L19=1,AND(M13&gt;=Assumptions!$G$23,M7&gt;=Assumptions!$G$24)),1,0)</f>
        <v>0</v>
      </c>
      <c r="N19" s="39" t="n">
        <f aca="false">IF(OR(M19=1,AND(N13&gt;=Assumptions!$G$23,N7&gt;=Assumptions!$G$24)),1,0)</f>
        <v>0</v>
      </c>
      <c r="O19" s="39" t="n">
        <f aca="false">IF(OR(N19=1,AND(O13&gt;=Assumptions!$G$23,O7&gt;=Assumptions!$G$24)),1,0)</f>
        <v>0</v>
      </c>
      <c r="P19" s="39" t="n">
        <f aca="false">IF(OR(O19=1,AND(P13&gt;=Assumptions!$G$23,P7&gt;=Assumptions!$G$24)),1,0)</f>
        <v>0</v>
      </c>
      <c r="Q19" s="39" t="n">
        <f aca="false">IF(OR(P19=1,AND(Q13&gt;=Assumptions!$G$23,Q7&gt;=Assumptions!$G$24)),1,0)</f>
        <v>0</v>
      </c>
      <c r="R19" s="39" t="n">
        <f aca="false">IF(OR(Q19=1,AND(R13&gt;=Assumptions!$G$23,R7&gt;=Assumptions!$G$24)),1,0)</f>
        <v>0</v>
      </c>
      <c r="S19" s="39" t="n">
        <f aca="false">IF(OR(R19=1,AND(S13&gt;=Assumptions!$G$23,S7&gt;=Assumptions!$G$24)),1,0)</f>
        <v>0</v>
      </c>
      <c r="T19" s="39" t="n">
        <f aca="false">IF(OR(S19=1,AND(T13&gt;=Assumptions!$G$23,T7&gt;=Assumptions!$G$24)),1,0)</f>
        <v>0</v>
      </c>
      <c r="U19" s="39" t="n">
        <f aca="false">IF(OR(T19=1,AND(U13&gt;=Assumptions!$G$23,U7&gt;=Assumptions!$G$24)),1,0)</f>
        <v>0</v>
      </c>
      <c r="V19" s="39" t="n">
        <f aca="false">IF(OR(U19=1,AND(V13&gt;=Assumptions!$G$23,V7&gt;=Assumptions!$G$24)),1,0)</f>
        <v>0</v>
      </c>
      <c r="W19" s="39" t="n">
        <f aca="false">IF(OR(V19=1,AND(W13&gt;=Assumptions!$G$23,W7&gt;=Assumptions!$G$24)),1,0)</f>
        <v>0</v>
      </c>
      <c r="X19" s="39" t="n">
        <f aca="false">IF(OR(W19=1,AND(X13&gt;=Assumptions!$G$23,X7&gt;=Assumptions!$G$24)),1,0)</f>
        <v>0</v>
      </c>
      <c r="Y19" s="39" t="n">
        <f aca="false">IF(OR(X19=1,AND(Y13&gt;=Assumptions!$G$23,Y7&gt;=Assumptions!$G$24)),1,0)</f>
        <v>0</v>
      </c>
      <c r="Z19" s="39" t="n">
        <f aca="false">IF(OR(Y19=1,AND(Z13&gt;=Assumptions!$G$23,Z7&gt;=Assumptions!$G$24)),1,0)</f>
        <v>0</v>
      </c>
      <c r="AA19" s="39" t="n">
        <f aca="false">IF(OR(Z19=1,AND(AA13&gt;=Assumptions!$G$23,AA7&gt;=Assumptions!$G$24)),1,0)</f>
        <v>0</v>
      </c>
      <c r="AB19" s="39" t="n">
        <f aca="false">IF(OR(AA19=1,AND(AB13&gt;=Assumptions!$G$23,AB7&gt;=Assumptions!$G$24)),1,0)</f>
        <v>0</v>
      </c>
      <c r="AC19" s="39" t="n">
        <f aca="false">IF(OR(AB19=1,AND(AC13&gt;=Assumptions!$G$23,AC7&gt;=Assumptions!$G$24)),1,0)</f>
        <v>0</v>
      </c>
      <c r="AD19" s="39" t="n">
        <f aca="false">IF(OR(AC19=1,AND(AD13&gt;=Assumptions!$G$23,AD7&gt;=Assumptions!$G$24)),1,0)</f>
        <v>0</v>
      </c>
      <c r="AE19" s="39" t="n">
        <f aca="false">IF(OR(AD19=1,AND(AE13&gt;=Assumptions!$G$23,AE7&gt;=Assumptions!$G$24)),1,0)</f>
        <v>1</v>
      </c>
      <c r="AF19" s="39" t="n">
        <f aca="false">IF(OR(AE19=1,AND(AF13&gt;=Assumptions!$G$23,AF7&gt;=Assumptions!$G$24)),1,0)</f>
        <v>1</v>
      </c>
      <c r="AG19" s="39" t="n">
        <f aca="false">IF(OR(AF19=1,AND(AG13&gt;=Assumptions!$G$23,AG7&gt;=Assumptions!$G$24)),1,0)</f>
        <v>1</v>
      </c>
      <c r="AH19" s="39" t="n">
        <f aca="false">IF(OR(AG19=1,AND(AH13&gt;=Assumptions!$G$23,AH7&gt;=Assumptions!$G$24)),1,0)</f>
        <v>1</v>
      </c>
      <c r="AI19" s="39" t="n">
        <f aca="false">IF(OR(AH19=1,AND(AI13&gt;=Assumptions!$G$23,AI7&gt;=Assumptions!$G$24)),1,0)</f>
        <v>1</v>
      </c>
      <c r="AJ19" s="39" t="n">
        <f aca="false">IF(OR(AI19=1,AND(AJ13&gt;=Assumptions!$G$23,AJ7&gt;=Assumptions!$G$24)),1,0)</f>
        <v>1</v>
      </c>
      <c r="AK19" s="39" t="n">
        <f aca="false">IF(OR(AJ19=1,AND(AK13&gt;=Assumptions!$G$23,AK7&gt;=Assumptions!$G$24)),1,0)</f>
        <v>1</v>
      </c>
      <c r="AL19" s="39" t="n">
        <f aca="false">IF(OR(AK19=1,AND(AL13&gt;=Assumptions!$G$23,AL7&gt;=Assumptions!$G$24)),1,0)</f>
        <v>1</v>
      </c>
      <c r="AM19" s="39" t="n">
        <f aca="false">IF(OR(AL19=1,AND(AM13&gt;=Assumptions!$G$23,AM7&gt;=Assumptions!$G$24)),1,0)</f>
        <v>1</v>
      </c>
      <c r="AN19" s="40" t="n">
        <f aca="false">IF(OR(AM19=1,AND(AN13&gt;=Assumptions!$G$23,AN7&gt;=Assumptions!$G$24)),1,0)</f>
        <v>1</v>
      </c>
      <c r="AO19" s="40" t="n">
        <f aca="false">IF(OR(AN19=1,AND(AO13&gt;=Assumptions!$G$23,AO7&gt;=Assumptions!$G$24)),1,0)</f>
        <v>1</v>
      </c>
      <c r="AP19" s="40" t="n">
        <f aca="false">IF(OR(AO19=1,AND(AP13&gt;=Assumptions!$G$23,AP7&gt;=Assumptions!$G$24)),1,0)</f>
        <v>1</v>
      </c>
      <c r="AQ19" s="40" t="n">
        <f aca="false">IF(OR(AP19=1,AND(AQ13&gt;=Assumptions!$G$23,AQ7&gt;=Assumptions!$G$24)),1,0)</f>
        <v>1</v>
      </c>
      <c r="AR19" s="40" t="n">
        <f aca="false">IF(OR(AQ19=1,AND(AR13&gt;=Assumptions!$G$23,AR7&gt;=Assumptions!$G$24)),1,0)</f>
        <v>1</v>
      </c>
      <c r="AS19" s="40" t="n">
        <f aca="false">IF(OR(AR19=1,AND(AS13&gt;=Assumptions!$G$23,AS7&gt;=Assumptions!$G$24)),1,0)</f>
        <v>1</v>
      </c>
      <c r="AT19" s="40" t="n">
        <f aca="false">IF(OR(AS19=1,AND(AT13&gt;=Assumptions!$G$23,AT7&gt;=Assumptions!$G$24)),1,0)</f>
        <v>1</v>
      </c>
      <c r="AU19" s="40" t="n">
        <f aca="false">IF(OR(AT19=1,AND(AU13&gt;=Assumptions!$G$23,AU7&gt;=Assumptions!$G$24)),1,0)</f>
        <v>1</v>
      </c>
      <c r="AV19" s="40" t="n">
        <f aca="false">IF(OR(AU19=1,AND(AV13&gt;=Assumptions!$G$23,AV7&gt;=Assumptions!$G$24)),1,0)</f>
        <v>1</v>
      </c>
      <c r="AW19" s="40" t="n">
        <f aca="false">IF(OR(AV19=1,AND(AW13&gt;=Assumptions!$G$23,AW7&gt;=Assumptions!$G$24)),1,0)</f>
        <v>1</v>
      </c>
      <c r="AX19" s="40" t="n">
        <f aca="false">IF(OR(AW19=1,AND(AX13&gt;=Assumptions!$G$23,AX7&gt;=Assumptions!$G$24)),1,0)</f>
        <v>1</v>
      </c>
      <c r="AY19" s="40" t="n">
        <f aca="false">IF(OR(AX19=1,AND(AY13&gt;=Assumptions!$G$23,AY7&gt;=Assumptions!$G$24)),1,0)</f>
        <v>1</v>
      </c>
      <c r="AZ19" s="40" t="n">
        <f aca="false">IF(OR(AY19=1,AND(AZ13&gt;=Assumptions!$G$23,AZ7&gt;=Assumptions!$G$24)),1,0)</f>
        <v>1</v>
      </c>
      <c r="BA19" s="40" t="n">
        <f aca="false">IF(OR(AZ19=1,AND(BA13&gt;=Assumptions!$G$23,BA7&gt;=Assumptions!$G$24)),1,0)</f>
        <v>1</v>
      </c>
      <c r="BB19" s="40" t="n">
        <f aca="false">IF(OR(BA19=1,AND(BB13&gt;=Assumptions!$G$23,BB7&gt;=Assumptions!$G$24)),1,0)</f>
        <v>1</v>
      </c>
      <c r="BC19" s="40" t="n">
        <f aca="false">IF(OR(BB19=1,AND(BC13&gt;=Assumptions!$G$23,BC7&gt;=Assumptions!$G$24)),1,0)</f>
        <v>1</v>
      </c>
      <c r="BD19" s="40" t="n">
        <f aca="false">IF(OR(BC19=1,AND(BD13&gt;=Assumptions!$G$23,BD7&gt;=Assumptions!$G$24)),1,0)</f>
        <v>1</v>
      </c>
      <c r="BE19" s="40" t="n">
        <f aca="false">IF(OR(BD19=1,AND(BE13&gt;=Assumptions!$G$23,BE7&gt;=Assumptions!$G$24)),1,0)</f>
        <v>1</v>
      </c>
      <c r="BF19" s="40" t="n">
        <f aca="false">IF(OR(BE19=1,AND(BF13&gt;=Assumptions!$G$23,BF7&gt;=Assumptions!$G$24)),1,0)</f>
        <v>1</v>
      </c>
      <c r="BG19" s="40" t="n">
        <f aca="false">IF(OR(BF19=1,AND(BG13&gt;=Assumptions!$G$23,BG7&gt;=Assumptions!$G$24)),1,0)</f>
        <v>1</v>
      </c>
      <c r="BH19" s="40" t="n">
        <f aca="false">IF(OR(BG19=1,AND(BH13&gt;=Assumptions!$G$23,BH7&gt;=Assumptions!$G$24)),1,0)</f>
        <v>1</v>
      </c>
      <c r="BI19" s="40" t="n">
        <f aca="false">IF(OR(BH19=1,AND(BI13&gt;=Assumptions!$G$23,BI7&gt;=Assumptions!$G$24)),1,0)</f>
        <v>1</v>
      </c>
      <c r="BJ19" s="40" t="n">
        <f aca="false">IF(OR(BI19=1,AND(BJ13&gt;=Assumptions!$G$23,BJ7&gt;=Assumptions!$G$24)),1,0)</f>
        <v>1</v>
      </c>
      <c r="BK19" s="40" t="n">
        <f aca="false">IF(OR(BJ19=1,AND(BK13&gt;=Assumptions!$G$23,BK7&gt;=Assumptions!$G$24)),1,0)</f>
        <v>1</v>
      </c>
    </row>
    <row r="20" customFormat="false" ht="15" hidden="false" customHeight="false" outlineLevel="0" collapsed="false">
      <c r="A20" s="28" t="s">
        <v>559</v>
      </c>
      <c r="B20" s="6" t="s">
        <v>560</v>
      </c>
      <c r="C20" s="32" t="n">
        <v>0</v>
      </c>
      <c r="D20" s="34" t="n">
        <f aca="false">IF(D19=1,C20+1,0)</f>
        <v>0</v>
      </c>
      <c r="E20" s="34" t="n">
        <f aca="false">IF(E19=1,D20+1,0)</f>
        <v>0</v>
      </c>
      <c r="F20" s="34" t="n">
        <f aca="false">IF(F19=1,E20+1,0)</f>
        <v>0</v>
      </c>
      <c r="G20" s="34" t="n">
        <f aca="false">IF(G19=1,F20+1,0)</f>
        <v>0</v>
      </c>
      <c r="H20" s="34" t="n">
        <f aca="false">IF(H19=1,G20+1,0)</f>
        <v>0</v>
      </c>
      <c r="I20" s="34" t="n">
        <f aca="false">IF(I19=1,H20+1,0)</f>
        <v>0</v>
      </c>
      <c r="J20" s="34" t="n">
        <f aca="false">IF(J19=1,I20+1,0)</f>
        <v>0</v>
      </c>
      <c r="K20" s="34" t="n">
        <f aca="false">IF(K19=1,J20+1,0)</f>
        <v>0</v>
      </c>
      <c r="L20" s="34" t="n">
        <f aca="false">IF(L19=1,K20+1,0)</f>
        <v>0</v>
      </c>
      <c r="M20" s="34" t="n">
        <f aca="false">IF(M19=1,L20+1,0)</f>
        <v>0</v>
      </c>
      <c r="N20" s="34" t="n">
        <f aca="false">IF(N19=1,M20+1,0)</f>
        <v>0</v>
      </c>
      <c r="O20" s="34" t="n">
        <f aca="false">IF(O19=1,N20+1,0)</f>
        <v>0</v>
      </c>
      <c r="P20" s="34" t="n">
        <f aca="false">IF(P19=1,O20+1,0)</f>
        <v>0</v>
      </c>
      <c r="Q20" s="34" t="n">
        <f aca="false">IF(Q19=1,P20+1,0)</f>
        <v>0</v>
      </c>
      <c r="R20" s="34" t="n">
        <f aca="false">IF(R19=1,Q20+1,0)</f>
        <v>0</v>
      </c>
      <c r="S20" s="34" t="n">
        <f aca="false">IF(S19=1,R20+1,0)</f>
        <v>0</v>
      </c>
      <c r="T20" s="34" t="n">
        <f aca="false">IF(T19=1,S20+1,0)</f>
        <v>0</v>
      </c>
      <c r="U20" s="34" t="n">
        <f aca="false">IF(U19=1,T20+1,0)</f>
        <v>0</v>
      </c>
      <c r="V20" s="34" t="n">
        <f aca="false">IF(V19=1,U20+1,0)</f>
        <v>0</v>
      </c>
      <c r="W20" s="34" t="n">
        <f aca="false">IF(W19=1,V20+1,0)</f>
        <v>0</v>
      </c>
      <c r="X20" s="34" t="n">
        <f aca="false">IF(X19=1,W20+1,0)</f>
        <v>0</v>
      </c>
      <c r="Y20" s="34" t="n">
        <f aca="false">IF(Y19=1,X20+1,0)</f>
        <v>0</v>
      </c>
      <c r="Z20" s="34" t="n">
        <f aca="false">IF(Z19=1,Y20+1,0)</f>
        <v>0</v>
      </c>
      <c r="AA20" s="34" t="n">
        <f aca="false">IF(AA19=1,Z20+1,0)</f>
        <v>0</v>
      </c>
      <c r="AB20" s="34" t="n">
        <f aca="false">IF(AB19=1,AA20+1,0)</f>
        <v>0</v>
      </c>
      <c r="AC20" s="34" t="n">
        <f aca="false">IF(AC19=1,AB20+1,0)</f>
        <v>0</v>
      </c>
      <c r="AD20" s="34" t="n">
        <f aca="false">IF(AD19=1,AC20+1,0)</f>
        <v>0</v>
      </c>
      <c r="AE20" s="34" t="n">
        <f aca="false">IF(AE19=1,AD20+1,0)</f>
        <v>1</v>
      </c>
      <c r="AF20" s="34" t="n">
        <f aca="false">IF(AF19=1,AE20+1,0)</f>
        <v>2</v>
      </c>
      <c r="AG20" s="34" t="n">
        <f aca="false">IF(AG19=1,AF20+1,0)</f>
        <v>3</v>
      </c>
      <c r="AH20" s="34" t="n">
        <f aca="false">IF(AH19=1,AG20+1,0)</f>
        <v>4</v>
      </c>
      <c r="AI20" s="34" t="n">
        <f aca="false">IF(AI19=1,AH20+1,0)</f>
        <v>5</v>
      </c>
      <c r="AJ20" s="34" t="n">
        <f aca="false">IF(AJ19=1,AI20+1,0)</f>
        <v>6</v>
      </c>
      <c r="AK20" s="34" t="n">
        <f aca="false">IF(AK19=1,AJ20+1,0)</f>
        <v>7</v>
      </c>
      <c r="AL20" s="34" t="n">
        <f aca="false">IF(AL19=1,AK20+1,0)</f>
        <v>8</v>
      </c>
      <c r="AM20" s="34" t="n">
        <f aca="false">IF(AM19=1,AL20+1,0)</f>
        <v>9</v>
      </c>
      <c r="AN20" s="35" t="n">
        <f aca="false">IF(AN19=1,AM20+1,0)</f>
        <v>10</v>
      </c>
      <c r="AO20" s="35" t="n">
        <f aca="false">IF(AO19=1,AN20+1,0)</f>
        <v>11</v>
      </c>
      <c r="AP20" s="35" t="n">
        <f aca="false">IF(AP19=1,AO20+1,0)</f>
        <v>12</v>
      </c>
      <c r="AQ20" s="35" t="n">
        <f aca="false">IF(AQ19=1,AP20+1,0)</f>
        <v>13</v>
      </c>
      <c r="AR20" s="35" t="n">
        <f aca="false">IF(AR19=1,AQ20+1,0)</f>
        <v>14</v>
      </c>
      <c r="AS20" s="35" t="n">
        <f aca="false">IF(AS19=1,AR20+1,0)</f>
        <v>15</v>
      </c>
      <c r="AT20" s="35" t="n">
        <f aca="false">IF(AT19=1,AS20+1,0)</f>
        <v>16</v>
      </c>
      <c r="AU20" s="35" t="n">
        <f aca="false">IF(AU19=1,AT20+1,0)</f>
        <v>17</v>
      </c>
      <c r="AV20" s="35" t="n">
        <f aca="false">IF(AV19=1,AU20+1,0)</f>
        <v>18</v>
      </c>
      <c r="AW20" s="35" t="n">
        <f aca="false">IF(AW19=1,AV20+1,0)</f>
        <v>19</v>
      </c>
      <c r="AX20" s="35" t="n">
        <f aca="false">IF(AX19=1,AW20+1,0)</f>
        <v>20</v>
      </c>
      <c r="AY20" s="35" t="n">
        <f aca="false">IF(AY19=1,AX20+1,0)</f>
        <v>21</v>
      </c>
      <c r="AZ20" s="35" t="n">
        <f aca="false">IF(AZ19=1,AY20+1,0)</f>
        <v>22</v>
      </c>
      <c r="BA20" s="35" t="n">
        <f aca="false">IF(BA19=1,AZ20+1,0)</f>
        <v>23</v>
      </c>
      <c r="BB20" s="35" t="n">
        <f aca="false">IF(BB19=1,BA20+1,0)</f>
        <v>24</v>
      </c>
      <c r="BC20" s="35" t="n">
        <f aca="false">IF(BC19=1,BB20+1,0)</f>
        <v>25</v>
      </c>
      <c r="BD20" s="35" t="n">
        <f aca="false">IF(BD19=1,BC20+1,0)</f>
        <v>26</v>
      </c>
      <c r="BE20" s="35" t="n">
        <f aca="false">IF(BE19=1,BD20+1,0)</f>
        <v>27</v>
      </c>
      <c r="BF20" s="35" t="n">
        <f aca="false">IF(BF19=1,BE20+1,0)</f>
        <v>28</v>
      </c>
      <c r="BG20" s="35" t="n">
        <f aca="false">IF(BG19=1,BF20+1,0)</f>
        <v>29</v>
      </c>
      <c r="BH20" s="35" t="n">
        <f aca="false">IF(BH19=1,BG20+1,0)</f>
        <v>30</v>
      </c>
      <c r="BI20" s="35" t="n">
        <f aca="false">IF(BI19=1,BH20+1,0)</f>
        <v>31</v>
      </c>
      <c r="BJ20" s="35" t="n">
        <f aca="false">IF(BJ19=1,BI20+1,0)</f>
        <v>32</v>
      </c>
      <c r="BK20" s="35" t="n">
        <f aca="false">IF(BK19=1,BJ20+1,0)</f>
        <v>33</v>
      </c>
    </row>
    <row r="21" customFormat="false" ht="15" hidden="false" customHeight="false" outlineLevel="0" collapsed="false">
      <c r="A21" s="28" t="s">
        <v>561</v>
      </c>
      <c r="B21" s="6" t="s">
        <v>562</v>
      </c>
      <c r="C21" s="18" t="n">
        <v>0</v>
      </c>
      <c r="D21" s="13" t="n">
        <f aca="false">MIN(1,D20/Assumptions!$G$77)</f>
        <v>0</v>
      </c>
      <c r="E21" s="13" t="n">
        <f aca="false">MIN(1,E20/Assumptions!$G$77)</f>
        <v>0</v>
      </c>
      <c r="F21" s="13" t="n">
        <f aca="false">MIN(1,F20/Assumptions!$G$77)</f>
        <v>0</v>
      </c>
      <c r="G21" s="13" t="n">
        <f aca="false">MIN(1,G20/Assumptions!$G$77)</f>
        <v>0</v>
      </c>
      <c r="H21" s="13" t="n">
        <f aca="false">MIN(1,H20/Assumptions!$G$77)</f>
        <v>0</v>
      </c>
      <c r="I21" s="13" t="n">
        <f aca="false">MIN(1,I20/Assumptions!$G$77)</f>
        <v>0</v>
      </c>
      <c r="J21" s="13" t="n">
        <f aca="false">MIN(1,J20/Assumptions!$G$77)</f>
        <v>0</v>
      </c>
      <c r="K21" s="13" t="n">
        <f aca="false">MIN(1,K20/Assumptions!$G$77)</f>
        <v>0</v>
      </c>
      <c r="L21" s="13" t="n">
        <f aca="false">MIN(1,L20/Assumptions!$G$77)</f>
        <v>0</v>
      </c>
      <c r="M21" s="13" t="n">
        <f aca="false">MIN(1,M20/Assumptions!$G$77)</f>
        <v>0</v>
      </c>
      <c r="N21" s="13" t="n">
        <f aca="false">MIN(1,N20/Assumptions!$G$77)</f>
        <v>0</v>
      </c>
      <c r="O21" s="13" t="n">
        <f aca="false">MIN(1,O20/Assumptions!$G$77)</f>
        <v>0</v>
      </c>
      <c r="P21" s="13" t="n">
        <f aca="false">MIN(1,P20/Assumptions!$G$77)</f>
        <v>0</v>
      </c>
      <c r="Q21" s="13" t="n">
        <f aca="false">MIN(1,Q20/Assumptions!$G$77)</f>
        <v>0</v>
      </c>
      <c r="R21" s="13" t="n">
        <f aca="false">MIN(1,R20/Assumptions!$G$77)</f>
        <v>0</v>
      </c>
      <c r="S21" s="13" t="n">
        <f aca="false">MIN(1,S20/Assumptions!$G$77)</f>
        <v>0</v>
      </c>
      <c r="T21" s="13" t="n">
        <f aca="false">MIN(1,T20/Assumptions!$G$77)</f>
        <v>0</v>
      </c>
      <c r="U21" s="13" t="n">
        <f aca="false">MIN(1,U20/Assumptions!$G$77)</f>
        <v>0</v>
      </c>
      <c r="V21" s="13" t="n">
        <f aca="false">MIN(1,V20/Assumptions!$G$77)</f>
        <v>0</v>
      </c>
      <c r="W21" s="13" t="n">
        <f aca="false">MIN(1,W20/Assumptions!$G$77)</f>
        <v>0</v>
      </c>
      <c r="X21" s="13" t="n">
        <f aca="false">MIN(1,X20/Assumptions!$G$77)</f>
        <v>0</v>
      </c>
      <c r="Y21" s="13" t="n">
        <f aca="false">MIN(1,Y20/Assumptions!$G$77)</f>
        <v>0</v>
      </c>
      <c r="Z21" s="13" t="n">
        <f aca="false">MIN(1,Z20/Assumptions!$G$77)</f>
        <v>0</v>
      </c>
      <c r="AA21" s="13" t="n">
        <f aca="false">MIN(1,AA20/Assumptions!$G$77)</f>
        <v>0</v>
      </c>
      <c r="AB21" s="13" t="n">
        <f aca="false">MIN(1,AB20/Assumptions!$G$77)</f>
        <v>0</v>
      </c>
      <c r="AC21" s="13" t="n">
        <f aca="false">MIN(1,AC20/Assumptions!$G$77)</f>
        <v>0</v>
      </c>
      <c r="AD21" s="13" t="n">
        <f aca="false">MIN(1,AD20/Assumptions!$G$77)</f>
        <v>0</v>
      </c>
      <c r="AE21" s="13" t="n">
        <f aca="false">MIN(1,AE20/Assumptions!$G$77)</f>
        <v>0.166666666666667</v>
      </c>
      <c r="AF21" s="13" t="n">
        <f aca="false">MIN(1,AF20/Assumptions!$G$77)</f>
        <v>0.333333333333333</v>
      </c>
      <c r="AG21" s="13" t="n">
        <f aca="false">MIN(1,AG20/Assumptions!$G$77)</f>
        <v>0.5</v>
      </c>
      <c r="AH21" s="13" t="n">
        <f aca="false">MIN(1,AH20/Assumptions!$G$77)</f>
        <v>0.666666666666667</v>
      </c>
      <c r="AI21" s="13" t="n">
        <f aca="false">MIN(1,AI20/Assumptions!$G$77)</f>
        <v>0.833333333333333</v>
      </c>
      <c r="AJ21" s="13" t="n">
        <f aca="false">MIN(1,AJ20/Assumptions!$G$77)</f>
        <v>1</v>
      </c>
      <c r="AK21" s="13" t="n">
        <f aca="false">MIN(1,AK20/Assumptions!$G$77)</f>
        <v>1</v>
      </c>
      <c r="AL21" s="13" t="n">
        <f aca="false">MIN(1,AL20/Assumptions!$G$77)</f>
        <v>1</v>
      </c>
      <c r="AM21" s="13" t="n">
        <f aca="false">MIN(1,AM20/Assumptions!$G$77)</f>
        <v>1</v>
      </c>
      <c r="AN21" s="41" t="n">
        <f aca="false">MIN(1,AN20/Assumptions!$G$77)</f>
        <v>1</v>
      </c>
      <c r="AO21" s="41" t="n">
        <f aca="false">MIN(1,AO20/Assumptions!$G$77)</f>
        <v>1</v>
      </c>
      <c r="AP21" s="41" t="n">
        <f aca="false">MIN(1,AP20/Assumptions!$G$77)</f>
        <v>1</v>
      </c>
      <c r="AQ21" s="41" t="n">
        <f aca="false">MIN(1,AQ20/Assumptions!$G$77)</f>
        <v>1</v>
      </c>
      <c r="AR21" s="41" t="n">
        <f aca="false">MIN(1,AR20/Assumptions!$G$77)</f>
        <v>1</v>
      </c>
      <c r="AS21" s="41" t="n">
        <f aca="false">MIN(1,AS20/Assumptions!$G$77)</f>
        <v>1</v>
      </c>
      <c r="AT21" s="41" t="n">
        <f aca="false">MIN(1,AT20/Assumptions!$G$77)</f>
        <v>1</v>
      </c>
      <c r="AU21" s="41" t="n">
        <f aca="false">MIN(1,AU20/Assumptions!$G$77)</f>
        <v>1</v>
      </c>
      <c r="AV21" s="41" t="n">
        <f aca="false">MIN(1,AV20/Assumptions!$G$77)</f>
        <v>1</v>
      </c>
      <c r="AW21" s="41" t="n">
        <f aca="false">MIN(1,AW20/Assumptions!$G$77)</f>
        <v>1</v>
      </c>
      <c r="AX21" s="41" t="n">
        <f aca="false">MIN(1,AX20/Assumptions!$G$77)</f>
        <v>1</v>
      </c>
      <c r="AY21" s="41" t="n">
        <f aca="false">MIN(1,AY20/Assumptions!$G$77)</f>
        <v>1</v>
      </c>
      <c r="AZ21" s="41" t="n">
        <f aca="false">MIN(1,AZ20/Assumptions!$G$77)</f>
        <v>1</v>
      </c>
      <c r="BA21" s="41" t="n">
        <f aca="false">MIN(1,BA20/Assumptions!$G$77)</f>
        <v>1</v>
      </c>
      <c r="BB21" s="41" t="n">
        <f aca="false">MIN(1,BB20/Assumptions!$G$77)</f>
        <v>1</v>
      </c>
      <c r="BC21" s="41" t="n">
        <f aca="false">MIN(1,BC20/Assumptions!$G$77)</f>
        <v>1</v>
      </c>
      <c r="BD21" s="41" t="n">
        <f aca="false">MIN(1,BD20/Assumptions!$G$77)</f>
        <v>1</v>
      </c>
      <c r="BE21" s="41" t="n">
        <f aca="false">MIN(1,BE20/Assumptions!$G$77)</f>
        <v>1</v>
      </c>
      <c r="BF21" s="41" t="n">
        <f aca="false">MIN(1,BF20/Assumptions!$G$77)</f>
        <v>1</v>
      </c>
      <c r="BG21" s="41" t="n">
        <f aca="false">MIN(1,BG20/Assumptions!$G$77)</f>
        <v>1</v>
      </c>
      <c r="BH21" s="41" t="n">
        <f aca="false">MIN(1,BH20/Assumptions!$G$77)</f>
        <v>1</v>
      </c>
      <c r="BI21" s="41" t="n">
        <f aca="false">MIN(1,BI20/Assumptions!$G$77)</f>
        <v>1</v>
      </c>
      <c r="BJ21" s="41" t="n">
        <f aca="false">MIN(1,BJ20/Assumptions!$G$77)</f>
        <v>1</v>
      </c>
      <c r="BK21" s="41" t="n">
        <f aca="false">MIN(1,BK20/Assumptions!$G$77)</f>
        <v>1</v>
      </c>
    </row>
    <row r="22" customFormat="false" ht="15" hidden="false" customHeight="false" outlineLevel="0" collapsed="false">
      <c r="B22" s="5" t="s">
        <v>563</v>
      </c>
    </row>
    <row r="23" customFormat="false" ht="15" hidden="false" customHeight="false" outlineLevel="0" collapsed="false">
      <c r="A23" s="28" t="s">
        <v>564</v>
      </c>
      <c r="B23" s="6" t="s">
        <v>565</v>
      </c>
      <c r="C23" s="32" t="n">
        <v>0</v>
      </c>
      <c r="D23" s="34" t="n">
        <f aca="false">C23+(D13*Assumptions!$G$13-C23)*Assumptions!$G$14</f>
        <v>0</v>
      </c>
      <c r="E23" s="34" t="n">
        <f aca="false">D23+(E13*Assumptions!$G$13-D23)*Assumptions!$G$14</f>
        <v>0</v>
      </c>
      <c r="F23" s="34" t="n">
        <f aca="false">E23+(F13*Assumptions!$G$13-E23)*Assumptions!$G$14</f>
        <v>0</v>
      </c>
      <c r="G23" s="34" t="n">
        <f aca="false">F23+(G13*Assumptions!$G$13-F23)*Assumptions!$G$14</f>
        <v>0</v>
      </c>
      <c r="H23" s="34" t="n">
        <f aca="false">G23+(H13*Assumptions!$G$13-G23)*Assumptions!$G$14</f>
        <v>197.8375</v>
      </c>
      <c r="I23" s="34" t="n">
        <f aca="false">H23+(I13*Assumptions!$G$13-H23)*Assumptions!$G$14</f>
        <v>498.5505</v>
      </c>
      <c r="J23" s="34" t="n">
        <f aca="false">I23+(J13*Assumptions!$G$13-I23)*Assumptions!$G$14</f>
        <v>809.01688875</v>
      </c>
      <c r="K23" s="34" t="n">
        <f aca="false">J23+(K13*Assumptions!$G$13-J23)*Assumptions!$G$14</f>
        <v>1282.9429508</v>
      </c>
      <c r="L23" s="34" t="n">
        <f aca="false">K23+(L13*Assumptions!$G$13-K23)*Assumptions!$G$14</f>
        <v>2002.83957140137</v>
      </c>
      <c r="M23" s="34" t="n">
        <f aca="false">L23+(M13*Assumptions!$G$13-L23)*Assumptions!$G$14</f>
        <v>2791.45010825845</v>
      </c>
      <c r="N23" s="34" t="n">
        <f aca="false">M23+(N13*Assumptions!$G$13-M23)*Assumptions!$G$14</f>
        <v>3692.73941334708</v>
      </c>
      <c r="O23" s="34" t="n">
        <f aca="false">N23+(O13*Assumptions!$G$13-N23)*Assumptions!$G$14</f>
        <v>4766.2584932249</v>
      </c>
      <c r="P23" s="34" t="n">
        <f aca="false">O23+(P13*Assumptions!$G$13-O23)*Assumptions!$G$14</f>
        <v>6025.98511639999</v>
      </c>
      <c r="Q23" s="34" t="n">
        <f aca="false">P23+(Q13*Assumptions!$G$13-P23)*Assumptions!$G$14</f>
        <v>7440.69475050575</v>
      </c>
      <c r="R23" s="34" t="n">
        <f aca="false">Q23+(R13*Assumptions!$G$13-Q23)*Assumptions!$G$14</f>
        <v>8966.01146842605</v>
      </c>
      <c r="S23" s="34" t="n">
        <f aca="false">R23+(S13*Assumptions!$G$13-R23)*Assumptions!$G$14</f>
        <v>10596.7327362683</v>
      </c>
      <c r="T23" s="34" t="n">
        <f aca="false">S23+(T13*Assumptions!$G$13-S23)*Assumptions!$G$14</f>
        <v>12297.4878075478</v>
      </c>
      <c r="U23" s="34" t="n">
        <f aca="false">T23+(U13*Assumptions!$G$13-T23)*Assumptions!$G$14</f>
        <v>14045.2704885898</v>
      </c>
      <c r="V23" s="34" t="n">
        <f aca="false">U23+(V13*Assumptions!$G$13-U23)*Assumptions!$G$14</f>
        <v>15825.1116971302</v>
      </c>
      <c r="W23" s="34" t="n">
        <f aca="false">V23+(W13*Assumptions!$G$13-V23)*Assumptions!$G$14</f>
        <v>17825.104123886</v>
      </c>
      <c r="X23" s="34" t="n">
        <f aca="false">W23+(X13*Assumptions!$G$13-W23)*Assumptions!$G$14</f>
        <v>19943.9368860698</v>
      </c>
      <c r="Y23" s="34" t="n">
        <f aca="false">X23+(Y13*Assumptions!$G$13-X23)*Assumptions!$G$14</f>
        <v>22084.3464894338</v>
      </c>
      <c r="Z23" s="34" t="n">
        <f aca="false">Y23+(Z13*Assumptions!$G$13-Y23)*Assumptions!$G$14</f>
        <v>24397.3328564855</v>
      </c>
      <c r="AA23" s="34" t="n">
        <f aca="false">Z23+(AA13*Assumptions!$G$13-Z23)*Assumptions!$G$14</f>
        <v>26765.7959186856</v>
      </c>
      <c r="AB23" s="34" t="n">
        <f aca="false">AA23+(AB13*Assumptions!$G$13-AA23)*Assumptions!$G$14</f>
        <v>29106.2741134959</v>
      </c>
      <c r="AC23" s="34" t="n">
        <f aca="false">AB23+(AC13*Assumptions!$G$13-AB23)*Assumptions!$G$14</f>
        <v>31555.0818724592</v>
      </c>
      <c r="AD23" s="34" t="n">
        <f aca="false">AC23+(AD13*Assumptions!$G$13-AC23)*Assumptions!$G$14</f>
        <v>34215.3853787984</v>
      </c>
      <c r="AE23" s="34" t="n">
        <f aca="false">AD23+(AE13*Assumptions!$G$13-AD23)*Assumptions!$G$14</f>
        <v>36915.4268363019</v>
      </c>
      <c r="AF23" s="34" t="n">
        <f aca="false">AE23+(AF13*Assumptions!$G$13-AE23)*Assumptions!$G$14</f>
        <v>39710.7245202783</v>
      </c>
      <c r="AG23" s="34" t="n">
        <f aca="false">AF23+(AG13*Assumptions!$G$13-AF23)*Assumptions!$G$14</f>
        <v>42668.3250440962</v>
      </c>
      <c r="AH23" s="34" t="n">
        <f aca="false">AG23+(AH13*Assumptions!$G$13-AG23)*Assumptions!$G$14</f>
        <v>45601.3133435187</v>
      </c>
      <c r="AI23" s="34" t="n">
        <f aca="false">AH23+(AI13*Assumptions!$G$13-AH23)*Assumptions!$G$14</f>
        <v>48571.5062174947</v>
      </c>
      <c r="AJ23" s="34" t="n">
        <f aca="false">AI23+(AJ13*Assumptions!$G$13-AI23)*Assumptions!$G$14</f>
        <v>51634.3795601371</v>
      </c>
      <c r="AK23" s="34" t="n">
        <f aca="false">AJ23+(AK13*Assumptions!$G$13-AJ23)*Assumptions!$G$14</f>
        <v>54825.3077276669</v>
      </c>
      <c r="AL23" s="34" t="n">
        <f aca="false">AK23+(AL13*Assumptions!$G$13-AK23)*Assumptions!$G$14</f>
        <v>58127.0384264256</v>
      </c>
      <c r="AM23" s="34" t="n">
        <f aca="false">AL23+(AM13*Assumptions!$G$13-AL23)*Assumptions!$G$14</f>
        <v>61504.3414965843</v>
      </c>
      <c r="AN23" s="35" t="n">
        <f aca="false">AM23+(AN13*Assumptions!$G$13-AM23)*Assumptions!$G$14</f>
        <v>64958.0223269933</v>
      </c>
      <c r="AO23" s="35" t="n">
        <f aca="false">AN23+(AO13*Assumptions!$G$13-AN23)*Assumptions!$G$14</f>
        <v>68456.6778632171</v>
      </c>
      <c r="AP23" s="35" t="n">
        <f aca="false">AO23+(AP13*Assumptions!$G$13-AO23)*Assumptions!$G$14</f>
        <v>71979.9428282558</v>
      </c>
      <c r="AQ23" s="35" t="n">
        <f aca="false">AP23+(AQ13*Assumptions!$G$13-AP23)*Assumptions!$G$14</f>
        <v>75514.6260333594</v>
      </c>
      <c r="AR23" s="35" t="n">
        <f aca="false">AQ23+(AR13*Assumptions!$G$13-AQ23)*Assumptions!$G$14</f>
        <v>79052.1989847267</v>
      </c>
      <c r="AS23" s="35" t="n">
        <f aca="false">AR23+(AS13*Assumptions!$G$13-AR23)*Assumptions!$G$14</f>
        <v>82587.1634824851</v>
      </c>
      <c r="AT23" s="35" t="n">
        <f aca="false">AS23+(AT13*Assumptions!$G$13-AS23)*Assumptions!$G$14</f>
        <v>86108.0770646039</v>
      </c>
      <c r="AU23" s="35" t="n">
        <f aca="false">AT23+(AU13*Assumptions!$G$13-AT23)*Assumptions!$G$14</f>
        <v>89615.5391849712</v>
      </c>
      <c r="AV23" s="35" t="n">
        <f aca="false">AU23+(AV13*Assumptions!$G$13-AU23)*Assumptions!$G$14</f>
        <v>93109.9826722802</v>
      </c>
      <c r="AW23" s="35" t="n">
        <f aca="false">AV23+(AW13*Assumptions!$G$13-AV23)*Assumptions!$G$14</f>
        <v>96583.8181170105</v>
      </c>
      <c r="AX23" s="35" t="n">
        <f aca="false">AW23+(AX13*Assumptions!$G$13-AW23)*Assumptions!$G$14</f>
        <v>100040.147362285</v>
      </c>
      <c r="AY23" s="35" t="n">
        <f aca="false">AX23+(AY13*Assumptions!$G$13-AX23)*Assumptions!$G$14</f>
        <v>103481.027715851</v>
      </c>
      <c r="AZ23" s="35" t="n">
        <f aca="false">AY23+(AZ13*Assumptions!$G$13-AY23)*Assumptions!$G$14</f>
        <v>106899.923626365</v>
      </c>
      <c r="BA23" s="35" t="n">
        <f aca="false">AZ23+(BA13*Assumptions!$G$13-AZ23)*Assumptions!$G$14</f>
        <v>110292.706412089</v>
      </c>
      <c r="BB23" s="35" t="n">
        <f aca="false">BA23+(BB13*Assumptions!$G$13-BA23)*Assumptions!$G$14</f>
        <v>113664.72416226</v>
      </c>
      <c r="BC23" s="35" t="n">
        <f aca="false">BB23+(BC13*Assumptions!$G$13-BB23)*Assumptions!$G$14</f>
        <v>117011.577549927</v>
      </c>
      <c r="BD23" s="35" t="n">
        <f aca="false">BC23+(BD13*Assumptions!$G$13-BC23)*Assumptions!$G$14</f>
        <v>120330.523683466</v>
      </c>
      <c r="BE23" s="35" t="n">
        <f aca="false">BD23+(BE13*Assumptions!$G$13-BD23)*Assumptions!$G$14</f>
        <v>123627.808687506</v>
      </c>
      <c r="BF23" s="35" t="n">
        <f aca="false">BE23+(BF13*Assumptions!$G$13-BE23)*Assumptions!$G$14</f>
        <v>126899.6142572</v>
      </c>
      <c r="BG23" s="35" t="n">
        <f aca="false">BF23+(BG13*Assumptions!$G$13-BF23)*Assumptions!$G$14</f>
        <v>130143.572491397</v>
      </c>
      <c r="BH23" s="35" t="n">
        <f aca="false">BG23+(BH13*Assumptions!$G$13-BG23)*Assumptions!$G$14</f>
        <v>133358.257111384</v>
      </c>
      <c r="BI23" s="35" t="n">
        <f aca="false">BH23+(BI13*Assumptions!$G$13-BH23)*Assumptions!$G$14</f>
        <v>136542.852764455</v>
      </c>
      <c r="BJ23" s="35" t="n">
        <f aca="false">BI23+(BJ13*Assumptions!$G$13-BI23)*Assumptions!$G$14</f>
        <v>139696.940082531</v>
      </c>
      <c r="BK23" s="35" t="n">
        <f aca="false">BJ23+(BK13*Assumptions!$G$13-BJ23)*Assumptions!$G$14</f>
        <v>142820.355981424</v>
      </c>
    </row>
    <row r="24" customFormat="false" ht="15" hidden="false" customHeight="false" outlineLevel="0" collapsed="false">
      <c r="A24" s="28" t="s">
        <v>566</v>
      </c>
      <c r="B24" s="6" t="s">
        <v>567</v>
      </c>
      <c r="C24" s="32" t="n">
        <v>0</v>
      </c>
      <c r="D24" s="34" t="n">
        <f aca="false">D23/Assumptions!$G$15</f>
        <v>0</v>
      </c>
      <c r="E24" s="34" t="n">
        <f aca="false">E23/Assumptions!$G$15</f>
        <v>0</v>
      </c>
      <c r="F24" s="34" t="n">
        <f aca="false">F23/Assumptions!$G$15</f>
        <v>0</v>
      </c>
      <c r="G24" s="34" t="n">
        <f aca="false">G23/Assumptions!$G$15</f>
        <v>0</v>
      </c>
      <c r="H24" s="34" t="n">
        <f aca="false">H23/Assumptions!$G$15</f>
        <v>141.3125</v>
      </c>
      <c r="I24" s="34" t="n">
        <f aca="false">I23/Assumptions!$G$15</f>
        <v>356.1075</v>
      </c>
      <c r="J24" s="34" t="n">
        <f aca="false">J23/Assumptions!$G$15</f>
        <v>577.86920625</v>
      </c>
      <c r="K24" s="34" t="n">
        <f aca="false">K23/Assumptions!$G$15</f>
        <v>916.387822</v>
      </c>
      <c r="L24" s="34" t="n">
        <f aca="false">L23/Assumptions!$G$15</f>
        <v>1430.59969385812</v>
      </c>
      <c r="M24" s="34" t="n">
        <f aca="false">M23/Assumptions!$G$15</f>
        <v>1993.89293447032</v>
      </c>
      <c r="N24" s="34" t="n">
        <f aca="false">N23/Assumptions!$G$15</f>
        <v>2637.67100953363</v>
      </c>
      <c r="O24" s="34" t="n">
        <f aca="false">O23/Assumptions!$G$15</f>
        <v>3404.4703523035</v>
      </c>
      <c r="P24" s="34" t="n">
        <f aca="false">P23/Assumptions!$G$15</f>
        <v>4304.27508314285</v>
      </c>
      <c r="Q24" s="34" t="n">
        <f aca="false">Q23/Assumptions!$G$15</f>
        <v>5314.78196464697</v>
      </c>
      <c r="R24" s="34" t="n">
        <f aca="false">R23/Assumptions!$G$15</f>
        <v>6404.2939060186</v>
      </c>
      <c r="S24" s="34" t="n">
        <f aca="false">S23/Assumptions!$G$15</f>
        <v>7569.09481162019</v>
      </c>
      <c r="T24" s="34" t="n">
        <f aca="false">T23/Assumptions!$G$15</f>
        <v>8783.91986253414</v>
      </c>
      <c r="U24" s="34" t="n">
        <f aca="false">U23/Assumptions!$G$15</f>
        <v>10032.3360632784</v>
      </c>
      <c r="V24" s="34" t="n">
        <f aca="false">V23/Assumptions!$G$15</f>
        <v>11303.6512122358</v>
      </c>
      <c r="W24" s="34" t="n">
        <f aca="false">W23/Assumptions!$G$15</f>
        <v>12732.2172313471</v>
      </c>
      <c r="X24" s="34" t="n">
        <f aca="false">X23/Assumptions!$G$15</f>
        <v>14245.6692043355</v>
      </c>
      <c r="Y24" s="34" t="n">
        <f aca="false">Y23/Assumptions!$G$15</f>
        <v>15774.5332067384</v>
      </c>
      <c r="Z24" s="34" t="n">
        <f aca="false">Z23/Assumptions!$G$15</f>
        <v>17426.6663260611</v>
      </c>
      <c r="AA24" s="34" t="n">
        <f aca="false">AA23/Assumptions!$G$15</f>
        <v>19118.425656204</v>
      </c>
      <c r="AB24" s="34" t="n">
        <f aca="false">AB23/Assumptions!$G$15</f>
        <v>20790.1957953542</v>
      </c>
      <c r="AC24" s="34" t="n">
        <f aca="false">AC23/Assumptions!$G$15</f>
        <v>22539.3441946137</v>
      </c>
      <c r="AD24" s="34" t="n">
        <f aca="false">AD23/Assumptions!$G$15</f>
        <v>24439.560984856</v>
      </c>
      <c r="AE24" s="34" t="n">
        <f aca="false">AE23/Assumptions!$G$15</f>
        <v>26368.1620259299</v>
      </c>
      <c r="AF24" s="34" t="n">
        <f aca="false">AF23/Assumptions!$G$15</f>
        <v>28364.8032287702</v>
      </c>
      <c r="AG24" s="34" t="n">
        <f aca="false">AG23/Assumptions!$G$15</f>
        <v>30477.3750314973</v>
      </c>
      <c r="AH24" s="34" t="n">
        <f aca="false">AH23/Assumptions!$G$15</f>
        <v>32572.3666739419</v>
      </c>
      <c r="AI24" s="34" t="n">
        <f aca="false">AI23/Assumptions!$G$15</f>
        <v>34693.9330124962</v>
      </c>
      <c r="AJ24" s="34" t="n">
        <f aca="false">AJ23/Assumptions!$G$15</f>
        <v>36881.6996858122</v>
      </c>
      <c r="AK24" s="34" t="n">
        <f aca="false">AK23/Assumptions!$G$15</f>
        <v>39160.9340911907</v>
      </c>
      <c r="AL24" s="34" t="n">
        <f aca="false">AL23/Assumptions!$G$15</f>
        <v>41519.3131617326</v>
      </c>
      <c r="AM24" s="34" t="n">
        <f aca="false">AM23/Assumptions!$G$15</f>
        <v>43931.6724975602</v>
      </c>
      <c r="AN24" s="35" t="n">
        <f aca="false">AN23/Assumptions!$G$15</f>
        <v>46398.5873764238</v>
      </c>
      <c r="AO24" s="35" t="n">
        <f aca="false">AO23/Assumptions!$G$15</f>
        <v>48897.6270451551</v>
      </c>
      <c r="AP24" s="35" t="n">
        <f aca="false">AP23/Assumptions!$G$15</f>
        <v>51414.2448773256</v>
      </c>
      <c r="AQ24" s="35" t="n">
        <f aca="false">AQ23/Assumptions!$G$15</f>
        <v>53939.0185952567</v>
      </c>
      <c r="AR24" s="35" t="n">
        <f aca="false">AR23/Assumptions!$G$15</f>
        <v>56465.856417662</v>
      </c>
      <c r="AS24" s="35" t="n">
        <f aca="false">AS23/Assumptions!$G$15</f>
        <v>58990.8310589179</v>
      </c>
      <c r="AT24" s="35" t="n">
        <f aca="false">AT23/Assumptions!$G$15</f>
        <v>61505.7693318599</v>
      </c>
      <c r="AU24" s="35" t="n">
        <f aca="false">AU23/Assumptions!$G$15</f>
        <v>64011.0994178366</v>
      </c>
      <c r="AV24" s="35" t="n">
        <f aca="false">AV23/Assumptions!$G$15</f>
        <v>66507.1304802001</v>
      </c>
      <c r="AW24" s="35" t="n">
        <f aca="false">AW23/Assumptions!$G$15</f>
        <v>68988.4415121504</v>
      </c>
      <c r="AX24" s="35" t="n">
        <f aca="false">AX23/Assumptions!$G$15</f>
        <v>71457.2481159179</v>
      </c>
      <c r="AY24" s="35" t="n">
        <f aca="false">AY23/Assumptions!$G$15</f>
        <v>73915.0197970365</v>
      </c>
      <c r="AZ24" s="35" t="n">
        <f aca="false">AZ23/Assumptions!$G$15</f>
        <v>76357.0883045467</v>
      </c>
      <c r="BA24" s="35" t="n">
        <f aca="false">BA23/Assumptions!$G$15</f>
        <v>78780.5045800636</v>
      </c>
      <c r="BB24" s="35" t="n">
        <f aca="false">BB23/Assumptions!$G$15</f>
        <v>81189.0886873286</v>
      </c>
      <c r="BC24" s="35" t="n">
        <f aca="false">BC23/Assumptions!$G$15</f>
        <v>83579.6982499479</v>
      </c>
      <c r="BD24" s="35" t="n">
        <f aca="false">BD23/Assumptions!$G$15</f>
        <v>85950.3740596186</v>
      </c>
      <c r="BE24" s="35" t="n">
        <f aca="false">BE23/Assumptions!$G$15</f>
        <v>88305.577633933</v>
      </c>
      <c r="BF24" s="35" t="n">
        <f aca="false">BF23/Assumptions!$G$15</f>
        <v>90642.5816122856</v>
      </c>
      <c r="BG24" s="35" t="n">
        <f aca="false">BG23/Assumptions!$G$15</f>
        <v>92959.6946367125</v>
      </c>
      <c r="BH24" s="35" t="n">
        <f aca="false">BH23/Assumptions!$G$15</f>
        <v>95255.8979367027</v>
      </c>
      <c r="BI24" s="35" t="n">
        <f aca="false">BI23/Assumptions!$G$15</f>
        <v>97530.6091174679</v>
      </c>
      <c r="BJ24" s="35" t="n">
        <f aca="false">BJ23/Assumptions!$G$15</f>
        <v>99783.5286303792</v>
      </c>
      <c r="BK24" s="35" t="n">
        <f aca="false">BK23/Assumptions!$G$15</f>
        <v>102014.539986731</v>
      </c>
    </row>
    <row r="25" customFormat="false" ht="15" hidden="false" customHeight="false" outlineLevel="0" collapsed="false">
      <c r="A25" s="28" t="s">
        <v>568</v>
      </c>
      <c r="B25" s="6" t="s">
        <v>569</v>
      </c>
      <c r="C25" s="32" t="n">
        <v>0</v>
      </c>
      <c r="D25" s="34" t="n">
        <f aca="false">MAX(0,D24-C24)+C24*Assumptions!$G$16</f>
        <v>0</v>
      </c>
      <c r="E25" s="34" t="n">
        <f aca="false">MAX(0,E24-D24)+D24*Assumptions!$G$16</f>
        <v>0</v>
      </c>
      <c r="F25" s="34" t="n">
        <f aca="false">MAX(0,F24-E24)+E24*Assumptions!$G$16</f>
        <v>0</v>
      </c>
      <c r="G25" s="34" t="n">
        <f aca="false">MAX(0,G24-F24)+F24*Assumptions!$G$16</f>
        <v>0</v>
      </c>
      <c r="H25" s="34" t="n">
        <f aca="false">MAX(0,H24-G24)+G24*Assumptions!$G$16</f>
        <v>141.3125</v>
      </c>
      <c r="I25" s="34" t="n">
        <f aca="false">MAX(0,I24-H24)+H24*Assumptions!$G$16</f>
        <v>220.4475</v>
      </c>
      <c r="J25" s="34" t="n">
        <f aca="false">MAX(0,J24-I24)+I24*Assumptions!$G$16</f>
        <v>236.00600625</v>
      </c>
      <c r="K25" s="34" t="n">
        <f aca="false">MAX(0,K24-J24)+J24*Assumptions!$G$16</f>
        <v>361.633384</v>
      </c>
      <c r="L25" s="34" t="n">
        <f aca="false">MAX(0,L24-K24)+K24*Assumptions!$G$16</f>
        <v>550.867384738125</v>
      </c>
      <c r="M25" s="34" t="n">
        <f aca="false">MAX(0,M24-L24)+L24*Assumptions!$G$16</f>
        <v>620.517228366525</v>
      </c>
      <c r="N25" s="34" t="n">
        <f aca="false">MAX(0,N24-M24)+M24*Assumptions!$G$16</f>
        <v>723.533792442118</v>
      </c>
      <c r="O25" s="34" t="n">
        <f aca="false">MAX(0,O24-N24)+N24*Assumptions!$G$16</f>
        <v>872.306183151214</v>
      </c>
      <c r="P25" s="34" t="n">
        <f aca="false">MAX(0,P24-O24)+O24*Assumptions!$G$16</f>
        <v>1035.98354493149</v>
      </c>
      <c r="Q25" s="34" t="n">
        <f aca="false">MAX(0,Q24-P24)+P24*Assumptions!$G$16</f>
        <v>1182.67788482983</v>
      </c>
      <c r="R25" s="34" t="n">
        <f aca="false">MAX(0,R24-Q24)+Q24*Assumptions!$G$16</f>
        <v>1302.10321995752</v>
      </c>
      <c r="S25" s="34" t="n">
        <f aca="false">MAX(0,S24-R24)+R24*Assumptions!$G$16</f>
        <v>1420.97266184233</v>
      </c>
      <c r="T25" s="34" t="n">
        <f aca="false">MAX(0,T24-S24)+S24*Assumptions!$G$16</f>
        <v>1517.58884337876</v>
      </c>
      <c r="U25" s="34" t="n">
        <f aca="false">MAX(0,U24-T24)+T24*Assumptions!$G$16</f>
        <v>1599.77299524562</v>
      </c>
      <c r="V25" s="34" t="n">
        <f aca="false">MAX(0,V24-U24)+U24*Assumptions!$G$16</f>
        <v>1672.60859148859</v>
      </c>
      <c r="W25" s="34" t="n">
        <f aca="false">MAX(0,W24-V24)+V24*Assumptions!$G$16</f>
        <v>1880.71206760073</v>
      </c>
      <c r="X25" s="34" t="n">
        <f aca="false">MAX(0,X24-W24)+W24*Assumptions!$G$16</f>
        <v>2022.74066224229</v>
      </c>
      <c r="Y25" s="34" t="n">
        <f aca="false">MAX(0,Y24-X24)+X24*Assumptions!$G$16</f>
        <v>2098.69077057629</v>
      </c>
      <c r="Z25" s="34" t="n">
        <f aca="false">MAX(0,Z24-Y24)+Y24*Assumptions!$G$16</f>
        <v>2283.11444759219</v>
      </c>
      <c r="AA25" s="34" t="n">
        <f aca="false">MAX(0,AA24-Z24)+Z24*Assumptions!$G$16</f>
        <v>2388.82598318536</v>
      </c>
      <c r="AB25" s="34" t="n">
        <f aca="false">MAX(0,AB24-AA24)+AA24*Assumptions!$G$16</f>
        <v>2436.50716539841</v>
      </c>
      <c r="AC25" s="34" t="n">
        <f aca="false">MAX(0,AC24-AB24)+AB24*Assumptions!$G$16</f>
        <v>2580.75623107362</v>
      </c>
      <c r="AD25" s="34" t="n">
        <f aca="false">MAX(0,AD24-AC24)+AC24*Assumptions!$G$16</f>
        <v>2801.79055802685</v>
      </c>
      <c r="AE25" s="34" t="n">
        <f aca="false">MAX(0,AE24-AD24)+AD24*Assumptions!$G$16</f>
        <v>2906.18348046817</v>
      </c>
      <c r="AF25" s="34" t="n">
        <f aca="false">MAX(0,AF24-AE24)+AE24*Assumptions!$G$16</f>
        <v>3051.36768387752</v>
      </c>
      <c r="AG25" s="34" t="n">
        <f aca="false">MAX(0,AG24-AF24)+AF24*Assumptions!$G$16</f>
        <v>3247.16393187786</v>
      </c>
      <c r="AH25" s="34" t="n">
        <f aca="false">MAX(0,AH24-AG24)+AG24*Assumptions!$G$16</f>
        <v>3314.08664370451</v>
      </c>
      <c r="AI25" s="34" t="n">
        <f aca="false">MAX(0,AI24-AH24)+AH24*Assumptions!$G$16</f>
        <v>3424.46100551199</v>
      </c>
      <c r="AJ25" s="34" t="n">
        <f aca="false">MAX(0,AJ24-AI24)+AI24*Assumptions!$G$16</f>
        <v>3575.52399381581</v>
      </c>
      <c r="AK25" s="34" t="n">
        <f aca="false">MAX(0,AK24-AJ24)+AJ24*Assumptions!$G$16</f>
        <v>3754.50239281097</v>
      </c>
      <c r="AL25" s="34" t="n">
        <f aca="false">MAX(0,AL24-AK24)+AK24*Assumptions!$G$16</f>
        <v>3924.81643418951</v>
      </c>
      <c r="AM25" s="34" t="n">
        <f aca="false">MAX(0,AM24-AL24)+AL24*Assumptions!$G$16</f>
        <v>4073.13186229694</v>
      </c>
      <c r="AN25" s="35" t="n">
        <f aca="false">MAX(0,AN24-AM24)+AM24*Assumptions!$G$16</f>
        <v>4224.18177876603</v>
      </c>
      <c r="AO25" s="35" t="n">
        <f aca="false">MAX(0,AO24-AN24)+AN24*Assumptions!$G$16</f>
        <v>4354.98316378821</v>
      </c>
      <c r="AP25" s="35" t="n">
        <f aca="false">MAX(0,AP24-AO24)+AO24*Assumptions!$G$16</f>
        <v>4472.52291397673</v>
      </c>
      <c r="AQ25" s="35" t="n">
        <f aca="false">MAX(0,AQ24-AP24)+AP24*Assumptions!$G$16</f>
        <v>4581.34351302412</v>
      </c>
      <c r="AR25" s="35" t="n">
        <f aca="false">MAX(0,AR24-AQ24)+AQ24*Assumptions!$G$16</f>
        <v>4684.39856621552</v>
      </c>
      <c r="AS25" s="35" t="n">
        <f aca="false">MAX(0,AS24-AR24)+AR24*Assumptions!$G$16</f>
        <v>4783.60889796245</v>
      </c>
      <c r="AT25" s="35" t="n">
        <f aca="false">MAX(0,AT24-AS24)+AS24*Assumptions!$G$16</f>
        <v>4874.57151529873</v>
      </c>
      <c r="AU25" s="35" t="n">
        <f aca="false">MAX(0,AU24-AT24)+AT24*Assumptions!$G$16</f>
        <v>4965.56085925106</v>
      </c>
      <c r="AV25" s="35" t="n">
        <f aca="false">MAX(0,AV24-AU24)+AU24*Assumptions!$G$16</f>
        <v>5056.47503907702</v>
      </c>
      <c r="AW25" s="35" t="n">
        <f aca="false">MAX(0,AW24-AV24)+AV24*Assumptions!$G$16</f>
        <v>5141.59625115825</v>
      </c>
      <c r="AX25" s="35" t="n">
        <f aca="false">MAX(0,AX24-AW24)+AW24*Assumptions!$G$16</f>
        <v>5228.34426425349</v>
      </c>
      <c r="AY25" s="35" t="n">
        <f aca="false">MAX(0,AY24-AX24)+AX24*Assumptions!$G$16</f>
        <v>5316.06160575535</v>
      </c>
      <c r="AZ25" s="35" t="n">
        <f aca="false">MAX(0,AZ24-AY24)+AY24*Assumptions!$G$16</f>
        <v>5398.66929939167</v>
      </c>
      <c r="BA25" s="35" t="n">
        <f aca="false">MAX(0,BA24-AZ24)+AZ24*Assumptions!$G$16</f>
        <v>5477.69980769879</v>
      </c>
      <c r="BB25" s="35" t="n">
        <f aca="false">MAX(0,BB24-BA24)+BA24*Assumptions!$G$16</f>
        <v>5559.80429046747</v>
      </c>
      <c r="BC25" s="35" t="n">
        <f aca="false">MAX(0,BC24-BB24)+BB24*Assumptions!$G$16</f>
        <v>5638.17311011247</v>
      </c>
      <c r="BD25" s="35" t="n">
        <f aca="false">MAX(0,BD24-BC24)+BC24*Assumptions!$G$16</f>
        <v>5713.86373966864</v>
      </c>
      <c r="BE25" s="35" t="n">
        <f aca="false">MAX(0,BE24-BD24)+BD24*Assumptions!$G$16</f>
        <v>5793.21853669918</v>
      </c>
      <c r="BF25" s="35" t="n">
        <f aca="false">MAX(0,BF24-BE24)+BE24*Assumptions!$G$16</f>
        <v>5869.22708370989</v>
      </c>
      <c r="BG25" s="35" t="n">
        <f aca="false">MAX(0,BG24-BF24)+BF24*Assumptions!$G$16</f>
        <v>5942.81628891831</v>
      </c>
      <c r="BH25" s="35" t="n">
        <f aca="false">MAX(0,BH24-BG24)+BG24*Assumptions!$G$16</f>
        <v>6014.59108545869</v>
      </c>
      <c r="BI25" s="35" t="n">
        <f aca="false">MAX(0,BI24-BH24)+BH24*Assumptions!$G$16</f>
        <v>6084.94709823335</v>
      </c>
      <c r="BJ25" s="35" t="n">
        <f aca="false">MAX(0,BJ24-BI24)+BI24*Assumptions!$G$16</f>
        <v>6154.14387761002</v>
      </c>
      <c r="BK25" s="35" t="n">
        <f aca="false">MAX(0,BK24-BJ24)+BJ24*Assumptions!$G$16</f>
        <v>6222.35250156724</v>
      </c>
    </row>
    <row r="26" customFormat="false" ht="15" hidden="false" customHeight="false" outlineLevel="0" collapsed="false">
      <c r="B26" s="5" t="s">
        <v>570</v>
      </c>
    </row>
    <row r="27" customFormat="false" ht="15" hidden="false" customHeight="false" outlineLevel="0" collapsed="false">
      <c r="A27" s="28" t="s">
        <v>571</v>
      </c>
      <c r="B27" s="6" t="s">
        <v>572</v>
      </c>
      <c r="C27" s="36" t="n">
        <v>0</v>
      </c>
      <c r="D27" s="26" t="n">
        <f aca="false">C27*(1-Assumptions!$G$41)+D16*((1-(1-Assumptions!$G$30)^(1/12))*Assumptions!$G$40)*MAX(0,D13*Assumptions!$G$25-C27)</f>
        <v>0</v>
      </c>
      <c r="E27" s="26" t="n">
        <f aca="false">D27*(1-Assumptions!$G$41)+E16*((1-(1-Assumptions!$G$30)^(1/12))*Assumptions!$G$40)*MAX(0,E13*Assumptions!$G$25-D27)</f>
        <v>0</v>
      </c>
      <c r="F27" s="26" t="n">
        <f aca="false">E27*(1-Assumptions!$G$41)+F16*((1-(1-Assumptions!$G$30)^(1/12))*Assumptions!$G$40)*MAX(0,F13*Assumptions!$G$25-E27)</f>
        <v>0</v>
      </c>
      <c r="G27" s="26" t="n">
        <f aca="false">F27*(1-Assumptions!$G$41)+G16*((1-(1-Assumptions!$G$30)^(1/12))*Assumptions!$G$40)*MAX(0,G13*Assumptions!$G$25-F27)</f>
        <v>0</v>
      </c>
      <c r="H27" s="26" t="n">
        <f aca="false">G27*(1-Assumptions!$G$41)+H16*((1-(1-Assumptions!$G$30)^(1/12))*Assumptions!$G$40)*MAX(0,H13*Assumptions!$G$25-G27)</f>
        <v>0</v>
      </c>
      <c r="I27" s="26" t="n">
        <f aca="false">H27*(1-Assumptions!$G$41)+I16*((1-(1-Assumptions!$G$30)^(1/12))*Assumptions!$G$40)*MAX(0,I13*Assumptions!$G$25-H27)</f>
        <v>0</v>
      </c>
      <c r="J27" s="26" t="n">
        <f aca="false">I27*(1-Assumptions!$G$41)+J16*((1-(1-Assumptions!$G$30)^(1/12))*Assumptions!$G$40)*MAX(0,J13*Assumptions!$G$25-I27)</f>
        <v>0</v>
      </c>
      <c r="K27" s="26" t="n">
        <f aca="false">J27*(1-Assumptions!$G$41)+K16*((1-(1-Assumptions!$G$30)^(1/12))*Assumptions!$G$40)*MAX(0,K13*Assumptions!$G$25-J27)</f>
        <v>0</v>
      </c>
      <c r="L27" s="26" t="n">
        <f aca="false">K27*(1-Assumptions!$G$41)+L16*((1-(1-Assumptions!$G$30)^(1/12))*Assumptions!$G$40)*MAX(0,L13*Assumptions!$G$25-K27)</f>
        <v>0</v>
      </c>
      <c r="M27" s="26" t="n">
        <f aca="false">L27*(1-Assumptions!$G$41)+M16*((1-(1-Assumptions!$G$30)^(1/12))*Assumptions!$G$40)*MAX(0,M13*Assumptions!$G$25-L27)</f>
        <v>0</v>
      </c>
      <c r="N27" s="26" t="n">
        <f aca="false">M27*(1-Assumptions!$G$41)+N16*((1-(1-Assumptions!$G$30)^(1/12))*Assumptions!$G$40)*MAX(0,N13*Assumptions!$G$25-M27)</f>
        <v>0</v>
      </c>
      <c r="O27" s="26" t="n">
        <f aca="false">N27*(1-Assumptions!$G$41)+O16*((1-(1-Assumptions!$G$30)^(1/12))*Assumptions!$G$40)*MAX(0,O13*Assumptions!$G$25-N27)</f>
        <v>0</v>
      </c>
      <c r="P27" s="26" t="n">
        <f aca="false">O27*(1-Assumptions!$G$41)+P16*((1-(1-Assumptions!$G$30)^(1/12))*Assumptions!$G$40)*MAX(0,P13*Assumptions!$G$25-O27)</f>
        <v>0</v>
      </c>
      <c r="Q27" s="26" t="n">
        <f aca="false">P27*(1-Assumptions!$G$41)+Q16*((1-(1-Assumptions!$G$30)^(1/12))*Assumptions!$G$40)*MAX(0,Q13*Assumptions!$G$25-P27)</f>
        <v>0</v>
      </c>
      <c r="R27" s="26" t="n">
        <f aca="false">Q27*(1-Assumptions!$G$41)+R16*((1-(1-Assumptions!$G$30)^(1/12))*Assumptions!$G$40)*MAX(0,R13*Assumptions!$G$25-Q27)</f>
        <v>0</v>
      </c>
      <c r="S27" s="26" t="n">
        <f aca="false">R27*(1-Assumptions!$G$41)+S16*((1-(1-Assumptions!$G$30)^(1/12))*Assumptions!$G$40)*MAX(0,S13*Assumptions!$G$25-R27)</f>
        <v>0</v>
      </c>
      <c r="T27" s="26" t="n">
        <f aca="false">S27*(1-Assumptions!$G$41)+T16*((1-(1-Assumptions!$G$30)^(1/12))*Assumptions!$G$40)*MAX(0,T13*Assumptions!$G$25-S27)</f>
        <v>3.42870904684913</v>
      </c>
      <c r="U27" s="26" t="n">
        <f aca="false">T27*(1-Assumptions!$G$41)+U16*((1-(1-Assumptions!$G$30)^(1/12))*Assumptions!$G$40)*MAX(0,U13*Assumptions!$G$25-T27)</f>
        <v>6.97005054059506</v>
      </c>
      <c r="V27" s="26" t="n">
        <f aca="false">U27*(1-Assumptions!$G$41)+V16*((1-(1-Assumptions!$G$30)^(1/12))*Assumptions!$G$40)*MAX(0,V13*Assumptions!$G$25-U27)</f>
        <v>10.6152961613296</v>
      </c>
      <c r="W27" s="26" t="n">
        <f aca="false">V27*(1-Assumptions!$G$41)+W16*((1-(1-Assumptions!$G$30)^(1/12))*Assumptions!$G$40)*MAX(0,W13*Assumptions!$G$25-V27)</f>
        <v>14.4818507098139</v>
      </c>
      <c r="X27" s="26" t="n">
        <f aca="false">W27*(1-Assumptions!$G$41)+X16*((1-(1-Assumptions!$G$30)^(1/12))*Assumptions!$G$40)*MAX(0,X13*Assumptions!$G$25-W27)</f>
        <v>18.5353326485306</v>
      </c>
      <c r="Y27" s="26" t="n">
        <f aca="false">X27*(1-Assumptions!$G$41)+Y16*((1-(1-Assumptions!$G$30)^(1/12))*Assumptions!$G$40)*MAX(0,Y13*Assumptions!$G$25-X27)</f>
        <v>22.7244040651985</v>
      </c>
      <c r="Z27" s="26" t="n">
        <f aca="false">Y27*(1-Assumptions!$G$41)+Z16*((1-(1-Assumptions!$G$30)^(1/12))*Assumptions!$G$40)*MAX(0,Z13*Assumptions!$G$25-Y27)</f>
        <v>27.1379132838525</v>
      </c>
      <c r="AA27" s="26" t="n">
        <f aca="false">Z27*(1-Assumptions!$G$41)+AA16*((1-(1-Assumptions!$G$30)^(1/12))*Assumptions!$G$40)*MAX(0,AA13*Assumptions!$G$25-Z27)</f>
        <v>31.7206488432072</v>
      </c>
      <c r="AB27" s="26" t="n">
        <f aca="false">AA27*(1-Assumptions!$G$41)+AB16*((1-(1-Assumptions!$G$30)^(1/12))*Assumptions!$G$40)*MAX(0,AB13*Assumptions!$G$25-AA27)</f>
        <v>36.4174845863538</v>
      </c>
      <c r="AC27" s="26" t="n">
        <f aca="false">AB27*(1-Assumptions!$G$41)+AC16*((1-(1-Assumptions!$G$30)^(1/12))*Assumptions!$G$40)*MAX(0,AC13*Assumptions!$G$25-AB27)</f>
        <v>41.2988118626524</v>
      </c>
      <c r="AD27" s="26" t="n">
        <f aca="false">AC27*(1-Assumptions!$G$41)+AD16*((1-(1-Assumptions!$G$30)^(1/12))*Assumptions!$G$40)*MAX(0,AD13*Assumptions!$G$25-AC27)</f>
        <v>46.4382062181948</v>
      </c>
      <c r="AE27" s="26" t="n">
        <f aca="false">AD27*(1-Assumptions!$G$41)+AE16*((1-(1-Assumptions!$G$30)^(1/12))*Assumptions!$G$40)*MAX(0,AE13*Assumptions!$G$25-AD27)</f>
        <v>51.7515586414648</v>
      </c>
      <c r="AF27" s="26" t="n">
        <f aca="false">AE27*(1-Assumptions!$G$41)+AF16*((1-(1-Assumptions!$G$30)^(1/12))*Assumptions!$G$40)*MAX(0,AF13*Assumptions!$G$25-AE27)</f>
        <v>57.267933101668</v>
      </c>
      <c r="AG27" s="26" t="n">
        <f aca="false">AF27*(1-Assumptions!$G$41)+AG16*((1-(1-Assumptions!$G$30)^(1/12))*Assumptions!$G$40)*MAX(0,AG13*Assumptions!$G$25-AF27)</f>
        <v>63.0335203383814</v>
      </c>
      <c r="AH27" s="26" t="n">
        <f aca="false">AG27*(1-Assumptions!$G$41)+AH16*((1-(1-Assumptions!$G$30)^(1/12))*Assumptions!$G$40)*MAX(0,AH13*Assumptions!$G$25-AG27)</f>
        <v>68.9444520423056</v>
      </c>
      <c r="AI27" s="26" t="n">
        <f aca="false">AH27*(1-Assumptions!$G$41)+AI16*((1-(1-Assumptions!$G$30)^(1/12))*Assumptions!$G$40)*MAX(0,AI13*Assumptions!$G$25-AH27)</f>
        <v>75.0219664832486</v>
      </c>
      <c r="AJ27" s="26" t="n">
        <f aca="false">AI27*(1-Assumptions!$G$41)+AJ16*((1-(1-Assumptions!$G$30)^(1/12))*Assumptions!$G$40)*MAX(0,AJ13*Assumptions!$G$25-AI27)</f>
        <v>81.2951721802382</v>
      </c>
      <c r="AK27" s="26" t="n">
        <f aca="false">AJ27*(1-Assumptions!$G$41)+AK16*((1-(1-Assumptions!$G$30)^(1/12))*Assumptions!$G$40)*MAX(0,AK13*Assumptions!$G$25-AJ27)</f>
        <v>87.7902436109138</v>
      </c>
      <c r="AL27" s="26" t="n">
        <f aca="false">AK27*(1-Assumptions!$G$41)+AL16*((1-(1-Assumptions!$G$30)^(1/12))*Assumptions!$G$40)*MAX(0,AL13*Assumptions!$G$25-AK27)</f>
        <v>94.5055989408834</v>
      </c>
      <c r="AM27" s="26" t="n">
        <f aca="false">AL27*(1-Assumptions!$G$41)+AM16*((1-(1-Assumptions!$G$30)^(1/12))*Assumptions!$G$40)*MAX(0,AM13*Assumptions!$G$25-AL27)</f>
        <v>101.424570306868</v>
      </c>
      <c r="AN27" s="37" t="n">
        <f aca="false">AM27*(1-Assumptions!$G$41)+AN16*((1-(1-Assumptions!$G$30)^(1/12))*Assumptions!$G$40)*MAX(0,AN13*Assumptions!$G$25-AM27)</f>
        <v>108.546945962244</v>
      </c>
      <c r="AO27" s="37" t="n">
        <f aca="false">AN27*(1-Assumptions!$G$41)+AO16*((1-(1-Assumptions!$G$30)^(1/12))*Assumptions!$G$40)*MAX(0,AO13*Assumptions!$G$25-AN27)</f>
        <v>115.852296719616</v>
      </c>
      <c r="AP27" s="37" t="n">
        <f aca="false">AO27*(1-Assumptions!$G$41)+AP16*((1-(1-Assumptions!$G$30)^(1/12))*Assumptions!$G$40)*MAX(0,AP13*Assumptions!$G$25-AO27)</f>
        <v>123.321977491542</v>
      </c>
      <c r="AQ27" s="37" t="n">
        <f aca="false">AP27*(1-Assumptions!$G$41)+AQ16*((1-(1-Assumptions!$G$30)^(1/12))*Assumptions!$G$40)*MAX(0,AQ13*Assumptions!$G$25-AP27)</f>
        <v>130.93897377278</v>
      </c>
      <c r="AR27" s="37" t="n">
        <f aca="false">AQ27*(1-Assumptions!$G$41)+AR16*((1-(1-Assumptions!$G$30)^(1/12))*Assumptions!$G$40)*MAX(0,AR13*Assumptions!$G$25-AQ27)</f>
        <v>138.687761309871</v>
      </c>
      <c r="AS27" s="37" t="n">
        <f aca="false">AR27*(1-Assumptions!$G$41)+AS16*((1-(1-Assumptions!$G$30)^(1/12))*Assumptions!$G$40)*MAX(0,AS13*Assumptions!$G$25-AR27)</f>
        <v>146.554177825479</v>
      </c>
      <c r="AT27" s="37" t="n">
        <f aca="false">AS27*(1-Assumptions!$G$41)+AT16*((1-(1-Assumptions!$G$30)^(1/12))*Assumptions!$G$40)*MAX(0,AT13*Assumptions!$G$25-AS27)</f>
        <v>154.520290043605</v>
      </c>
      <c r="AU27" s="37" t="n">
        <f aca="false">AT27*(1-Assumptions!$G$41)+AU16*((1-(1-Assumptions!$G$30)^(1/12))*Assumptions!$G$40)*MAX(0,AU13*Assumptions!$G$25-AT27)</f>
        <v>162.574798859692</v>
      </c>
      <c r="AV27" s="37" t="n">
        <f aca="false">AU27*(1-Assumptions!$G$41)+AV16*((1-(1-Assumptions!$G$30)^(1/12))*Assumptions!$G$40)*MAX(0,AV13*Assumptions!$G$25-AU27)</f>
        <v>170.707402927178</v>
      </c>
      <c r="AW27" s="37" t="n">
        <f aca="false">AV27*(1-Assumptions!$G$41)+AW16*((1-(1-Assumptions!$G$30)^(1/12))*Assumptions!$G$40)*MAX(0,AW13*Assumptions!$G$25-AV27)</f>
        <v>178.903696975969</v>
      </c>
      <c r="AX27" s="37" t="n">
        <f aca="false">AW27*(1-Assumptions!$G$41)+AX16*((1-(1-Assumptions!$G$30)^(1/12))*Assumptions!$G$40)*MAX(0,AX13*Assumptions!$G$25-AW27)</f>
        <v>187.155605588135</v>
      </c>
      <c r="AY27" s="37" t="n">
        <f aca="false">AX27*(1-Assumptions!$G$41)+AY16*((1-(1-Assumptions!$G$30)^(1/12))*Assumptions!$G$40)*MAX(0,AY13*Assumptions!$G$25-AX27)</f>
        <v>195.455772933236</v>
      </c>
      <c r="AZ27" s="37" t="n">
        <f aca="false">AY27*(1-Assumptions!$G$41)+AZ16*((1-(1-Assumptions!$G$30)^(1/12))*Assumptions!$G$40)*MAX(0,AZ13*Assumptions!$G$25-AY27)</f>
        <v>203.792484989717</v>
      </c>
      <c r="BA27" s="37" t="n">
        <f aca="false">AZ27*(1-Assumptions!$G$41)+BA16*((1-(1-Assumptions!$G$30)^(1/12))*Assumptions!$G$40)*MAX(0,BA13*Assumptions!$G$25-AZ27)</f>
        <v>212.155109452002</v>
      </c>
      <c r="BB27" s="37" t="n">
        <f aca="false">BA27*(1-Assumptions!$G$41)+BB16*((1-(1-Assumptions!$G$30)^(1/12))*Assumptions!$G$40)*MAX(0,BB13*Assumptions!$G$25-BA27)</f>
        <v>220.539017792409</v>
      </c>
      <c r="BC27" s="37" t="n">
        <f aca="false">BB27*(1-Assumptions!$G$41)+BC16*((1-(1-Assumptions!$G$30)^(1/12))*Assumptions!$G$40)*MAX(0,BC13*Assumptions!$G$25-BB27)</f>
        <v>228.934987302199</v>
      </c>
      <c r="BD27" s="37" t="n">
        <f aca="false">BC27*(1-Assumptions!$G$41)+BD16*((1-(1-Assumptions!$G$30)^(1/12))*Assumptions!$G$40)*MAX(0,BD13*Assumptions!$G$25-BC27)</f>
        <v>237.334661283548</v>
      </c>
      <c r="BE27" s="37" t="n">
        <f aca="false">BD27*(1-Assumptions!$G$41)+BE16*((1-(1-Assumptions!$G$30)^(1/12))*Assumptions!$G$40)*MAX(0,BE13*Assumptions!$G$25-BD27)</f>
        <v>245.735489654073</v>
      </c>
      <c r="BF27" s="37" t="n">
        <f aca="false">BE27*(1-Assumptions!$G$41)+BF16*((1-(1-Assumptions!$G$30)^(1/12))*Assumptions!$G$40)*MAX(0,BF13*Assumptions!$G$25-BE27)</f>
        <v>254.130147937832</v>
      </c>
      <c r="BG27" s="37" t="n">
        <f aca="false">BF27*(1-Assumptions!$G$41)+BG16*((1-(1-Assumptions!$G$30)^(1/12))*Assumptions!$G$40)*MAX(0,BG13*Assumptions!$G$25-BF27)</f>
        <v>262.512012951393</v>
      </c>
      <c r="BH27" s="37" t="n">
        <f aca="false">BG27*(1-Assumptions!$G$41)+BH16*((1-(1-Assumptions!$G$30)^(1/12))*Assumptions!$G$40)*MAX(0,BH13*Assumptions!$G$25-BG27)</f>
        <v>270.875101853042</v>
      </c>
      <c r="BI27" s="37" t="n">
        <f aca="false">BH27*(1-Assumptions!$G$41)+BI16*((1-(1-Assumptions!$G$30)^(1/12))*Assumptions!$G$40)*MAX(0,BI13*Assumptions!$G$25-BH27)</f>
        <v>279.214016433774</v>
      </c>
      <c r="BJ27" s="37" t="n">
        <f aca="false">BI27*(1-Assumptions!$G$41)+BJ16*((1-(1-Assumptions!$G$30)^(1/12))*Assumptions!$G$40)*MAX(0,BJ13*Assumptions!$G$25-BI27)</f>
        <v>287.523892199832</v>
      </c>
      <c r="BK27" s="37" t="n">
        <f aca="false">BJ27*(1-Assumptions!$G$41)+BK16*((1-(1-Assumptions!$G$30)^(1/12))*Assumptions!$G$40)*MAX(0,BK13*Assumptions!$G$25-BJ27)</f>
        <v>295.80035183521</v>
      </c>
    </row>
    <row r="28" customFormat="false" ht="15" hidden="false" customHeight="false" outlineLevel="0" collapsed="false">
      <c r="A28" s="28" t="s">
        <v>573</v>
      </c>
      <c r="B28" s="6" t="s">
        <v>574</v>
      </c>
      <c r="C28" s="36" t="n">
        <v>0</v>
      </c>
      <c r="D28" s="26" t="n">
        <f aca="false">C28*(1-Assumptions!$G$41)+D16*((1-(1-Assumptions!$G$31)^(1/12))*Assumptions!$G$40)*MAX(0,D13*Assumptions!$G$26-C28)</f>
        <v>0</v>
      </c>
      <c r="E28" s="26" t="n">
        <f aca="false">D28*(1-Assumptions!$G$41)+E16*((1-(1-Assumptions!$G$31)^(1/12))*Assumptions!$G$40)*MAX(0,E13*Assumptions!$G$26-D28)</f>
        <v>0</v>
      </c>
      <c r="F28" s="26" t="n">
        <f aca="false">E28*(1-Assumptions!$G$41)+F16*((1-(1-Assumptions!$G$31)^(1/12))*Assumptions!$G$40)*MAX(0,F13*Assumptions!$G$26-E28)</f>
        <v>0</v>
      </c>
      <c r="G28" s="26" t="n">
        <f aca="false">F28*(1-Assumptions!$G$41)+G16*((1-(1-Assumptions!$G$31)^(1/12))*Assumptions!$G$40)*MAX(0,G13*Assumptions!$G$26-F28)</f>
        <v>0</v>
      </c>
      <c r="H28" s="26" t="n">
        <f aca="false">G28*(1-Assumptions!$G$41)+H16*((1-(1-Assumptions!$G$31)^(1/12))*Assumptions!$G$40)*MAX(0,H13*Assumptions!$G$26-G28)</f>
        <v>0</v>
      </c>
      <c r="I28" s="26" t="n">
        <f aca="false">H28*(1-Assumptions!$G$41)+I16*((1-(1-Assumptions!$G$31)^(1/12))*Assumptions!$G$40)*MAX(0,I13*Assumptions!$G$26-H28)</f>
        <v>0</v>
      </c>
      <c r="J28" s="26" t="n">
        <f aca="false">I28*(1-Assumptions!$G$41)+J16*((1-(1-Assumptions!$G$31)^(1/12))*Assumptions!$G$40)*MAX(0,J13*Assumptions!$G$26-I28)</f>
        <v>0</v>
      </c>
      <c r="K28" s="26" t="n">
        <f aca="false">J28*(1-Assumptions!$G$41)+K16*((1-(1-Assumptions!$G$31)^(1/12))*Assumptions!$G$40)*MAX(0,K13*Assumptions!$G$26-J28)</f>
        <v>0</v>
      </c>
      <c r="L28" s="26" t="n">
        <f aca="false">K28*(1-Assumptions!$G$41)+L16*((1-(1-Assumptions!$G$31)^(1/12))*Assumptions!$G$40)*MAX(0,L13*Assumptions!$G$26-K28)</f>
        <v>0</v>
      </c>
      <c r="M28" s="26" t="n">
        <f aca="false">L28*(1-Assumptions!$G$41)+M16*((1-(1-Assumptions!$G$31)^(1/12))*Assumptions!$G$40)*MAX(0,M13*Assumptions!$G$26-L28)</f>
        <v>0</v>
      </c>
      <c r="N28" s="26" t="n">
        <f aca="false">M28*(1-Assumptions!$G$41)+N16*((1-(1-Assumptions!$G$31)^(1/12))*Assumptions!$G$40)*MAX(0,N13*Assumptions!$G$26-M28)</f>
        <v>0</v>
      </c>
      <c r="O28" s="26" t="n">
        <f aca="false">N28*(1-Assumptions!$G$41)+O16*((1-(1-Assumptions!$G$31)^(1/12))*Assumptions!$G$40)*MAX(0,O13*Assumptions!$G$26-N28)</f>
        <v>0</v>
      </c>
      <c r="P28" s="26" t="n">
        <f aca="false">O28*(1-Assumptions!$G$41)+P16*((1-(1-Assumptions!$G$31)^(1/12))*Assumptions!$G$40)*MAX(0,P13*Assumptions!$G$26-O28)</f>
        <v>0</v>
      </c>
      <c r="Q28" s="26" t="n">
        <f aca="false">P28*(1-Assumptions!$G$41)+Q16*((1-(1-Assumptions!$G$31)^(1/12))*Assumptions!$G$40)*MAX(0,Q13*Assumptions!$G$26-P28)</f>
        <v>0</v>
      </c>
      <c r="R28" s="26" t="n">
        <f aca="false">Q28*(1-Assumptions!$G$41)+R16*((1-(1-Assumptions!$G$31)^(1/12))*Assumptions!$G$40)*MAX(0,R13*Assumptions!$G$26-Q28)</f>
        <v>0</v>
      </c>
      <c r="S28" s="26" t="n">
        <f aca="false">R28*(1-Assumptions!$G$41)+S16*((1-(1-Assumptions!$G$31)^(1/12))*Assumptions!$G$40)*MAX(0,S13*Assumptions!$G$26-R28)</f>
        <v>0</v>
      </c>
      <c r="T28" s="26" t="n">
        <f aca="false">S28*(1-Assumptions!$G$41)+T16*((1-(1-Assumptions!$G$31)^(1/12))*Assumptions!$G$40)*MAX(0,T13*Assumptions!$G$26-S28)</f>
        <v>1.32613392896178</v>
      </c>
      <c r="U28" s="26" t="n">
        <f aca="false">T28*(1-Assumptions!$G$41)+U16*((1-(1-Assumptions!$G$31)^(1/12))*Assumptions!$G$40)*MAX(0,U13*Assumptions!$G$26-T28)</f>
        <v>2.73437072783889</v>
      </c>
      <c r="V28" s="26" t="n">
        <f aca="false">U28*(1-Assumptions!$G$41)+V16*((1-(1-Assumptions!$G$31)^(1/12))*Assumptions!$G$40)*MAX(0,V13*Assumptions!$G$26-U28)</f>
        <v>4.22041070522996</v>
      </c>
      <c r="W28" s="26" t="n">
        <f aca="false">V28*(1-Assumptions!$G$41)+W16*((1-(1-Assumptions!$G$31)^(1/12))*Assumptions!$G$40)*MAX(0,W13*Assumptions!$G$26-V28)</f>
        <v>5.82869350532946</v>
      </c>
      <c r="X28" s="26" t="n">
        <f aca="false">W28*(1-Assumptions!$G$41)+X16*((1-(1-Assumptions!$G$31)^(1/12))*Assumptions!$G$40)*MAX(0,X13*Assumptions!$G$26-W28)</f>
        <v>7.54632657800549</v>
      </c>
      <c r="Y28" s="26" t="n">
        <f aca="false">X28*(1-Assumptions!$G$41)+Y16*((1-(1-Assumptions!$G$31)^(1/12))*Assumptions!$G$40)*MAX(0,Y13*Assumptions!$G$26-X28)</f>
        <v>9.35344960797774</v>
      </c>
      <c r="Z28" s="26" t="n">
        <f aca="false">Y28*(1-Assumptions!$G$41)+Z16*((1-(1-Assumptions!$G$31)^(1/12))*Assumptions!$G$40)*MAX(0,Z13*Assumptions!$G$26-Y28)</f>
        <v>11.2838457914088</v>
      </c>
      <c r="AA28" s="26" t="n">
        <f aca="false">Z28*(1-Assumptions!$G$41)+AA16*((1-(1-Assumptions!$G$31)^(1/12))*Assumptions!$G$40)*MAX(0,AA13*Assumptions!$G$26-Z28)</f>
        <v>13.3166115025038</v>
      </c>
      <c r="AB28" s="26" t="n">
        <f aca="false">AA28*(1-Assumptions!$G$41)+AB16*((1-(1-Assumptions!$G$31)^(1/12))*Assumptions!$G$40)*MAX(0,AB13*Assumptions!$G$26-AA28)</f>
        <v>15.4302299079264</v>
      </c>
      <c r="AC28" s="26" t="n">
        <f aca="false">AB28*(1-Assumptions!$G$41)+AC16*((1-(1-Assumptions!$G$31)^(1/12))*Assumptions!$G$40)*MAX(0,AC13*Assumptions!$G$26-AB28)</f>
        <v>17.6511224994004</v>
      </c>
      <c r="AD28" s="26" t="n">
        <f aca="false">AC28*(1-Assumptions!$G$41)+AD16*((1-(1-Assumptions!$G$31)^(1/12))*Assumptions!$G$40)*MAX(0,AD13*Assumptions!$G$26-AC28)</f>
        <v>20.0077792340702</v>
      </c>
      <c r="AE28" s="26" t="n">
        <f aca="false">AD28*(1-Assumptions!$G$41)+AE16*((1-(1-Assumptions!$G$31)^(1/12))*Assumptions!$G$40)*MAX(0,AE13*Assumptions!$G$26-AD28)</f>
        <v>22.4685269955296</v>
      </c>
      <c r="AF28" s="26" t="n">
        <f aca="false">AE28*(1-Assumptions!$G$41)+AF16*((1-(1-Assumptions!$G$31)^(1/12))*Assumptions!$G$40)*MAX(0,AF13*Assumptions!$G$26-AE28)</f>
        <v>25.0444708203891</v>
      </c>
      <c r="AG28" s="26" t="n">
        <f aca="false">AF28*(1-Assumptions!$G$41)+AG16*((1-(1-Assumptions!$G$31)^(1/12))*Assumptions!$G$40)*MAX(0,AG13*Assumptions!$G$26-AF28)</f>
        <v>27.7536743490902</v>
      </c>
      <c r="AH28" s="26" t="n">
        <f aca="false">AG28*(1-Assumptions!$G$41)+AH16*((1-(1-Assumptions!$G$31)^(1/12))*Assumptions!$G$40)*MAX(0,AH13*Assumptions!$G$26-AG28)</f>
        <v>30.556670282703</v>
      </c>
      <c r="AI28" s="26" t="n">
        <f aca="false">AH28*(1-Assumptions!$G$41)+AI16*((1-(1-Assumptions!$G$31)^(1/12))*Assumptions!$G$40)*MAX(0,AI13*Assumptions!$G$26-AH28)</f>
        <v>33.4611716013283</v>
      </c>
      <c r="AJ28" s="26" t="n">
        <f aca="false">AI28*(1-Assumptions!$G$41)+AJ16*((1-(1-Assumptions!$G$31)^(1/12))*Assumptions!$G$40)*MAX(0,AJ13*Assumptions!$G$26-AI28)</f>
        <v>36.4782025039209</v>
      </c>
      <c r="AK28" s="26" t="n">
        <f aca="false">AJ28*(1-Assumptions!$G$41)+AK16*((1-(1-Assumptions!$G$31)^(1/12))*Assumptions!$G$40)*MAX(0,AK13*Assumptions!$G$26-AJ28)</f>
        <v>39.6179928751382</v>
      </c>
      <c r="AL28" s="26" t="n">
        <f aca="false">AK28*(1-Assumptions!$G$41)+AL16*((1-(1-Assumptions!$G$31)^(1/12))*Assumptions!$G$40)*MAX(0,AL13*Assumptions!$G$26-AK28)</f>
        <v>42.8803253614826</v>
      </c>
      <c r="AM28" s="26" t="n">
        <f aca="false">AL28*(1-Assumptions!$G$41)+AM16*((1-(1-Assumptions!$G$31)^(1/12))*Assumptions!$G$40)*MAX(0,AM13*Assumptions!$G$26-AL28)</f>
        <v>46.259107539263</v>
      </c>
      <c r="AN28" s="37" t="n">
        <f aca="false">AM28*(1-Assumptions!$G$41)+AN16*((1-(1-Assumptions!$G$31)^(1/12))*Assumptions!$G$40)*MAX(0,AN13*Assumptions!$G$26-AM28)</f>
        <v>49.7544042945627</v>
      </c>
      <c r="AO28" s="37" t="n">
        <f aca="false">AN28*(1-Assumptions!$G$41)+AO16*((1-(1-Assumptions!$G$31)^(1/12))*Assumptions!$G$40)*MAX(0,AO13*Assumptions!$G$26-AN28)</f>
        <v>53.3584502219823</v>
      </c>
      <c r="AP28" s="37" t="n">
        <f aca="false">AO28*(1-Assumptions!$G$41)+AP16*((1-(1-Assumptions!$G$31)^(1/12))*Assumptions!$G$40)*MAX(0,AP13*Assumptions!$G$26-AO28)</f>
        <v>57.0639325980047</v>
      </c>
      <c r="AQ28" s="37" t="n">
        <f aca="false">AP28*(1-Assumptions!$G$41)+AQ16*((1-(1-Assumptions!$G$31)^(1/12))*Assumptions!$G$40)*MAX(0,AQ13*Assumptions!$G$26-AP28)</f>
        <v>60.8639655450337</v>
      </c>
      <c r="AR28" s="37" t="n">
        <f aca="false">AQ28*(1-Assumptions!$G$41)+AR16*((1-(1-Assumptions!$G$31)^(1/12))*Assumptions!$G$40)*MAX(0,AR13*Assumptions!$G$26-AQ28)</f>
        <v>64.7520656645821</v>
      </c>
      <c r="AS28" s="37" t="n">
        <f aca="false">AR28*(1-Assumptions!$G$41)+AS16*((1-(1-Assumptions!$G$31)^(1/12))*Assumptions!$G$40)*MAX(0,AS13*Assumptions!$G$26-AR28)</f>
        <v>68.7221290561184</v>
      </c>
      <c r="AT28" s="37" t="n">
        <f aca="false">AS28*(1-Assumptions!$G$41)+AT16*((1-(1-Assumptions!$G$31)^(1/12))*Assumptions!$G$40)*MAX(0,AT13*Assumptions!$G$26-AS28)</f>
        <v>72.766469695609</v>
      </c>
      <c r="AU28" s="37" t="n">
        <f aca="false">AT28*(1-Assumptions!$G$41)+AU16*((1-(1-Assumptions!$G$31)^(1/12))*Assumptions!$G$40)*MAX(0,AU13*Assumptions!$G$26-AT28)</f>
        <v>76.8798085159553</v>
      </c>
      <c r="AV28" s="37" t="n">
        <f aca="false">AU28*(1-Assumptions!$G$41)+AV16*((1-(1-Assumptions!$G$31)^(1/12))*Assumptions!$G$40)*MAX(0,AV13*Assumptions!$G$26-AU28)</f>
        <v>81.0571769937296</v>
      </c>
      <c r="AW28" s="37" t="n">
        <f aca="false">AV28*(1-Assumptions!$G$41)+AW16*((1-(1-Assumptions!$G$31)^(1/12))*Assumptions!$G$40)*MAX(0,AW13*Assumptions!$G$26-AV28)</f>
        <v>85.2919594509515</v>
      </c>
      <c r="AX28" s="37" t="n">
        <f aca="false">AW28*(1-Assumptions!$G$41)+AX16*((1-(1-Assumptions!$G$31)^(1/12))*Assumptions!$G$40)*MAX(0,AX13*Assumptions!$G$26-AW28)</f>
        <v>89.5798858357863</v>
      </c>
      <c r="AY28" s="37" t="n">
        <f aca="false">AX28*(1-Assumptions!$G$41)+AY16*((1-(1-Assumptions!$G$31)^(1/12))*Assumptions!$G$40)*MAX(0,AY13*Assumptions!$G$26-AX28)</f>
        <v>93.9169387992427</v>
      </c>
      <c r="AZ28" s="37" t="n">
        <f aca="false">AY28*(1-Assumptions!$G$41)+AZ16*((1-(1-Assumptions!$G$31)^(1/12))*Assumptions!$G$40)*MAX(0,AZ13*Assumptions!$G$26-AY28)</f>
        <v>98.297399288558</v>
      </c>
      <c r="BA28" s="37" t="n">
        <f aca="false">AZ28*(1-Assumptions!$G$41)+BA16*((1-(1-Assumptions!$G$31)^(1/12))*Assumptions!$G$40)*MAX(0,BA13*Assumptions!$G$26-AZ28)</f>
        <v>102.715902485206</v>
      </c>
      <c r="BB28" s="37" t="n">
        <f aca="false">BA28*(1-Assumptions!$G$41)+BB16*((1-(1-Assumptions!$G$31)^(1/12))*Assumptions!$G$40)*MAX(0,BB13*Assumptions!$G$26-BA28)</f>
        <v>107.169357331702</v>
      </c>
      <c r="BC28" s="37" t="n">
        <f aca="false">BB28*(1-Assumptions!$G$41)+BC16*((1-(1-Assumptions!$G$31)^(1/12))*Assumptions!$G$40)*MAX(0,BC13*Assumptions!$G$26-BB28)</f>
        <v>111.652917752378</v>
      </c>
      <c r="BD28" s="37" t="n">
        <f aca="false">BC28*(1-Assumptions!$G$41)+BD16*((1-(1-Assumptions!$G$31)^(1/12))*Assumptions!$G$40)*MAX(0,BD13*Assumptions!$G$26-BC28)</f>
        <v>116.16204162755</v>
      </c>
      <c r="BE28" s="37" t="n">
        <f aca="false">BD28*(1-Assumptions!$G$41)+BE16*((1-(1-Assumptions!$G$31)^(1/12))*Assumptions!$G$40)*MAX(0,BE13*Assumptions!$G$26-BD28)</f>
        <v>120.694413183894</v>
      </c>
      <c r="BF28" s="37" t="n">
        <f aca="false">BE28*(1-Assumptions!$G$41)+BF16*((1-(1-Assumptions!$G$31)^(1/12))*Assumptions!$G$40)*MAX(0,BF13*Assumptions!$G$26-BE28)</f>
        <v>125.245916916021</v>
      </c>
      <c r="BG28" s="37" t="n">
        <f aca="false">BF28*(1-Assumptions!$G$41)+BG16*((1-(1-Assumptions!$G$31)^(1/12))*Assumptions!$G$40)*MAX(0,BG13*Assumptions!$G$26-BF28)</f>
        <v>129.812699107913</v>
      </c>
      <c r="BH28" s="37" t="n">
        <f aca="false">BG28*(1-Assumptions!$G$41)+BH16*((1-(1-Assumptions!$G$31)^(1/12))*Assumptions!$G$40)*MAX(0,BH13*Assumptions!$G$26-BG28)</f>
        <v>134.391152678552</v>
      </c>
      <c r="BI28" s="37" t="n">
        <f aca="false">BH28*(1-Assumptions!$G$41)+BI16*((1-(1-Assumptions!$G$31)^(1/12))*Assumptions!$G$40)*MAX(0,BI13*Assumptions!$G$26-BH28)</f>
        <v>138.977902891416</v>
      </c>
      <c r="BJ28" s="37" t="n">
        <f aca="false">BI28*(1-Assumptions!$G$41)+BJ16*((1-(1-Assumptions!$G$31)^(1/12))*Assumptions!$G$40)*MAX(0,BJ13*Assumptions!$G$26-BI28)</f>
        <v>143.569793878731</v>
      </c>
      <c r="BK28" s="37" t="n">
        <f aca="false">BJ28*(1-Assumptions!$G$41)+BK16*((1-(1-Assumptions!$G$31)^(1/12))*Assumptions!$G$40)*MAX(0,BK13*Assumptions!$G$26-BJ28)</f>
        <v>148.163875934158</v>
      </c>
    </row>
    <row r="29" customFormat="false" ht="15" hidden="false" customHeight="false" outlineLevel="0" collapsed="false">
      <c r="A29" s="28" t="s">
        <v>575</v>
      </c>
      <c r="B29" s="6" t="s">
        <v>576</v>
      </c>
      <c r="C29" s="36" t="n">
        <v>0</v>
      </c>
      <c r="D29" s="26" t="n">
        <f aca="false">C29*(1-Assumptions!$G$41)+D17*((1-(1-Assumptions!$G$32)^(1/12))*Assumptions!$G$40)*MAX(0,D13*Assumptions!$G$27-C29)</f>
        <v>0</v>
      </c>
      <c r="E29" s="26" t="n">
        <f aca="false">D29*(1-Assumptions!$G$41)+E17*((1-(1-Assumptions!$G$32)^(1/12))*Assumptions!$G$40)*MAX(0,E13*Assumptions!$G$27-D29)</f>
        <v>0</v>
      </c>
      <c r="F29" s="26" t="n">
        <f aca="false">E29*(1-Assumptions!$G$41)+F17*((1-(1-Assumptions!$G$32)^(1/12))*Assumptions!$G$40)*MAX(0,F13*Assumptions!$G$27-E29)</f>
        <v>0</v>
      </c>
      <c r="G29" s="26" t="n">
        <f aca="false">F29*(1-Assumptions!$G$41)+G17*((1-(1-Assumptions!$G$32)^(1/12))*Assumptions!$G$40)*MAX(0,G13*Assumptions!$G$27-F29)</f>
        <v>0</v>
      </c>
      <c r="H29" s="26" t="n">
        <f aca="false">G29*(1-Assumptions!$G$41)+H17*((1-(1-Assumptions!$G$32)^(1/12))*Assumptions!$G$40)*MAX(0,H13*Assumptions!$G$27-G29)</f>
        <v>0</v>
      </c>
      <c r="I29" s="26" t="n">
        <f aca="false">H29*(1-Assumptions!$G$41)+I17*((1-(1-Assumptions!$G$32)^(1/12))*Assumptions!$G$40)*MAX(0,I13*Assumptions!$G$27-H29)</f>
        <v>0</v>
      </c>
      <c r="J29" s="26" t="n">
        <f aca="false">I29*(1-Assumptions!$G$41)+J17*((1-(1-Assumptions!$G$32)^(1/12))*Assumptions!$G$40)*MAX(0,J13*Assumptions!$G$27-I29)</f>
        <v>0</v>
      </c>
      <c r="K29" s="26" t="n">
        <f aca="false">J29*(1-Assumptions!$G$41)+K17*((1-(1-Assumptions!$G$32)^(1/12))*Assumptions!$G$40)*MAX(0,K13*Assumptions!$G$27-J29)</f>
        <v>0</v>
      </c>
      <c r="L29" s="26" t="n">
        <f aca="false">K29*(1-Assumptions!$G$41)+L17*((1-(1-Assumptions!$G$32)^(1/12))*Assumptions!$G$40)*MAX(0,L13*Assumptions!$G$27-K29)</f>
        <v>0</v>
      </c>
      <c r="M29" s="26" t="n">
        <f aca="false">L29*(1-Assumptions!$G$41)+M17*((1-(1-Assumptions!$G$32)^(1/12))*Assumptions!$G$40)*MAX(0,M13*Assumptions!$G$27-L29)</f>
        <v>0</v>
      </c>
      <c r="N29" s="26" t="n">
        <f aca="false">M29*(1-Assumptions!$G$41)+N17*((1-(1-Assumptions!$G$32)^(1/12))*Assumptions!$G$40)*MAX(0,N13*Assumptions!$G$27-M29)</f>
        <v>0</v>
      </c>
      <c r="O29" s="26" t="n">
        <f aca="false">N29*(1-Assumptions!$G$41)+O17*((1-(1-Assumptions!$G$32)^(1/12))*Assumptions!$G$40)*MAX(0,O13*Assumptions!$G$27-N29)</f>
        <v>0</v>
      </c>
      <c r="P29" s="26" t="n">
        <f aca="false">O29*(1-Assumptions!$G$41)+P17*((1-(1-Assumptions!$G$32)^(1/12))*Assumptions!$G$40)*MAX(0,P13*Assumptions!$G$27-O29)</f>
        <v>0</v>
      </c>
      <c r="Q29" s="26" t="n">
        <f aca="false">P29*(1-Assumptions!$G$41)+Q17*((1-(1-Assumptions!$G$32)^(1/12))*Assumptions!$G$40)*MAX(0,Q13*Assumptions!$G$27-P29)</f>
        <v>0</v>
      </c>
      <c r="R29" s="26" t="n">
        <f aca="false">Q29*(1-Assumptions!$G$41)+R17*((1-(1-Assumptions!$G$32)^(1/12))*Assumptions!$G$40)*MAX(0,R13*Assumptions!$G$27-Q29)</f>
        <v>0</v>
      </c>
      <c r="S29" s="26" t="n">
        <f aca="false">R29*(1-Assumptions!$G$41)+S17*((1-(1-Assumptions!$G$32)^(1/12))*Assumptions!$G$40)*MAX(0,S13*Assumptions!$G$27-R29)</f>
        <v>0</v>
      </c>
      <c r="T29" s="26" t="n">
        <f aca="false">S29*(1-Assumptions!$G$41)+T17*((1-(1-Assumptions!$G$32)^(1/12))*Assumptions!$G$40)*MAX(0,T13*Assumptions!$G$27-S29)</f>
        <v>2.08068357743637</v>
      </c>
      <c r="U29" s="26" t="n">
        <f aca="false">T29*(1-Assumptions!$G$41)+U17*((1-(1-Assumptions!$G$32)^(1/12))*Assumptions!$G$40)*MAX(0,U13*Assumptions!$G$27-T29)</f>
        <v>4.22154438321935</v>
      </c>
      <c r="V29" s="26" t="n">
        <f aca="false">U29*(1-Assumptions!$G$41)+V17*((1-(1-Assumptions!$G$32)^(1/12))*Assumptions!$G$40)*MAX(0,V13*Assumptions!$G$27-U29)</f>
        <v>6.41775123323297</v>
      </c>
      <c r="W29" s="26" t="n">
        <f aca="false">V29*(1-Assumptions!$G$41)+W17*((1-(1-Assumptions!$G$32)^(1/12))*Assumptions!$G$40)*MAX(0,W13*Assumptions!$G$27-V29)</f>
        <v>8.74099477554268</v>
      </c>
      <c r="X29" s="26" t="n">
        <f aca="false">W29*(1-Assumptions!$G$41)+X17*((1-(1-Assumptions!$G$32)^(1/12))*Assumptions!$G$40)*MAX(0,X13*Assumptions!$G$27-W29)</f>
        <v>11.1705356068079</v>
      </c>
      <c r="Y29" s="26" t="n">
        <f aca="false">X29*(1-Assumptions!$G$41)+Y17*((1-(1-Assumptions!$G$32)^(1/12))*Assumptions!$G$40)*MAX(0,Y13*Assumptions!$G$27-X29)</f>
        <v>13.6754152386458</v>
      </c>
      <c r="Z29" s="26" t="n">
        <f aca="false">Y29*(1-Assumptions!$G$41)+Z17*((1-(1-Assumptions!$G$32)^(1/12))*Assumptions!$G$40)*MAX(0,Z13*Assumptions!$G$27-Y29)</f>
        <v>16.3098508486086</v>
      </c>
      <c r="AA29" s="26" t="n">
        <f aca="false">Z29*(1-Assumptions!$G$41)+AA17*((1-(1-Assumptions!$G$32)^(1/12))*Assumptions!$G$40)*MAX(0,AA13*Assumptions!$G$27-Z29)</f>
        <v>19.0403993773218</v>
      </c>
      <c r="AB29" s="26" t="n">
        <f aca="false">AA29*(1-Assumptions!$G$41)+AB17*((1-(1-Assumptions!$G$32)^(1/12))*Assumptions!$G$40)*MAX(0,AB13*Assumptions!$G$27-AA29)</f>
        <v>21.8337956079474</v>
      </c>
      <c r="AC29" s="26" t="n">
        <f aca="false">AB29*(1-Assumptions!$G$41)+AC17*((1-(1-Assumptions!$G$32)^(1/12))*Assumptions!$G$40)*MAX(0,AC13*Assumptions!$G$27-AB29)</f>
        <v>24.7330581287936</v>
      </c>
      <c r="AD29" s="26" t="n">
        <f aca="false">AC29*(1-Assumptions!$G$41)+AD17*((1-(1-Assumptions!$G$32)^(1/12))*Assumptions!$G$40)*MAX(0,AD13*Assumptions!$G$27-AC29)</f>
        <v>27.7829429042791</v>
      </c>
      <c r="AE29" s="26" t="n">
        <f aca="false">AD29*(1-Assumptions!$G$41)+AE17*((1-(1-Assumptions!$G$32)^(1/12))*Assumptions!$G$40)*MAX(0,AE13*Assumptions!$G$27-AD29)</f>
        <v>30.9323313252482</v>
      </c>
      <c r="AF29" s="26" t="n">
        <f aca="false">AE29*(1-Assumptions!$G$41)+AF17*((1-(1-Assumptions!$G$32)^(1/12))*Assumptions!$G$40)*MAX(0,AF13*Assumptions!$G$27-AE29)</f>
        <v>34.1989903343536</v>
      </c>
      <c r="AG29" s="26" t="n">
        <f aca="false">AF29*(1-Assumptions!$G$41)+AG17*((1-(1-Assumptions!$G$32)^(1/12))*Assumptions!$G$40)*MAX(0,AG13*Assumptions!$G$27-AF29)</f>
        <v>37.6109991845407</v>
      </c>
      <c r="AH29" s="26" t="n">
        <f aca="false">AG29*(1-Assumptions!$G$41)+AH17*((1-(1-Assumptions!$G$32)^(1/12))*Assumptions!$G$40)*MAX(0,AH13*Assumptions!$G$27-AG29)</f>
        <v>41.1052605586091</v>
      </c>
      <c r="AI29" s="26" t="n">
        <f aca="false">AH29*(1-Assumptions!$G$41)+AI17*((1-(1-Assumptions!$G$32)^(1/12))*Assumptions!$G$40)*MAX(0,AI13*Assumptions!$G$27-AH29)</f>
        <v>44.6948505124542</v>
      </c>
      <c r="AJ29" s="26" t="n">
        <f aca="false">AI29*(1-Assumptions!$G$41)+AJ17*((1-(1-Assumptions!$G$32)^(1/12))*Assumptions!$G$40)*MAX(0,AJ13*Assumptions!$G$27-AI29)</f>
        <v>48.3975536074797</v>
      </c>
      <c r="AK29" s="26" t="n">
        <f aca="false">AJ29*(1-Assumptions!$G$41)+AK17*((1-(1-Assumptions!$G$32)^(1/12))*Assumptions!$G$40)*MAX(0,AK13*Assumptions!$G$27-AJ29)</f>
        <v>52.2292937180109</v>
      </c>
      <c r="AL29" s="26" t="n">
        <f aca="false">AK29*(1-Assumptions!$G$41)+AL17*((1-(1-Assumptions!$G$32)^(1/12))*Assumptions!$G$40)*MAX(0,AL13*Assumptions!$G$27-AK29)</f>
        <v>56.1890850381649</v>
      </c>
      <c r="AM29" s="26" t="n">
        <f aca="false">AL29*(1-Assumptions!$G$41)+AM17*((1-(1-Assumptions!$G$32)^(1/12))*Assumptions!$G$40)*MAX(0,AM13*Assumptions!$G$27-AL29)</f>
        <v>60.2667930259272</v>
      </c>
      <c r="AN29" s="37" t="n">
        <f aca="false">AM29*(1-Assumptions!$G$41)+AN17*((1-(1-Assumptions!$G$32)^(1/12))*Assumptions!$G$40)*MAX(0,AN13*Assumptions!$G$27-AM29)</f>
        <v>64.4623109043079</v>
      </c>
      <c r="AO29" s="37" t="n">
        <f aca="false">AN29*(1-Assumptions!$G$41)+AO17*((1-(1-Assumptions!$G$32)^(1/12))*Assumptions!$G$40)*MAX(0,AO13*Assumptions!$G$27-AN29)</f>
        <v>68.7632616645683</v>
      </c>
      <c r="AP29" s="37" t="n">
        <f aca="false">AO29*(1-Assumptions!$G$41)+AP17*((1-(1-Assumptions!$G$32)^(1/12))*Assumptions!$G$40)*MAX(0,AP13*Assumptions!$G$27-AO29)</f>
        <v>73.158397839404</v>
      </c>
      <c r="AQ29" s="37" t="n">
        <f aca="false">AP29*(1-Assumptions!$G$41)+AQ17*((1-(1-Assumptions!$G$32)^(1/12))*Assumptions!$G$40)*MAX(0,AQ13*Assumptions!$G$27-AP29)</f>
        <v>77.6374998794528</v>
      </c>
      <c r="AR29" s="37" t="n">
        <f aca="false">AQ29*(1-Assumptions!$G$41)+AR17*((1-(1-Assumptions!$G$32)^(1/12))*Assumptions!$G$40)*MAX(0,AR13*Assumptions!$G$27-AQ29)</f>
        <v>82.1912836583792</v>
      </c>
      <c r="AS29" s="37" t="n">
        <f aca="false">AR29*(1-Assumptions!$G$41)+AS17*((1-(1-Assumptions!$G$32)^(1/12))*Assumptions!$G$40)*MAX(0,AS13*Assumptions!$G$27-AR29)</f>
        <v>86.8113162866839</v>
      </c>
      <c r="AT29" s="37" t="n">
        <f aca="false">AS29*(1-Assumptions!$G$41)+AT17*((1-(1-Assumptions!$G$32)^(1/12))*Assumptions!$G$40)*MAX(0,AT13*Assumptions!$G$27-AS29)</f>
        <v>91.486895740899</v>
      </c>
      <c r="AU29" s="37" t="n">
        <f aca="false">AT29*(1-Assumptions!$G$41)+AU17*((1-(1-Assumptions!$G$32)^(1/12))*Assumptions!$G$40)*MAX(0,AU13*Assumptions!$G$27-AT29)</f>
        <v>96.2113724130825</v>
      </c>
      <c r="AV29" s="37" t="n">
        <f aca="false">AU29*(1-Assumptions!$G$41)+AV17*((1-(1-Assumptions!$G$32)^(1/12))*Assumptions!$G$40)*MAX(0,AV13*Assumptions!$G$27-AU29)</f>
        <v>100.978710504563</v>
      </c>
      <c r="AW29" s="37" t="n">
        <f aca="false">AV29*(1-Assumptions!$G$41)+AW17*((1-(1-Assumptions!$G$32)^(1/12))*Assumptions!$G$40)*MAX(0,AW13*Assumptions!$G$27-AV29)</f>
        <v>105.780388986667</v>
      </c>
      <c r="AX29" s="37" t="n">
        <f aca="false">AW29*(1-Assumptions!$G$41)+AX17*((1-(1-Assumptions!$G$32)^(1/12))*Assumptions!$G$40)*MAX(0,AX13*Assumptions!$G$27-AW29)</f>
        <v>110.611742565885</v>
      </c>
      <c r="AY29" s="37" t="n">
        <f aca="false">AX29*(1-Assumptions!$G$41)+AY17*((1-(1-Assumptions!$G$32)^(1/12))*Assumptions!$G$40)*MAX(0,AY13*Assumptions!$G$27-AX29)</f>
        <v>115.468540749489</v>
      </c>
      <c r="AZ29" s="37" t="n">
        <f aca="false">AY29*(1-Assumptions!$G$41)+AZ17*((1-(1-Assumptions!$G$32)^(1/12))*Assumptions!$G$40)*MAX(0,AZ13*Assumptions!$G$27-AY29)</f>
        <v>120.343904890944</v>
      </c>
      <c r="BA29" s="37" t="n">
        <f aca="false">AZ29*(1-Assumptions!$G$41)+BA17*((1-(1-Assumptions!$G$32)^(1/12))*Assumptions!$G$40)*MAX(0,BA13*Assumptions!$G$27-AZ29)</f>
        <v>125.231620048004</v>
      </c>
      <c r="BB29" s="37" t="n">
        <f aca="false">BA29*(1-Assumptions!$G$41)+BB17*((1-(1-Assumptions!$G$32)^(1/12))*Assumptions!$G$40)*MAX(0,BB13*Assumptions!$G$27-BA29)</f>
        <v>130.12911866336</v>
      </c>
      <c r="BC29" s="37" t="n">
        <f aca="false">BB29*(1-Assumptions!$G$41)+BC17*((1-(1-Assumptions!$G$32)^(1/12))*Assumptions!$G$40)*MAX(0,BC13*Assumptions!$G$27-BB29)</f>
        <v>135.031034607435</v>
      </c>
      <c r="BD29" s="37" t="n">
        <f aca="false">BC29*(1-Assumptions!$G$41)+BD17*((1-(1-Assumptions!$G$32)^(1/12))*Assumptions!$G$40)*MAX(0,BD13*Assumptions!$G$27-BC29)</f>
        <v>139.93252855623</v>
      </c>
      <c r="BE29" s="37" t="n">
        <f aca="false">BD29*(1-Assumptions!$G$41)+BE17*((1-(1-Assumptions!$G$32)^(1/12))*Assumptions!$G$40)*MAX(0,BE13*Assumptions!$G$27-BD29)</f>
        <v>144.832283977413</v>
      </c>
      <c r="BF29" s="37" t="n">
        <f aca="false">BE29*(1-Assumptions!$G$41)+BF17*((1-(1-Assumptions!$G$32)^(1/12))*Assumptions!$G$40)*MAX(0,BF13*Assumptions!$G$27-BE29)</f>
        <v>149.726072373297</v>
      </c>
      <c r="BG29" s="37" t="n">
        <f aca="false">BF29*(1-Assumptions!$G$41)+BG17*((1-(1-Assumptions!$G$32)^(1/12))*Assumptions!$G$40)*MAX(0,BG13*Assumptions!$G$27-BF29)</f>
        <v>154.610088852881</v>
      </c>
      <c r="BH29" s="37" t="n">
        <f aca="false">BG29*(1-Assumptions!$G$41)+BH17*((1-(1-Assumptions!$G$32)^(1/12))*Assumptions!$G$40)*MAX(0,BH13*Assumptions!$G$27-BG29)</f>
        <v>159.480913649372</v>
      </c>
      <c r="BI29" s="37" t="n">
        <f aca="false">BH29*(1-Assumptions!$G$41)+BI17*((1-(1-Assumptions!$G$32)^(1/12))*Assumptions!$G$40)*MAX(0,BI13*Assumptions!$G$27-BH29)</f>
        <v>164.335477098197</v>
      </c>
      <c r="BJ29" s="37" t="n">
        <f aca="false">BI29*(1-Assumptions!$G$41)+BJ17*((1-(1-Assumptions!$G$32)^(1/12))*Assumptions!$G$40)*MAX(0,BJ13*Assumptions!$G$27-BI29)</f>
        <v>169.171027764671</v>
      </c>
      <c r="BK29" s="37" t="n">
        <f aca="false">BJ29*(1-Assumptions!$G$41)+BK17*((1-(1-Assumptions!$G$32)^(1/12))*Assumptions!$G$40)*MAX(0,BK13*Assumptions!$G$27-BJ29)</f>
        <v>173.985103438406</v>
      </c>
    </row>
    <row r="30" customFormat="false" ht="15" hidden="false" customHeight="false" outlineLevel="0" collapsed="false">
      <c r="A30" s="28" t="s">
        <v>577</v>
      </c>
      <c r="B30" s="6" t="s">
        <v>578</v>
      </c>
      <c r="C30" s="36" t="n">
        <v>0</v>
      </c>
      <c r="D30" s="26" t="n">
        <f aca="false">C30*(1-Assumptions!$G$41)+D16*((1-(1-Assumptions!$G$33)^(1/12))*Assumptions!$G$40)*MAX(0,D13*Assumptions!$G$28-C30)</f>
        <v>0</v>
      </c>
      <c r="E30" s="26" t="n">
        <f aca="false">D30*(1-Assumptions!$G$41)+E16*((1-(1-Assumptions!$G$33)^(1/12))*Assumptions!$G$40)*MAX(0,E13*Assumptions!$G$28-D30)</f>
        <v>0</v>
      </c>
      <c r="F30" s="26" t="n">
        <f aca="false">E30*(1-Assumptions!$G$41)+F16*((1-(1-Assumptions!$G$33)^(1/12))*Assumptions!$G$40)*MAX(0,F13*Assumptions!$G$28-E30)</f>
        <v>0</v>
      </c>
      <c r="G30" s="26" t="n">
        <f aca="false">F30*(1-Assumptions!$G$41)+G16*((1-(1-Assumptions!$G$33)^(1/12))*Assumptions!$G$40)*MAX(0,G13*Assumptions!$G$28-F30)</f>
        <v>0</v>
      </c>
      <c r="H30" s="26" t="n">
        <f aca="false">G30*(1-Assumptions!$G$41)+H16*((1-(1-Assumptions!$G$33)^(1/12))*Assumptions!$G$40)*MAX(0,H13*Assumptions!$G$28-G30)</f>
        <v>0</v>
      </c>
      <c r="I30" s="26" t="n">
        <f aca="false">H30*(1-Assumptions!$G$41)+I16*((1-(1-Assumptions!$G$33)^(1/12))*Assumptions!$G$40)*MAX(0,I13*Assumptions!$G$28-H30)</f>
        <v>0</v>
      </c>
      <c r="J30" s="26" t="n">
        <f aca="false">I30*(1-Assumptions!$G$41)+J16*((1-(1-Assumptions!$G$33)^(1/12))*Assumptions!$G$40)*MAX(0,J13*Assumptions!$G$28-I30)</f>
        <v>0</v>
      </c>
      <c r="K30" s="26" t="n">
        <f aca="false">J30*(1-Assumptions!$G$41)+K16*((1-(1-Assumptions!$G$33)^(1/12))*Assumptions!$G$40)*MAX(0,K13*Assumptions!$G$28-J30)</f>
        <v>0</v>
      </c>
      <c r="L30" s="26" t="n">
        <f aca="false">K30*(1-Assumptions!$G$41)+L16*((1-(1-Assumptions!$G$33)^(1/12))*Assumptions!$G$40)*MAX(0,L13*Assumptions!$G$28-K30)</f>
        <v>0</v>
      </c>
      <c r="M30" s="26" t="n">
        <f aca="false">L30*(1-Assumptions!$G$41)+M16*((1-(1-Assumptions!$G$33)^(1/12))*Assumptions!$G$40)*MAX(0,M13*Assumptions!$G$28-L30)</f>
        <v>0</v>
      </c>
      <c r="N30" s="26" t="n">
        <f aca="false">M30*(1-Assumptions!$G$41)+N16*((1-(1-Assumptions!$G$33)^(1/12))*Assumptions!$G$40)*MAX(0,N13*Assumptions!$G$28-M30)</f>
        <v>0</v>
      </c>
      <c r="O30" s="26" t="n">
        <f aca="false">N30*(1-Assumptions!$G$41)+O16*((1-(1-Assumptions!$G$33)^(1/12))*Assumptions!$G$40)*MAX(0,O13*Assumptions!$G$28-N30)</f>
        <v>0</v>
      </c>
      <c r="P30" s="26" t="n">
        <f aca="false">O30*(1-Assumptions!$G$41)+P16*((1-(1-Assumptions!$G$33)^(1/12))*Assumptions!$G$40)*MAX(0,P13*Assumptions!$G$28-O30)</f>
        <v>0</v>
      </c>
      <c r="Q30" s="26" t="n">
        <f aca="false">P30*(1-Assumptions!$G$41)+Q16*((1-(1-Assumptions!$G$33)^(1/12))*Assumptions!$G$40)*MAX(0,Q13*Assumptions!$G$28-P30)</f>
        <v>0</v>
      </c>
      <c r="R30" s="26" t="n">
        <f aca="false">Q30*(1-Assumptions!$G$41)+R16*((1-(1-Assumptions!$G$33)^(1/12))*Assumptions!$G$40)*MAX(0,R13*Assumptions!$G$28-Q30)</f>
        <v>0</v>
      </c>
      <c r="S30" s="26" t="n">
        <f aca="false">R30*(1-Assumptions!$G$41)+S16*((1-(1-Assumptions!$G$33)^(1/12))*Assumptions!$G$40)*MAX(0,S13*Assumptions!$G$28-R30)</f>
        <v>0</v>
      </c>
      <c r="T30" s="26" t="n">
        <f aca="false">S30*(1-Assumptions!$G$41)+T16*((1-(1-Assumptions!$G$33)^(1/12))*Assumptions!$G$40)*MAX(0,T13*Assumptions!$G$28-S30)</f>
        <v>0.812447101901626</v>
      </c>
      <c r="U30" s="26" t="n">
        <f aca="false">T30*(1-Assumptions!$G$41)+U16*((1-(1-Assumptions!$G$33)^(1/12))*Assumptions!$G$40)*MAX(0,U13*Assumptions!$G$28-T30)</f>
        <v>1.66748869596411</v>
      </c>
      <c r="V30" s="26" t="n">
        <f aca="false">U30*(1-Assumptions!$G$41)+V16*((1-(1-Assumptions!$G$33)^(1/12))*Assumptions!$G$40)*MAX(0,V13*Assumptions!$G$28-U30)</f>
        <v>2.56252445239912</v>
      </c>
      <c r="W30" s="26" t="n">
        <f aca="false">V30*(1-Assumptions!$G$41)+W16*((1-(1-Assumptions!$G$33)^(1/12))*Assumptions!$G$40)*MAX(0,W13*Assumptions!$G$28-V30)</f>
        <v>3.52483660854077</v>
      </c>
      <c r="X30" s="26" t="n">
        <f aca="false">W30*(1-Assumptions!$G$41)+X16*((1-(1-Assumptions!$G$33)^(1/12))*Assumptions!$G$40)*MAX(0,X13*Assumptions!$G$28-W30)</f>
        <v>4.54632125433455</v>
      </c>
      <c r="Y30" s="26" t="n">
        <f aca="false">X30*(1-Assumptions!$G$41)+Y16*((1-(1-Assumptions!$G$33)^(1/12))*Assumptions!$G$40)*MAX(0,Y13*Assumptions!$G$28-X30)</f>
        <v>5.61469425219187</v>
      </c>
      <c r="Z30" s="26" t="n">
        <f aca="false">Y30*(1-Assumptions!$G$41)+Z16*((1-(1-Assumptions!$G$33)^(1/12))*Assumptions!$G$40)*MAX(0,Z13*Assumptions!$G$28-Y30)</f>
        <v>6.7506589464397</v>
      </c>
      <c r="AA30" s="26" t="n">
        <f aca="false">Z30*(1-Assumptions!$G$41)+AA16*((1-(1-Assumptions!$G$33)^(1/12))*Assumptions!$G$40)*MAX(0,AA13*Assumptions!$G$28-Z30)</f>
        <v>7.9412184558047</v>
      </c>
      <c r="AB30" s="26" t="n">
        <f aca="false">AA30*(1-Assumptions!$G$41)+AB16*((1-(1-Assumptions!$G$33)^(1/12))*Assumptions!$G$40)*MAX(0,AB13*Assumptions!$G$28-AA30)</f>
        <v>9.17313430386407</v>
      </c>
      <c r="AC30" s="26" t="n">
        <f aca="false">AB30*(1-Assumptions!$G$41)+AC16*((1-(1-Assumptions!$G$33)^(1/12))*Assumptions!$G$40)*MAX(0,AC13*Assumptions!$G$28-AB30)</f>
        <v>10.4626658642128</v>
      </c>
      <c r="AD30" s="26" t="n">
        <f aca="false">AC30*(1-Assumptions!$G$41)+AD16*((1-(1-Assumptions!$G$33)^(1/12))*Assumptions!$G$40)*MAX(0,AD13*Assumptions!$G$28-AC30)</f>
        <v>11.8271814222981</v>
      </c>
      <c r="AE30" s="26" t="n">
        <f aca="false">AD30*(1-Assumptions!$G$41)+AE16*((1-(1-Assumptions!$G$33)^(1/12))*Assumptions!$G$40)*MAX(0,AE13*Assumptions!$G$28-AD30)</f>
        <v>13.2470309171398</v>
      </c>
      <c r="AF30" s="26" t="n">
        <f aca="false">AE30*(1-Assumptions!$G$41)+AF16*((1-(1-Assumptions!$G$33)^(1/12))*Assumptions!$G$40)*MAX(0,AF13*Assumptions!$G$28-AE30)</f>
        <v>14.7289723626042</v>
      </c>
      <c r="AG30" s="26" t="n">
        <f aca="false">AF30*(1-Assumptions!$G$41)+AG16*((1-(1-Assumptions!$G$33)^(1/12))*Assumptions!$G$40)*MAX(0,AG13*Assumptions!$G$28-AF30)</f>
        <v>16.2839654018213</v>
      </c>
      <c r="AH30" s="26" t="n">
        <f aca="false">AG30*(1-Assumptions!$G$41)+AH16*((1-(1-Assumptions!$G$33)^(1/12))*Assumptions!$G$40)*MAX(0,AH13*Assumptions!$G$28-AG30)</f>
        <v>17.8876258656423</v>
      </c>
      <c r="AI30" s="26" t="n">
        <f aca="false">AH30*(1-Assumptions!$G$41)+AI16*((1-(1-Assumptions!$G$33)^(1/12))*Assumptions!$G$40)*MAX(0,AI13*Assumptions!$G$28-AH30)</f>
        <v>19.5447171648316</v>
      </c>
      <c r="AJ30" s="26" t="n">
        <f aca="false">AI30*(1-Assumptions!$G$41)+AJ16*((1-(1-Assumptions!$G$33)^(1/12))*Assumptions!$G$40)*MAX(0,AJ13*Assumptions!$G$28-AI30)</f>
        <v>21.2619839647646</v>
      </c>
      <c r="AK30" s="26" t="n">
        <f aca="false">AJ30*(1-Assumptions!$G$41)+AK16*((1-(1-Assumptions!$G$33)^(1/12))*Assumptions!$G$40)*MAX(0,AK13*Assumptions!$G$28-AJ30)</f>
        <v>23.0456208575891</v>
      </c>
      <c r="AL30" s="26" t="n">
        <f aca="false">AK30*(1-Assumptions!$G$41)+AL16*((1-(1-Assumptions!$G$33)^(1/12))*Assumptions!$G$40)*MAX(0,AL13*Assumptions!$G$28-AK30)</f>
        <v>24.8953673845367</v>
      </c>
      <c r="AM30" s="26" t="n">
        <f aca="false">AL30*(1-Assumptions!$G$41)+AM16*((1-(1-Assumptions!$G$33)^(1/12))*Assumptions!$G$40)*MAX(0,AM13*Assumptions!$G$28-AL30)</f>
        <v>26.80737346762</v>
      </c>
      <c r="AN30" s="37" t="n">
        <f aca="false">AM30*(1-Assumptions!$G$41)+AN16*((1-(1-Assumptions!$G$33)^(1/12))*Assumptions!$G$40)*MAX(0,AN13*Assumptions!$G$28-AM30)</f>
        <v>28.7816044596829</v>
      </c>
      <c r="AO30" s="37" t="n">
        <f aca="false">AN30*(1-Assumptions!$G$41)+AO16*((1-(1-Assumptions!$G$33)^(1/12))*Assumptions!$G$40)*MAX(0,AO13*Assumptions!$G$28-AN30)</f>
        <v>30.8132330937149</v>
      </c>
      <c r="AP30" s="37" t="n">
        <f aca="false">AO30*(1-Assumptions!$G$41)+AP16*((1-(1-Assumptions!$G$33)^(1/12))*Assumptions!$G$40)*MAX(0,AP13*Assumptions!$G$28-AO30)</f>
        <v>32.8977591857502</v>
      </c>
      <c r="AQ30" s="37" t="n">
        <f aca="false">AP30*(1-Assumptions!$G$41)+AQ16*((1-(1-Assumptions!$G$33)^(1/12))*Assumptions!$G$40)*MAX(0,AQ13*Assumptions!$G$28-AP30)</f>
        <v>35.0309878777368</v>
      </c>
      <c r="AR30" s="37" t="n">
        <f aca="false">AQ30*(1-Assumptions!$G$41)+AR16*((1-(1-Assumptions!$G$33)^(1/12))*Assumptions!$G$40)*MAX(0,AR13*Assumptions!$G$28-AQ30)</f>
        <v>37.2090093236961</v>
      </c>
      <c r="AS30" s="37" t="n">
        <f aca="false">AR30*(1-Assumptions!$G$41)+AS16*((1-(1-Assumptions!$G$33)^(1/12))*Assumptions!$G$40)*MAX(0,AS13*Assumptions!$G$28-AR30)</f>
        <v>39.4281797234707</v>
      </c>
      <c r="AT30" s="37" t="n">
        <f aca="false">AS30*(1-Assumptions!$G$41)+AT16*((1-(1-Assumptions!$G$33)^(1/12))*Assumptions!$G$40)*MAX(0,AT13*Assumptions!$G$28-AS30)</f>
        <v>41.6839151189827</v>
      </c>
      <c r="AU30" s="37" t="n">
        <f aca="false">AT30*(1-Assumptions!$G$41)+AU16*((1-(1-Assumptions!$G$33)^(1/12))*Assumptions!$G$40)*MAX(0,AU13*Assumptions!$G$28-AT30)</f>
        <v>43.9731425396673</v>
      </c>
      <c r="AV30" s="37" t="n">
        <f aca="false">AU30*(1-Assumptions!$G$41)+AV16*((1-(1-Assumptions!$G$33)^(1/12))*Assumptions!$G$40)*MAX(0,AV13*Assumptions!$G$28-AU30)</f>
        <v>46.2929992514087</v>
      </c>
      <c r="AW30" s="37" t="n">
        <f aca="false">AV30*(1-Assumptions!$G$41)+AW16*((1-(1-Assumptions!$G$33)^(1/12))*Assumptions!$G$40)*MAX(0,AW13*Assumptions!$G$28-AV30)</f>
        <v>48.6396302564051</v>
      </c>
      <c r="AX30" s="37" t="n">
        <f aca="false">AW30*(1-Assumptions!$G$41)+AX16*((1-(1-Assumptions!$G$33)^(1/12))*Assumptions!$G$40)*MAX(0,AX13*Assumptions!$G$28-AW30)</f>
        <v>51.0106428966115</v>
      </c>
      <c r="AY30" s="37" t="n">
        <f aca="false">AX30*(1-Assumptions!$G$41)+AY16*((1-(1-Assumptions!$G$33)^(1/12))*Assumptions!$G$40)*MAX(0,AY13*Assumptions!$G$28-AX30)</f>
        <v>53.4038093313728</v>
      </c>
      <c r="AZ30" s="37" t="n">
        <f aca="false">AY30*(1-Assumptions!$G$41)+AZ16*((1-(1-Assumptions!$G$33)^(1/12))*Assumptions!$G$40)*MAX(0,AZ13*Assumptions!$G$28-AY30)</f>
        <v>55.8158670518781</v>
      </c>
      <c r="BA30" s="37" t="n">
        <f aca="false">AZ30*(1-Assumptions!$G$41)+BA16*((1-(1-Assumptions!$G$33)^(1/12))*Assumptions!$G$40)*MAX(0,BA13*Assumptions!$G$28-AZ30)</f>
        <v>58.2437878035636</v>
      </c>
      <c r="BB30" s="37" t="n">
        <f aca="false">BA30*(1-Assumptions!$G$41)+BB16*((1-(1-Assumptions!$G$33)^(1/12))*Assumptions!$G$40)*MAX(0,BB13*Assumptions!$G$28-BA30)</f>
        <v>60.685950370427</v>
      </c>
      <c r="BC30" s="37" t="n">
        <f aca="false">BB30*(1-Assumptions!$G$41)+BC16*((1-(1-Assumptions!$G$33)^(1/12))*Assumptions!$G$40)*MAX(0,BC13*Assumptions!$G$28-BB30)</f>
        <v>63.1396582284906</v>
      </c>
      <c r="BD30" s="37" t="n">
        <f aca="false">BC30*(1-Assumptions!$G$41)+BD16*((1-(1-Assumptions!$G$33)^(1/12))*Assumptions!$G$40)*MAX(0,BD13*Assumptions!$G$28-BC30)</f>
        <v>65.6024111669755</v>
      </c>
      <c r="BE30" s="37" t="n">
        <f aca="false">BD30*(1-Assumptions!$G$41)+BE16*((1-(1-Assumptions!$G$33)^(1/12))*Assumptions!$G$40)*MAX(0,BE13*Assumptions!$G$28-BD30)</f>
        <v>68.0730805924058</v>
      </c>
      <c r="BF30" s="37" t="n">
        <f aca="false">BE30*(1-Assumptions!$G$41)+BF16*((1-(1-Assumptions!$G$33)^(1/12))*Assumptions!$G$40)*MAX(0,BF13*Assumptions!$G$28-BE30)</f>
        <v>70.5494295347479</v>
      </c>
      <c r="BG30" s="37" t="n">
        <f aca="false">BF30*(1-Assumptions!$G$41)+BG16*((1-(1-Assumptions!$G$33)^(1/12))*Assumptions!$G$40)*MAX(0,BG13*Assumptions!$G$28-BF30)</f>
        <v>73.0293864652263</v>
      </c>
      <c r="BH30" s="37" t="n">
        <f aca="false">BG30*(1-Assumptions!$G$41)+BH16*((1-(1-Assumptions!$G$33)^(1/12))*Assumptions!$G$40)*MAX(0,BH13*Assumptions!$G$28-BG30)</f>
        <v>75.5110341556657</v>
      </c>
      <c r="BI30" s="37" t="n">
        <f aca="false">BH30*(1-Assumptions!$G$41)+BI16*((1-(1-Assumptions!$G$33)^(1/12))*Assumptions!$G$40)*MAX(0,BI13*Assumptions!$G$28-BH30)</f>
        <v>77.9925992782166</v>
      </c>
      <c r="BJ30" s="37" t="n">
        <f aca="false">BI30*(1-Assumptions!$G$41)+BJ16*((1-(1-Assumptions!$G$33)^(1/12))*Assumptions!$G$40)*MAX(0,BJ13*Assumptions!$G$28-BI30)</f>
        <v>80.4724426963581</v>
      </c>
      <c r="BK30" s="37" t="n">
        <f aca="false">BJ30*(1-Assumptions!$G$41)+BK16*((1-(1-Assumptions!$G$33)^(1/12))*Assumptions!$G$40)*MAX(0,BK13*Assumptions!$G$28-BJ30)</f>
        <v>82.9490504013262</v>
      </c>
    </row>
    <row r="31" customFormat="false" ht="15" hidden="false" customHeight="false" outlineLevel="0" collapsed="false">
      <c r="A31" s="28" t="s">
        <v>579</v>
      </c>
      <c r="B31" s="6" t="s">
        <v>580</v>
      </c>
      <c r="C31" s="36" t="n">
        <v>0</v>
      </c>
      <c r="D31" s="26" t="n">
        <f aca="false">C31*(1-Assumptions!$G$41)+D16*((1-(1-Assumptions!$G$34)^(1/12))*Assumptions!$G$40)*MAX(0,D13*Assumptions!$G$29-C31)</f>
        <v>0</v>
      </c>
      <c r="E31" s="26" t="n">
        <f aca="false">D31*(1-Assumptions!$G$41)+E16*((1-(1-Assumptions!$G$34)^(1/12))*Assumptions!$G$40)*MAX(0,E13*Assumptions!$G$29-D31)</f>
        <v>0</v>
      </c>
      <c r="F31" s="26" t="n">
        <f aca="false">E31*(1-Assumptions!$G$41)+F16*((1-(1-Assumptions!$G$34)^(1/12))*Assumptions!$G$40)*MAX(0,F13*Assumptions!$G$29-E31)</f>
        <v>0</v>
      </c>
      <c r="G31" s="26" t="n">
        <f aca="false">F31*(1-Assumptions!$G$41)+G16*((1-(1-Assumptions!$G$34)^(1/12))*Assumptions!$G$40)*MAX(0,G13*Assumptions!$G$29-F31)</f>
        <v>0</v>
      </c>
      <c r="H31" s="26" t="n">
        <f aca="false">G31*(1-Assumptions!$G$41)+H16*((1-(1-Assumptions!$G$34)^(1/12))*Assumptions!$G$40)*MAX(0,H13*Assumptions!$G$29-G31)</f>
        <v>0</v>
      </c>
      <c r="I31" s="26" t="n">
        <f aca="false">H31*(1-Assumptions!$G$41)+I16*((1-(1-Assumptions!$G$34)^(1/12))*Assumptions!$G$40)*MAX(0,I13*Assumptions!$G$29-H31)</f>
        <v>0</v>
      </c>
      <c r="J31" s="26" t="n">
        <f aca="false">I31*(1-Assumptions!$G$41)+J16*((1-(1-Assumptions!$G$34)^(1/12))*Assumptions!$G$40)*MAX(0,J13*Assumptions!$G$29-I31)</f>
        <v>0</v>
      </c>
      <c r="K31" s="26" t="n">
        <f aca="false">J31*(1-Assumptions!$G$41)+K16*((1-(1-Assumptions!$G$34)^(1/12))*Assumptions!$G$40)*MAX(0,K13*Assumptions!$G$29-J31)</f>
        <v>0</v>
      </c>
      <c r="L31" s="26" t="n">
        <f aca="false">K31*(1-Assumptions!$G$41)+L16*((1-(1-Assumptions!$G$34)^(1/12))*Assumptions!$G$40)*MAX(0,L13*Assumptions!$G$29-K31)</f>
        <v>0</v>
      </c>
      <c r="M31" s="26" t="n">
        <f aca="false">L31*(1-Assumptions!$G$41)+M16*((1-(1-Assumptions!$G$34)^(1/12))*Assumptions!$G$40)*MAX(0,M13*Assumptions!$G$29-L31)</f>
        <v>0</v>
      </c>
      <c r="N31" s="26" t="n">
        <f aca="false">M31*(1-Assumptions!$G$41)+N16*((1-(1-Assumptions!$G$34)^(1/12))*Assumptions!$G$40)*MAX(0,N13*Assumptions!$G$29-M31)</f>
        <v>0</v>
      </c>
      <c r="O31" s="26" t="n">
        <f aca="false">N31*(1-Assumptions!$G$41)+O16*((1-(1-Assumptions!$G$34)^(1/12))*Assumptions!$G$40)*MAX(0,O13*Assumptions!$G$29-N31)</f>
        <v>0</v>
      </c>
      <c r="P31" s="26" t="n">
        <f aca="false">O31*(1-Assumptions!$G$41)+P16*((1-(1-Assumptions!$G$34)^(1/12))*Assumptions!$G$40)*MAX(0,P13*Assumptions!$G$29-O31)</f>
        <v>0</v>
      </c>
      <c r="Q31" s="26" t="n">
        <f aca="false">P31*(1-Assumptions!$G$41)+Q16*((1-(1-Assumptions!$G$34)^(1/12))*Assumptions!$G$40)*MAX(0,Q13*Assumptions!$G$29-P31)</f>
        <v>0</v>
      </c>
      <c r="R31" s="26" t="n">
        <f aca="false">Q31*(1-Assumptions!$G$41)+R16*((1-(1-Assumptions!$G$34)^(1/12))*Assumptions!$G$40)*MAX(0,R13*Assumptions!$G$29-Q31)</f>
        <v>0</v>
      </c>
      <c r="S31" s="26" t="n">
        <f aca="false">R31*(1-Assumptions!$G$41)+S16*((1-(1-Assumptions!$G$34)^(1/12))*Assumptions!$G$40)*MAX(0,S13*Assumptions!$G$29-R31)</f>
        <v>0</v>
      </c>
      <c r="T31" s="26" t="n">
        <f aca="false">S31*(1-Assumptions!$G$41)+T16*((1-(1-Assumptions!$G$34)^(1/12))*Assumptions!$G$40)*MAX(0,T13*Assumptions!$G$29-S31)</f>
        <v>0.149702574565083</v>
      </c>
      <c r="U31" s="26" t="n">
        <f aca="false">T31*(1-Assumptions!$G$41)+U16*((1-(1-Assumptions!$G$34)^(1/12))*Assumptions!$G$40)*MAX(0,U13*Assumptions!$G$29-T31)</f>
        <v>0.311998800150367</v>
      </c>
      <c r="V31" s="26" t="n">
        <f aca="false">U31*(1-Assumptions!$G$41)+V16*((1-(1-Assumptions!$G$34)^(1/12))*Assumptions!$G$40)*MAX(0,V13*Assumptions!$G$29-U31)</f>
        <v>0.486494096135152</v>
      </c>
      <c r="W31" s="26" t="n">
        <f aca="false">V31*(1-Assumptions!$G$41)+W16*((1-(1-Assumptions!$G$34)^(1/12))*Assumptions!$G$40)*MAX(0,W13*Assumptions!$G$29-V31)</f>
        <v>0.67828196942301</v>
      </c>
      <c r="X31" s="26" t="n">
        <f aca="false">W31*(1-Assumptions!$G$41)+X16*((1-(1-Assumptions!$G$34)^(1/12))*Assumptions!$G$40)*MAX(0,X13*Assumptions!$G$29-W31)</f>
        <v>0.886092672356616</v>
      </c>
      <c r="Y31" s="26" t="n">
        <f aca="false">X31*(1-Assumptions!$G$41)+Y16*((1-(1-Assumptions!$G$34)^(1/12))*Assumptions!$G$40)*MAX(0,Y13*Assumptions!$G$29-X31)</f>
        <v>1.10783113745947</v>
      </c>
      <c r="Z31" s="26" t="n">
        <f aca="false">Y31*(1-Assumptions!$G$41)+Z16*((1-(1-Assumptions!$G$34)^(1/12))*Assumptions!$G$40)*MAX(0,Z13*Assumptions!$G$29-Y31)</f>
        <v>1.34740303945652</v>
      </c>
      <c r="AA31" s="26" t="n">
        <f aca="false">Z31*(1-Assumptions!$G$41)+AA16*((1-(1-Assumptions!$G$34)^(1/12))*Assumptions!$G$40)*MAX(0,AA13*Assumptions!$G$29-Z31)</f>
        <v>1.60262217983562</v>
      </c>
      <c r="AB31" s="26" t="n">
        <f aca="false">AA31*(1-Assumptions!$G$41)+AB16*((1-(1-Assumptions!$G$34)^(1/12))*Assumptions!$G$40)*MAX(0,AB13*Assumptions!$G$29-AA31)</f>
        <v>1.87117471469892</v>
      </c>
      <c r="AC31" s="26" t="n">
        <f aca="false">AB31*(1-Assumptions!$G$41)+AC16*((1-(1-Assumptions!$G$34)^(1/12))*Assumptions!$G$40)*MAX(0,AC13*Assumptions!$G$29-AB31)</f>
        <v>2.15610044995392</v>
      </c>
      <c r="AD31" s="26" t="n">
        <f aca="false">AC31*(1-Assumptions!$G$41)+AD16*((1-(1-Assumptions!$G$34)^(1/12))*Assumptions!$G$40)*MAX(0,AD13*Assumptions!$G$29-AC31)</f>
        <v>2.46073696775929</v>
      </c>
      <c r="AE31" s="26" t="n">
        <f aca="false">AD31*(1-Assumptions!$G$41)+AE16*((1-(1-Assumptions!$G$34)^(1/12))*Assumptions!$G$40)*MAX(0,AE13*Assumptions!$G$29-AD31)</f>
        <v>2.78169749035425</v>
      </c>
      <c r="AF31" s="26" t="n">
        <f aca="false">AE31*(1-Assumptions!$G$41)+AF16*((1-(1-Assumptions!$G$34)^(1/12))*Assumptions!$G$40)*MAX(0,AF13*Assumptions!$G$29-AE31)</f>
        <v>3.12033836264304</v>
      </c>
      <c r="AG31" s="26" t="n">
        <f aca="false">AF31*(1-Assumptions!$G$41)+AG16*((1-(1-Assumptions!$G$34)^(1/12))*Assumptions!$G$40)*MAX(0,AG13*Assumptions!$G$29-AF31)</f>
        <v>3.47882575275962</v>
      </c>
      <c r="AH31" s="26" t="n">
        <f aca="false">AG31*(1-Assumptions!$G$41)+AH16*((1-(1-Assumptions!$G$34)^(1/12))*Assumptions!$G$40)*MAX(0,AH13*Assumptions!$G$29-AG31)</f>
        <v>3.85287226375941</v>
      </c>
      <c r="AI31" s="26" t="n">
        <f aca="false">AH31*(1-Assumptions!$G$41)+AI16*((1-(1-Assumptions!$G$34)^(1/12))*Assumptions!$G$40)*MAX(0,AI13*Assumptions!$G$29-AH31)</f>
        <v>4.24341173600407</v>
      </c>
      <c r="AJ31" s="26" t="n">
        <f aca="false">AI31*(1-Assumptions!$G$41)+AJ16*((1-(1-Assumptions!$G$34)^(1/12))*Assumptions!$G$40)*MAX(0,AJ13*Assumptions!$G$29-AI31)</f>
        <v>4.65176895692765</v>
      </c>
      <c r="AK31" s="26" t="n">
        <f aca="false">AJ31*(1-Assumptions!$G$41)+AK16*((1-(1-Assumptions!$G$34)^(1/12))*Assumptions!$G$40)*MAX(0,AK13*Assumptions!$G$29-AJ31)</f>
        <v>5.07920391125664</v>
      </c>
      <c r="AL31" s="26" t="n">
        <f aca="false">AK31*(1-Assumptions!$G$41)+AL16*((1-(1-Assumptions!$G$34)^(1/12))*Assumptions!$G$40)*MAX(0,AL13*Assumptions!$G$29-AK31)</f>
        <v>5.52581924425869</v>
      </c>
      <c r="AM31" s="26" t="n">
        <f aca="false">AL31*(1-Assumptions!$G$41)+AM16*((1-(1-Assumptions!$G$34)^(1/12))*Assumptions!$G$40)*MAX(0,AM13*Assumptions!$G$29-AL31)</f>
        <v>5.99104943886834</v>
      </c>
      <c r="AN31" s="37" t="n">
        <f aca="false">AM31*(1-Assumptions!$G$41)+AN16*((1-(1-Assumptions!$G$34)^(1/12))*Assumptions!$G$40)*MAX(0,AN13*Assumptions!$G$29-AM31)</f>
        <v>6.47500454770121</v>
      </c>
      <c r="AO31" s="37" t="n">
        <f aca="false">AN31*(1-Assumptions!$G$41)+AO16*((1-(1-Assumptions!$G$34)^(1/12))*Assumptions!$G$40)*MAX(0,AO13*Assumptions!$G$29-AN31)</f>
        <v>6.9769072970173</v>
      </c>
      <c r="AP31" s="37" t="n">
        <f aca="false">AO31*(1-Assumptions!$G$41)+AP16*((1-(1-Assumptions!$G$34)^(1/12))*Assumptions!$G$40)*MAX(0,AP13*Assumptions!$G$29-AO31)</f>
        <v>7.49600860487266</v>
      </c>
      <c r="AQ31" s="37" t="n">
        <f aca="false">AP31*(1-Assumptions!$G$41)+AQ16*((1-(1-Assumptions!$G$34)^(1/12))*Assumptions!$G$40)*MAX(0,AQ13*Assumptions!$G$29-AP31)</f>
        <v>8.03158659255637</v>
      </c>
      <c r="AR31" s="37" t="n">
        <f aca="false">AQ31*(1-Assumptions!$G$41)+AR16*((1-(1-Assumptions!$G$34)^(1/12))*Assumptions!$G$40)*MAX(0,AR13*Assumptions!$G$29-AQ31)</f>
        <v>8.58294563036818</v>
      </c>
      <c r="AS31" s="37" t="n">
        <f aca="false">AR31*(1-Assumptions!$G$41)+AS16*((1-(1-Assumptions!$G$34)^(1/12))*Assumptions!$G$40)*MAX(0,AS13*Assumptions!$G$29-AR31)</f>
        <v>9.1494154165469</v>
      </c>
      <c r="AT31" s="37" t="n">
        <f aca="false">AS31*(1-Assumptions!$G$41)+AT16*((1-(1-Assumptions!$G$34)^(1/12))*Assumptions!$G$40)*MAX(0,AT13*Assumptions!$G$29-AS31)</f>
        <v>9.73013109441256</v>
      </c>
      <c r="AU31" s="37" t="n">
        <f aca="false">AT31*(1-Assumptions!$G$41)+AU16*((1-(1-Assumptions!$G$34)^(1/12))*Assumptions!$G$40)*MAX(0,AU13*Assumptions!$G$29-AT31)</f>
        <v>10.3244801504527</v>
      </c>
      <c r="AV31" s="37" t="n">
        <f aca="false">AU31*(1-Assumptions!$G$41)+AV16*((1-(1-Assumptions!$G$34)^(1/12))*Assumptions!$G$40)*MAX(0,AV13*Assumptions!$G$29-AU31)</f>
        <v>10.9318724635311</v>
      </c>
      <c r="AW31" s="37" t="n">
        <f aca="false">AV31*(1-Assumptions!$G$41)+AW16*((1-(1-Assumptions!$G$34)^(1/12))*Assumptions!$G$40)*MAX(0,AW13*Assumptions!$G$29-AV31)</f>
        <v>11.5515205242126</v>
      </c>
      <c r="AX31" s="37" t="n">
        <f aca="false">AW31*(1-Assumptions!$G$41)+AX16*((1-(1-Assumptions!$G$34)^(1/12))*Assumptions!$G$40)*MAX(0,AX13*Assumptions!$G$29-AW31)</f>
        <v>12.1828864314904</v>
      </c>
      <c r="AY31" s="37" t="n">
        <f aca="false">AX31*(1-Assumptions!$G$41)+AY16*((1-(1-Assumptions!$G$34)^(1/12))*Assumptions!$G$40)*MAX(0,AY13*Assumptions!$G$29-AX31)</f>
        <v>12.8254520372159</v>
      </c>
      <c r="AZ31" s="37" t="n">
        <f aca="false">AY31*(1-Assumptions!$G$41)+AZ16*((1-(1-Assumptions!$G$34)^(1/12))*Assumptions!$G$40)*MAX(0,AZ13*Assumptions!$G$29-AY31)</f>
        <v>13.4784992573436</v>
      </c>
      <c r="BA31" s="37" t="n">
        <f aca="false">AZ31*(1-Assumptions!$G$41)+BA16*((1-(1-Assumptions!$G$34)^(1/12))*Assumptions!$G$40)*MAX(0,BA13*Assumptions!$G$29-AZ31)</f>
        <v>14.1413381636028</v>
      </c>
      <c r="BB31" s="37" t="n">
        <f aca="false">BA31*(1-Assumptions!$G$41)+BB16*((1-(1-Assumptions!$G$34)^(1/12))*Assumptions!$G$40)*MAX(0,BB13*Assumptions!$G$29-BA31)</f>
        <v>14.8135249698465</v>
      </c>
      <c r="BC31" s="37" t="n">
        <f aca="false">BB31*(1-Assumptions!$G$41)+BC16*((1-(1-Assumptions!$G$34)^(1/12))*Assumptions!$G$40)*MAX(0,BC13*Assumptions!$G$29-BB31)</f>
        <v>15.4944133035442</v>
      </c>
      <c r="BD31" s="37" t="n">
        <f aca="false">BC31*(1-Assumptions!$G$41)+BD16*((1-(1-Assumptions!$G$34)^(1/12))*Assumptions!$G$40)*MAX(0,BD13*Assumptions!$G$29-BC31)</f>
        <v>16.1833823899495</v>
      </c>
      <c r="BE31" s="37" t="n">
        <f aca="false">BD31*(1-Assumptions!$G$41)+BE16*((1-(1-Assumptions!$G$34)^(1/12))*Assumptions!$G$40)*MAX(0,BE13*Assumptions!$G$29-BD31)</f>
        <v>16.8800551277363</v>
      </c>
      <c r="BF31" s="37" t="n">
        <f aca="false">BE31*(1-Assumptions!$G$41)+BF16*((1-(1-Assumptions!$G$34)^(1/12))*Assumptions!$G$40)*MAX(0,BF13*Assumptions!$G$29-BE31)</f>
        <v>17.5838494466815</v>
      </c>
      <c r="BG31" s="37" t="n">
        <f aca="false">BF31*(1-Assumptions!$G$41)+BG16*((1-(1-Assumptions!$G$34)^(1/12))*Assumptions!$G$40)*MAX(0,BG13*Assumptions!$G$29-BF31)</f>
        <v>18.294206575032</v>
      </c>
      <c r="BH31" s="37" t="n">
        <f aca="false">BG31*(1-Assumptions!$G$41)+BH16*((1-(1-Assumptions!$G$34)^(1/12))*Assumptions!$G$40)*MAX(0,BH13*Assumptions!$G$29-BG31)</f>
        <v>19.0105902016646</v>
      </c>
      <c r="BI31" s="37" t="n">
        <f aca="false">BH31*(1-Assumptions!$G$41)+BI16*((1-(1-Assumptions!$G$34)^(1/12))*Assumptions!$G$40)*MAX(0,BI13*Assumptions!$G$29-BH31)</f>
        <v>19.7324856675567</v>
      </c>
      <c r="BJ31" s="37" t="n">
        <f aca="false">BI31*(1-Assumptions!$G$41)+BJ16*((1-(1-Assumptions!$G$34)^(1/12))*Assumptions!$G$40)*MAX(0,BJ13*Assumptions!$G$29-BI31)</f>
        <v>20.4593991855502</v>
      </c>
      <c r="BK31" s="37" t="n">
        <f aca="false">BJ31*(1-Assumptions!$G$41)+BK16*((1-(1-Assumptions!$G$34)^(1/12))*Assumptions!$G$40)*MAX(0,BK13*Assumptions!$G$29-BJ31)</f>
        <v>21.1908570874258</v>
      </c>
    </row>
    <row r="32" customFormat="false" ht="15" hidden="false" customHeight="false" outlineLevel="0" collapsed="false">
      <c r="A32" s="28" t="s">
        <v>581</v>
      </c>
      <c r="B32" s="6" t="s">
        <v>582</v>
      </c>
      <c r="C32" s="36" t="n">
        <v>0</v>
      </c>
      <c r="D32" s="26" t="n">
        <f aca="false">D27+D28+D29+D30+D31</f>
        <v>0</v>
      </c>
      <c r="E32" s="26" t="n">
        <f aca="false">E27+E28+E29+E30+E31</f>
        <v>0</v>
      </c>
      <c r="F32" s="26" t="n">
        <f aca="false">F27+F28+F29+F30+F31</f>
        <v>0</v>
      </c>
      <c r="G32" s="26" t="n">
        <f aca="false">G27+G28+G29+G30+G31</f>
        <v>0</v>
      </c>
      <c r="H32" s="26" t="n">
        <f aca="false">H27+H28+H29+H30+H31</f>
        <v>0</v>
      </c>
      <c r="I32" s="26" t="n">
        <f aca="false">I27+I28+I29+I30+I31</f>
        <v>0</v>
      </c>
      <c r="J32" s="26" t="n">
        <f aca="false">J27+J28+J29+J30+J31</f>
        <v>0</v>
      </c>
      <c r="K32" s="26" t="n">
        <f aca="false">K27+K28+K29+K30+K31</f>
        <v>0</v>
      </c>
      <c r="L32" s="26" t="n">
        <f aca="false">L27+L28+L29+L30+L31</f>
        <v>0</v>
      </c>
      <c r="M32" s="26" t="n">
        <f aca="false">M27+M28+M29+M30+M31</f>
        <v>0</v>
      </c>
      <c r="N32" s="26" t="n">
        <f aca="false">N27+N28+N29+N30+N31</f>
        <v>0</v>
      </c>
      <c r="O32" s="26" t="n">
        <f aca="false">O27+O28+O29+O30+O31</f>
        <v>0</v>
      </c>
      <c r="P32" s="26" t="n">
        <f aca="false">P27+P28+P29+P30+P31</f>
        <v>0</v>
      </c>
      <c r="Q32" s="26" t="n">
        <f aca="false">Q27+Q28+Q29+Q30+Q31</f>
        <v>0</v>
      </c>
      <c r="R32" s="26" t="n">
        <f aca="false">R27+R28+R29+R30+R31</f>
        <v>0</v>
      </c>
      <c r="S32" s="26" t="n">
        <f aca="false">S27+S28+S29+S30+S31</f>
        <v>0</v>
      </c>
      <c r="T32" s="26" t="n">
        <f aca="false">T27+T28+T29+T30+T31</f>
        <v>7.79767622971399</v>
      </c>
      <c r="U32" s="26" t="n">
        <f aca="false">U27+U28+U29+U30+U31</f>
        <v>15.9054531477678</v>
      </c>
      <c r="V32" s="26" t="n">
        <f aca="false">V27+V28+V29+V30+V31</f>
        <v>24.3024766483268</v>
      </c>
      <c r="W32" s="26" t="n">
        <f aca="false">W27+W28+W29+W30+W31</f>
        <v>33.2546575686499</v>
      </c>
      <c r="X32" s="26" t="n">
        <f aca="false">X27+X28+X29+X30+X31</f>
        <v>42.6846087600351</v>
      </c>
      <c r="Y32" s="26" t="n">
        <f aca="false">Y27+Y28+Y29+Y30+Y31</f>
        <v>52.4757943014734</v>
      </c>
      <c r="Z32" s="26" t="n">
        <f aca="false">Z27+Z28+Z29+Z30+Z31</f>
        <v>62.8296719097661</v>
      </c>
      <c r="AA32" s="26" t="n">
        <f aca="false">AA27+AA28+AA29+AA30+AA31</f>
        <v>73.6215003586732</v>
      </c>
      <c r="AB32" s="26" t="n">
        <f aca="false">AB27+AB28+AB29+AB30+AB31</f>
        <v>84.7258191207905</v>
      </c>
      <c r="AC32" s="26" t="n">
        <f aca="false">AC27+AC28+AC29+AC30+AC31</f>
        <v>96.3017588050131</v>
      </c>
      <c r="AD32" s="26" t="n">
        <f aca="false">AD27+AD28+AD29+AD30+AD31</f>
        <v>108.516846746601</v>
      </c>
      <c r="AE32" s="26" t="n">
        <f aca="false">AE27+AE28+AE29+AE30+AE31</f>
        <v>121.181145369737</v>
      </c>
      <c r="AF32" s="26" t="n">
        <f aca="false">AF27+AF28+AF29+AF30+AF31</f>
        <v>134.360704981658</v>
      </c>
      <c r="AG32" s="26" t="n">
        <f aca="false">AG27+AG28+AG29+AG30+AG31</f>
        <v>148.160985026593</v>
      </c>
      <c r="AH32" s="26" t="n">
        <f aca="false">AH27+AH28+AH29+AH30+AH31</f>
        <v>162.346881013019</v>
      </c>
      <c r="AI32" s="26" t="n">
        <f aca="false">AI27+AI28+AI29+AI30+AI31</f>
        <v>176.966117497867</v>
      </c>
      <c r="AJ32" s="26" t="n">
        <f aca="false">AJ27+AJ28+AJ29+AJ30+AJ31</f>
        <v>192.084681213331</v>
      </c>
      <c r="AK32" s="26" t="n">
        <f aca="false">AK27+AK28+AK29+AK30+AK31</f>
        <v>207.762354972909</v>
      </c>
      <c r="AL32" s="26" t="n">
        <f aca="false">AL27+AL28+AL29+AL30+AL31</f>
        <v>223.996195969326</v>
      </c>
      <c r="AM32" s="26" t="n">
        <f aca="false">AM27+AM28+AM29+AM30+AM31</f>
        <v>240.748893778546</v>
      </c>
      <c r="AN32" s="37" t="n">
        <f aca="false">AN27+AN28+AN29+AN30+AN31</f>
        <v>258.020270168499</v>
      </c>
      <c r="AO32" s="37" t="n">
        <f aca="false">AO27+AO28+AO29+AO30+AO31</f>
        <v>275.764148996899</v>
      </c>
      <c r="AP32" s="37" t="n">
        <f aca="false">AP27+AP28+AP29+AP30+AP31</f>
        <v>293.938075719573</v>
      </c>
      <c r="AQ32" s="37" t="n">
        <f aca="false">AQ27+AQ28+AQ29+AQ30+AQ31</f>
        <v>312.503013667559</v>
      </c>
      <c r="AR32" s="37" t="n">
        <f aca="false">AR27+AR28+AR29+AR30+AR31</f>
        <v>331.423065586896</v>
      </c>
      <c r="AS32" s="37" t="n">
        <f aca="false">AS27+AS28+AS29+AS30+AS31</f>
        <v>350.665218308299</v>
      </c>
      <c r="AT32" s="37" t="n">
        <f aca="false">AT27+AT28+AT29+AT30+AT31</f>
        <v>370.187701693508</v>
      </c>
      <c r="AU32" s="37" t="n">
        <f aca="false">AU27+AU28+AU29+AU30+AU31</f>
        <v>389.963602478849</v>
      </c>
      <c r="AV32" s="37" t="n">
        <f aca="false">AV27+AV28+AV29+AV30+AV31</f>
        <v>409.96816214041</v>
      </c>
      <c r="AW32" s="37" t="n">
        <f aca="false">AW27+AW28+AW29+AW30+AW31</f>
        <v>430.167196194205</v>
      </c>
      <c r="AX32" s="37" t="n">
        <f aca="false">AX27+AX28+AX29+AX30+AX31</f>
        <v>450.540763317908</v>
      </c>
      <c r="AY32" s="37" t="n">
        <f aca="false">AY27+AY28+AY29+AY30+AY31</f>
        <v>471.070513850556</v>
      </c>
      <c r="AZ32" s="37" t="n">
        <f aca="false">AZ27+AZ28+AZ29+AZ30+AZ31</f>
        <v>491.728155478441</v>
      </c>
      <c r="BA32" s="37" t="n">
        <f aca="false">BA27+BA28+BA29+BA30+BA31</f>
        <v>512.487757952378</v>
      </c>
      <c r="BB32" s="37" t="n">
        <f aca="false">BB27+BB28+BB29+BB30+BB31</f>
        <v>533.336969127745</v>
      </c>
      <c r="BC32" s="37" t="n">
        <f aca="false">BC27+BC28+BC29+BC30+BC31</f>
        <v>554.253011194047</v>
      </c>
      <c r="BD32" s="37" t="n">
        <f aca="false">BD27+BD28+BD29+BD30+BD31</f>
        <v>575.215025024253</v>
      </c>
      <c r="BE32" s="37" t="n">
        <f aca="false">BE27+BE28+BE29+BE30+BE31</f>
        <v>596.215322535523</v>
      </c>
      <c r="BF32" s="37" t="n">
        <f aca="false">BF27+BF28+BF29+BF30+BF31</f>
        <v>617.235416208579</v>
      </c>
      <c r="BG32" s="37" t="n">
        <f aca="false">BG27+BG28+BG29+BG30+BG31</f>
        <v>638.258393952445</v>
      </c>
      <c r="BH32" s="37" t="n">
        <f aca="false">BH27+BH28+BH29+BH30+BH31</f>
        <v>659.268792538296</v>
      </c>
      <c r="BI32" s="37" t="n">
        <f aca="false">BI27+BI28+BI29+BI30+BI31</f>
        <v>680.25248136916</v>
      </c>
      <c r="BJ32" s="37" t="n">
        <f aca="false">BJ27+BJ28+BJ29+BJ30+BJ31</f>
        <v>701.196555725143</v>
      </c>
      <c r="BK32" s="37" t="n">
        <f aca="false">BK27+BK28+BK29+BK30+BK31</f>
        <v>722.089238696526</v>
      </c>
    </row>
    <row r="33" customFormat="false" ht="15" hidden="false" customHeight="false" outlineLevel="0" collapsed="false">
      <c r="A33" s="28" t="s">
        <v>583</v>
      </c>
      <c r="B33" s="6" t="s">
        <v>584</v>
      </c>
      <c r="C33" s="42"/>
      <c r="D33" s="26" t="n">
        <f aca="false">D27*(1-Assumptions!$G$35)+D28*(1-Assumptions!$G$36)+D29*(1-Assumptions!$G$37)+D30*(1-Assumptions!$G$38)+D31*(1-Assumptions!$G$39)</f>
        <v>0</v>
      </c>
      <c r="E33" s="26" t="n">
        <f aca="false">E27*(1-Assumptions!$G$35)+E28*(1-Assumptions!$G$36)+E29*(1-Assumptions!$G$37)+E30*(1-Assumptions!$G$38)+E31*(1-Assumptions!$G$39)</f>
        <v>0</v>
      </c>
      <c r="F33" s="26" t="n">
        <f aca="false">F27*(1-Assumptions!$G$35)+F28*(1-Assumptions!$G$36)+F29*(1-Assumptions!$G$37)+F30*(1-Assumptions!$G$38)+F31*(1-Assumptions!$G$39)</f>
        <v>0</v>
      </c>
      <c r="G33" s="26" t="n">
        <f aca="false">G27*(1-Assumptions!$G$35)+G28*(1-Assumptions!$G$36)+G29*(1-Assumptions!$G$37)+G30*(1-Assumptions!$G$38)+G31*(1-Assumptions!$G$39)</f>
        <v>0</v>
      </c>
      <c r="H33" s="26" t="n">
        <f aca="false">H27*(1-Assumptions!$G$35)+H28*(1-Assumptions!$G$36)+H29*(1-Assumptions!$G$37)+H30*(1-Assumptions!$G$38)+H31*(1-Assumptions!$G$39)</f>
        <v>0</v>
      </c>
      <c r="I33" s="26" t="n">
        <f aca="false">I27*(1-Assumptions!$G$35)+I28*(1-Assumptions!$G$36)+I29*(1-Assumptions!$G$37)+I30*(1-Assumptions!$G$38)+I31*(1-Assumptions!$G$39)</f>
        <v>0</v>
      </c>
      <c r="J33" s="26" t="n">
        <f aca="false">J27*(1-Assumptions!$G$35)+J28*(1-Assumptions!$G$36)+J29*(1-Assumptions!$G$37)+J30*(1-Assumptions!$G$38)+J31*(1-Assumptions!$G$39)</f>
        <v>0</v>
      </c>
      <c r="K33" s="26" t="n">
        <f aca="false">K27*(1-Assumptions!$G$35)+K28*(1-Assumptions!$G$36)+K29*(1-Assumptions!$G$37)+K30*(1-Assumptions!$G$38)+K31*(1-Assumptions!$G$39)</f>
        <v>0</v>
      </c>
      <c r="L33" s="26" t="n">
        <f aca="false">L27*(1-Assumptions!$G$35)+L28*(1-Assumptions!$G$36)+L29*(1-Assumptions!$G$37)+L30*(1-Assumptions!$G$38)+L31*(1-Assumptions!$G$39)</f>
        <v>0</v>
      </c>
      <c r="M33" s="26" t="n">
        <f aca="false">M27*(1-Assumptions!$G$35)+M28*(1-Assumptions!$G$36)+M29*(1-Assumptions!$G$37)+M30*(1-Assumptions!$G$38)+M31*(1-Assumptions!$G$39)</f>
        <v>0</v>
      </c>
      <c r="N33" s="26" t="n">
        <f aca="false">N27*(1-Assumptions!$G$35)+N28*(1-Assumptions!$G$36)+N29*(1-Assumptions!$G$37)+N30*(1-Assumptions!$G$38)+N31*(1-Assumptions!$G$39)</f>
        <v>0</v>
      </c>
      <c r="O33" s="26" t="n">
        <f aca="false">O27*(1-Assumptions!$G$35)+O28*(1-Assumptions!$G$36)+O29*(1-Assumptions!$G$37)+O30*(1-Assumptions!$G$38)+O31*(1-Assumptions!$G$39)</f>
        <v>0</v>
      </c>
      <c r="P33" s="26" t="n">
        <f aca="false">P27*(1-Assumptions!$G$35)+P28*(1-Assumptions!$G$36)+P29*(1-Assumptions!$G$37)+P30*(1-Assumptions!$G$38)+P31*(1-Assumptions!$G$39)</f>
        <v>0</v>
      </c>
      <c r="Q33" s="26" t="n">
        <f aca="false">Q27*(1-Assumptions!$G$35)+Q28*(1-Assumptions!$G$36)+Q29*(1-Assumptions!$G$37)+Q30*(1-Assumptions!$G$38)+Q31*(1-Assumptions!$G$39)</f>
        <v>0</v>
      </c>
      <c r="R33" s="26" t="n">
        <f aca="false">R27*(1-Assumptions!$G$35)+R28*(1-Assumptions!$G$36)+R29*(1-Assumptions!$G$37)+R30*(1-Assumptions!$G$38)+R31*(1-Assumptions!$G$39)</f>
        <v>0</v>
      </c>
      <c r="S33" s="26" t="n">
        <f aca="false">S27*(1-Assumptions!$G$35)+S28*(1-Assumptions!$G$36)+S29*(1-Assumptions!$G$37)+S30*(1-Assumptions!$G$38)+S31*(1-Assumptions!$G$39)</f>
        <v>0</v>
      </c>
      <c r="T33" s="26" t="n">
        <f aca="false">T27*(1-Assumptions!$G$35)+T28*(1-Assumptions!$G$36)+T29*(1-Assumptions!$G$37)+T30*(1-Assumptions!$G$38)+T31*(1-Assumptions!$G$39)</f>
        <v>5.54761890953204</v>
      </c>
      <c r="U33" s="26" t="n">
        <f aca="false">U27*(1-Assumptions!$G$35)+U28*(1-Assumptions!$G$36)+U29*(1-Assumptions!$G$37)+U30*(1-Assumptions!$G$38)+U31*(1-Assumptions!$G$39)</f>
        <v>11.3316727498204</v>
      </c>
      <c r="V33" s="26" t="n">
        <f aca="false">V27*(1-Assumptions!$G$35)+V28*(1-Assumptions!$G$36)+V29*(1-Assumptions!$G$37)+V30*(1-Assumptions!$G$38)+V31*(1-Assumptions!$G$39)</f>
        <v>17.3368454210311</v>
      </c>
      <c r="W33" s="26" t="n">
        <f aca="false">W27*(1-Assumptions!$G$35)+W28*(1-Assumptions!$G$36)+W29*(1-Assumptions!$G$37)+W30*(1-Assumptions!$G$38)+W31*(1-Assumptions!$G$39)</f>
        <v>23.7518338161192</v>
      </c>
      <c r="X33" s="26" t="n">
        <f aca="false">X27*(1-Assumptions!$G$35)+X28*(1-Assumptions!$G$36)+X29*(1-Assumptions!$G$37)+X30*(1-Assumptions!$G$38)+X31*(1-Assumptions!$G$39)</f>
        <v>30.5216741566213</v>
      </c>
      <c r="Y33" s="26" t="n">
        <f aca="false">Y27*(1-Assumptions!$G$35)+Y28*(1-Assumptions!$G$36)+Y29*(1-Assumptions!$G$37)+Y30*(1-Assumptions!$G$38)+Y31*(1-Assumptions!$G$39)</f>
        <v>37.5633903893081</v>
      </c>
      <c r="Z33" s="26" t="n">
        <f aca="false">Z27*(1-Assumptions!$G$35)+Z28*(1-Assumptions!$G$36)+Z29*(1-Assumptions!$G$37)+Z30*(1-Assumptions!$G$38)+Z31*(1-Assumptions!$G$39)</f>
        <v>45.0200130507538</v>
      </c>
      <c r="AA33" s="26" t="n">
        <f aca="false">AA27*(1-Assumptions!$G$35)+AA28*(1-Assumptions!$G$36)+AA29*(1-Assumptions!$G$37)+AA30*(1-Assumptions!$G$38)+AA31*(1-Assumptions!$G$39)</f>
        <v>52.8029323339227</v>
      </c>
      <c r="AB33" s="26" t="n">
        <f aca="false">AB27*(1-Assumptions!$G$35)+AB28*(1-Assumptions!$G$36)+AB29*(1-Assumptions!$G$37)+AB30*(1-Assumptions!$G$38)+AB31*(1-Assumptions!$G$39)</f>
        <v>60.822766838162</v>
      </c>
      <c r="AC33" s="26" t="n">
        <f aca="false">AC27*(1-Assumptions!$G$35)+AC28*(1-Assumptions!$G$36)+AC29*(1-Assumptions!$G$37)+AC30*(1-Assumptions!$G$38)+AC31*(1-Assumptions!$G$39)</f>
        <v>69.1923629181721</v>
      </c>
      <c r="AD33" s="26" t="n">
        <f aca="false">AD27*(1-Assumptions!$G$35)+AD28*(1-Assumptions!$G$36)+AD29*(1-Assumptions!$G$37)+AD30*(1-Assumptions!$G$38)+AD31*(1-Assumptions!$G$39)</f>
        <v>78.0308915786615</v>
      </c>
      <c r="AE33" s="26" t="n">
        <f aca="false">AE27*(1-Assumptions!$G$35)+AE28*(1-Assumptions!$G$36)+AE29*(1-Assumptions!$G$37)+AE30*(1-Assumptions!$G$38)+AE31*(1-Assumptions!$G$39)</f>
        <v>87.2035501862841</v>
      </c>
      <c r="AF33" s="26" t="n">
        <f aca="false">AF27*(1-Assumptions!$G$35)+AF28*(1-Assumptions!$G$36)+AF29*(1-Assumptions!$G$37)+AF30*(1-Assumptions!$G$38)+AF31*(1-Assumptions!$G$39)</f>
        <v>96.7572512925734</v>
      </c>
      <c r="AG33" s="26" t="n">
        <f aca="false">AG27*(1-Assumptions!$G$35)+AG28*(1-Assumptions!$G$36)+AG29*(1-Assumptions!$G$37)+AG30*(1-Assumptions!$G$38)+AG31*(1-Assumptions!$G$39)</f>
        <v>106.767086364814</v>
      </c>
      <c r="AH33" s="26" t="n">
        <f aca="false">AH27*(1-Assumptions!$G$35)+AH28*(1-Assumptions!$G$36)+AH29*(1-Assumptions!$G$37)+AH30*(1-Assumptions!$G$38)+AH31*(1-Assumptions!$G$39)</f>
        <v>117.066065662259</v>
      </c>
      <c r="AI33" s="26" t="n">
        <f aca="false">AI27*(1-Assumptions!$G$35)+AI28*(1-Assumptions!$G$36)+AI29*(1-Assumptions!$G$37)+AI30*(1-Assumptions!$G$38)+AI31*(1-Assumptions!$G$39)</f>
        <v>127.687922508602</v>
      </c>
      <c r="AJ33" s="26" t="n">
        <f aca="false">AJ27*(1-Assumptions!$G$35)+AJ28*(1-Assumptions!$G$36)+AJ29*(1-Assumptions!$G$37)+AJ30*(1-Assumptions!$G$38)+AJ31*(1-Assumptions!$G$39)</f>
        <v>138.679496723336</v>
      </c>
      <c r="AK33" s="26" t="n">
        <f aca="false">AK27*(1-Assumptions!$G$35)+AK28*(1-Assumptions!$G$36)+AK29*(1-Assumptions!$G$37)+AK30*(1-Assumptions!$G$38)+AK31*(1-Assumptions!$G$39)</f>
        <v>150.08335723102</v>
      </c>
      <c r="AL33" s="26" t="n">
        <f aca="false">AL27*(1-Assumptions!$G$35)+AL28*(1-Assumptions!$G$36)+AL29*(1-Assumptions!$G$37)+AL30*(1-Assumptions!$G$38)+AL31*(1-Assumptions!$G$39)</f>
        <v>161.897567256407</v>
      </c>
      <c r="AM33" s="26" t="n">
        <f aca="false">AM27*(1-Assumptions!$G$35)+AM28*(1-Assumptions!$G$36)+AM29*(1-Assumptions!$G$37)+AM30*(1-Assumptions!$G$38)+AM31*(1-Assumptions!$G$39)</f>
        <v>174.095723773915</v>
      </c>
      <c r="AN33" s="37" t="n">
        <f aca="false">AN27*(1-Assumptions!$G$35)+AN28*(1-Assumptions!$G$36)+AN29*(1-Assumptions!$G$37)+AN30*(1-Assumptions!$G$38)+AN31*(1-Assumptions!$G$39)</f>
        <v>186.677757049092</v>
      </c>
      <c r="AO33" s="37" t="n">
        <f aca="false">AO27*(1-Assumptions!$G$35)+AO28*(1-Assumptions!$G$36)+AO29*(1-Assumptions!$G$37)+AO30*(1-Assumptions!$G$38)+AO31*(1-Assumptions!$G$39)</f>
        <v>199.610869306821</v>
      </c>
      <c r="AP33" s="37" t="n">
        <f aca="false">AP27*(1-Assumptions!$G$35)+AP28*(1-Assumptions!$G$36)+AP29*(1-Assumptions!$G$37)+AP30*(1-Assumptions!$G$38)+AP31*(1-Assumptions!$G$39)</f>
        <v>212.864814295877</v>
      </c>
      <c r="AQ33" s="37" t="n">
        <f aca="false">AQ27*(1-Assumptions!$G$35)+AQ28*(1-Assumptions!$G$36)+AQ29*(1-Assumptions!$G$37)+AQ30*(1-Assumptions!$G$38)+AQ31*(1-Assumptions!$G$39)</f>
        <v>226.411695440813</v>
      </c>
      <c r="AR33" s="37" t="n">
        <f aca="false">AR27*(1-Assumptions!$G$35)+AR28*(1-Assumptions!$G$36)+AR29*(1-Assumptions!$G$37)+AR30*(1-Assumptions!$G$38)+AR31*(1-Assumptions!$G$39)</f>
        <v>240.225780331442</v>
      </c>
      <c r="AS33" s="37" t="n">
        <f aca="false">AS27*(1-Assumptions!$G$35)+AS28*(1-Assumptions!$G$36)+AS29*(1-Assumptions!$G$37)+AS30*(1-Assumptions!$G$38)+AS31*(1-Assumptions!$G$39)</f>
        <v>254.283330203496</v>
      </c>
      <c r="AT33" s="37" t="n">
        <f aca="false">AT27*(1-Assumptions!$G$35)+AT28*(1-Assumptions!$G$36)+AT29*(1-Assumptions!$G$37)+AT30*(1-Assumptions!$G$38)+AT31*(1-Assumptions!$G$39)</f>
        <v>268.554327791089</v>
      </c>
      <c r="AU33" s="37" t="n">
        <f aca="false">AU27*(1-Assumptions!$G$35)+AU28*(1-Assumptions!$G$36)+AU29*(1-Assumptions!$G$37)+AU30*(1-Assumptions!$G$38)+AU31*(1-Assumptions!$G$39)</f>
        <v>283.019262797047</v>
      </c>
      <c r="AV33" s="37" t="n">
        <f aca="false">AV27*(1-Assumptions!$G$35)+AV28*(1-Assumptions!$G$36)+AV29*(1-Assumptions!$G$37)+AV30*(1-Assumptions!$G$38)+AV31*(1-Assumptions!$G$39)</f>
        <v>297.660129440064</v>
      </c>
      <c r="AW33" s="37" t="n">
        <f aca="false">AW27*(1-Assumptions!$G$35)+AW28*(1-Assumptions!$G$36)+AW29*(1-Assumptions!$G$37)+AW30*(1-Assumptions!$G$38)+AW31*(1-Assumptions!$G$39)</f>
        <v>312.45219365727</v>
      </c>
      <c r="AX33" s="37" t="n">
        <f aca="false">AX27*(1-Assumptions!$G$35)+AX28*(1-Assumptions!$G$36)+AX29*(1-Assumptions!$G$37)+AX30*(1-Assumptions!$G$38)+AX31*(1-Assumptions!$G$39)</f>
        <v>327.380814696726</v>
      </c>
      <c r="AY33" s="37" t="n">
        <f aca="false">AY27*(1-Assumptions!$G$35)+AY28*(1-Assumptions!$G$36)+AY29*(1-Assumptions!$G$37)+AY30*(1-Assumptions!$G$38)+AY31*(1-Assumptions!$G$39)</f>
        <v>342.432475827455</v>
      </c>
      <c r="AZ33" s="37" t="n">
        <f aca="false">AZ27*(1-Assumptions!$G$35)+AZ28*(1-Assumptions!$G$36)+AZ29*(1-Assumptions!$G$37)+AZ30*(1-Assumptions!$G$38)+AZ31*(1-Assumptions!$G$39)</f>
        <v>357.586581991662</v>
      </c>
      <c r="BA33" s="37" t="n">
        <f aca="false">BA27*(1-Assumptions!$G$35)+BA28*(1-Assumptions!$G$36)+BA29*(1-Assumptions!$G$37)+BA30*(1-Assumptions!$G$38)+BA31*(1-Assumptions!$G$39)</f>
        <v>372.824193973645</v>
      </c>
      <c r="BB33" s="37" t="n">
        <f aca="false">BB27*(1-Assumptions!$G$35)+BB28*(1-Assumptions!$G$36)+BB29*(1-Assumptions!$G$37)+BB30*(1-Assumptions!$G$38)+BB31*(1-Assumptions!$G$39)</f>
        <v>388.136014396555</v>
      </c>
      <c r="BC33" s="37" t="n">
        <f aca="false">BC27*(1-Assumptions!$G$35)+BC28*(1-Assumptions!$G$36)+BC29*(1-Assumptions!$G$37)+BC30*(1-Assumptions!$G$38)+BC31*(1-Assumptions!$G$39)</f>
        <v>403.505339056451</v>
      </c>
      <c r="BD33" s="37" t="n">
        <f aca="false">BD27*(1-Assumptions!$G$35)+BD28*(1-Assumptions!$G$36)+BD29*(1-Assumptions!$G$37)+BD30*(1-Assumptions!$G$38)+BD31*(1-Assumptions!$G$39)</f>
        <v>418.91681725581</v>
      </c>
      <c r="BE33" s="37" t="n">
        <f aca="false">BE27*(1-Assumptions!$G$35)+BE28*(1-Assumptions!$G$36)+BE29*(1-Assumptions!$G$37)+BE30*(1-Assumptions!$G$38)+BE31*(1-Assumptions!$G$39)</f>
        <v>434.364461835101</v>
      </c>
      <c r="BF33" s="37" t="n">
        <f aca="false">BF27*(1-Assumptions!$G$35)+BF28*(1-Assumptions!$G$36)+BF29*(1-Assumptions!$G$37)+BF30*(1-Assumptions!$G$38)+BF31*(1-Assumptions!$G$39)</f>
        <v>449.83462258816</v>
      </c>
      <c r="BG33" s="37" t="n">
        <f aca="false">BG27*(1-Assumptions!$G$35)+BG28*(1-Assumptions!$G$36)+BG29*(1-Assumptions!$G$37)+BG30*(1-Assumptions!$G$38)+BG31*(1-Assumptions!$G$39)</f>
        <v>465.314766884963</v>
      </c>
      <c r="BH33" s="37" t="n">
        <f aca="false">BH27*(1-Assumptions!$G$35)+BH28*(1-Assumptions!$G$36)+BH29*(1-Assumptions!$G$37)+BH30*(1-Assumptions!$G$38)+BH31*(1-Assumptions!$G$39)</f>
        <v>480.79339296305</v>
      </c>
      <c r="BI33" s="37" t="n">
        <f aca="false">BI27*(1-Assumptions!$G$35)+BI28*(1-Assumptions!$G$36)+BI29*(1-Assumptions!$G$37)+BI30*(1-Assumptions!$G$38)+BI31*(1-Assumptions!$G$39)</f>
        <v>496.259950085968</v>
      </c>
      <c r="BJ33" s="37" t="n">
        <f aca="false">BJ27*(1-Assumptions!$G$35)+BJ28*(1-Assumptions!$G$36)+BJ29*(1-Assumptions!$G$37)+BJ30*(1-Assumptions!$G$38)+BJ31*(1-Assumptions!$G$39)</f>
        <v>511.704765012337</v>
      </c>
      <c r="BK33" s="37" t="n">
        <f aca="false">BK27*(1-Assumptions!$G$35)+BK28*(1-Assumptions!$G$36)+BK29*(1-Assumptions!$G$37)+BK30*(1-Assumptions!$G$38)+BK31*(1-Assumptions!$G$39)</f>
        <v>527.118974265015</v>
      </c>
    </row>
    <row r="34" customFormat="false" ht="15" hidden="false" customHeight="false" outlineLevel="0" collapsed="false">
      <c r="A34" s="28" t="s">
        <v>585</v>
      </c>
      <c r="B34" s="6" t="s">
        <v>586</v>
      </c>
      <c r="C34" s="42"/>
      <c r="D34" s="26" t="n">
        <f aca="false">D27*Assumptions!$G$35+D28*Assumptions!$G$36+D29*Assumptions!$G$37+D30*Assumptions!$G$38+D31*Assumptions!$G$39</f>
        <v>0</v>
      </c>
      <c r="E34" s="26" t="n">
        <f aca="false">E27*Assumptions!$G$35+E28*Assumptions!$G$36+E29*Assumptions!$G$37+E30*Assumptions!$G$38+E31*Assumptions!$G$39</f>
        <v>0</v>
      </c>
      <c r="F34" s="26" t="n">
        <f aca="false">F27*Assumptions!$G$35+F28*Assumptions!$G$36+F29*Assumptions!$G$37+F30*Assumptions!$G$38+F31*Assumptions!$G$39</f>
        <v>0</v>
      </c>
      <c r="G34" s="26" t="n">
        <f aca="false">G27*Assumptions!$G$35+G28*Assumptions!$G$36+G29*Assumptions!$G$37+G30*Assumptions!$G$38+G31*Assumptions!$G$39</f>
        <v>0</v>
      </c>
      <c r="H34" s="26" t="n">
        <f aca="false">H27*Assumptions!$G$35+H28*Assumptions!$G$36+H29*Assumptions!$G$37+H30*Assumptions!$G$38+H31*Assumptions!$G$39</f>
        <v>0</v>
      </c>
      <c r="I34" s="26" t="n">
        <f aca="false">I27*Assumptions!$G$35+I28*Assumptions!$G$36+I29*Assumptions!$G$37+I30*Assumptions!$G$38+I31*Assumptions!$G$39</f>
        <v>0</v>
      </c>
      <c r="J34" s="26" t="n">
        <f aca="false">J27*Assumptions!$G$35+J28*Assumptions!$G$36+J29*Assumptions!$G$37+J30*Assumptions!$G$38+J31*Assumptions!$G$39</f>
        <v>0</v>
      </c>
      <c r="K34" s="26" t="n">
        <f aca="false">K27*Assumptions!$G$35+K28*Assumptions!$G$36+K29*Assumptions!$G$37+K30*Assumptions!$G$38+K31*Assumptions!$G$39</f>
        <v>0</v>
      </c>
      <c r="L34" s="26" t="n">
        <f aca="false">L27*Assumptions!$G$35+L28*Assumptions!$G$36+L29*Assumptions!$G$37+L30*Assumptions!$G$38+L31*Assumptions!$G$39</f>
        <v>0</v>
      </c>
      <c r="M34" s="26" t="n">
        <f aca="false">M27*Assumptions!$G$35+M28*Assumptions!$G$36+M29*Assumptions!$G$37+M30*Assumptions!$G$38+M31*Assumptions!$G$39</f>
        <v>0</v>
      </c>
      <c r="N34" s="26" t="n">
        <f aca="false">N27*Assumptions!$G$35+N28*Assumptions!$G$36+N29*Assumptions!$G$37+N30*Assumptions!$G$38+N31*Assumptions!$G$39</f>
        <v>0</v>
      </c>
      <c r="O34" s="26" t="n">
        <f aca="false">O27*Assumptions!$G$35+O28*Assumptions!$G$36+O29*Assumptions!$G$37+O30*Assumptions!$G$38+O31*Assumptions!$G$39</f>
        <v>0</v>
      </c>
      <c r="P34" s="26" t="n">
        <f aca="false">P27*Assumptions!$G$35+P28*Assumptions!$G$36+P29*Assumptions!$G$37+P30*Assumptions!$G$38+P31*Assumptions!$G$39</f>
        <v>0</v>
      </c>
      <c r="Q34" s="26" t="n">
        <f aca="false">Q27*Assumptions!$G$35+Q28*Assumptions!$G$36+Q29*Assumptions!$G$37+Q30*Assumptions!$G$38+Q31*Assumptions!$G$39</f>
        <v>0</v>
      </c>
      <c r="R34" s="26" t="n">
        <f aca="false">R27*Assumptions!$G$35+R28*Assumptions!$G$36+R29*Assumptions!$G$37+R30*Assumptions!$G$38+R31*Assumptions!$G$39</f>
        <v>0</v>
      </c>
      <c r="S34" s="26" t="n">
        <f aca="false">S27*Assumptions!$G$35+S28*Assumptions!$G$36+S29*Assumptions!$G$37+S30*Assumptions!$G$38+S31*Assumptions!$G$39</f>
        <v>0</v>
      </c>
      <c r="T34" s="26" t="n">
        <f aca="false">T27*Assumptions!$G$35+T28*Assumptions!$G$36+T29*Assumptions!$G$37+T30*Assumptions!$G$38+T31*Assumptions!$G$39</f>
        <v>2.25005732018195</v>
      </c>
      <c r="U34" s="26" t="n">
        <f aca="false">U27*Assumptions!$G$35+U28*Assumptions!$G$36+U29*Assumptions!$G$37+U30*Assumptions!$G$38+U31*Assumptions!$G$39</f>
        <v>4.57378039794737</v>
      </c>
      <c r="V34" s="26" t="n">
        <f aca="false">V27*Assumptions!$G$35+V28*Assumptions!$G$36+V29*Assumptions!$G$37+V30*Assumptions!$G$38+V31*Assumptions!$G$39</f>
        <v>6.96563122729574</v>
      </c>
      <c r="W34" s="26" t="n">
        <f aca="false">W27*Assumptions!$G$35+W28*Assumptions!$G$36+W29*Assumptions!$G$37+W30*Assumptions!$G$38+W31*Assumptions!$G$39</f>
        <v>9.50282375253068</v>
      </c>
      <c r="X34" s="26" t="n">
        <f aca="false">X27*Assumptions!$G$35+X28*Assumptions!$G$36+X29*Assumptions!$G$37+X30*Assumptions!$G$38+X31*Assumptions!$G$39</f>
        <v>12.1629346034139</v>
      </c>
      <c r="Y34" s="26" t="n">
        <f aca="false">Y27*Assumptions!$G$35+Y28*Assumptions!$G$36+Y29*Assumptions!$G$37+Y30*Assumptions!$G$38+Y31*Assumptions!$G$39</f>
        <v>14.9124039121653</v>
      </c>
      <c r="Z34" s="26" t="n">
        <f aca="false">Z27*Assumptions!$G$35+Z28*Assumptions!$G$36+Z29*Assumptions!$G$37+Z30*Assumptions!$G$38+Z31*Assumptions!$G$39</f>
        <v>17.8096588590123</v>
      </c>
      <c r="AA34" s="26" t="n">
        <f aca="false">AA27*Assumptions!$G$35+AA28*Assumptions!$G$36+AA29*Assumptions!$G$37+AA30*Assumptions!$G$38+AA31*Assumptions!$G$39</f>
        <v>20.8185680247505</v>
      </c>
      <c r="AB34" s="26" t="n">
        <f aca="false">AB27*Assumptions!$G$35+AB28*Assumptions!$G$36+AB29*Assumptions!$G$37+AB30*Assumptions!$G$38+AB31*Assumptions!$G$39</f>
        <v>23.9030522826285</v>
      </c>
      <c r="AC34" s="26" t="n">
        <f aca="false">AC27*Assumptions!$G$35+AC28*Assumptions!$G$36+AC29*Assumptions!$G$37+AC30*Assumptions!$G$38+AC31*Assumptions!$G$39</f>
        <v>27.109395886841</v>
      </c>
      <c r="AD34" s="26" t="n">
        <f aca="false">AD27*Assumptions!$G$35+AD28*Assumptions!$G$36+AD29*Assumptions!$G$37+AD30*Assumptions!$G$38+AD31*Assumptions!$G$39</f>
        <v>30.4859551679399</v>
      </c>
      <c r="AE34" s="26" t="n">
        <f aca="false">AE27*Assumptions!$G$35+AE28*Assumptions!$G$36+AE29*Assumptions!$G$37+AE30*Assumptions!$G$38+AE31*Assumptions!$G$39</f>
        <v>33.9775951834526</v>
      </c>
      <c r="AF34" s="26" t="n">
        <f aca="false">AF27*Assumptions!$G$35+AF28*Assumptions!$G$36+AF29*Assumptions!$G$37+AF30*Assumptions!$G$38+AF31*Assumptions!$G$39</f>
        <v>37.6034536890847</v>
      </c>
      <c r="AG34" s="26" t="n">
        <f aca="false">AG27*Assumptions!$G$35+AG28*Assumptions!$G$36+AG29*Assumptions!$G$37+AG30*Assumptions!$G$38+AG31*Assumptions!$G$39</f>
        <v>41.3938986617796</v>
      </c>
      <c r="AH34" s="26" t="n">
        <f aca="false">AH27*Assumptions!$G$35+AH28*Assumptions!$G$36+AH29*Assumptions!$G$37+AH30*Assumptions!$G$38+AH31*Assumptions!$G$39</f>
        <v>45.2808153507608</v>
      </c>
      <c r="AI34" s="26" t="n">
        <f aca="false">AI27*Assumptions!$G$35+AI28*Assumptions!$G$36+AI29*Assumptions!$G$37+AI30*Assumptions!$G$38+AI31*Assumptions!$G$39</f>
        <v>49.2781949892644</v>
      </c>
      <c r="AJ34" s="26" t="n">
        <f aca="false">AJ27*Assumptions!$G$35+AJ28*Assumptions!$G$36+AJ29*Assumptions!$G$37+AJ30*Assumptions!$G$38+AJ31*Assumptions!$G$39</f>
        <v>53.4051844899951</v>
      </c>
      <c r="AK34" s="26" t="n">
        <f aca="false">AK27*Assumptions!$G$35+AK28*Assumptions!$G$36+AK29*Assumptions!$G$37+AK30*Assumptions!$G$38+AK31*Assumptions!$G$39</f>
        <v>57.6789977418886</v>
      </c>
      <c r="AL34" s="26" t="n">
        <f aca="false">AL27*Assumptions!$G$35+AL28*Assumptions!$G$36+AL29*Assumptions!$G$37+AL30*Assumptions!$G$38+AL31*Assumptions!$G$39</f>
        <v>62.0986287129195</v>
      </c>
      <c r="AM34" s="26" t="n">
        <f aca="false">AM27*Assumptions!$G$35+AM28*Assumptions!$G$36+AM29*Assumptions!$G$37+AM30*Assumptions!$G$38+AM31*Assumptions!$G$39</f>
        <v>66.6531700046306</v>
      </c>
      <c r="AN34" s="37" t="n">
        <f aca="false">AN27*Assumptions!$G$35+AN28*Assumptions!$G$36+AN29*Assumptions!$G$37+AN30*Assumptions!$G$38+AN31*Assumptions!$G$39</f>
        <v>71.3425131194069</v>
      </c>
      <c r="AO34" s="37" t="n">
        <f aca="false">AO27*Assumptions!$G$35+AO28*Assumptions!$G$36+AO29*Assumptions!$G$37+AO30*Assumptions!$G$38+AO31*Assumptions!$G$39</f>
        <v>76.1532796900774</v>
      </c>
      <c r="AP34" s="37" t="n">
        <f aca="false">AP27*Assumptions!$G$35+AP28*Assumptions!$G$36+AP29*Assumptions!$G$37+AP30*Assumptions!$G$38+AP31*Assumptions!$G$39</f>
        <v>81.0732614236958</v>
      </c>
      <c r="AQ34" s="37" t="n">
        <f aca="false">AQ27*Assumptions!$G$35+AQ28*Assumptions!$G$36+AQ29*Assumptions!$G$37+AQ30*Assumptions!$G$38+AQ31*Assumptions!$G$39</f>
        <v>86.0913182267466</v>
      </c>
      <c r="AR34" s="37" t="n">
        <f aca="false">AR27*Assumptions!$G$35+AR28*Assumptions!$G$36+AR29*Assumptions!$G$37+AR30*Assumptions!$G$38+AR31*Assumptions!$G$39</f>
        <v>91.1972852554537</v>
      </c>
      <c r="AS34" s="37" t="n">
        <f aca="false">AS27*Assumptions!$G$35+AS28*Assumptions!$G$36+AS29*Assumptions!$G$37+AS30*Assumptions!$G$38+AS31*Assumptions!$G$39</f>
        <v>96.3818881048024</v>
      </c>
      <c r="AT34" s="37" t="n">
        <f aca="false">AT27*Assumptions!$G$35+AT28*Assumptions!$G$36+AT29*Assumptions!$G$37+AT30*Assumptions!$G$38+AT31*Assumptions!$G$39</f>
        <v>101.63337390242</v>
      </c>
      <c r="AU34" s="37" t="n">
        <f aca="false">AU27*Assumptions!$G$35+AU28*Assumptions!$G$36+AU29*Assumptions!$G$37+AU30*Assumptions!$G$38+AU31*Assumptions!$G$39</f>
        <v>106.944339681803</v>
      </c>
      <c r="AV34" s="37" t="n">
        <f aca="false">AV27*Assumptions!$G$35+AV28*Assumptions!$G$36+AV29*Assumptions!$G$37+AV30*Assumptions!$G$38+AV31*Assumptions!$G$39</f>
        <v>112.308032700346</v>
      </c>
      <c r="AW34" s="37" t="n">
        <f aca="false">AW27*Assumptions!$G$35+AW28*Assumptions!$G$36+AW29*Assumptions!$G$37+AW30*Assumptions!$G$38+AW31*Assumptions!$G$39</f>
        <v>117.715002536934</v>
      </c>
      <c r="AX34" s="37" t="n">
        <f aca="false">AX27*Assumptions!$G$35+AX28*Assumptions!$G$36+AX29*Assumptions!$G$37+AX30*Assumptions!$G$38+AX31*Assumptions!$G$39</f>
        <v>123.159948621182</v>
      </c>
      <c r="AY34" s="37" t="n">
        <f aca="false">AY27*Assumptions!$G$35+AY28*Assumptions!$G$36+AY29*Assumptions!$G$37+AY30*Assumptions!$G$38+AY31*Assumptions!$G$39</f>
        <v>128.638038023101</v>
      </c>
      <c r="AZ34" s="37" t="n">
        <f aca="false">AZ27*Assumptions!$G$35+AZ28*Assumptions!$G$36+AZ29*Assumptions!$G$37+AZ30*Assumptions!$G$38+AZ31*Assumptions!$G$39</f>
        <v>134.14157348678</v>
      </c>
      <c r="BA34" s="37" t="n">
        <f aca="false">BA27*Assumptions!$G$35+BA28*Assumptions!$G$36+BA29*Assumptions!$G$37+BA30*Assumptions!$G$38+BA31*Assumptions!$G$39</f>
        <v>139.663563978733</v>
      </c>
      <c r="BB34" s="37" t="n">
        <f aca="false">BB27*Assumptions!$G$35+BB28*Assumptions!$G$36+BB29*Assumptions!$G$37+BB30*Assumptions!$G$38+BB31*Assumptions!$G$39</f>
        <v>145.20095473119</v>
      </c>
      <c r="BC34" s="37" t="n">
        <f aca="false">BC27*Assumptions!$G$35+BC28*Assumptions!$G$36+BC29*Assumptions!$G$37+BC30*Assumptions!$G$38+BC31*Assumptions!$G$39</f>
        <v>150.747672137596</v>
      </c>
      <c r="BD34" s="37" t="n">
        <f aca="false">BD27*Assumptions!$G$35+BD28*Assumptions!$G$36+BD29*Assumptions!$G$37+BD30*Assumptions!$G$38+BD31*Assumptions!$G$39</f>
        <v>156.298207768443</v>
      </c>
      <c r="BE34" s="37" t="n">
        <f aca="false">BE27*Assumptions!$G$35+BE28*Assumptions!$G$36+BE29*Assumptions!$G$37+BE30*Assumptions!$G$38+BE31*Assumptions!$G$39</f>
        <v>161.850860700421</v>
      </c>
      <c r="BF34" s="37" t="n">
        <f aca="false">BF27*Assumptions!$G$35+BF28*Assumptions!$G$36+BF29*Assumptions!$G$37+BF30*Assumptions!$G$38+BF31*Assumptions!$G$39</f>
        <v>167.40079362042</v>
      </c>
      <c r="BG34" s="37" t="n">
        <f aca="false">BG27*Assumptions!$G$35+BG28*Assumptions!$G$36+BG29*Assumptions!$G$37+BG30*Assumptions!$G$38+BG31*Assumptions!$G$39</f>
        <v>172.943627067482</v>
      </c>
      <c r="BH34" s="37" t="n">
        <f aca="false">BH27*Assumptions!$G$35+BH28*Assumptions!$G$36+BH29*Assumptions!$G$37+BH30*Assumptions!$G$38+BH31*Assumptions!$G$39</f>
        <v>178.475399575245</v>
      </c>
      <c r="BI34" s="37" t="n">
        <f aca="false">BI27*Assumptions!$G$35+BI28*Assumptions!$G$36+BI29*Assumptions!$G$37+BI30*Assumptions!$G$38+BI31*Assumptions!$G$39</f>
        <v>183.992531283192</v>
      </c>
      <c r="BJ34" s="37" t="n">
        <f aca="false">BJ27*Assumptions!$G$35+BJ28*Assumptions!$G$36+BJ29*Assumptions!$G$37+BJ30*Assumptions!$G$38+BJ31*Assumptions!$G$39</f>
        <v>189.491790712806</v>
      </c>
      <c r="BK34" s="37" t="n">
        <f aca="false">BK27*Assumptions!$G$35+BK28*Assumptions!$G$36+BK29*Assumptions!$G$37+BK30*Assumptions!$G$38+BK31*Assumptions!$G$39</f>
        <v>194.970264431511</v>
      </c>
    </row>
    <row r="35" customFormat="false" ht="15" hidden="false" customHeight="false" outlineLevel="0" collapsed="false">
      <c r="A35" s="28" t="s">
        <v>587</v>
      </c>
      <c r="B35" s="6" t="s">
        <v>588</v>
      </c>
      <c r="C35" s="42"/>
      <c r="D35" s="26" t="n">
        <f aca="false">MAX(0,D32-C32*(1-Assumptions!$G$41))</f>
        <v>0</v>
      </c>
      <c r="E35" s="26" t="n">
        <f aca="false">MAX(0,E32-D32*(1-Assumptions!$G$41))</f>
        <v>0</v>
      </c>
      <c r="F35" s="26" t="n">
        <f aca="false">MAX(0,F32-E32*(1-Assumptions!$G$41))</f>
        <v>0</v>
      </c>
      <c r="G35" s="26" t="n">
        <f aca="false">MAX(0,G32-F32*(1-Assumptions!$G$41))</f>
        <v>0</v>
      </c>
      <c r="H35" s="26" t="n">
        <f aca="false">MAX(0,H32-G32*(1-Assumptions!$G$41))</f>
        <v>0</v>
      </c>
      <c r="I35" s="26" t="n">
        <f aca="false">MAX(0,I32-H32*(1-Assumptions!$G$41))</f>
        <v>0</v>
      </c>
      <c r="J35" s="26" t="n">
        <f aca="false">MAX(0,J32-I32*(1-Assumptions!$G$41))</f>
        <v>0</v>
      </c>
      <c r="K35" s="26" t="n">
        <f aca="false">MAX(0,K32-J32*(1-Assumptions!$G$41))</f>
        <v>0</v>
      </c>
      <c r="L35" s="26" t="n">
        <f aca="false">MAX(0,L32-K32*(1-Assumptions!$G$41))</f>
        <v>0</v>
      </c>
      <c r="M35" s="26" t="n">
        <f aca="false">MAX(0,M32-L32*(1-Assumptions!$G$41))</f>
        <v>0</v>
      </c>
      <c r="N35" s="26" t="n">
        <f aca="false">MAX(0,N32-M32*(1-Assumptions!$G$41))</f>
        <v>0</v>
      </c>
      <c r="O35" s="26" t="n">
        <f aca="false">MAX(0,O32-N32*(1-Assumptions!$G$41))</f>
        <v>0</v>
      </c>
      <c r="P35" s="26" t="n">
        <f aca="false">MAX(0,P32-O32*(1-Assumptions!$G$41))</f>
        <v>0</v>
      </c>
      <c r="Q35" s="26" t="n">
        <f aca="false">MAX(0,Q32-P32*(1-Assumptions!$G$41))</f>
        <v>0</v>
      </c>
      <c r="R35" s="26" t="n">
        <f aca="false">MAX(0,R32-Q32*(1-Assumptions!$G$41))</f>
        <v>0</v>
      </c>
      <c r="S35" s="26" t="n">
        <f aca="false">MAX(0,S32-R32*(1-Assumptions!$G$41))</f>
        <v>0</v>
      </c>
      <c r="T35" s="26" t="n">
        <f aca="false">MAX(0,T32-S32*(1-Assumptions!$G$41))</f>
        <v>7.79767622971399</v>
      </c>
      <c r="U35" s="26" t="n">
        <f aca="false">MAX(0,U32-T32*(1-Assumptions!$G$41))</f>
        <v>8.28322463322235</v>
      </c>
      <c r="V35" s="26" t="n">
        <f aca="false">MAX(0,V32-U32*(1-Assumptions!$G$41))</f>
        <v>8.75489619638381</v>
      </c>
      <c r="W35" s="26" t="n">
        <f aca="false">MAX(0,W32-V32*(1-Assumptions!$G$41))</f>
        <v>9.4989866449104</v>
      </c>
      <c r="X35" s="26" t="n">
        <f aca="false">MAX(0,X32-W32*(1-Assumptions!$G$41))</f>
        <v>10.1781809866799</v>
      </c>
      <c r="Y35" s="26" t="n">
        <f aca="false">MAX(0,Y32-X32*(1-Assumptions!$G$41))</f>
        <v>10.7515892385391</v>
      </c>
      <c r="Z35" s="26" t="n">
        <f aca="false">MAX(0,Z32-Y32*(1-Assumptions!$G$41))</f>
        <v>11.5345829800758</v>
      </c>
      <c r="AA35" s="26" t="n">
        <f aca="false">MAX(0,AA32-Z32*(1-Assumptions!$G$41))</f>
        <v>12.2054960668768</v>
      </c>
      <c r="AB35" s="26" t="n">
        <f aca="false">MAX(0,AB32-AA32*(1-Assumptions!$G$41))</f>
        <v>12.7608025201875</v>
      </c>
      <c r="AC35" s="26" t="n">
        <f aca="false">MAX(0,AC32-AB32*(1-Assumptions!$G$41))</f>
        <v>13.4822706144403</v>
      </c>
      <c r="AD35" s="26" t="n">
        <f aca="false">MAX(0,AD32-AC32*(1-Assumptions!$G$41))</f>
        <v>14.3818775147011</v>
      </c>
      <c r="AE35" s="26" t="n">
        <f aca="false">MAX(0,AE32-AD32*(1-Assumptions!$G$41))</f>
        <v>15.1059276749338</v>
      </c>
      <c r="AF35" s="26" t="n">
        <f aca="false">MAX(0,AF32-AE32*(1-Assumptions!$G$41))</f>
        <v>15.9061353827404</v>
      </c>
      <c r="AG35" s="26" t="n">
        <f aca="false">MAX(0,AG32-AF32*(1-Assumptions!$G$41))</f>
        <v>16.8233959070226</v>
      </c>
      <c r="AH35" s="26" t="n">
        <f aca="false">MAX(0,AH32-AG32*(1-Assumptions!$G$41))</f>
        <v>17.5195181495244</v>
      </c>
      <c r="AI35" s="26" t="n">
        <f aca="false">MAX(0,AI32-AH32*(1-Assumptions!$G$41))</f>
        <v>18.2720413076403</v>
      </c>
      <c r="AJ35" s="26" t="n">
        <f aca="false">MAX(0,AJ32-AI32*(1-Assumptions!$G$41))</f>
        <v>19.1003013591664</v>
      </c>
      <c r="AK35" s="26" t="n">
        <f aca="false">MAX(0,AK32-AJ32*(1-Assumptions!$G$41))</f>
        <v>19.9995790868774</v>
      </c>
      <c r="AL35" s="26" t="n">
        <f aca="false">MAX(0,AL32-AK32*(1-Assumptions!$G$41))</f>
        <v>20.9084939833082</v>
      </c>
      <c r="AM35" s="26" t="n">
        <f aca="false">MAX(0,AM32-AL32*(1-Assumptions!$G$41))</f>
        <v>21.7926122185295</v>
      </c>
      <c r="AN35" s="37" t="n">
        <f aca="false">MAX(0,AN32-AM32*(1-Assumptions!$G$41))</f>
        <v>22.68822649997</v>
      </c>
      <c r="AO35" s="37" t="n">
        <f aca="false">MAX(0,AO32-AN32*(1-Assumptions!$G$41))</f>
        <v>23.5493349071909</v>
      </c>
      <c r="AP35" s="37" t="n">
        <f aca="false">MAX(0,AP32-AO32*(1-Assumptions!$G$41))</f>
        <v>24.3786200751048</v>
      </c>
      <c r="AQ35" s="37" t="n">
        <f aca="false">MAX(0,AQ32-AP32*(1-Assumptions!$G$41))</f>
        <v>25.1785446516766</v>
      </c>
      <c r="AR35" s="37" t="n">
        <f aca="false">MAX(0,AR32-AQ32*(1-Assumptions!$G$41))</f>
        <v>25.9513697268567</v>
      </c>
      <c r="AS35" s="37" t="n">
        <f aca="false">MAX(0,AS32-AR32*(1-Assumptions!$G$41))</f>
        <v>26.6991716971075</v>
      </c>
      <c r="AT35" s="37" t="n">
        <f aca="false">MAX(0,AT32-AS32*(1-Assumptions!$G$41))</f>
        <v>27.4124507971465</v>
      </c>
      <c r="AU35" s="37" t="n">
        <f aca="false">MAX(0,AU32-AT32*(1-Assumptions!$G$41))</f>
        <v>28.1051240734449</v>
      </c>
      <c r="AV35" s="37" t="n">
        <f aca="false">MAX(0,AV32-AU32*(1-Assumptions!$G$41))</f>
        <v>28.7787407173351</v>
      </c>
      <c r="AW35" s="37" t="n">
        <f aca="false">MAX(0,AW32-AV32*(1-Assumptions!$G$41))</f>
        <v>29.4233177019534</v>
      </c>
      <c r="AX35" s="37" t="n">
        <f aca="false">MAX(0,AX32-AW32*(1-Assumptions!$G$41))</f>
        <v>30.0523290380727</v>
      </c>
      <c r="AY35" s="37" t="n">
        <f aca="false">MAX(0,AY32-AX32*(1-Assumptions!$G$41))</f>
        <v>30.6669177073017</v>
      </c>
      <c r="AZ35" s="37" t="n">
        <f aca="false">MAX(0,AZ32-AY32*(1-Assumptions!$G$41))</f>
        <v>31.2567281895222</v>
      </c>
      <c r="BA35" s="37" t="n">
        <f aca="false">MAX(0,BA32-AZ32*(1-Assumptions!$G$41))</f>
        <v>31.8234859722018</v>
      </c>
      <c r="BB35" s="37" t="n">
        <f aca="false">MAX(0,BB32-BA32*(1-Assumptions!$G$41))</f>
        <v>32.3801857292951</v>
      </c>
      <c r="BC35" s="37" t="n">
        <f aca="false">MAX(0,BC32-BB32*(1-Assumptions!$G$41))</f>
        <v>32.9161238716767</v>
      </c>
      <c r="BD35" s="37" t="n">
        <f aca="false">MAX(0,BD32-BC32*(1-Assumptions!$G$41))</f>
        <v>33.4327065820723</v>
      </c>
      <c r="BE35" s="37" t="n">
        <f aca="false">MAX(0,BE32-BD32*(1-Assumptions!$G$41))</f>
        <v>33.9426355743149</v>
      </c>
      <c r="BF35" s="37" t="n">
        <f aca="false">MAX(0,BF32-BE32*(1-Assumptions!$G$41))</f>
        <v>34.4349384301059</v>
      </c>
      <c r="BG35" s="37" t="n">
        <f aca="false">MAX(0,BG32-BF32*(1-Assumptions!$G$41))</f>
        <v>34.9107746085585</v>
      </c>
      <c r="BH35" s="37" t="n">
        <f aca="false">MAX(0,BH32-BG32*(1-Assumptions!$G$41))</f>
        <v>35.3712124497806</v>
      </c>
      <c r="BI35" s="37" t="n">
        <f aca="false">MAX(0,BI32-BH32*(1-Assumptions!$G$41))</f>
        <v>35.8172366629764</v>
      </c>
      <c r="BJ35" s="37" t="n">
        <f aca="false">MAX(0,BJ32-BI32*(1-Assumptions!$G$41))</f>
        <v>36.2497551867891</v>
      </c>
      <c r="BK35" s="37" t="n">
        <f aca="false">MAX(0,BK32-BJ32*(1-Assumptions!$G$41))</f>
        <v>36.6696054751983</v>
      </c>
    </row>
    <row r="36" customFormat="false" ht="15" hidden="false" customHeight="false" outlineLevel="0" collapsed="false">
      <c r="B36" s="5" t="s">
        <v>589</v>
      </c>
    </row>
    <row r="37" customFormat="false" ht="15" hidden="false" customHeight="false" outlineLevel="0" collapsed="false">
      <c r="A37" s="28" t="s">
        <v>590</v>
      </c>
      <c r="B37" s="6" t="s">
        <v>591</v>
      </c>
      <c r="C37" s="43"/>
      <c r="D37" s="17" t="n">
        <f aca="false">D33*Assumptions!$G$42</f>
        <v>0</v>
      </c>
      <c r="E37" s="17" t="n">
        <f aca="false">E33*Assumptions!$G$42</f>
        <v>0</v>
      </c>
      <c r="F37" s="17" t="n">
        <f aca="false">F33*Assumptions!$G$42</f>
        <v>0</v>
      </c>
      <c r="G37" s="17" t="n">
        <f aca="false">G33*Assumptions!$G$42</f>
        <v>0</v>
      </c>
      <c r="H37" s="17" t="n">
        <f aca="false">H33*Assumptions!$G$42</f>
        <v>0</v>
      </c>
      <c r="I37" s="17" t="n">
        <f aca="false">I33*Assumptions!$G$42</f>
        <v>0</v>
      </c>
      <c r="J37" s="17" t="n">
        <f aca="false">J33*Assumptions!$G$42</f>
        <v>0</v>
      </c>
      <c r="K37" s="17" t="n">
        <f aca="false">K33*Assumptions!$G$42</f>
        <v>0</v>
      </c>
      <c r="L37" s="17" t="n">
        <f aca="false">L33*Assumptions!$G$42</f>
        <v>0</v>
      </c>
      <c r="M37" s="17" t="n">
        <f aca="false">M33*Assumptions!$G$42</f>
        <v>0</v>
      </c>
      <c r="N37" s="17" t="n">
        <f aca="false">N33*Assumptions!$G$42</f>
        <v>0</v>
      </c>
      <c r="O37" s="17" t="n">
        <f aca="false">O33*Assumptions!$G$42</f>
        <v>0</v>
      </c>
      <c r="P37" s="17" t="n">
        <f aca="false">P33*Assumptions!$G$42</f>
        <v>0</v>
      </c>
      <c r="Q37" s="17" t="n">
        <f aca="false">Q33*Assumptions!$G$42</f>
        <v>0</v>
      </c>
      <c r="R37" s="17" t="n">
        <f aca="false">R33*Assumptions!$G$42</f>
        <v>0</v>
      </c>
      <c r="S37" s="17" t="n">
        <f aca="false">S33*Assumptions!$G$42</f>
        <v>0</v>
      </c>
      <c r="T37" s="17" t="n">
        <f aca="false">T33*Assumptions!$G$42</f>
        <v>216.357137471749</v>
      </c>
      <c r="U37" s="17" t="n">
        <f aca="false">U33*Assumptions!$G$42</f>
        <v>441.935237242995</v>
      </c>
      <c r="V37" s="17" t="n">
        <f aca="false">V33*Assumptions!$G$42</f>
        <v>676.136971420211</v>
      </c>
      <c r="W37" s="17" t="n">
        <f aca="false">W33*Assumptions!$G$42</f>
        <v>926.321518828648</v>
      </c>
      <c r="X37" s="17" t="n">
        <f aca="false">X33*Assumptions!$G$42</f>
        <v>1190.34529210823</v>
      </c>
      <c r="Y37" s="17" t="n">
        <f aca="false">Y33*Assumptions!$G$42</f>
        <v>1464.97222518302</v>
      </c>
      <c r="Z37" s="17" t="n">
        <f aca="false">Z33*Assumptions!$G$42</f>
        <v>1755.7805089794</v>
      </c>
      <c r="AA37" s="17" t="n">
        <f aca="false">AA33*Assumptions!$G$42</f>
        <v>2059.31436102298</v>
      </c>
      <c r="AB37" s="17" t="n">
        <f aca="false">AB33*Assumptions!$G$42</f>
        <v>2372.08790668832</v>
      </c>
      <c r="AC37" s="17" t="n">
        <f aca="false">AC33*Assumptions!$G$42</f>
        <v>2698.50215380871</v>
      </c>
      <c r="AD37" s="17" t="n">
        <f aca="false">AD33*Assumptions!$G$42</f>
        <v>3043.2047715678</v>
      </c>
      <c r="AE37" s="17" t="n">
        <f aca="false">AE33*Assumptions!$G$42</f>
        <v>3400.93845726508</v>
      </c>
      <c r="AF37" s="17" t="n">
        <f aca="false">AF33*Assumptions!$G$42</f>
        <v>3773.53280041036</v>
      </c>
      <c r="AG37" s="17" t="n">
        <f aca="false">AG33*Assumptions!$G$42</f>
        <v>4163.91636822774</v>
      </c>
      <c r="AH37" s="17" t="n">
        <f aca="false">AH33*Assumptions!$G$42</f>
        <v>4565.57656082808</v>
      </c>
      <c r="AI37" s="17" t="n">
        <f aca="false">AI33*Assumptions!$G$42</f>
        <v>4979.82897783549</v>
      </c>
      <c r="AJ37" s="17" t="n">
        <f aca="false">AJ33*Assumptions!$G$42</f>
        <v>5408.5003722101</v>
      </c>
      <c r="AK37" s="17" t="n">
        <f aca="false">AK33*Assumptions!$G$42</f>
        <v>5853.25093200978</v>
      </c>
      <c r="AL37" s="17" t="n">
        <f aca="false">AL33*Assumptions!$G$42</f>
        <v>6314.00512299987</v>
      </c>
      <c r="AM37" s="17" t="n">
        <f aca="false">AM33*Assumptions!$G$42</f>
        <v>6789.7332271827</v>
      </c>
      <c r="AN37" s="44" t="n">
        <f aca="false">AN33*Assumptions!$G$42</f>
        <v>7280.43252491459</v>
      </c>
      <c r="AO37" s="44" t="n">
        <f aca="false">AO33*Assumptions!$G$42</f>
        <v>7784.82390296602</v>
      </c>
      <c r="AP37" s="44" t="n">
        <f aca="false">AP33*Assumptions!$G$42</f>
        <v>8301.72775753922</v>
      </c>
      <c r="AQ37" s="44" t="n">
        <f aca="false">AQ33*Assumptions!$G$42</f>
        <v>8830.0561221917</v>
      </c>
      <c r="AR37" s="44" t="n">
        <f aca="false">AR33*Assumptions!$G$42</f>
        <v>9368.80543292625</v>
      </c>
      <c r="AS37" s="44" t="n">
        <f aca="false">AS33*Assumptions!$G$42</f>
        <v>9917.04987793635</v>
      </c>
      <c r="AT37" s="44" t="n">
        <f aca="false">AT33*Assumptions!$G$42</f>
        <v>10473.6187838525</v>
      </c>
      <c r="AU37" s="44" t="n">
        <f aca="false">AU33*Assumptions!$G$42</f>
        <v>11037.7512490848</v>
      </c>
      <c r="AV37" s="44" t="n">
        <f aca="false">AV33*Assumptions!$G$42</f>
        <v>11608.7450481625</v>
      </c>
      <c r="AW37" s="44" t="n">
        <f aca="false">AW33*Assumptions!$G$42</f>
        <v>12185.6355526335</v>
      </c>
      <c r="AX37" s="44" t="n">
        <f aca="false">AX33*Assumptions!$G$42</f>
        <v>12767.8517731723</v>
      </c>
      <c r="AY37" s="44" t="n">
        <f aca="false">AY33*Assumptions!$G$42</f>
        <v>13354.8665572708</v>
      </c>
      <c r="AZ37" s="44" t="n">
        <f aca="false">AZ33*Assumptions!$G$42</f>
        <v>13945.8766976748</v>
      </c>
      <c r="BA37" s="44" t="n">
        <f aca="false">BA33*Assumptions!$G$42</f>
        <v>14540.1435649722</v>
      </c>
      <c r="BB37" s="44" t="n">
        <f aca="false">BB33*Assumptions!$G$42</f>
        <v>15137.3045614656</v>
      </c>
      <c r="BC37" s="44" t="n">
        <f aca="false">BC33*Assumptions!$G$42</f>
        <v>15736.7082232016</v>
      </c>
      <c r="BD37" s="44" t="n">
        <f aca="false">BD33*Assumptions!$G$42</f>
        <v>16337.7558729766</v>
      </c>
      <c r="BE37" s="44" t="n">
        <f aca="false">BE33*Assumptions!$G$42</f>
        <v>16940.214011569</v>
      </c>
      <c r="BF37" s="44" t="n">
        <f aca="false">BF33*Assumptions!$G$42</f>
        <v>17543.5502809382</v>
      </c>
      <c r="BG37" s="44" t="n">
        <f aca="false">BG33*Assumptions!$G$42</f>
        <v>18147.2759085136</v>
      </c>
      <c r="BH37" s="44" t="n">
        <f aca="false">BH33*Assumptions!$G$42</f>
        <v>18750.942325559</v>
      </c>
      <c r="BI37" s="44" t="n">
        <f aca="false">BI33*Assumptions!$G$42</f>
        <v>19354.1380533527</v>
      </c>
      <c r="BJ37" s="44" t="n">
        <f aca="false">BJ33*Assumptions!$G$42</f>
        <v>19956.4858354811</v>
      </c>
      <c r="BK37" s="44" t="n">
        <f aca="false">BK33*Assumptions!$G$42</f>
        <v>20557.6399963356</v>
      </c>
    </row>
    <row r="38" customFormat="false" ht="15" hidden="false" customHeight="false" outlineLevel="0" collapsed="false">
      <c r="A38" s="28" t="s">
        <v>592</v>
      </c>
      <c r="B38" s="6" t="s">
        <v>593</v>
      </c>
      <c r="C38" s="43"/>
      <c r="D38" s="17" t="n">
        <f aca="false">D34*Assumptions!$G$43</f>
        <v>0</v>
      </c>
      <c r="E38" s="17" t="n">
        <f aca="false">E34*Assumptions!$G$43</f>
        <v>0</v>
      </c>
      <c r="F38" s="17" t="n">
        <f aca="false">F34*Assumptions!$G$43</f>
        <v>0</v>
      </c>
      <c r="G38" s="17" t="n">
        <f aca="false">G34*Assumptions!$G$43</f>
        <v>0</v>
      </c>
      <c r="H38" s="17" t="n">
        <f aca="false">H34*Assumptions!$G$43</f>
        <v>0</v>
      </c>
      <c r="I38" s="17" t="n">
        <f aca="false">I34*Assumptions!$G$43</f>
        <v>0</v>
      </c>
      <c r="J38" s="17" t="n">
        <f aca="false">J34*Assumptions!$G$43</f>
        <v>0</v>
      </c>
      <c r="K38" s="17" t="n">
        <f aca="false">K34*Assumptions!$G$43</f>
        <v>0</v>
      </c>
      <c r="L38" s="17" t="n">
        <f aca="false">L34*Assumptions!$G$43</f>
        <v>0</v>
      </c>
      <c r="M38" s="17" t="n">
        <f aca="false">M34*Assumptions!$G$43</f>
        <v>0</v>
      </c>
      <c r="N38" s="17" t="n">
        <f aca="false">N34*Assumptions!$G$43</f>
        <v>0</v>
      </c>
      <c r="O38" s="17" t="n">
        <f aca="false">O34*Assumptions!$G$43</f>
        <v>0</v>
      </c>
      <c r="P38" s="17" t="n">
        <f aca="false">P34*Assumptions!$G$43</f>
        <v>0</v>
      </c>
      <c r="Q38" s="17" t="n">
        <f aca="false">Q34*Assumptions!$G$43</f>
        <v>0</v>
      </c>
      <c r="R38" s="17" t="n">
        <f aca="false">R34*Assumptions!$G$43</f>
        <v>0</v>
      </c>
      <c r="S38" s="17" t="n">
        <f aca="false">S34*Assumptions!$G$43</f>
        <v>0</v>
      </c>
      <c r="T38" s="17" t="n">
        <f aca="false">T34*Assumptions!$G$43</f>
        <v>177.754528294374</v>
      </c>
      <c r="U38" s="17" t="n">
        <f aca="false">U34*Assumptions!$G$43</f>
        <v>361.328651437843</v>
      </c>
      <c r="V38" s="17" t="n">
        <f aca="false">V34*Assumptions!$G$43</f>
        <v>550.284866956363</v>
      </c>
      <c r="W38" s="17" t="n">
        <f aca="false">W34*Assumptions!$G$43</f>
        <v>750.723076449924</v>
      </c>
      <c r="X38" s="17" t="n">
        <f aca="false">X34*Assumptions!$G$43</f>
        <v>960.871833669694</v>
      </c>
      <c r="Y38" s="17" t="n">
        <f aca="false">Y34*Assumptions!$G$43</f>
        <v>1178.07990906106</v>
      </c>
      <c r="Z38" s="17" t="n">
        <f aca="false">Z34*Assumptions!$G$43</f>
        <v>1406.96304986197</v>
      </c>
      <c r="AA38" s="17" t="n">
        <f aca="false">AA34*Assumptions!$G$43</f>
        <v>1644.66687395529</v>
      </c>
      <c r="AB38" s="17" t="n">
        <f aca="false">AB34*Assumptions!$G$43</f>
        <v>1888.34113032765</v>
      </c>
      <c r="AC38" s="17" t="n">
        <f aca="false">AC34*Assumptions!$G$43</f>
        <v>2141.64227506044</v>
      </c>
      <c r="AD38" s="17" t="n">
        <f aca="false">AD34*Assumptions!$G$43</f>
        <v>2408.39045826725</v>
      </c>
      <c r="AE38" s="17" t="n">
        <f aca="false">AE34*Assumptions!$G$43</f>
        <v>2684.23001949276</v>
      </c>
      <c r="AF38" s="17" t="n">
        <f aca="false">AF34*Assumptions!$G$43</f>
        <v>2970.67284143769</v>
      </c>
      <c r="AG38" s="17" t="n">
        <f aca="false">AG34*Assumptions!$G$43</f>
        <v>3270.11799428059</v>
      </c>
      <c r="AH38" s="17" t="n">
        <f aca="false">AH34*Assumptions!$G$43</f>
        <v>3577.18441271011</v>
      </c>
      <c r="AI38" s="17" t="n">
        <f aca="false">AI34*Assumptions!$G$43</f>
        <v>3892.97740415189</v>
      </c>
      <c r="AJ38" s="17" t="n">
        <f aca="false">AJ34*Assumptions!$G$43</f>
        <v>4219.00957470961</v>
      </c>
      <c r="AK38" s="17" t="n">
        <f aca="false">AK34*Assumptions!$G$43</f>
        <v>4556.6408216092</v>
      </c>
      <c r="AL38" s="17" t="n">
        <f aca="false">AL34*Assumptions!$G$43</f>
        <v>4905.79166832064</v>
      </c>
      <c r="AM38" s="17" t="n">
        <f aca="false">AM34*Assumptions!$G$43</f>
        <v>5265.60043036582</v>
      </c>
      <c r="AN38" s="44" t="n">
        <f aca="false">AN34*Assumptions!$G$43</f>
        <v>5636.05853643315</v>
      </c>
      <c r="AO38" s="44" t="n">
        <f aca="false">AO34*Assumptions!$G$43</f>
        <v>6016.10909551612</v>
      </c>
      <c r="AP38" s="44" t="n">
        <f aca="false">AP34*Assumptions!$G$43</f>
        <v>6404.78765247197</v>
      </c>
      <c r="AQ38" s="44" t="n">
        <f aca="false">AQ34*Assumptions!$G$43</f>
        <v>6801.21413991298</v>
      </c>
      <c r="AR38" s="44" t="n">
        <f aca="false">AR34*Assumptions!$G$43</f>
        <v>7204.58553518085</v>
      </c>
      <c r="AS38" s="44" t="n">
        <f aca="false">AS34*Assumptions!$G$43</f>
        <v>7614.16916027939</v>
      </c>
      <c r="AT38" s="44" t="n">
        <f aca="false">AT34*Assumptions!$G$43</f>
        <v>8029.03653829116</v>
      </c>
      <c r="AU38" s="44" t="n">
        <f aca="false">AU34*Assumptions!$G$43</f>
        <v>8448.60283486241</v>
      </c>
      <c r="AV38" s="44" t="n">
        <f aca="false">AV34*Assumptions!$G$43</f>
        <v>8872.33458332736</v>
      </c>
      <c r="AW38" s="44" t="n">
        <f aca="false">AW34*Assumptions!$G$43</f>
        <v>9299.4852004178</v>
      </c>
      <c r="AX38" s="44" t="n">
        <f aca="false">AX34*Assumptions!$G$43</f>
        <v>9729.63594107334</v>
      </c>
      <c r="AY38" s="44" t="n">
        <f aca="false">AY34*Assumptions!$G$43</f>
        <v>10162.405003825</v>
      </c>
      <c r="AZ38" s="44" t="n">
        <f aca="false">AZ34*Assumptions!$G$43</f>
        <v>10597.1843054556</v>
      </c>
      <c r="BA38" s="44" t="n">
        <f aca="false">BA34*Assumptions!$G$43</f>
        <v>11033.4215543199</v>
      </c>
      <c r="BB38" s="44" t="n">
        <f aca="false">BB34*Assumptions!$G$43</f>
        <v>11470.875423764</v>
      </c>
      <c r="BC38" s="44" t="n">
        <f aca="false">BC34*Assumptions!$G$43</f>
        <v>11909.0660988701</v>
      </c>
      <c r="BD38" s="44" t="n">
        <f aca="false">BD34*Assumptions!$G$43</f>
        <v>12347.558413707</v>
      </c>
      <c r="BE38" s="44" t="n">
        <f aca="false">BE34*Assumptions!$G$43</f>
        <v>12786.2179953333</v>
      </c>
      <c r="BF38" s="44" t="n">
        <f aca="false">BF34*Assumptions!$G$43</f>
        <v>13224.6626960131</v>
      </c>
      <c r="BG38" s="44" t="n">
        <f aca="false">BG34*Assumptions!$G$43</f>
        <v>13662.5465383311</v>
      </c>
      <c r="BH38" s="44" t="n">
        <f aca="false">BH34*Assumptions!$G$43</f>
        <v>14099.5565664444</v>
      </c>
      <c r="BI38" s="44" t="n">
        <f aca="false">BI34*Assumptions!$G$43</f>
        <v>14535.4099713722</v>
      </c>
      <c r="BJ38" s="44" t="n">
        <f aca="false">BJ34*Assumptions!$G$43</f>
        <v>14969.8514663117</v>
      </c>
      <c r="BK38" s="44" t="n">
        <f aca="false">BK34*Assumptions!$G$43</f>
        <v>15402.6508900894</v>
      </c>
    </row>
    <row r="39" customFormat="false" ht="15" hidden="false" customHeight="false" outlineLevel="0" collapsed="false">
      <c r="A39" s="28" t="s">
        <v>594</v>
      </c>
      <c r="B39" s="6" t="s">
        <v>595</v>
      </c>
      <c r="C39" s="43"/>
      <c r="D39" s="17" t="n">
        <f aca="false">(D33*Assumptions!$G$46+D34*Assumptions!$G$47)*Assumptions!$G$45</f>
        <v>0</v>
      </c>
      <c r="E39" s="17" t="n">
        <f aca="false">(E33*Assumptions!$G$46+E34*Assumptions!$G$47)*Assumptions!$G$45</f>
        <v>0</v>
      </c>
      <c r="F39" s="17" t="n">
        <f aca="false">(F33*Assumptions!$G$46+F34*Assumptions!$G$47)*Assumptions!$G$45</f>
        <v>0</v>
      </c>
      <c r="G39" s="17" t="n">
        <f aca="false">(G33*Assumptions!$G$46+G34*Assumptions!$G$47)*Assumptions!$G$45</f>
        <v>0</v>
      </c>
      <c r="H39" s="17" t="n">
        <f aca="false">(H33*Assumptions!$G$46+H34*Assumptions!$G$47)*Assumptions!$G$45</f>
        <v>0</v>
      </c>
      <c r="I39" s="17" t="n">
        <f aca="false">(I33*Assumptions!$G$46+I34*Assumptions!$G$47)*Assumptions!$G$45</f>
        <v>0</v>
      </c>
      <c r="J39" s="17" t="n">
        <f aca="false">(J33*Assumptions!$G$46+J34*Assumptions!$G$47)*Assumptions!$G$45</f>
        <v>0</v>
      </c>
      <c r="K39" s="17" t="n">
        <f aca="false">(K33*Assumptions!$G$46+K34*Assumptions!$G$47)*Assumptions!$G$45</f>
        <v>0</v>
      </c>
      <c r="L39" s="17" t="n">
        <f aca="false">(L33*Assumptions!$G$46+L34*Assumptions!$G$47)*Assumptions!$G$45</f>
        <v>0</v>
      </c>
      <c r="M39" s="17" t="n">
        <f aca="false">(M33*Assumptions!$G$46+M34*Assumptions!$G$47)*Assumptions!$G$45</f>
        <v>0</v>
      </c>
      <c r="N39" s="17" t="n">
        <f aca="false">(N33*Assumptions!$G$46+N34*Assumptions!$G$47)*Assumptions!$G$45</f>
        <v>0</v>
      </c>
      <c r="O39" s="17" t="n">
        <f aca="false">(O33*Assumptions!$G$46+O34*Assumptions!$G$47)*Assumptions!$G$45</f>
        <v>0</v>
      </c>
      <c r="P39" s="17" t="n">
        <f aca="false">(P33*Assumptions!$G$46+P34*Assumptions!$G$47)*Assumptions!$G$45</f>
        <v>0</v>
      </c>
      <c r="Q39" s="17" t="n">
        <f aca="false">(Q33*Assumptions!$G$46+Q34*Assumptions!$G$47)*Assumptions!$G$45</f>
        <v>0</v>
      </c>
      <c r="R39" s="17" t="n">
        <f aca="false">(R33*Assumptions!$G$46+R34*Assumptions!$G$47)*Assumptions!$G$45</f>
        <v>0</v>
      </c>
      <c r="S39" s="17" t="n">
        <f aca="false">(S33*Assumptions!$G$46+S34*Assumptions!$G$47)*Assumptions!$G$45</f>
        <v>0</v>
      </c>
      <c r="T39" s="17" t="n">
        <f aca="false">(T33*Assumptions!$G$46+T34*Assumptions!$G$47)*Assumptions!$G$45</f>
        <v>20527.0433961913</v>
      </c>
      <c r="U39" s="17" t="n">
        <f aca="false">(U33*Assumptions!$G$46+U34*Assumptions!$G$47)*Assumptions!$G$45</f>
        <v>41828.8981966764</v>
      </c>
      <c r="V39" s="17" t="n">
        <f aca="false">(V33*Assumptions!$G$46+V34*Assumptions!$G$47)*Assumptions!$G$45</f>
        <v>63851.9256872641</v>
      </c>
      <c r="W39" s="17" t="n">
        <f aca="false">(W33*Assumptions!$G$46+W34*Assumptions!$G$47)*Assumptions!$G$45</f>
        <v>87297.3952916115</v>
      </c>
      <c r="X39" s="17" t="n">
        <f aca="false">(X33*Assumptions!$G$46+X34*Assumptions!$G$47)*Assumptions!$G$45</f>
        <v>111961.344759027</v>
      </c>
      <c r="Y39" s="17" t="n">
        <f aca="false">(Y33*Assumptions!$G$46+Y34*Assumptions!$G$47)*Assumptions!$G$45</f>
        <v>137537.174584697</v>
      </c>
      <c r="Z39" s="17" t="n">
        <f aca="false">(Z33*Assumptions!$G$46+Z34*Assumptions!$G$47)*Assumptions!$G$45</f>
        <v>164555.989335719</v>
      </c>
      <c r="AA39" s="17" t="n">
        <f aca="false">(AA33*Assumptions!$G$46+AA34*Assumptions!$G$47)*Assumptions!$G$45</f>
        <v>192689.054237482</v>
      </c>
      <c r="AB39" s="17" t="n">
        <f aca="false">(AB33*Assumptions!$G$46+AB34*Assumptions!$G$47)*Assumptions!$G$45</f>
        <v>221606.423093382</v>
      </c>
      <c r="AC39" s="17" t="n">
        <f aca="false">(AC33*Assumptions!$G$46+AC34*Assumptions!$G$47)*Assumptions!$G$45</f>
        <v>251727.961962357</v>
      </c>
      <c r="AD39" s="17" t="n">
        <f aca="false">(AD33*Assumptions!$G$46+AD34*Assumptions!$G$47)*Assumptions!$G$45</f>
        <v>283494.71996572</v>
      </c>
      <c r="AE39" s="17" t="n">
        <f aca="false">(AE33*Assumptions!$G$46+AE34*Assumptions!$G$47)*Assumptions!$G$45</f>
        <v>316405.834924819</v>
      </c>
      <c r="AF39" s="17" t="n">
        <f aca="false">(AF33*Assumptions!$G$46+AF34*Assumptions!$G$47)*Assumptions!$G$45</f>
        <v>350635.387774456</v>
      </c>
      <c r="AG39" s="17" t="n">
        <f aca="false">(AG33*Assumptions!$G$46+AG34*Assumptions!$G$47)*Assumptions!$G$45</f>
        <v>386460.830912034</v>
      </c>
      <c r="AH39" s="17" t="n">
        <f aca="false">(AH33*Assumptions!$G$46+AH34*Assumptions!$G$47)*Assumptions!$G$45</f>
        <v>423262.542195159</v>
      </c>
      <c r="AI39" s="17" t="n">
        <f aca="false">(AI33*Assumptions!$G$46+AI34*Assumptions!$G$47)*Assumptions!$G$45</f>
        <v>461166.732155319</v>
      </c>
      <c r="AJ39" s="17" t="n">
        <f aca="false">(AJ33*Assumptions!$G$46+AJ34*Assumptions!$G$47)*Assumptions!$G$45</f>
        <v>500347.386561233</v>
      </c>
      <c r="AK39" s="17" t="n">
        <f aca="false">(AK33*Assumptions!$G$46+AK34*Assumptions!$G$47)*Assumptions!$G$45</f>
        <v>540961.784646661</v>
      </c>
      <c r="AL39" s="17" t="n">
        <f aca="false">(AL33*Assumptions!$G$46+AL34*Assumptions!$G$47)*Assumptions!$G$45</f>
        <v>583001.767813901</v>
      </c>
      <c r="AM39" s="17" t="n">
        <f aca="false">(AM33*Assumptions!$G$46+AM34*Assumptions!$G$47)*Assumptions!$G$45</f>
        <v>626368.747096929</v>
      </c>
      <c r="AN39" s="44" t="n">
        <f aca="false">(AN33*Assumptions!$G$46+AN34*Assumptions!$G$47)*Assumptions!$G$45</f>
        <v>671062.103504379</v>
      </c>
      <c r="AO39" s="44" t="n">
        <f aca="false">(AO33*Assumptions!$G$46+AO34*Assumptions!$G$47)*Assumptions!$G$45</f>
        <v>716960.138555638</v>
      </c>
      <c r="AP39" s="44" t="n">
        <f aca="false">(AP33*Assumptions!$G$46+AP34*Assumptions!$G$47)*Assumptions!$G$45</f>
        <v>763951.203211401</v>
      </c>
      <c r="AQ39" s="44" t="n">
        <f aca="false">(AQ33*Assumptions!$G$46+AQ34*Assumptions!$G$47)*Assumptions!$G$45</f>
        <v>811932.860971884</v>
      </c>
      <c r="AR39" s="44" t="n">
        <f aca="false">(AR33*Assumptions!$G$46+AR34*Assumptions!$G$47)*Assumptions!$G$45</f>
        <v>860811.121770996</v>
      </c>
      <c r="AS39" s="44" t="n">
        <f aca="false">(AS33*Assumptions!$G$46+AS34*Assumptions!$G$47)*Assumptions!$G$45</f>
        <v>910499.740603166</v>
      </c>
      <c r="AT39" s="44" t="n">
        <f aca="false">(AT33*Assumptions!$G$46+AT34*Assumptions!$G$47)*Assumptions!$G$45</f>
        <v>960889.54716918</v>
      </c>
      <c r="AU39" s="44" t="n">
        <f aca="false">(AU33*Assumptions!$G$46+AU34*Assumptions!$G$47)*Assumptions!$G$45</f>
        <v>1011910.64631257</v>
      </c>
      <c r="AV39" s="44" t="n">
        <f aca="false">(AV33*Assumptions!$G$46+AV34*Assumptions!$G$47)*Assumptions!$G$45</f>
        <v>1063498.88985168</v>
      </c>
      <c r="AW39" s="44" t="n">
        <f aca="false">(AW33*Assumptions!$G$46+AW34*Assumptions!$G$47)*Assumptions!$G$45</f>
        <v>1115565.37452359</v>
      </c>
      <c r="AX39" s="44" t="n">
        <f aca="false">(AX33*Assumptions!$G$46+AX34*Assumptions!$G$47)*Assumptions!$G$45</f>
        <v>1168058.79635168</v>
      </c>
      <c r="AY39" s="44" t="n">
        <f aca="false">(AY33*Assumptions!$G$46+AY34*Assumptions!$G$47)*Assumptions!$G$45</f>
        <v>1220932.06328043</v>
      </c>
      <c r="AZ39" s="44" t="n">
        <f aca="false">(AZ33*Assumptions!$G$46+AZ34*Assumptions!$G$47)*Assumptions!$G$45</f>
        <v>1274111.92192487</v>
      </c>
      <c r="BA39" s="44" t="n">
        <f aca="false">(BA33*Assumptions!$G$46+BA34*Assumptions!$G$47)*Assumptions!$G$45</f>
        <v>1327531.40160488</v>
      </c>
      <c r="BB39" s="44" t="n">
        <f aca="false">(BB33*Assumptions!$G$46+BB34*Assumptions!$G$47)*Assumptions!$G$45</f>
        <v>1381159.32328389</v>
      </c>
      <c r="BC39" s="44" t="n">
        <f aca="false">(BC33*Assumptions!$G$46+BC34*Assumptions!$G$47)*Assumptions!$G$45</f>
        <v>1434937.03535003</v>
      </c>
      <c r="BD39" s="44" t="n">
        <f aca="false">(BD33*Assumptions!$G$46+BD34*Assumptions!$G$47)*Assumptions!$G$45</f>
        <v>1488810.96731264</v>
      </c>
      <c r="BE39" s="44" t="n">
        <f aca="false">(BE33*Assumptions!$G$46+BE34*Assumptions!$G$47)*Assumptions!$G$45</f>
        <v>1542762.23909271</v>
      </c>
      <c r="BF39" s="44" t="n">
        <f aca="false">(BF33*Assumptions!$G$46+BF34*Assumptions!$G$47)*Assumptions!$G$45</f>
        <v>1596743.48864469</v>
      </c>
      <c r="BG39" s="44" t="n">
        <f aca="false">(BG33*Assumptions!$G$46+BG34*Assumptions!$G$47)*Assumptions!$G$45</f>
        <v>1650711.50971297</v>
      </c>
      <c r="BH39" s="44" t="n">
        <f aca="false">(BH33*Assumptions!$G$46+BH34*Assumptions!$G$47)*Assumptions!$G$45</f>
        <v>1704626.90989432</v>
      </c>
      <c r="BI39" s="44" t="n">
        <f aca="false">(BI33*Assumptions!$G$46+BI34*Assumptions!$G$47)*Assumptions!$G$45</f>
        <v>1758453.79718556</v>
      </c>
      <c r="BJ39" s="44" t="n">
        <f aca="false">(BJ33*Assumptions!$G$46+BJ34*Assumptions!$G$47)*Assumptions!$G$45</f>
        <v>1812159.49260576</v>
      </c>
      <c r="BK39" s="44" t="n">
        <f aca="false">(BK33*Assumptions!$G$46+BK34*Assumptions!$G$47)*Assumptions!$G$45</f>
        <v>1865714.2666887</v>
      </c>
    </row>
    <row r="40" customFormat="false" ht="15" hidden="false" customHeight="false" outlineLevel="0" collapsed="false">
      <c r="A40" s="28" t="s">
        <v>596</v>
      </c>
      <c r="B40" s="6" t="s">
        <v>597</v>
      </c>
      <c r="C40" s="43"/>
      <c r="D40" s="17" t="n">
        <f aca="false">D39*Assumptions!$G$44</f>
        <v>0</v>
      </c>
      <c r="E40" s="17" t="n">
        <f aca="false">E39*Assumptions!$G$44</f>
        <v>0</v>
      </c>
      <c r="F40" s="17" t="n">
        <f aca="false">F39*Assumptions!$G$44</f>
        <v>0</v>
      </c>
      <c r="G40" s="17" t="n">
        <f aca="false">G39*Assumptions!$G$44</f>
        <v>0</v>
      </c>
      <c r="H40" s="17" t="n">
        <f aca="false">H39*Assumptions!$G$44</f>
        <v>0</v>
      </c>
      <c r="I40" s="17" t="n">
        <f aca="false">I39*Assumptions!$G$44</f>
        <v>0</v>
      </c>
      <c r="J40" s="17" t="n">
        <f aca="false">J39*Assumptions!$G$44</f>
        <v>0</v>
      </c>
      <c r="K40" s="17" t="n">
        <f aca="false">K39*Assumptions!$G$44</f>
        <v>0</v>
      </c>
      <c r="L40" s="17" t="n">
        <f aca="false">L39*Assumptions!$G$44</f>
        <v>0</v>
      </c>
      <c r="M40" s="17" t="n">
        <f aca="false">M39*Assumptions!$G$44</f>
        <v>0</v>
      </c>
      <c r="N40" s="17" t="n">
        <f aca="false">N39*Assumptions!$G$44</f>
        <v>0</v>
      </c>
      <c r="O40" s="17" t="n">
        <f aca="false">O39*Assumptions!$G$44</f>
        <v>0</v>
      </c>
      <c r="P40" s="17" t="n">
        <f aca="false">P39*Assumptions!$G$44</f>
        <v>0</v>
      </c>
      <c r="Q40" s="17" t="n">
        <f aca="false">Q39*Assumptions!$G$44</f>
        <v>0</v>
      </c>
      <c r="R40" s="17" t="n">
        <f aca="false">R39*Assumptions!$G$44</f>
        <v>0</v>
      </c>
      <c r="S40" s="17" t="n">
        <f aca="false">S39*Assumptions!$G$44</f>
        <v>0</v>
      </c>
      <c r="T40" s="17" t="n">
        <f aca="false">T39*Assumptions!$G$44</f>
        <v>153.952825471435</v>
      </c>
      <c r="U40" s="17" t="n">
        <f aca="false">U39*Assumptions!$G$44</f>
        <v>313.716736475073</v>
      </c>
      <c r="V40" s="17" t="n">
        <f aca="false">V39*Assumptions!$G$44</f>
        <v>478.88944265448</v>
      </c>
      <c r="W40" s="17" t="n">
        <f aca="false">W39*Assumptions!$G$44</f>
        <v>654.730464687086</v>
      </c>
      <c r="X40" s="17" t="n">
        <f aca="false">X39*Assumptions!$G$44</f>
        <v>839.710085692704</v>
      </c>
      <c r="Y40" s="17" t="n">
        <f aca="false">Y39*Assumptions!$G$44</f>
        <v>1031.52880938522</v>
      </c>
      <c r="Z40" s="17" t="n">
        <f aca="false">Z39*Assumptions!$G$44</f>
        <v>1234.16992001789</v>
      </c>
      <c r="AA40" s="17" t="n">
        <f aca="false">AA39*Assumptions!$G$44</f>
        <v>1445.16790678112</v>
      </c>
      <c r="AB40" s="17" t="n">
        <f aca="false">AB39*Assumptions!$G$44</f>
        <v>1662.04817320036</v>
      </c>
      <c r="AC40" s="17" t="n">
        <f aca="false">AC39*Assumptions!$G$44</f>
        <v>1887.95971471768</v>
      </c>
      <c r="AD40" s="17" t="n">
        <f aca="false">AD39*Assumptions!$G$44</f>
        <v>2126.2103997429</v>
      </c>
      <c r="AE40" s="17" t="n">
        <f aca="false">AE39*Assumptions!$G$44</f>
        <v>2373.04376193615</v>
      </c>
      <c r="AF40" s="17" t="n">
        <f aca="false">AF39*Assumptions!$G$44</f>
        <v>2629.76540830842</v>
      </c>
      <c r="AG40" s="17" t="n">
        <f aca="false">AG39*Assumptions!$G$44</f>
        <v>2898.45623184025</v>
      </c>
      <c r="AH40" s="17" t="n">
        <f aca="false">AH39*Assumptions!$G$44</f>
        <v>3174.46906646369</v>
      </c>
      <c r="AI40" s="17" t="n">
        <f aca="false">AI39*Assumptions!$G$44</f>
        <v>3458.75049116489</v>
      </c>
      <c r="AJ40" s="17" t="n">
        <f aca="false">AJ39*Assumptions!$G$44</f>
        <v>3752.60539920925</v>
      </c>
      <c r="AK40" s="17" t="n">
        <f aca="false">AK39*Assumptions!$G$44</f>
        <v>4057.21338484996</v>
      </c>
      <c r="AL40" s="17" t="n">
        <f aca="false">AL39*Assumptions!$G$44</f>
        <v>4372.51325860426</v>
      </c>
      <c r="AM40" s="17" t="n">
        <f aca="false">AM39*Assumptions!$G$44</f>
        <v>4697.76560322697</v>
      </c>
      <c r="AN40" s="44" t="n">
        <f aca="false">AN39*Assumptions!$G$44</f>
        <v>5032.96577628284</v>
      </c>
      <c r="AO40" s="44" t="n">
        <f aca="false">AO39*Assumptions!$G$44</f>
        <v>5377.20103916728</v>
      </c>
      <c r="AP40" s="44" t="n">
        <f aca="false">AP39*Assumptions!$G$44</f>
        <v>5729.63402408551</v>
      </c>
      <c r="AQ40" s="44" t="n">
        <f aca="false">AQ39*Assumptions!$G$44</f>
        <v>6089.49645728913</v>
      </c>
      <c r="AR40" s="44" t="n">
        <f aca="false">AR39*Assumptions!$G$44</f>
        <v>6456.08341328247</v>
      </c>
      <c r="AS40" s="44" t="n">
        <f aca="false">AS39*Assumptions!$G$44</f>
        <v>6828.74805452374</v>
      </c>
      <c r="AT40" s="44" t="n">
        <f aca="false">AT39*Assumptions!$G$44</f>
        <v>7206.67160376885</v>
      </c>
      <c r="AU40" s="44" t="n">
        <f aca="false">AU39*Assumptions!$G$44</f>
        <v>7589.32984734431</v>
      </c>
      <c r="AV40" s="44" t="n">
        <f aca="false">AV39*Assumptions!$G$44</f>
        <v>7976.24167388759</v>
      </c>
      <c r="AW40" s="44" t="n">
        <f aca="false">AW39*Assumptions!$G$44</f>
        <v>8366.74030892689</v>
      </c>
      <c r="AX40" s="44" t="n">
        <f aca="false">AX39*Assumptions!$G$44</f>
        <v>8760.44097263759</v>
      </c>
      <c r="AY40" s="44" t="n">
        <f aca="false">AY39*Assumptions!$G$44</f>
        <v>9156.99047460325</v>
      </c>
      <c r="AZ40" s="44" t="n">
        <f aca="false">AZ39*Assumptions!$G$44</f>
        <v>9555.83941443655</v>
      </c>
      <c r="BA40" s="44" t="n">
        <f aca="false">BA39*Assumptions!$G$44</f>
        <v>9956.48551203662</v>
      </c>
      <c r="BB40" s="44" t="n">
        <f aca="false">BB39*Assumptions!$G$44</f>
        <v>10358.6949246292</v>
      </c>
      <c r="BC40" s="44" t="n">
        <f aca="false">BC39*Assumptions!$G$44</f>
        <v>10762.0277651252</v>
      </c>
      <c r="BD40" s="44" t="n">
        <f aca="false">BD39*Assumptions!$G$44</f>
        <v>11166.0822548448</v>
      </c>
      <c r="BE40" s="44" t="n">
        <f aca="false">BE39*Assumptions!$G$44</f>
        <v>11570.7167931953</v>
      </c>
      <c r="BF40" s="44" t="n">
        <f aca="false">BF39*Assumptions!$G$44</f>
        <v>11975.5761648352</v>
      </c>
      <c r="BG40" s="44" t="n">
        <f aca="false">BG39*Assumptions!$G$44</f>
        <v>12380.3363228473</v>
      </c>
      <c r="BH40" s="44" t="n">
        <f aca="false">BH39*Assumptions!$G$44</f>
        <v>12784.7018242074</v>
      </c>
      <c r="BI40" s="44" t="n">
        <f aca="false">BI39*Assumptions!$G$44</f>
        <v>13188.4034788917</v>
      </c>
      <c r="BJ40" s="44" t="n">
        <f aca="false">BJ39*Assumptions!$G$44</f>
        <v>13591.1961945432</v>
      </c>
      <c r="BK40" s="44" t="n">
        <f aca="false">BK39*Assumptions!$G$44</f>
        <v>13992.8570001653</v>
      </c>
    </row>
    <row r="41" customFormat="false" ht="15" hidden="false" customHeight="false" outlineLevel="0" collapsed="false">
      <c r="A41" s="28" t="s">
        <v>598</v>
      </c>
      <c r="B41" s="6" t="s">
        <v>599</v>
      </c>
      <c r="C41" s="43"/>
      <c r="D41" s="17" t="n">
        <f aca="false">D24*Assumptions!$G$17*Assumptions!$G$68*Assumptions!$G$69*Assumptions!$G$70*Assumptions!$G$71/1000*D21</f>
        <v>0</v>
      </c>
      <c r="E41" s="17" t="n">
        <f aca="false">E24*Assumptions!$G$17*Assumptions!$G$68*Assumptions!$G$69*Assumptions!$G$70*Assumptions!$G$71/1000*E21</f>
        <v>0</v>
      </c>
      <c r="F41" s="17" t="n">
        <f aca="false">F24*Assumptions!$G$17*Assumptions!$G$68*Assumptions!$G$69*Assumptions!$G$70*Assumptions!$G$71/1000*F21</f>
        <v>0</v>
      </c>
      <c r="G41" s="17" t="n">
        <f aca="false">G24*Assumptions!$G$17*Assumptions!$G$68*Assumptions!$G$69*Assumptions!$G$70*Assumptions!$G$71/1000*G21</f>
        <v>0</v>
      </c>
      <c r="H41" s="17" t="n">
        <f aca="false">H24*Assumptions!$G$17*Assumptions!$G$68*Assumptions!$G$69*Assumptions!$G$70*Assumptions!$G$71/1000*H21</f>
        <v>0</v>
      </c>
      <c r="I41" s="17" t="n">
        <f aca="false">I24*Assumptions!$G$17*Assumptions!$G$68*Assumptions!$G$69*Assumptions!$G$70*Assumptions!$G$71/1000*I21</f>
        <v>0</v>
      </c>
      <c r="J41" s="17" t="n">
        <f aca="false">J24*Assumptions!$G$17*Assumptions!$G$68*Assumptions!$G$69*Assumptions!$G$70*Assumptions!$G$71/1000*J21</f>
        <v>0</v>
      </c>
      <c r="K41" s="17" t="n">
        <f aca="false">K24*Assumptions!$G$17*Assumptions!$G$68*Assumptions!$G$69*Assumptions!$G$70*Assumptions!$G$71/1000*K21</f>
        <v>0</v>
      </c>
      <c r="L41" s="17" t="n">
        <f aca="false">L24*Assumptions!$G$17*Assumptions!$G$68*Assumptions!$G$69*Assumptions!$G$70*Assumptions!$G$71/1000*L21</f>
        <v>0</v>
      </c>
      <c r="M41" s="17" t="n">
        <f aca="false">M24*Assumptions!$G$17*Assumptions!$G$68*Assumptions!$G$69*Assumptions!$G$70*Assumptions!$G$71/1000*M21</f>
        <v>0</v>
      </c>
      <c r="N41" s="17" t="n">
        <f aca="false">N24*Assumptions!$G$17*Assumptions!$G$68*Assumptions!$G$69*Assumptions!$G$70*Assumptions!$G$71/1000*N21</f>
        <v>0</v>
      </c>
      <c r="O41" s="17" t="n">
        <f aca="false">O24*Assumptions!$G$17*Assumptions!$G$68*Assumptions!$G$69*Assumptions!$G$70*Assumptions!$G$71/1000*O21</f>
        <v>0</v>
      </c>
      <c r="P41" s="17" t="n">
        <f aca="false">P24*Assumptions!$G$17*Assumptions!$G$68*Assumptions!$G$69*Assumptions!$G$70*Assumptions!$G$71/1000*P21</f>
        <v>0</v>
      </c>
      <c r="Q41" s="17" t="n">
        <f aca="false">Q24*Assumptions!$G$17*Assumptions!$G$68*Assumptions!$G$69*Assumptions!$G$70*Assumptions!$G$71/1000*Q21</f>
        <v>0</v>
      </c>
      <c r="R41" s="17" t="n">
        <f aca="false">R24*Assumptions!$G$17*Assumptions!$G$68*Assumptions!$G$69*Assumptions!$G$70*Assumptions!$G$71/1000*R21</f>
        <v>0</v>
      </c>
      <c r="S41" s="17" t="n">
        <f aca="false">S24*Assumptions!$G$17*Assumptions!$G$68*Assumptions!$G$69*Assumptions!$G$70*Assumptions!$G$71/1000*S21</f>
        <v>0</v>
      </c>
      <c r="T41" s="17" t="n">
        <f aca="false">T24*Assumptions!$G$17*Assumptions!$G$68*Assumptions!$G$69*Assumptions!$G$70*Assumptions!$G$71/1000*T21</f>
        <v>0</v>
      </c>
      <c r="U41" s="17" t="n">
        <f aca="false">U24*Assumptions!$G$17*Assumptions!$G$68*Assumptions!$G$69*Assumptions!$G$70*Assumptions!$G$71/1000*U21</f>
        <v>0</v>
      </c>
      <c r="V41" s="17" t="n">
        <f aca="false">V24*Assumptions!$G$17*Assumptions!$G$68*Assumptions!$G$69*Assumptions!$G$70*Assumptions!$G$71/1000*V21</f>
        <v>0</v>
      </c>
      <c r="W41" s="17" t="n">
        <f aca="false">W24*Assumptions!$G$17*Assumptions!$G$68*Assumptions!$G$69*Assumptions!$G$70*Assumptions!$G$71/1000*W21</f>
        <v>0</v>
      </c>
      <c r="X41" s="17" t="n">
        <f aca="false">X24*Assumptions!$G$17*Assumptions!$G$68*Assumptions!$G$69*Assumptions!$G$70*Assumptions!$G$71/1000*X21</f>
        <v>0</v>
      </c>
      <c r="Y41" s="17" t="n">
        <f aca="false">Y24*Assumptions!$G$17*Assumptions!$G$68*Assumptions!$G$69*Assumptions!$G$70*Assumptions!$G$71/1000*Y21</f>
        <v>0</v>
      </c>
      <c r="Z41" s="17" t="n">
        <f aca="false">Z24*Assumptions!$G$17*Assumptions!$G$68*Assumptions!$G$69*Assumptions!$G$70*Assumptions!$G$71/1000*Z21</f>
        <v>0</v>
      </c>
      <c r="AA41" s="17" t="n">
        <f aca="false">AA24*Assumptions!$G$17*Assumptions!$G$68*Assumptions!$G$69*Assumptions!$G$70*Assumptions!$G$71/1000*AA21</f>
        <v>0</v>
      </c>
      <c r="AB41" s="17" t="n">
        <f aca="false">AB24*Assumptions!$G$17*Assumptions!$G$68*Assumptions!$G$69*Assumptions!$G$70*Assumptions!$G$71/1000*AB21</f>
        <v>0</v>
      </c>
      <c r="AC41" s="17" t="n">
        <f aca="false">AC24*Assumptions!$G$17*Assumptions!$G$68*Assumptions!$G$69*Assumptions!$G$70*Assumptions!$G$71/1000*AC21</f>
        <v>0</v>
      </c>
      <c r="AD41" s="17" t="n">
        <f aca="false">AD24*Assumptions!$G$17*Assumptions!$G$68*Assumptions!$G$69*Assumptions!$G$70*Assumptions!$G$71/1000*AD21</f>
        <v>0</v>
      </c>
      <c r="AE41" s="17" t="n">
        <f aca="false">AE24*Assumptions!$G$17*Assumptions!$G$68*Assumptions!$G$69*Assumptions!$G$70*Assumptions!$G$71/1000*AE21</f>
        <v>83.0597103816792</v>
      </c>
      <c r="AF41" s="17" t="n">
        <f aca="false">AF24*Assumptions!$G$17*Assumptions!$G$68*Assumptions!$G$69*Assumptions!$G$70*Assumptions!$G$71/1000*AF21</f>
        <v>178.698260341252</v>
      </c>
      <c r="AG41" s="17" t="n">
        <f aca="false">AG24*Assumptions!$G$17*Assumptions!$G$68*Assumptions!$G$69*Assumptions!$G$70*Assumptions!$G$71/1000*AG21</f>
        <v>288.011194047649</v>
      </c>
      <c r="AH41" s="17" t="n">
        <f aca="false">AH24*Assumptions!$G$17*Assumptions!$G$68*Assumptions!$G$69*Assumptions!$G$70*Assumptions!$G$71/1000*AH21</f>
        <v>410.411820091668</v>
      </c>
      <c r="AI41" s="17" t="n">
        <f aca="false">AI24*Assumptions!$G$17*Assumptions!$G$68*Assumptions!$G$69*Assumptions!$G$70*Assumptions!$G$71/1000*AI21</f>
        <v>546.429444946816</v>
      </c>
      <c r="AJ41" s="17" t="n">
        <f aca="false">AJ24*Assumptions!$G$17*Assumptions!$G$68*Assumptions!$G$69*Assumptions!$G$70*Assumptions!$G$71/1000*AJ21</f>
        <v>697.06412406185</v>
      </c>
      <c r="AK41" s="17" t="n">
        <f aca="false">AK24*Assumptions!$G$17*Assumptions!$G$68*Assumptions!$G$69*Assumptions!$G$70*Assumptions!$G$71/1000*AK21</f>
        <v>740.141654323504</v>
      </c>
      <c r="AL41" s="17" t="n">
        <f aca="false">AL24*Assumptions!$G$17*Assumptions!$G$68*Assumptions!$G$69*Assumptions!$G$70*Assumptions!$G$71/1000*AL21</f>
        <v>784.715018756745</v>
      </c>
      <c r="AM41" s="17" t="n">
        <f aca="false">AM24*Assumptions!$G$17*Assumptions!$G$68*Assumptions!$G$69*Assumptions!$G$70*Assumptions!$G$71/1000*AM21</f>
        <v>830.308610203888</v>
      </c>
      <c r="AN41" s="44" t="n">
        <f aca="false">AN24*Assumptions!$G$17*Assumptions!$G$68*Assumptions!$G$69*Assumptions!$G$70*Assumptions!$G$71/1000*AN21</f>
        <v>876.93330141441</v>
      </c>
      <c r="AO41" s="44" t="n">
        <f aca="false">AO24*Assumptions!$G$17*Assumptions!$G$68*Assumptions!$G$69*Assumptions!$G$70*Assumptions!$G$71/1000*AO21</f>
        <v>924.165151153431</v>
      </c>
      <c r="AP41" s="44" t="n">
        <f aca="false">AP24*Assumptions!$G$17*Assumptions!$G$68*Assumptions!$G$69*Assumptions!$G$70*Assumptions!$G$71/1000*AP21</f>
        <v>971.729228181454</v>
      </c>
      <c r="AQ41" s="44" t="n">
        <f aca="false">AQ24*Assumptions!$G$17*Assumptions!$G$68*Assumptions!$G$69*Assumptions!$G$70*Assumptions!$G$71/1000*AQ21</f>
        <v>1019.44745145035</v>
      </c>
      <c r="AR41" s="44" t="n">
        <f aca="false">AR24*Assumptions!$G$17*Assumptions!$G$68*Assumptions!$G$69*Assumptions!$G$70*Assumptions!$G$71/1000*AR21</f>
        <v>1067.20468629381</v>
      </c>
      <c r="AS41" s="44" t="n">
        <f aca="false">AS24*Assumptions!$G$17*Assumptions!$G$68*Assumptions!$G$69*Assumptions!$G$70*Assumptions!$G$71/1000*AS21</f>
        <v>1114.92670701355</v>
      </c>
      <c r="AT41" s="44" t="n">
        <f aca="false">AT24*Assumptions!$G$17*Assumptions!$G$68*Assumptions!$G$69*Assumptions!$G$70*Assumptions!$G$71/1000*AT21</f>
        <v>1162.45904037215</v>
      </c>
      <c r="AU41" s="44" t="n">
        <f aca="false">AU24*Assumptions!$G$17*Assumptions!$G$68*Assumptions!$G$69*Assumptions!$G$70*Assumptions!$G$71/1000*AU21</f>
        <v>1209.80977899711</v>
      </c>
      <c r="AV41" s="44" t="n">
        <f aca="false">AV24*Assumptions!$G$17*Assumptions!$G$68*Assumptions!$G$69*Assumptions!$G$70*Assumptions!$G$71/1000*AV21</f>
        <v>1256.98476607578</v>
      </c>
      <c r="AW41" s="44" t="n">
        <f aca="false">AW24*Assumptions!$G$17*Assumptions!$G$68*Assumptions!$G$69*Assumptions!$G$70*Assumptions!$G$71/1000*AW21</f>
        <v>1303.88154457964</v>
      </c>
      <c r="AX41" s="44" t="n">
        <f aca="false">AX24*Assumptions!$G$17*Assumptions!$G$68*Assumptions!$G$69*Assumptions!$G$70*Assumptions!$G$71/1000*AX21</f>
        <v>1350.54198939085</v>
      </c>
      <c r="AY41" s="44" t="n">
        <f aca="false">AY24*Assumptions!$G$17*Assumptions!$G$68*Assumptions!$G$69*Assumptions!$G$70*Assumptions!$G$71/1000*AY21</f>
        <v>1396.99387416399</v>
      </c>
      <c r="AZ41" s="44" t="n">
        <f aca="false">AZ24*Assumptions!$G$17*Assumptions!$G$68*Assumptions!$G$69*Assumptions!$G$70*Assumptions!$G$71/1000*AZ21</f>
        <v>1443.14896895593</v>
      </c>
      <c r="BA41" s="44" t="n">
        <f aca="false">BA24*Assumptions!$G$17*Assumptions!$G$68*Assumptions!$G$69*Assumptions!$G$70*Assumptions!$G$71/1000*BA21</f>
        <v>1488.9515365632</v>
      </c>
      <c r="BB41" s="44" t="n">
        <f aca="false">BB24*Assumptions!$G$17*Assumptions!$G$68*Assumptions!$G$69*Assumptions!$G$70*Assumptions!$G$71/1000*BB21</f>
        <v>1534.47377619051</v>
      </c>
      <c r="BC41" s="44" t="n">
        <f aca="false">BC24*Assumptions!$G$17*Assumptions!$G$68*Assumptions!$G$69*Assumptions!$G$70*Assumptions!$G$71/1000*BC21</f>
        <v>1579.65629692401</v>
      </c>
      <c r="BD41" s="44" t="n">
        <f aca="false">BD24*Assumptions!$G$17*Assumptions!$G$68*Assumptions!$G$69*Assumptions!$G$70*Assumptions!$G$71/1000*BD21</f>
        <v>1624.46206972679</v>
      </c>
      <c r="BE41" s="44" t="n">
        <f aca="false">BE24*Assumptions!$G$17*Assumptions!$G$68*Assumptions!$G$69*Assumptions!$G$70*Assumptions!$G$71/1000*BE21</f>
        <v>1668.97541728133</v>
      </c>
      <c r="BF41" s="44" t="n">
        <f aca="false">BF24*Assumptions!$G$17*Assumptions!$G$68*Assumptions!$G$69*Assumptions!$G$70*Assumptions!$G$71/1000*BF21</f>
        <v>1713.1447924722</v>
      </c>
      <c r="BG41" s="44" t="n">
        <f aca="false">BG24*Assumptions!$G$17*Assumptions!$G$68*Assumptions!$G$69*Assumptions!$G$70*Assumptions!$G$71/1000*BG21</f>
        <v>1756.93822863387</v>
      </c>
      <c r="BH41" s="44" t="n">
        <f aca="false">BH24*Assumptions!$G$17*Assumptions!$G$68*Assumptions!$G$69*Assumptions!$G$70*Assumptions!$G$71/1000*BH21</f>
        <v>1800.33647100368</v>
      </c>
      <c r="BI41" s="44" t="n">
        <f aca="false">BI24*Assumptions!$G$17*Assumptions!$G$68*Assumptions!$G$69*Assumptions!$G$70*Assumptions!$G$71/1000*BI21</f>
        <v>1843.32851232014</v>
      </c>
      <c r="BJ41" s="44" t="n">
        <f aca="false">BJ24*Assumptions!$G$17*Assumptions!$G$68*Assumptions!$G$69*Assumptions!$G$70*Assumptions!$G$71/1000*BJ21</f>
        <v>1885.90869111417</v>
      </c>
      <c r="BK41" s="44" t="n">
        <f aca="false">BK24*Assumptions!$G$17*Assumptions!$G$68*Assumptions!$G$69*Assumptions!$G$70*Assumptions!$G$71/1000*BK21</f>
        <v>1928.07480574922</v>
      </c>
    </row>
    <row r="42" customFormat="false" ht="15" hidden="false" customHeight="false" outlineLevel="0" collapsed="false">
      <c r="A42" s="28" t="s">
        <v>600</v>
      </c>
      <c r="B42" s="6" t="s">
        <v>601</v>
      </c>
      <c r="C42" s="43"/>
      <c r="D42" s="17" t="n">
        <f aca="false">D13*Assumptions!$G$72*Assumptions!$G$73*D21</f>
        <v>0</v>
      </c>
      <c r="E42" s="17" t="n">
        <f aca="false">E13*Assumptions!$G$72*Assumptions!$G$73*E21</f>
        <v>0</v>
      </c>
      <c r="F42" s="17" t="n">
        <f aca="false">F13*Assumptions!$G$72*Assumptions!$G$73*F21</f>
        <v>0</v>
      </c>
      <c r="G42" s="17" t="n">
        <f aca="false">G13*Assumptions!$G$72*Assumptions!$G$73*G21</f>
        <v>0</v>
      </c>
      <c r="H42" s="17" t="n">
        <f aca="false">H13*Assumptions!$G$72*Assumptions!$G$73*H21</f>
        <v>0</v>
      </c>
      <c r="I42" s="17" t="n">
        <f aca="false">I13*Assumptions!$G$72*Assumptions!$G$73*I21</f>
        <v>0</v>
      </c>
      <c r="J42" s="17" t="n">
        <f aca="false">J13*Assumptions!$G$72*Assumptions!$G$73*J21</f>
        <v>0</v>
      </c>
      <c r="K42" s="17" t="n">
        <f aca="false">K13*Assumptions!$G$72*Assumptions!$G$73*K21</f>
        <v>0</v>
      </c>
      <c r="L42" s="17" t="n">
        <f aca="false">L13*Assumptions!$G$72*Assumptions!$G$73*L21</f>
        <v>0</v>
      </c>
      <c r="M42" s="17" t="n">
        <f aca="false">M13*Assumptions!$G$72*Assumptions!$G$73*M21</f>
        <v>0</v>
      </c>
      <c r="N42" s="17" t="n">
        <f aca="false">N13*Assumptions!$G$72*Assumptions!$G$73*N21</f>
        <v>0</v>
      </c>
      <c r="O42" s="17" t="n">
        <f aca="false">O13*Assumptions!$G$72*Assumptions!$G$73*O21</f>
        <v>0</v>
      </c>
      <c r="P42" s="17" t="n">
        <f aca="false">P13*Assumptions!$G$72*Assumptions!$G$73*P21</f>
        <v>0</v>
      </c>
      <c r="Q42" s="17" t="n">
        <f aca="false">Q13*Assumptions!$G$72*Assumptions!$G$73*Q21</f>
        <v>0</v>
      </c>
      <c r="R42" s="17" t="n">
        <f aca="false">R13*Assumptions!$G$72*Assumptions!$G$73*R21</f>
        <v>0</v>
      </c>
      <c r="S42" s="17" t="n">
        <f aca="false">S13*Assumptions!$G$72*Assumptions!$G$73*S21</f>
        <v>0</v>
      </c>
      <c r="T42" s="17" t="n">
        <f aca="false">T13*Assumptions!$G$72*Assumptions!$G$73*T21</f>
        <v>0</v>
      </c>
      <c r="U42" s="17" t="n">
        <f aca="false">U13*Assumptions!$G$72*Assumptions!$G$73*U21</f>
        <v>0</v>
      </c>
      <c r="V42" s="17" t="n">
        <f aca="false">V13*Assumptions!$G$72*Assumptions!$G$73*V21</f>
        <v>0</v>
      </c>
      <c r="W42" s="17" t="n">
        <f aca="false">W13*Assumptions!$G$72*Assumptions!$G$73*W21</f>
        <v>0</v>
      </c>
      <c r="X42" s="17" t="n">
        <f aca="false">X13*Assumptions!$G$72*Assumptions!$G$73*X21</f>
        <v>0</v>
      </c>
      <c r="Y42" s="17" t="n">
        <f aca="false">Y13*Assumptions!$G$72*Assumptions!$G$73*Y21</f>
        <v>0</v>
      </c>
      <c r="Z42" s="17" t="n">
        <f aca="false">Z13*Assumptions!$G$72*Assumptions!$G$73*Z21</f>
        <v>0</v>
      </c>
      <c r="AA42" s="17" t="n">
        <f aca="false">AA13*Assumptions!$G$72*Assumptions!$G$73*AA21</f>
        <v>0</v>
      </c>
      <c r="AB42" s="17" t="n">
        <f aca="false">AB13*Assumptions!$G$72*Assumptions!$G$73*AB21</f>
        <v>0</v>
      </c>
      <c r="AC42" s="17" t="n">
        <f aca="false">AC13*Assumptions!$G$72*Assumptions!$G$73*AC21</f>
        <v>0</v>
      </c>
      <c r="AD42" s="17" t="n">
        <f aca="false">AD13*Assumptions!$G$72*Assumptions!$G$73*AD21</f>
        <v>0</v>
      </c>
      <c r="AE42" s="17" t="n">
        <f aca="false">AE13*Assumptions!$G$72*Assumptions!$G$73*AE21</f>
        <v>157.236710786603</v>
      </c>
      <c r="AF42" s="17" t="n">
        <f aca="false">AF13*Assumptions!$G$72*Assumptions!$G$73*AF21</f>
        <v>336.764937357474</v>
      </c>
      <c r="AG42" s="17" t="n">
        <f aca="false">AG13*Assumptions!$G$72*Assumptions!$G$73*AG21</f>
        <v>541.811381975849</v>
      </c>
      <c r="AH42" s="17" t="n">
        <f aca="false">AH13*Assumptions!$G$72*Assumptions!$G$73*AH21</f>
        <v>765.72437420812</v>
      </c>
      <c r="AI42" s="17" t="n">
        <f aca="false">AI13*Assumptions!$G$72*Assumptions!$G$73*AI21</f>
        <v>1014.14210058255</v>
      </c>
      <c r="AJ42" s="17" t="n">
        <f aca="false">AJ13*Assumptions!$G$72*Assumptions!$G$73*AJ21</f>
        <v>1289.75789049207</v>
      </c>
      <c r="AK42" s="17" t="n">
        <f aca="false">AK13*Assumptions!$G$72*Assumptions!$G$73*AK21</f>
        <v>1366.90463658715</v>
      </c>
      <c r="AL42" s="17" t="n">
        <f aca="false">AL13*Assumptions!$G$72*Assumptions!$G$73*AL21</f>
        <v>1445.82354022128</v>
      </c>
      <c r="AM42" s="17" t="n">
        <f aca="false">AM13*Assumptions!$G$72*Assumptions!$G$73*AM21</f>
        <v>1524.97070481906</v>
      </c>
      <c r="AN42" s="44" t="n">
        <f aca="false">AN13*Assumptions!$G$72*Assumptions!$G$73*AN21</f>
        <v>1605.87002277087</v>
      </c>
      <c r="AO42" s="44" t="n">
        <f aca="false">AO13*Assumptions!$G$72*Assumptions!$G$73*AO21</f>
        <v>1686.46907254316</v>
      </c>
      <c r="AP42" s="44" t="n">
        <f aca="false">AP13*Assumptions!$G$72*Assumptions!$G$73*AP21</f>
        <v>1766.77085681773</v>
      </c>
      <c r="AQ42" s="44" t="n">
        <f aca="false">AQ13*Assumptions!$G$72*Assumptions!$G$73*AQ21</f>
        <v>1846.77834824955</v>
      </c>
      <c r="AR42" s="44" t="n">
        <f aca="false">AR13*Assumptions!$G$72*Assumptions!$G$73*AR21</f>
        <v>1926.49448976706</v>
      </c>
      <c r="AS42" s="44" t="n">
        <f aca="false">AS13*Assumptions!$G$72*Assumptions!$G$73*AS21</f>
        <v>2005.92219486939</v>
      </c>
      <c r="AT42" s="44" t="n">
        <f aca="false">AT13*Assumptions!$G$72*Assumptions!$G$73*AT21</f>
        <v>2084.55562292069</v>
      </c>
      <c r="AU42" s="44" t="n">
        <f aca="false">AU13*Assumptions!$G$72*Assumptions!$G$73*AU21</f>
        <v>2162.91144169149</v>
      </c>
      <c r="AV42" s="44" t="n">
        <f aca="false">AV13*Assumptions!$G$72*Assumptions!$G$73*AV21</f>
        <v>2240.99242727457</v>
      </c>
      <c r="AW42" s="44" t="n">
        <f aca="false">AW13*Assumptions!$G$72*Assumptions!$G$73*AW21</f>
        <v>2318.29260300183</v>
      </c>
      <c r="AX42" s="44" t="n">
        <f aca="false">AX13*Assumptions!$G$72*Assumptions!$G$73*AX21</f>
        <v>2395.32850197181</v>
      </c>
      <c r="AY42" s="44" t="n">
        <f aca="false">AY13*Assumptions!$G$72*Assumptions!$G$73*AY21</f>
        <v>2472.10276695209</v>
      </c>
      <c r="AZ42" s="44" t="n">
        <f aca="false">AZ13*Assumptions!$G$72*Assumptions!$G$73*AZ21</f>
        <v>2548.10928928257</v>
      </c>
      <c r="BA42" s="44" t="n">
        <f aca="false">BA13*Assumptions!$G$72*Assumptions!$G$73*BA21</f>
        <v>2623.35574638974</v>
      </c>
      <c r="BB42" s="44" t="n">
        <f aca="false">BB13*Assumptions!$G$72*Assumptions!$G$73*BB21</f>
        <v>2698.35846392585</v>
      </c>
      <c r="BC42" s="44" t="n">
        <f aca="false">BC13*Assumptions!$G$72*Assumptions!$G$73*BC21</f>
        <v>2772.61115428659</v>
      </c>
      <c r="BD42" s="44" t="n">
        <f aca="false">BD13*Assumptions!$G$72*Assumptions!$G$73*BD21</f>
        <v>2846.12131774372</v>
      </c>
      <c r="BE42" s="44" t="n">
        <f aca="false">BE13*Assumptions!$G$72*Assumptions!$G$73*BE21</f>
        <v>2919.40510456629</v>
      </c>
      <c r="BF42" s="44" t="n">
        <f aca="false">BF13*Assumptions!$G$72*Assumptions!$G$73*BF21</f>
        <v>2991.95605352062</v>
      </c>
      <c r="BG42" s="44" t="n">
        <f aca="false">BG13*Assumptions!$G$72*Assumptions!$G$73*BG21</f>
        <v>3063.78149298542</v>
      </c>
      <c r="BH42" s="44" t="n">
        <f aca="false">BH13*Assumptions!$G$72*Assumptions!$G$73*BH21</f>
        <v>3134.88867805556</v>
      </c>
      <c r="BI42" s="44" t="n">
        <f aca="false">BI13*Assumptions!$G$72*Assumptions!$G$73*BI21</f>
        <v>3205.28479127501</v>
      </c>
      <c r="BJ42" s="44" t="n">
        <f aca="false">BJ13*Assumptions!$G$72*Assumptions!$G$73*BJ21</f>
        <v>3274.97694336226</v>
      </c>
      <c r="BK42" s="44" t="n">
        <f aca="false">BK13*Assumptions!$G$72*Assumptions!$G$73*BK21</f>
        <v>3343.97217392863</v>
      </c>
    </row>
    <row r="43" customFormat="false" ht="15" hidden="false" customHeight="false" outlineLevel="0" collapsed="false">
      <c r="A43" s="28" t="s">
        <v>602</v>
      </c>
      <c r="B43" s="6" t="s">
        <v>603</v>
      </c>
      <c r="C43" s="43"/>
      <c r="D43" s="17" t="n">
        <f aca="false">D13*Assumptions!$G$74*Assumptions!$G$75*Assumptions!$G$76*D21</f>
        <v>0</v>
      </c>
      <c r="E43" s="17" t="n">
        <f aca="false">E13*Assumptions!$G$74*Assumptions!$G$75*Assumptions!$G$76*E21</f>
        <v>0</v>
      </c>
      <c r="F43" s="17" t="n">
        <f aca="false">F13*Assumptions!$G$74*Assumptions!$G$75*Assumptions!$G$76*F21</f>
        <v>0</v>
      </c>
      <c r="G43" s="17" t="n">
        <f aca="false">G13*Assumptions!$G$74*Assumptions!$G$75*Assumptions!$G$76*G21</f>
        <v>0</v>
      </c>
      <c r="H43" s="17" t="n">
        <f aca="false">H13*Assumptions!$G$74*Assumptions!$G$75*Assumptions!$G$76*H21</f>
        <v>0</v>
      </c>
      <c r="I43" s="17" t="n">
        <f aca="false">I13*Assumptions!$G$74*Assumptions!$G$75*Assumptions!$G$76*I21</f>
        <v>0</v>
      </c>
      <c r="J43" s="17" t="n">
        <f aca="false">J13*Assumptions!$G$74*Assumptions!$G$75*Assumptions!$G$76*J21</f>
        <v>0</v>
      </c>
      <c r="K43" s="17" t="n">
        <f aca="false">K13*Assumptions!$G$74*Assumptions!$G$75*Assumptions!$G$76*K21</f>
        <v>0</v>
      </c>
      <c r="L43" s="17" t="n">
        <f aca="false">L13*Assumptions!$G$74*Assumptions!$G$75*Assumptions!$G$76*L21</f>
        <v>0</v>
      </c>
      <c r="M43" s="17" t="n">
        <f aca="false">M13*Assumptions!$G$74*Assumptions!$G$75*Assumptions!$G$76*M21</f>
        <v>0</v>
      </c>
      <c r="N43" s="17" t="n">
        <f aca="false">N13*Assumptions!$G$74*Assumptions!$G$75*Assumptions!$G$76*N21</f>
        <v>0</v>
      </c>
      <c r="O43" s="17" t="n">
        <f aca="false">O13*Assumptions!$G$74*Assumptions!$G$75*Assumptions!$G$76*O21</f>
        <v>0</v>
      </c>
      <c r="P43" s="17" t="n">
        <f aca="false">P13*Assumptions!$G$74*Assumptions!$G$75*Assumptions!$G$76*P21</f>
        <v>0</v>
      </c>
      <c r="Q43" s="17" t="n">
        <f aca="false">Q13*Assumptions!$G$74*Assumptions!$G$75*Assumptions!$G$76*Q21</f>
        <v>0</v>
      </c>
      <c r="R43" s="17" t="n">
        <f aca="false">R13*Assumptions!$G$74*Assumptions!$G$75*Assumptions!$G$76*R21</f>
        <v>0</v>
      </c>
      <c r="S43" s="17" t="n">
        <f aca="false">S13*Assumptions!$G$74*Assumptions!$G$75*Assumptions!$G$76*S21</f>
        <v>0</v>
      </c>
      <c r="T43" s="17" t="n">
        <f aca="false">T13*Assumptions!$G$74*Assumptions!$G$75*Assumptions!$G$76*T21</f>
        <v>0</v>
      </c>
      <c r="U43" s="17" t="n">
        <f aca="false">U13*Assumptions!$G$74*Assumptions!$G$75*Assumptions!$G$76*U21</f>
        <v>0</v>
      </c>
      <c r="V43" s="17" t="n">
        <f aca="false">V13*Assumptions!$G$74*Assumptions!$G$75*Assumptions!$G$76*V21</f>
        <v>0</v>
      </c>
      <c r="W43" s="17" t="n">
        <f aca="false">W13*Assumptions!$G$74*Assumptions!$G$75*Assumptions!$G$76*W21</f>
        <v>0</v>
      </c>
      <c r="X43" s="17" t="n">
        <f aca="false">X13*Assumptions!$G$74*Assumptions!$G$75*Assumptions!$G$76*X21</f>
        <v>0</v>
      </c>
      <c r="Y43" s="17" t="n">
        <f aca="false">Y13*Assumptions!$G$74*Assumptions!$G$75*Assumptions!$G$76*Y21</f>
        <v>0</v>
      </c>
      <c r="Z43" s="17" t="n">
        <f aca="false">Z13*Assumptions!$G$74*Assumptions!$G$75*Assumptions!$G$76*Z21</f>
        <v>0</v>
      </c>
      <c r="AA43" s="17" t="n">
        <f aca="false">AA13*Assumptions!$G$74*Assumptions!$G$75*Assumptions!$G$76*AA21</f>
        <v>0</v>
      </c>
      <c r="AB43" s="17" t="n">
        <f aca="false">AB13*Assumptions!$G$74*Assumptions!$G$75*Assumptions!$G$76*AB21</f>
        <v>0</v>
      </c>
      <c r="AC43" s="17" t="n">
        <f aca="false">AC13*Assumptions!$G$74*Assumptions!$G$75*Assumptions!$G$76*AC21</f>
        <v>0</v>
      </c>
      <c r="AD43" s="17" t="n">
        <f aca="false">AD13*Assumptions!$G$74*Assumptions!$G$75*Assumptions!$G$76*AD21</f>
        <v>0</v>
      </c>
      <c r="AE43" s="17" t="n">
        <f aca="false">AE13*Assumptions!$G$74*Assumptions!$G$75*Assumptions!$G$76*AE21</f>
        <v>139.765965143647</v>
      </c>
      <c r="AF43" s="17" t="n">
        <f aca="false">AF13*Assumptions!$G$74*Assumptions!$G$75*Assumptions!$G$76*AF21</f>
        <v>299.346610984421</v>
      </c>
      <c r="AG43" s="17" t="n">
        <f aca="false">AG13*Assumptions!$G$74*Assumptions!$G$75*Assumptions!$G$76*AG21</f>
        <v>481.610117311865</v>
      </c>
      <c r="AH43" s="17" t="n">
        <f aca="false">AH13*Assumptions!$G$74*Assumptions!$G$75*Assumptions!$G$76*AH21</f>
        <v>680.643888184996</v>
      </c>
      <c r="AI43" s="17" t="n">
        <f aca="false">AI13*Assumptions!$G$74*Assumptions!$G$75*Assumptions!$G$76*AI21</f>
        <v>901.459644962265</v>
      </c>
      <c r="AJ43" s="17" t="n">
        <f aca="false">AJ13*Assumptions!$G$74*Assumptions!$G$75*Assumptions!$G$76*AJ21</f>
        <v>1146.45145821517</v>
      </c>
      <c r="AK43" s="17" t="n">
        <f aca="false">AK13*Assumptions!$G$74*Assumptions!$G$75*Assumptions!$G$76*AK21</f>
        <v>1215.02634363302</v>
      </c>
      <c r="AL43" s="17" t="n">
        <f aca="false">AL13*Assumptions!$G$74*Assumptions!$G$75*Assumptions!$G$76*AL21</f>
        <v>1285.17648019669</v>
      </c>
      <c r="AM43" s="17" t="n">
        <f aca="false">AM13*Assumptions!$G$74*Assumptions!$G$75*Assumptions!$G$76*AM21</f>
        <v>1355.52951539472</v>
      </c>
      <c r="AN43" s="44" t="n">
        <f aca="false">AN13*Assumptions!$G$74*Assumptions!$G$75*Assumptions!$G$76*AN21</f>
        <v>1427.44002024078</v>
      </c>
      <c r="AO43" s="44" t="n">
        <f aca="false">AO13*Assumptions!$G$74*Assumptions!$G$75*Assumptions!$G$76*AO21</f>
        <v>1499.08362003837</v>
      </c>
      <c r="AP43" s="44" t="n">
        <f aca="false">AP13*Assumptions!$G$74*Assumptions!$G$75*Assumptions!$G$76*AP21</f>
        <v>1570.46298383798</v>
      </c>
      <c r="AQ43" s="44" t="n">
        <f aca="false">AQ13*Assumptions!$G$74*Assumptions!$G$75*Assumptions!$G$76*AQ21</f>
        <v>1641.5807539996</v>
      </c>
      <c r="AR43" s="44" t="n">
        <f aca="false">AR13*Assumptions!$G$74*Assumptions!$G$75*Assumptions!$G$76*AR21</f>
        <v>1712.43954645961</v>
      </c>
      <c r="AS43" s="44" t="n">
        <f aca="false">AS13*Assumptions!$G$74*Assumptions!$G$75*Assumptions!$G$76*AS21</f>
        <v>1783.04195099501</v>
      </c>
      <c r="AT43" s="44" t="n">
        <f aca="false">AT13*Assumptions!$G$74*Assumptions!$G$75*Assumptions!$G$76*AT21</f>
        <v>1852.93833148506</v>
      </c>
      <c r="AU43" s="44" t="n">
        <f aca="false">AU13*Assumptions!$G$74*Assumptions!$G$75*Assumptions!$G$76*AU21</f>
        <v>1922.58794817021</v>
      </c>
      <c r="AV43" s="44" t="n">
        <f aca="false">AV13*Assumptions!$G$74*Assumptions!$G$75*Assumptions!$G$76*AV21</f>
        <v>1991.99326868851</v>
      </c>
      <c r="AW43" s="44" t="n">
        <f aca="false">AW13*Assumptions!$G$74*Assumptions!$G$75*Assumptions!$G$76*AW21</f>
        <v>2060.70453600162</v>
      </c>
      <c r="AX43" s="44" t="n">
        <f aca="false">AX13*Assumptions!$G$74*Assumptions!$G$75*Assumptions!$G$76*AX21</f>
        <v>2129.18089064161</v>
      </c>
      <c r="AY43" s="44" t="n">
        <f aca="false">AY13*Assumptions!$G$74*Assumptions!$G$75*Assumptions!$G$76*AY21</f>
        <v>2197.42468173519</v>
      </c>
      <c r="AZ43" s="44" t="n">
        <f aca="false">AZ13*Assumptions!$G$74*Assumptions!$G$75*Assumptions!$G$76*AZ21</f>
        <v>2264.98603491784</v>
      </c>
      <c r="BA43" s="44" t="n">
        <f aca="false">BA13*Assumptions!$G$74*Assumptions!$G$75*Assumptions!$G$76*BA21</f>
        <v>2331.87177456866</v>
      </c>
      <c r="BB43" s="44" t="n">
        <f aca="false">BB13*Assumptions!$G$74*Assumptions!$G$75*Assumptions!$G$76*BB21</f>
        <v>2398.54085682297</v>
      </c>
      <c r="BC43" s="44" t="n">
        <f aca="false">BC13*Assumptions!$G$74*Assumptions!$G$75*Assumptions!$G$76*BC21</f>
        <v>2464.54324825475</v>
      </c>
      <c r="BD43" s="44" t="n">
        <f aca="false">BD13*Assumptions!$G$74*Assumptions!$G$75*Assumptions!$G$76*BD21</f>
        <v>2529.8856157722</v>
      </c>
      <c r="BE43" s="44" t="n">
        <f aca="false">BE13*Assumptions!$G$74*Assumptions!$G$75*Assumptions!$G$76*BE21</f>
        <v>2595.02675961448</v>
      </c>
      <c r="BF43" s="44" t="n">
        <f aca="false">BF13*Assumptions!$G$74*Assumptions!$G$75*Assumptions!$G$76*BF21</f>
        <v>2659.51649201833</v>
      </c>
      <c r="BG43" s="44" t="n">
        <f aca="false">BG13*Assumptions!$G$74*Assumptions!$G$75*Assumptions!$G$76*BG21</f>
        <v>2723.36132709815</v>
      </c>
      <c r="BH43" s="44" t="n">
        <f aca="false">BH13*Assumptions!$G$74*Assumptions!$G$75*Assumptions!$G$76*BH21</f>
        <v>2786.56771382717</v>
      </c>
      <c r="BI43" s="44" t="n">
        <f aca="false">BI13*Assumptions!$G$74*Assumptions!$G$75*Assumptions!$G$76*BI21</f>
        <v>2849.14203668889</v>
      </c>
      <c r="BJ43" s="44" t="n">
        <f aca="false">BJ13*Assumptions!$G$74*Assumptions!$G$75*Assumptions!$G$76*BJ21</f>
        <v>2911.090616322</v>
      </c>
      <c r="BK43" s="44" t="n">
        <f aca="false">BK13*Assumptions!$G$74*Assumptions!$G$75*Assumptions!$G$76*BK21</f>
        <v>2972.41971015878</v>
      </c>
    </row>
    <row r="44" customFormat="false" ht="15" hidden="false" customHeight="false" outlineLevel="0" collapsed="false">
      <c r="A44" s="28" t="s">
        <v>604</v>
      </c>
      <c r="B44" s="6" t="s">
        <v>605</v>
      </c>
      <c r="C44" s="42"/>
      <c r="D44" s="26" t="n">
        <f aca="false">D10*Assumptions!$G$80/12*D18</f>
        <v>0</v>
      </c>
      <c r="E44" s="26" t="n">
        <f aca="false">E10*Assumptions!$G$80/12*E18</f>
        <v>0</v>
      </c>
      <c r="F44" s="26" t="n">
        <f aca="false">F10*Assumptions!$G$80/12*F18</f>
        <v>0</v>
      </c>
      <c r="G44" s="26" t="n">
        <f aca="false">G10*Assumptions!$G$80/12*G18</f>
        <v>0</v>
      </c>
      <c r="H44" s="26" t="n">
        <f aca="false">H10*Assumptions!$G$80/12*H18</f>
        <v>0</v>
      </c>
      <c r="I44" s="26" t="n">
        <f aca="false">I10*Assumptions!$G$80/12*I18</f>
        <v>0</v>
      </c>
      <c r="J44" s="26" t="n">
        <f aca="false">J10*Assumptions!$G$80/12*J18</f>
        <v>0</v>
      </c>
      <c r="K44" s="26" t="n">
        <f aca="false">K10*Assumptions!$G$80/12*K18</f>
        <v>0</v>
      </c>
      <c r="L44" s="26" t="n">
        <f aca="false">L10*Assumptions!$G$80/12*L18</f>
        <v>0</v>
      </c>
      <c r="M44" s="26" t="n">
        <f aca="false">M10*Assumptions!$G$80/12*M18</f>
        <v>0</v>
      </c>
      <c r="N44" s="26" t="n">
        <f aca="false">N10*Assumptions!$G$80/12*N18</f>
        <v>0</v>
      </c>
      <c r="O44" s="26" t="n">
        <f aca="false">O10*Assumptions!$G$80/12*O18</f>
        <v>0</v>
      </c>
      <c r="P44" s="26" t="n">
        <f aca="false">P10*Assumptions!$G$80/12*P18</f>
        <v>0</v>
      </c>
      <c r="Q44" s="26" t="n">
        <f aca="false">Q10*Assumptions!$G$80/12*Q18</f>
        <v>0.25</v>
      </c>
      <c r="R44" s="26" t="n">
        <f aca="false">R10*Assumptions!$G$80/12*R18</f>
        <v>0.375</v>
      </c>
      <c r="S44" s="26" t="n">
        <f aca="false">S10*Assumptions!$G$80/12*S18</f>
        <v>0.375</v>
      </c>
      <c r="T44" s="26" t="n">
        <f aca="false">T10*Assumptions!$G$80/12*T18</f>
        <v>0.5</v>
      </c>
      <c r="U44" s="26" t="n">
        <f aca="false">U10*Assumptions!$G$80/12*U18</f>
        <v>0.625</v>
      </c>
      <c r="V44" s="26" t="n">
        <f aca="false">V10*Assumptions!$G$80/12*V18</f>
        <v>0.75</v>
      </c>
      <c r="W44" s="26" t="n">
        <f aca="false">W10*Assumptions!$G$80/12*W18</f>
        <v>0.875</v>
      </c>
      <c r="X44" s="26" t="n">
        <f aca="false">X10*Assumptions!$G$80/12*X18</f>
        <v>1</v>
      </c>
      <c r="Y44" s="26" t="n">
        <f aca="false">Y10*Assumptions!$G$80/12*Y18</f>
        <v>1.125</v>
      </c>
      <c r="Z44" s="26" t="n">
        <f aca="false">Z10*Assumptions!$G$80/12*Z18</f>
        <v>1.25</v>
      </c>
      <c r="AA44" s="26" t="n">
        <f aca="false">AA10*Assumptions!$G$80/12*AA18</f>
        <v>1.375</v>
      </c>
      <c r="AB44" s="26" t="n">
        <f aca="false">AB10*Assumptions!$G$80/12*AB18</f>
        <v>1.5</v>
      </c>
      <c r="AC44" s="26" t="n">
        <f aca="false">AC10*Assumptions!$G$80/12*AC18</f>
        <v>1.75</v>
      </c>
      <c r="AD44" s="26" t="n">
        <f aca="false">AD10*Assumptions!$G$80/12*AD18</f>
        <v>1.875</v>
      </c>
      <c r="AE44" s="26" t="n">
        <f aca="false">AE10*Assumptions!$G$80/12*AE18</f>
        <v>2</v>
      </c>
      <c r="AF44" s="26" t="n">
        <f aca="false">AF10*Assumptions!$G$80/12*AF18</f>
        <v>2.25</v>
      </c>
      <c r="AG44" s="26" t="n">
        <f aca="false">AG10*Assumptions!$G$80/12*AG18</f>
        <v>2.375</v>
      </c>
      <c r="AH44" s="26" t="n">
        <f aca="false">AH10*Assumptions!$G$80/12*AH18</f>
        <v>2.5</v>
      </c>
      <c r="AI44" s="26" t="n">
        <f aca="false">AI10*Assumptions!$G$80/12*AI18</f>
        <v>2.75</v>
      </c>
      <c r="AJ44" s="26" t="n">
        <f aca="false">AJ10*Assumptions!$G$80/12*AJ18</f>
        <v>3</v>
      </c>
      <c r="AK44" s="26" t="n">
        <f aca="false">AK10*Assumptions!$G$80/12*AK18</f>
        <v>3.125</v>
      </c>
      <c r="AL44" s="26" t="n">
        <f aca="false">AL10*Assumptions!$G$80/12*AL18</f>
        <v>3.375</v>
      </c>
      <c r="AM44" s="26" t="n">
        <f aca="false">AM10*Assumptions!$G$80/12*AM18</f>
        <v>3.625</v>
      </c>
      <c r="AN44" s="37" t="n">
        <f aca="false">AN10*Assumptions!$G$80/12*AN18</f>
        <v>3.75</v>
      </c>
      <c r="AO44" s="37" t="n">
        <f aca="false">AO10*Assumptions!$G$80/12*AO18</f>
        <v>4</v>
      </c>
      <c r="AP44" s="37" t="n">
        <f aca="false">AP10*Assumptions!$G$80/12*AP18</f>
        <v>4.25</v>
      </c>
      <c r="AQ44" s="37" t="n">
        <f aca="false">AQ10*Assumptions!$G$80/12*AQ18</f>
        <v>4.5</v>
      </c>
      <c r="AR44" s="37" t="n">
        <f aca="false">AR10*Assumptions!$G$80/12*AR18</f>
        <v>4.75</v>
      </c>
      <c r="AS44" s="37" t="n">
        <f aca="false">AS10*Assumptions!$G$80/12*AS18</f>
        <v>5</v>
      </c>
      <c r="AT44" s="37" t="n">
        <f aca="false">AT10*Assumptions!$G$80/12*AT18</f>
        <v>5.25</v>
      </c>
      <c r="AU44" s="37" t="n">
        <f aca="false">AU10*Assumptions!$G$80/12*AU18</f>
        <v>5.5</v>
      </c>
      <c r="AV44" s="37" t="n">
        <f aca="false">AV10*Assumptions!$G$80/12*AV18</f>
        <v>5.75</v>
      </c>
      <c r="AW44" s="37" t="n">
        <f aca="false">AW10*Assumptions!$G$80/12*AW18</f>
        <v>6</v>
      </c>
      <c r="AX44" s="37" t="n">
        <f aca="false">AX10*Assumptions!$G$80/12*AX18</f>
        <v>6.25</v>
      </c>
      <c r="AY44" s="37" t="n">
        <f aca="false">AY10*Assumptions!$G$80/12*AY18</f>
        <v>6.5</v>
      </c>
      <c r="AZ44" s="37" t="n">
        <f aca="false">AZ10*Assumptions!$G$80/12*AZ18</f>
        <v>6.75</v>
      </c>
      <c r="BA44" s="37" t="n">
        <f aca="false">BA10*Assumptions!$G$80/12*BA18</f>
        <v>7</v>
      </c>
      <c r="BB44" s="37" t="n">
        <f aca="false">BB10*Assumptions!$G$80/12*BB18</f>
        <v>7.25</v>
      </c>
      <c r="BC44" s="37" t="n">
        <f aca="false">BC10*Assumptions!$G$80/12*BC18</f>
        <v>7.5</v>
      </c>
      <c r="BD44" s="37" t="n">
        <f aca="false">BD10*Assumptions!$G$80/12*BD18</f>
        <v>7.75</v>
      </c>
      <c r="BE44" s="37" t="n">
        <f aca="false">BE10*Assumptions!$G$80/12*BE18</f>
        <v>8</v>
      </c>
      <c r="BF44" s="37" t="n">
        <f aca="false">BF10*Assumptions!$G$80/12*BF18</f>
        <v>8.25</v>
      </c>
      <c r="BG44" s="37" t="n">
        <f aca="false">BG10*Assumptions!$G$80/12*BG18</f>
        <v>8.5</v>
      </c>
      <c r="BH44" s="37" t="n">
        <f aca="false">BH10*Assumptions!$G$80/12*BH18</f>
        <v>8.75</v>
      </c>
      <c r="BI44" s="37" t="n">
        <f aca="false">BI10*Assumptions!$G$80/12*BI18</f>
        <v>9</v>
      </c>
      <c r="BJ44" s="37" t="n">
        <f aca="false">BJ10*Assumptions!$G$80/12*BJ18</f>
        <v>9.25</v>
      </c>
      <c r="BK44" s="37" t="n">
        <f aca="false">BK10*Assumptions!$G$80/12*BK18</f>
        <v>9.5</v>
      </c>
    </row>
    <row r="45" customFormat="false" ht="15" hidden="false" customHeight="false" outlineLevel="0" collapsed="false">
      <c r="A45" s="28" t="s">
        <v>606</v>
      </c>
      <c r="B45" s="6" t="s">
        <v>607</v>
      </c>
      <c r="C45" s="43"/>
      <c r="D45" s="17" t="n">
        <f aca="false">D44*Assumptions!$G$81</f>
        <v>0</v>
      </c>
      <c r="E45" s="17" t="n">
        <f aca="false">E44*Assumptions!$G$81</f>
        <v>0</v>
      </c>
      <c r="F45" s="17" t="n">
        <f aca="false">F44*Assumptions!$G$81</f>
        <v>0</v>
      </c>
      <c r="G45" s="17" t="n">
        <f aca="false">G44*Assumptions!$G$81</f>
        <v>0</v>
      </c>
      <c r="H45" s="17" t="n">
        <f aca="false">H44*Assumptions!$G$81</f>
        <v>0</v>
      </c>
      <c r="I45" s="17" t="n">
        <f aca="false">I44*Assumptions!$G$81</f>
        <v>0</v>
      </c>
      <c r="J45" s="17" t="n">
        <f aca="false">J44*Assumptions!$G$81</f>
        <v>0</v>
      </c>
      <c r="K45" s="17" t="n">
        <f aca="false">K44*Assumptions!$G$81</f>
        <v>0</v>
      </c>
      <c r="L45" s="17" t="n">
        <f aca="false">L44*Assumptions!$G$81</f>
        <v>0</v>
      </c>
      <c r="M45" s="17" t="n">
        <f aca="false">M44*Assumptions!$G$81</f>
        <v>0</v>
      </c>
      <c r="N45" s="17" t="n">
        <f aca="false">N44*Assumptions!$G$81</f>
        <v>0</v>
      </c>
      <c r="O45" s="17" t="n">
        <f aca="false">O44*Assumptions!$G$81</f>
        <v>0</v>
      </c>
      <c r="P45" s="17" t="n">
        <f aca="false">P44*Assumptions!$G$81</f>
        <v>0</v>
      </c>
      <c r="Q45" s="17" t="n">
        <f aca="false">Q44*Assumptions!$G$81</f>
        <v>562.5</v>
      </c>
      <c r="R45" s="17" t="n">
        <f aca="false">R44*Assumptions!$G$81</f>
        <v>843.75</v>
      </c>
      <c r="S45" s="17" t="n">
        <f aca="false">S44*Assumptions!$G$81</f>
        <v>843.75</v>
      </c>
      <c r="T45" s="17" t="n">
        <f aca="false">T44*Assumptions!$G$81</f>
        <v>1125</v>
      </c>
      <c r="U45" s="17" t="n">
        <f aca="false">U44*Assumptions!$G$81</f>
        <v>1406.25</v>
      </c>
      <c r="V45" s="17" t="n">
        <f aca="false">V44*Assumptions!$G$81</f>
        <v>1687.5</v>
      </c>
      <c r="W45" s="17" t="n">
        <f aca="false">W44*Assumptions!$G$81</f>
        <v>1968.75</v>
      </c>
      <c r="X45" s="17" t="n">
        <f aca="false">X44*Assumptions!$G$81</f>
        <v>2250</v>
      </c>
      <c r="Y45" s="17" t="n">
        <f aca="false">Y44*Assumptions!$G$81</f>
        <v>2531.25</v>
      </c>
      <c r="Z45" s="17" t="n">
        <f aca="false">Z44*Assumptions!$G$81</f>
        <v>2812.5</v>
      </c>
      <c r="AA45" s="17" t="n">
        <f aca="false">AA44*Assumptions!$G$81</f>
        <v>3093.75</v>
      </c>
      <c r="AB45" s="17" t="n">
        <f aca="false">AB44*Assumptions!$G$81</f>
        <v>3375</v>
      </c>
      <c r="AC45" s="17" t="n">
        <f aca="false">AC44*Assumptions!$G$81</f>
        <v>3937.5</v>
      </c>
      <c r="AD45" s="17" t="n">
        <f aca="false">AD44*Assumptions!$G$81</f>
        <v>4218.75</v>
      </c>
      <c r="AE45" s="17" t="n">
        <f aca="false">AE44*Assumptions!$G$81</f>
        <v>4500</v>
      </c>
      <c r="AF45" s="17" t="n">
        <f aca="false">AF44*Assumptions!$G$81</f>
        <v>5062.5</v>
      </c>
      <c r="AG45" s="17" t="n">
        <f aca="false">AG44*Assumptions!$G$81</f>
        <v>5343.75</v>
      </c>
      <c r="AH45" s="17" t="n">
        <f aca="false">AH44*Assumptions!$G$81</f>
        <v>5625</v>
      </c>
      <c r="AI45" s="17" t="n">
        <f aca="false">AI44*Assumptions!$G$81</f>
        <v>6187.5</v>
      </c>
      <c r="AJ45" s="17" t="n">
        <f aca="false">AJ44*Assumptions!$G$81</f>
        <v>6750</v>
      </c>
      <c r="AK45" s="17" t="n">
        <f aca="false">AK44*Assumptions!$G$81</f>
        <v>7031.25</v>
      </c>
      <c r="AL45" s="17" t="n">
        <f aca="false">AL44*Assumptions!$G$81</f>
        <v>7593.75</v>
      </c>
      <c r="AM45" s="17" t="n">
        <f aca="false">AM44*Assumptions!$G$81</f>
        <v>8156.25</v>
      </c>
      <c r="AN45" s="44" t="n">
        <f aca="false">AN44*Assumptions!$G$81</f>
        <v>8437.5</v>
      </c>
      <c r="AO45" s="44" t="n">
        <f aca="false">AO44*Assumptions!$G$81</f>
        <v>9000</v>
      </c>
      <c r="AP45" s="44" t="n">
        <f aca="false">AP44*Assumptions!$G$81</f>
        <v>9562.5</v>
      </c>
      <c r="AQ45" s="44" t="n">
        <f aca="false">AQ44*Assumptions!$G$81</f>
        <v>10125</v>
      </c>
      <c r="AR45" s="44" t="n">
        <f aca="false">AR44*Assumptions!$G$81</f>
        <v>10687.5</v>
      </c>
      <c r="AS45" s="44" t="n">
        <f aca="false">AS44*Assumptions!$G$81</f>
        <v>11250</v>
      </c>
      <c r="AT45" s="44" t="n">
        <f aca="false">AT44*Assumptions!$G$81</f>
        <v>11812.5</v>
      </c>
      <c r="AU45" s="44" t="n">
        <f aca="false">AU44*Assumptions!$G$81</f>
        <v>12375</v>
      </c>
      <c r="AV45" s="44" t="n">
        <f aca="false">AV44*Assumptions!$G$81</f>
        <v>12937.5</v>
      </c>
      <c r="AW45" s="44" t="n">
        <f aca="false">AW44*Assumptions!$G$81</f>
        <v>13500</v>
      </c>
      <c r="AX45" s="44" t="n">
        <f aca="false">AX44*Assumptions!$G$81</f>
        <v>14062.5</v>
      </c>
      <c r="AY45" s="44" t="n">
        <f aca="false">AY44*Assumptions!$G$81</f>
        <v>14625</v>
      </c>
      <c r="AZ45" s="44" t="n">
        <f aca="false">AZ44*Assumptions!$G$81</f>
        <v>15187.5</v>
      </c>
      <c r="BA45" s="44" t="n">
        <f aca="false">BA44*Assumptions!$G$81</f>
        <v>15750</v>
      </c>
      <c r="BB45" s="44" t="n">
        <f aca="false">BB44*Assumptions!$G$81</f>
        <v>16312.5</v>
      </c>
      <c r="BC45" s="44" t="n">
        <f aca="false">BC44*Assumptions!$G$81</f>
        <v>16875</v>
      </c>
      <c r="BD45" s="44" t="n">
        <f aca="false">BD44*Assumptions!$G$81</f>
        <v>17437.5</v>
      </c>
      <c r="BE45" s="44" t="n">
        <f aca="false">BE44*Assumptions!$G$81</f>
        <v>18000</v>
      </c>
      <c r="BF45" s="44" t="n">
        <f aca="false">BF44*Assumptions!$G$81</f>
        <v>18562.5</v>
      </c>
      <c r="BG45" s="44" t="n">
        <f aca="false">BG44*Assumptions!$G$81</f>
        <v>19125</v>
      </c>
      <c r="BH45" s="44" t="n">
        <f aca="false">BH44*Assumptions!$G$81</f>
        <v>19687.5</v>
      </c>
      <c r="BI45" s="44" t="n">
        <f aca="false">BI44*Assumptions!$G$81</f>
        <v>20250</v>
      </c>
      <c r="BJ45" s="44" t="n">
        <f aca="false">BJ44*Assumptions!$G$81</f>
        <v>20812.5</v>
      </c>
      <c r="BK45" s="44" t="n">
        <f aca="false">BK44*Assumptions!$G$81</f>
        <v>21375</v>
      </c>
    </row>
    <row r="46" customFormat="false" ht="15" hidden="false" customHeight="false" outlineLevel="0" collapsed="false">
      <c r="A46" s="28" t="s">
        <v>608</v>
      </c>
      <c r="B46" s="5" t="s">
        <v>609</v>
      </c>
      <c r="C46" s="43"/>
      <c r="D46" s="45" t="n">
        <f aca="false">D37+D38+D40+D41+D42+D43+D45</f>
        <v>0</v>
      </c>
      <c r="E46" s="45" t="n">
        <f aca="false">E37+E38+E40+E41+E42+E43+E45</f>
        <v>0</v>
      </c>
      <c r="F46" s="45" t="n">
        <f aca="false">F37+F38+F40+F41+F42+F43+F45</f>
        <v>0</v>
      </c>
      <c r="G46" s="45" t="n">
        <f aca="false">G37+G38+G40+G41+G42+G43+G45</f>
        <v>0</v>
      </c>
      <c r="H46" s="45" t="n">
        <f aca="false">H37+H38+H40+H41+H42+H43+H45</f>
        <v>0</v>
      </c>
      <c r="I46" s="45" t="n">
        <f aca="false">I37+I38+I40+I41+I42+I43+I45</f>
        <v>0</v>
      </c>
      <c r="J46" s="45" t="n">
        <f aca="false">J37+J38+J40+J41+J42+J43+J45</f>
        <v>0</v>
      </c>
      <c r="K46" s="45" t="n">
        <f aca="false">K37+K38+K40+K41+K42+K43+K45</f>
        <v>0</v>
      </c>
      <c r="L46" s="45" t="n">
        <f aca="false">L37+L38+L40+L41+L42+L43+L45</f>
        <v>0</v>
      </c>
      <c r="M46" s="45" t="n">
        <f aca="false">M37+M38+M40+M41+M42+M43+M45</f>
        <v>0</v>
      </c>
      <c r="N46" s="45" t="n">
        <f aca="false">N37+N38+N40+N41+N42+N43+N45</f>
        <v>0</v>
      </c>
      <c r="O46" s="45" t="n">
        <f aca="false">O37+O38+O40+O41+O42+O43+O45</f>
        <v>0</v>
      </c>
      <c r="P46" s="45" t="n">
        <f aca="false">P37+P38+P40+P41+P42+P43+P45</f>
        <v>0</v>
      </c>
      <c r="Q46" s="45" t="n">
        <f aca="false">Q37+Q38+Q40+Q41+Q42+Q43+Q45</f>
        <v>562.5</v>
      </c>
      <c r="R46" s="45" t="n">
        <f aca="false">R37+R38+R40+R41+R42+R43+R45</f>
        <v>843.75</v>
      </c>
      <c r="S46" s="45" t="n">
        <f aca="false">S37+S38+S40+S41+S42+S43+S45</f>
        <v>843.75</v>
      </c>
      <c r="T46" s="45" t="n">
        <f aca="false">T37+T38+T40+T41+T42+T43+T45</f>
        <v>1673.06449123756</v>
      </c>
      <c r="U46" s="45" t="n">
        <f aca="false">U37+U38+U40+U41+U42+U43+U45</f>
        <v>2523.23062515591</v>
      </c>
      <c r="V46" s="45" t="n">
        <f aca="false">V37+V38+V40+V41+V42+V43+V45</f>
        <v>3392.81128103106</v>
      </c>
      <c r="W46" s="45" t="n">
        <f aca="false">W37+W38+W40+W41+W42+W43+W45</f>
        <v>4300.52505996566</v>
      </c>
      <c r="X46" s="45" t="n">
        <f aca="false">X37+X38+X40+X41+X42+X43+X45</f>
        <v>5240.92721147063</v>
      </c>
      <c r="Y46" s="45" t="n">
        <f aca="false">Y37+Y38+Y40+Y41+Y42+Y43+Y45</f>
        <v>6205.8309436293</v>
      </c>
      <c r="Z46" s="45" t="n">
        <f aca="false">Z37+Z38+Z40+Z41+Z42+Z43+Z45</f>
        <v>7209.41347885926</v>
      </c>
      <c r="AA46" s="45" t="n">
        <f aca="false">AA37+AA38+AA40+AA41+AA42+AA43+AA45</f>
        <v>8242.89914175939</v>
      </c>
      <c r="AB46" s="45" t="n">
        <f aca="false">AB37+AB38+AB40+AB41+AB42+AB43+AB45</f>
        <v>9297.47721021633</v>
      </c>
      <c r="AC46" s="45" t="n">
        <f aca="false">AC37+AC38+AC40+AC41+AC42+AC43+AC45</f>
        <v>10665.6041435868</v>
      </c>
      <c r="AD46" s="45" t="n">
        <f aca="false">AD37+AD38+AD40+AD41+AD42+AD43+AD45</f>
        <v>11796.5556295779</v>
      </c>
      <c r="AE46" s="45" t="n">
        <f aca="false">AE37+AE38+AE40+AE41+AE42+AE43+AE45</f>
        <v>13338.2746250059</v>
      </c>
      <c r="AF46" s="45" t="n">
        <f aca="false">AF37+AF38+AF40+AF41+AF42+AF43+AF45</f>
        <v>15251.2808588396</v>
      </c>
      <c r="AG46" s="45" t="n">
        <f aca="false">AG37+AG38+AG40+AG41+AG42+AG43+AG45</f>
        <v>16987.6732876839</v>
      </c>
      <c r="AH46" s="45" t="n">
        <f aca="false">AH37+AH38+AH40+AH41+AH42+AH43+AH45</f>
        <v>18799.0101224867</v>
      </c>
      <c r="AI46" s="45" t="n">
        <f aca="false">AI37+AI38+AI40+AI41+AI42+AI43+AI45</f>
        <v>20981.0880636439</v>
      </c>
      <c r="AJ46" s="45" t="n">
        <f aca="false">AJ37+AJ38+AJ40+AJ41+AJ42+AJ43+AJ45</f>
        <v>23263.3888188981</v>
      </c>
      <c r="AK46" s="45" t="n">
        <f aca="false">AK37+AK38+AK40+AK41+AK42+AK43+AK45</f>
        <v>24820.4277730126</v>
      </c>
      <c r="AL46" s="45" t="n">
        <f aca="false">AL37+AL38+AL40+AL41+AL42+AL43+AL45</f>
        <v>26701.7750890995</v>
      </c>
      <c r="AM46" s="45" t="n">
        <f aca="false">AM37+AM38+AM40+AM41+AM42+AM43+AM45</f>
        <v>28620.1580911932</v>
      </c>
      <c r="AN46" s="46" t="n">
        <f aca="false">AN37+AN38+AN40+AN41+AN42+AN43+AN45</f>
        <v>30297.2001820566</v>
      </c>
      <c r="AO46" s="46" t="n">
        <f aca="false">AO37+AO38+AO40+AO41+AO42+AO43+AO45</f>
        <v>32287.8518813844</v>
      </c>
      <c r="AP46" s="46" t="n">
        <f aca="false">AP37+AP38+AP40+AP41+AP42+AP43+AP45</f>
        <v>34307.6125029339</v>
      </c>
      <c r="AQ46" s="46" t="n">
        <f aca="false">AQ37+AQ38+AQ40+AQ41+AQ42+AQ43+AQ45</f>
        <v>36353.5732730933</v>
      </c>
      <c r="AR46" s="46" t="n">
        <f aca="false">AR37+AR38+AR40+AR41+AR42+AR43+AR45</f>
        <v>38423.11310391</v>
      </c>
      <c r="AS46" s="46" t="n">
        <f aca="false">AS37+AS38+AS40+AS41+AS42+AS43+AS45</f>
        <v>40513.8579456174</v>
      </c>
      <c r="AT46" s="46" t="n">
        <f aca="false">AT37+AT38+AT40+AT41+AT42+AT43+AT45</f>
        <v>42621.7799206904</v>
      </c>
      <c r="AU46" s="46" t="n">
        <f aca="false">AU37+AU38+AU40+AU41+AU42+AU43+AU45</f>
        <v>44745.9931001503</v>
      </c>
      <c r="AV46" s="46" t="n">
        <f aca="false">AV37+AV38+AV40+AV41+AV42+AV43+AV45</f>
        <v>46884.7917674163</v>
      </c>
      <c r="AW46" s="46" t="n">
        <f aca="false">AW37+AW38+AW40+AW41+AW42+AW43+AW45</f>
        <v>49034.7397455613</v>
      </c>
      <c r="AX46" s="46" t="n">
        <f aca="false">AX37+AX38+AX40+AX41+AX42+AX43+AX45</f>
        <v>51195.4800688875</v>
      </c>
      <c r="AY46" s="46" t="n">
        <f aca="false">AY37+AY38+AY40+AY41+AY42+AY43+AY45</f>
        <v>53365.7833585503</v>
      </c>
      <c r="AZ46" s="46" t="n">
        <f aca="false">AZ37+AZ38+AZ40+AZ41+AZ42+AZ43+AZ45</f>
        <v>55542.6447107233</v>
      </c>
      <c r="BA46" s="46" t="n">
        <f aca="false">BA37+BA38+BA40+BA41+BA42+BA43+BA45</f>
        <v>57724.2296888503</v>
      </c>
      <c r="BB46" s="46" t="n">
        <f aca="false">BB37+BB38+BB40+BB41+BB42+BB43+BB45</f>
        <v>59910.7480067982</v>
      </c>
      <c r="BC46" s="46" t="n">
        <f aca="false">BC37+BC38+BC40+BC41+BC42+BC43+BC45</f>
        <v>62099.6127866622</v>
      </c>
      <c r="BD46" s="46" t="n">
        <f aca="false">BD37+BD38+BD40+BD41+BD42+BD43+BD45</f>
        <v>64289.3655447711</v>
      </c>
      <c r="BE46" s="46" t="n">
        <f aca="false">BE37+BE38+BE40+BE41+BE42+BE43+BE45</f>
        <v>66480.5560815597</v>
      </c>
      <c r="BF46" s="46" t="n">
        <f aca="false">BF37+BF38+BF40+BF41+BF42+BF43+BF45</f>
        <v>68670.9064797977</v>
      </c>
      <c r="BG46" s="46" t="n">
        <f aca="false">BG37+BG38+BG40+BG41+BG42+BG43+BG45</f>
        <v>70859.2398184094</v>
      </c>
      <c r="BH46" s="46" t="n">
        <f aca="false">BH37+BH38+BH40+BH41+BH42+BH43+BH45</f>
        <v>73044.4935790972</v>
      </c>
      <c r="BI46" s="46" t="n">
        <f aca="false">BI37+BI38+BI40+BI41+BI42+BI43+BI45</f>
        <v>75225.7068439006</v>
      </c>
      <c r="BJ46" s="46" t="n">
        <f aca="false">BJ37+BJ38+BJ40+BJ41+BJ42+BJ43+BJ45</f>
        <v>77402.0097471345</v>
      </c>
      <c r="BK46" s="46" t="n">
        <f aca="false">BK37+BK38+BK40+BK41+BK42+BK43+BK45</f>
        <v>79572.6145764269</v>
      </c>
    </row>
    <row r="47" customFormat="false" ht="15" hidden="false" customHeight="false" outlineLevel="0" collapsed="false">
      <c r="A47" s="28" t="s">
        <v>610</v>
      </c>
      <c r="B47" s="6" t="s">
        <v>611</v>
      </c>
      <c r="C47" s="43"/>
      <c r="D47" s="17" t="n">
        <f aca="false">D37+D38</f>
        <v>0</v>
      </c>
      <c r="E47" s="17" t="n">
        <f aca="false">E37+E38</f>
        <v>0</v>
      </c>
      <c r="F47" s="17" t="n">
        <f aca="false">F37+F38</f>
        <v>0</v>
      </c>
      <c r="G47" s="17" t="n">
        <f aca="false">G37+G38</f>
        <v>0</v>
      </c>
      <c r="H47" s="17" t="n">
        <f aca="false">H37+H38</f>
        <v>0</v>
      </c>
      <c r="I47" s="17" t="n">
        <f aca="false">I37+I38</f>
        <v>0</v>
      </c>
      <c r="J47" s="17" t="n">
        <f aca="false">J37+J38</f>
        <v>0</v>
      </c>
      <c r="K47" s="17" t="n">
        <f aca="false">K37+K38</f>
        <v>0</v>
      </c>
      <c r="L47" s="17" t="n">
        <f aca="false">L37+L38</f>
        <v>0</v>
      </c>
      <c r="M47" s="17" t="n">
        <f aca="false">M37+M38</f>
        <v>0</v>
      </c>
      <c r="N47" s="17" t="n">
        <f aca="false">N37+N38</f>
        <v>0</v>
      </c>
      <c r="O47" s="17" t="n">
        <f aca="false">O37+O38</f>
        <v>0</v>
      </c>
      <c r="P47" s="17" t="n">
        <f aca="false">P37+P38</f>
        <v>0</v>
      </c>
      <c r="Q47" s="17" t="n">
        <f aca="false">Q37+Q38</f>
        <v>0</v>
      </c>
      <c r="R47" s="17" t="n">
        <f aca="false">R37+R38</f>
        <v>0</v>
      </c>
      <c r="S47" s="17" t="n">
        <f aca="false">S37+S38</f>
        <v>0</v>
      </c>
      <c r="T47" s="17" t="n">
        <f aca="false">T37+T38</f>
        <v>394.111665766123</v>
      </c>
      <c r="U47" s="17" t="n">
        <f aca="false">U37+U38</f>
        <v>803.263888680838</v>
      </c>
      <c r="V47" s="17" t="n">
        <f aca="false">V37+V38</f>
        <v>1226.42183837657</v>
      </c>
      <c r="W47" s="17" t="n">
        <f aca="false">W37+W38</f>
        <v>1677.04459527857</v>
      </c>
      <c r="X47" s="17" t="n">
        <f aca="false">X37+X38</f>
        <v>2151.21712577792</v>
      </c>
      <c r="Y47" s="17" t="n">
        <f aca="false">Y37+Y38</f>
        <v>2643.05213424408</v>
      </c>
      <c r="Z47" s="17" t="n">
        <f aca="false">Z37+Z38</f>
        <v>3162.74355884137</v>
      </c>
      <c r="AA47" s="17" t="n">
        <f aca="false">AA37+AA38</f>
        <v>3703.98123497827</v>
      </c>
      <c r="AB47" s="17" t="n">
        <f aca="false">AB37+AB38</f>
        <v>4260.42903701597</v>
      </c>
      <c r="AC47" s="17" t="n">
        <f aca="false">AC37+AC38</f>
        <v>4840.14442886915</v>
      </c>
      <c r="AD47" s="17" t="n">
        <f aca="false">AD37+AD38</f>
        <v>5451.59522983505</v>
      </c>
      <c r="AE47" s="17" t="n">
        <f aca="false">AE37+AE38</f>
        <v>6085.16847675784</v>
      </c>
      <c r="AF47" s="17" t="n">
        <f aca="false">AF37+AF38</f>
        <v>6744.20564184805</v>
      </c>
      <c r="AG47" s="17" t="n">
        <f aca="false">AG37+AG38</f>
        <v>7434.03436250832</v>
      </c>
      <c r="AH47" s="17" t="n">
        <f aca="false">AH37+AH38</f>
        <v>8142.76097353819</v>
      </c>
      <c r="AI47" s="17" t="n">
        <f aca="false">AI37+AI38</f>
        <v>8872.80638198738</v>
      </c>
      <c r="AJ47" s="17" t="n">
        <f aca="false">AJ37+AJ38</f>
        <v>9627.50994691972</v>
      </c>
      <c r="AK47" s="17" t="n">
        <f aca="false">AK37+AK38</f>
        <v>10409.891753619</v>
      </c>
      <c r="AL47" s="17" t="n">
        <f aca="false">AL37+AL38</f>
        <v>11219.7967913205</v>
      </c>
      <c r="AM47" s="17" t="n">
        <f aca="false">AM37+AM38</f>
        <v>12055.3336575485</v>
      </c>
      <c r="AN47" s="44" t="n">
        <f aca="false">AN37+AN38</f>
        <v>12916.4910613477</v>
      </c>
      <c r="AO47" s="44" t="n">
        <f aca="false">AO37+AO38</f>
        <v>13800.9329984821</v>
      </c>
      <c r="AP47" s="44" t="n">
        <f aca="false">AP37+AP38</f>
        <v>14706.5154100112</v>
      </c>
      <c r="AQ47" s="44" t="n">
        <f aca="false">AQ37+AQ38</f>
        <v>15631.2702621047</v>
      </c>
      <c r="AR47" s="44" t="n">
        <f aca="false">AR37+AR38</f>
        <v>16573.3909681071</v>
      </c>
      <c r="AS47" s="44" t="n">
        <f aca="false">AS37+AS38</f>
        <v>17531.2190382157</v>
      </c>
      <c r="AT47" s="44" t="n">
        <f aca="false">AT37+AT38</f>
        <v>18502.6553221436</v>
      </c>
      <c r="AU47" s="44" t="n">
        <f aca="false">AU37+AU38</f>
        <v>19486.3540839472</v>
      </c>
      <c r="AV47" s="44" t="n">
        <f aca="false">AV37+AV38</f>
        <v>20481.0796314899</v>
      </c>
      <c r="AW47" s="44" t="n">
        <f aca="false">AW37+AW38</f>
        <v>21485.1207530514</v>
      </c>
      <c r="AX47" s="44" t="n">
        <f aca="false">AX37+AX38</f>
        <v>22497.4877142457</v>
      </c>
      <c r="AY47" s="44" t="n">
        <f aca="false">AY37+AY38</f>
        <v>23517.2715610957</v>
      </c>
      <c r="AZ47" s="44" t="n">
        <f aca="false">AZ37+AZ38</f>
        <v>24543.0610031304</v>
      </c>
      <c r="BA47" s="44" t="n">
        <f aca="false">BA37+BA38</f>
        <v>25573.5651192921</v>
      </c>
      <c r="BB47" s="44" t="n">
        <f aca="false">BB37+BB38</f>
        <v>26608.1799852296</v>
      </c>
      <c r="BC47" s="44" t="n">
        <f aca="false">BC37+BC38</f>
        <v>27645.7743220717</v>
      </c>
      <c r="BD47" s="44" t="n">
        <f aca="false">BD37+BD38</f>
        <v>28685.3142866836</v>
      </c>
      <c r="BE47" s="44" t="n">
        <f aca="false">BE37+BE38</f>
        <v>29726.4320069022</v>
      </c>
      <c r="BF47" s="44" t="n">
        <f aca="false">BF37+BF38</f>
        <v>30768.2129769514</v>
      </c>
      <c r="BG47" s="44" t="n">
        <f aca="false">BG37+BG38</f>
        <v>31809.8224468446</v>
      </c>
      <c r="BH47" s="44" t="n">
        <f aca="false">BH37+BH38</f>
        <v>32850.4988920034</v>
      </c>
      <c r="BI47" s="44" t="n">
        <f aca="false">BI37+BI38</f>
        <v>33889.5480247249</v>
      </c>
      <c r="BJ47" s="44" t="n">
        <f aca="false">BJ37+BJ38</f>
        <v>34926.3373017928</v>
      </c>
      <c r="BK47" s="44" t="n">
        <f aca="false">BK37+BK38</f>
        <v>35960.290886425</v>
      </c>
    </row>
    <row r="48" customFormat="false" ht="15" hidden="false" customHeight="false" outlineLevel="0" collapsed="false">
      <c r="B48" s="5" t="s">
        <v>612</v>
      </c>
    </row>
    <row r="49" customFormat="false" ht="15" hidden="false" customHeight="false" outlineLevel="0" collapsed="false">
      <c r="A49" s="28" t="s">
        <v>613</v>
      </c>
      <c r="B49" s="6" t="s">
        <v>614</v>
      </c>
      <c r="C49" s="43"/>
      <c r="D49" s="17" t="n">
        <f aca="false">D12*(Assumptions!$G$60+Assumptions!$G$63/60*Assumptions!$G$62)</f>
        <v>0</v>
      </c>
      <c r="E49" s="17" t="n">
        <f aca="false">E12*(Assumptions!$G$60+Assumptions!$G$63/60*Assumptions!$G$62)</f>
        <v>0</v>
      </c>
      <c r="F49" s="17" t="n">
        <f aca="false">F12*(Assumptions!$G$60+Assumptions!$G$63/60*Assumptions!$G$62)</f>
        <v>0</v>
      </c>
      <c r="G49" s="17" t="n">
        <f aca="false">G12*(Assumptions!$G$60+Assumptions!$G$63/60*Assumptions!$G$62)</f>
        <v>0</v>
      </c>
      <c r="H49" s="17" t="n">
        <f aca="false">H12*(Assumptions!$G$60+Assumptions!$G$63/60*Assumptions!$G$62)</f>
        <v>21.6679166666667</v>
      </c>
      <c r="I49" s="17" t="n">
        <f aca="false">I12*(Assumptions!$G$60+Assumptions!$G$63/60*Assumptions!$G$62)</f>
        <v>40.5190041666667</v>
      </c>
      <c r="J49" s="17" t="n">
        <f aca="false">J12*(Assumptions!$G$60+Assumptions!$G$63/60*Assumptions!$G$62)</f>
        <v>53.114564125</v>
      </c>
      <c r="K49" s="17" t="n">
        <f aca="false">K12*(Assumptions!$G$60+Assumptions!$G$63/60*Assumptions!$G$62)</f>
        <v>82.9185018170833</v>
      </c>
      <c r="L49" s="17" t="n">
        <f aca="false">L12*(Assumptions!$G$60+Assumptions!$G$63/60*Assumptions!$G$62)</f>
        <v>128.025300132246</v>
      </c>
      <c r="M49" s="17" t="n">
        <f aca="false">M12*(Assumptions!$G$60+Assumptions!$G$63/60*Assumptions!$G$62)</f>
        <v>163.147147130923</v>
      </c>
      <c r="N49" s="17" t="n">
        <f aca="false">N12*(Assumptions!$G$60+Assumptions!$G$63/60*Assumptions!$G$62)</f>
        <v>205.718225659614</v>
      </c>
      <c r="O49" s="17" t="n">
        <f aca="false">O12*(Assumptions!$G$60+Assumptions!$G$63/60*Assumptions!$G$62)</f>
        <v>259.130910069685</v>
      </c>
      <c r="P49" s="17" t="n">
        <f aca="false">P12*(Assumptions!$G$60+Assumptions!$G$63/60*Assumptions!$G$62)</f>
        <v>320.676634302321</v>
      </c>
      <c r="Q49" s="17" t="n">
        <f aca="false">Q12*(Assumptions!$G$60+Assumptions!$G$63/60*Assumptions!$G$62)</f>
        <v>385.940484625965</v>
      </c>
      <c r="R49" s="17" t="n">
        <f aca="false">R12*(Assumptions!$G$60+Assumptions!$G$63/60*Assumptions!$G$62)</f>
        <v>452.285129779705</v>
      </c>
      <c r="S49" s="17" t="n">
        <f aca="false">S12*(Assumptions!$G$60+Assumptions!$G$63/60*Assumptions!$G$62)</f>
        <v>522.299911815241</v>
      </c>
      <c r="T49" s="17" t="n">
        <f aca="false">T12*(Assumptions!$G$60+Assumptions!$G$63/60*Assumptions!$G$62)</f>
        <v>592.481262697089</v>
      </c>
      <c r="U49" s="17" t="n">
        <f aca="false">U12*(Assumptions!$G$60+Assumptions!$G$63/60*Assumptions!$G$62)</f>
        <v>662.827516736785</v>
      </c>
      <c r="V49" s="17" t="n">
        <f aca="false">V12*(Assumptions!$G$60+Assumptions!$G$63/60*Assumptions!$G$62)</f>
        <v>733.33702490275</v>
      </c>
      <c r="W49" s="17" t="n">
        <f aca="false">W12*(Assumptions!$G$60+Assumptions!$G$63/60*Assumptions!$G$62)</f>
        <v>825.676071320389</v>
      </c>
      <c r="X49" s="17" t="n">
        <f aca="false">X12*(Assumptions!$G$60+Assumptions!$G$63/60*Assumptions!$G$62)</f>
        <v>915.358293940519</v>
      </c>
      <c r="Y49" s="17" t="n">
        <f aca="false">Y12*(Assumptions!$G$60+Assumptions!$G$63/60*Assumptions!$G$62)</f>
        <v>998.943394334447</v>
      </c>
      <c r="Z49" s="17" t="n">
        <f aca="false">Z12*(Assumptions!$G$60+Assumptions!$G$63/60*Assumptions!$G$62)</f>
        <v>1099.89369372444</v>
      </c>
      <c r="AA49" s="17" t="n">
        <f aca="false">AA12*(Assumptions!$G$60+Assumptions!$G$63/60*Assumptions!$G$62)</f>
        <v>1194.63419012052</v>
      </c>
      <c r="AB49" s="17" t="n">
        <f aca="false">AB12*(Assumptions!$G$60+Assumptions!$G$63/60*Assumptions!$G$62)</f>
        <v>1282.36026488599</v>
      </c>
      <c r="AC49" s="17" t="n">
        <f aca="false">AC12*(Assumptions!$G$60+Assumptions!$G$63/60*Assumptions!$G$62)</f>
        <v>1383.94326223713</v>
      </c>
      <c r="AD49" s="17" t="n">
        <f aca="false">AD12*(Assumptions!$G$60+Assumptions!$G$63/60*Assumptions!$G$62)</f>
        <v>1500.97804628142</v>
      </c>
      <c r="AE49" s="17" t="n">
        <f aca="false">AE12*(Assumptions!$G$60+Assumptions!$G$63/60*Assumptions!$G$62)</f>
        <v>1607.30859915194</v>
      </c>
      <c r="AF49" s="17" t="n">
        <f aca="false">AF12*(Assumptions!$G$60+Assumptions!$G$63/60*Assumptions!$G$62)</f>
        <v>1721.24301316042</v>
      </c>
      <c r="AG49" s="17" t="n">
        <f aca="false">AG12*(Assumptions!$G$60+Assumptions!$G$63/60*Assumptions!$G$62)</f>
        <v>1846.17211636215</v>
      </c>
      <c r="AH49" s="17" t="n">
        <f aca="false">AH12*(Assumptions!$G$60+Assumptions!$G$63/60*Assumptions!$G$62)</f>
        <v>1956.85117853186</v>
      </c>
      <c r="AI49" s="17" t="n">
        <f aca="false">AI12*(Assumptions!$G$60+Assumptions!$G$63/60*Assumptions!$G$62)</f>
        <v>2073.35718341321</v>
      </c>
      <c r="AJ49" s="17" t="n">
        <f aca="false">AJ12*(Assumptions!$G$60+Assumptions!$G$63/60*Assumptions!$G$62)</f>
        <v>2197.36529491241</v>
      </c>
      <c r="AK49" s="17" t="n">
        <f aca="false">AK12*(Assumptions!$G$60+Assumptions!$G$63/60*Assumptions!$G$62)</f>
        <v>2328.80049196329</v>
      </c>
      <c r="AL49" s="17" t="n">
        <f aca="false">AL12*(Assumptions!$G$60+Assumptions!$G$63/60*Assumptions!$G$62)</f>
        <v>2463.25492037699</v>
      </c>
      <c r="AM49" s="17" t="n">
        <f aca="false">AM12*(Assumptions!$G$60+Assumptions!$G$63/60*Assumptions!$G$62)</f>
        <v>2598.09823783989</v>
      </c>
      <c r="AN49" s="44" t="n">
        <f aca="false">AN12*(Assumptions!$G$60+Assumptions!$G$63/60*Assumptions!$G$62)</f>
        <v>2735.92670546149</v>
      </c>
      <c r="AO49" s="44" t="n">
        <f aca="false">AO12*(Assumptions!$G$60+Assumptions!$G$63/60*Assumptions!$G$62)</f>
        <v>2873.24360507354</v>
      </c>
      <c r="AP49" s="44" t="n">
        <f aca="false">AP12*(Assumptions!$G$60+Assumptions!$G$63/60*Assumptions!$G$62)</f>
        <v>3010.05405235614</v>
      </c>
      <c r="AQ49" s="44" t="n">
        <f aca="false">AQ12*(Assumptions!$G$60+Assumptions!$G$63/60*Assumptions!$G$62)</f>
        <v>3146.36311183257</v>
      </c>
      <c r="AR49" s="44" t="n">
        <f aca="false">AR12*(Assumptions!$G$60+Assumptions!$G$63/60*Assumptions!$G$62)</f>
        <v>3282.17579738092</v>
      </c>
      <c r="AS49" s="44" t="n">
        <f aca="false">AS12*(Assumptions!$G$60+Assumptions!$G$63/60*Assumptions!$G$62)</f>
        <v>3417.49707274044</v>
      </c>
      <c r="AT49" s="44" t="n">
        <f aca="false">AT12*(Assumptions!$G$60+Assumptions!$G$63/60*Assumptions!$G$62)</f>
        <v>3551.46513534637</v>
      </c>
      <c r="AU49" s="44" t="n">
        <f aca="false">AU12*(Assumptions!$G$60+Assumptions!$G$63/60*Assumptions!$G$62)</f>
        <v>3684.9602339929</v>
      </c>
      <c r="AV49" s="44" t="n">
        <f aca="false">AV12*(Assumptions!$G$60+Assumptions!$G$63/60*Assumptions!$G$62)</f>
        <v>3817.98709831964</v>
      </c>
      <c r="AW49" s="44" t="n">
        <f aca="false">AW12*(Assumptions!$G$60+Assumptions!$G$63/60*Assumptions!$G$62)</f>
        <v>3949.68369400311</v>
      </c>
      <c r="AX49" s="44" t="n">
        <f aca="false">AX12*(Assumptions!$G$60+Assumptions!$G$63/60*Assumptions!$G$62)</f>
        <v>4080.93004039642</v>
      </c>
      <c r="AY49" s="44" t="n">
        <f aca="false">AY12*(Assumptions!$G$60+Assumptions!$G$63/60*Assumptions!$G$62)</f>
        <v>4211.73063999245</v>
      </c>
      <c r="AZ49" s="44" t="n">
        <f aca="false">AZ12*(Assumptions!$G$60+Assumptions!$G$63/60*Assumptions!$G$62)</f>
        <v>4341.22323359253</v>
      </c>
      <c r="BA49" s="44" t="n">
        <f aca="false">BA12*(Assumptions!$G$60+Assumptions!$G$63/60*Assumptions!$G$62)</f>
        <v>4469.4209012566</v>
      </c>
      <c r="BB49" s="44" t="n">
        <f aca="false">BB12*(Assumptions!$G$60+Assumptions!$G$63/60*Assumptions!$G$62)</f>
        <v>4597.2033089107</v>
      </c>
      <c r="BC49" s="44" t="n">
        <f aca="false">BC12*(Assumptions!$G$60+Assumptions!$G$63/60*Assumptions!$G$62)</f>
        <v>4723.70789248826</v>
      </c>
      <c r="BD49" s="44" t="n">
        <f aca="false">BD12*(Assumptions!$G$60+Assumptions!$G$63/60*Assumptions!$G$62)</f>
        <v>4848.94743023005</v>
      </c>
      <c r="BE49" s="44" t="n">
        <f aca="false">BE12*(Assumptions!$G$60+Assumptions!$G$63/60*Assumptions!$G$62)</f>
        <v>4973.80128926108</v>
      </c>
      <c r="BF49" s="44" t="n">
        <f aca="false">BF12*(Assumptions!$G$60+Assumptions!$G$63/60*Assumptions!$G$62)</f>
        <v>5097.4066097018</v>
      </c>
      <c r="BG49" s="44" t="n">
        <f aca="false">BG12*(Assumptions!$G$60+Assumptions!$G$63/60*Assumptions!$G$62)</f>
        <v>5219.77587693812</v>
      </c>
      <c r="BH49" s="44" t="n">
        <f aca="false">BH12*(Assumptions!$G$60+Assumptions!$G$63/60*Assumptions!$G$62)</f>
        <v>5340.92145150207</v>
      </c>
      <c r="BI49" s="44" t="n">
        <f aca="false">BI12*(Assumptions!$G$60+Assumptions!$G$63/60*Assumptions!$G$62)</f>
        <v>5460.85557032038</v>
      </c>
      <c r="BJ49" s="44" t="n">
        <f aca="false">BJ12*(Assumptions!$G$60+Assumptions!$G$63/60*Assumptions!$G$62)</f>
        <v>5579.59034795051</v>
      </c>
      <c r="BK49" s="44" t="n">
        <f aca="false">BK12*(Assumptions!$G$60+Assumptions!$G$63/60*Assumptions!$G$62)</f>
        <v>5697.13777780434</v>
      </c>
    </row>
    <row r="50" customFormat="false" ht="15" hidden="false" customHeight="false" outlineLevel="0" collapsed="false">
      <c r="A50" s="28" t="s">
        <v>615</v>
      </c>
      <c r="B50" s="6" t="s">
        <v>616</v>
      </c>
      <c r="C50" s="43"/>
      <c r="D50" s="17" t="n">
        <f aca="false">D32*Assumptions!$G$64/60*Assumptions!$G$62</f>
        <v>0</v>
      </c>
      <c r="E50" s="17" t="n">
        <f aca="false">E32*Assumptions!$G$64/60*Assumptions!$G$62</f>
        <v>0</v>
      </c>
      <c r="F50" s="17" t="n">
        <f aca="false">F32*Assumptions!$G$64/60*Assumptions!$G$62</f>
        <v>0</v>
      </c>
      <c r="G50" s="17" t="n">
        <f aca="false">G32*Assumptions!$G$64/60*Assumptions!$G$62</f>
        <v>0</v>
      </c>
      <c r="H50" s="17" t="n">
        <f aca="false">H32*Assumptions!$G$64/60*Assumptions!$G$62</f>
        <v>0</v>
      </c>
      <c r="I50" s="17" t="n">
        <f aca="false">I32*Assumptions!$G$64/60*Assumptions!$G$62</f>
        <v>0</v>
      </c>
      <c r="J50" s="17" t="n">
        <f aca="false">J32*Assumptions!$G$64/60*Assumptions!$G$62</f>
        <v>0</v>
      </c>
      <c r="K50" s="17" t="n">
        <f aca="false">K32*Assumptions!$G$64/60*Assumptions!$G$62</f>
        <v>0</v>
      </c>
      <c r="L50" s="17" t="n">
        <f aca="false">L32*Assumptions!$G$64/60*Assumptions!$G$62</f>
        <v>0</v>
      </c>
      <c r="M50" s="17" t="n">
        <f aca="false">M32*Assumptions!$G$64/60*Assumptions!$G$62</f>
        <v>0</v>
      </c>
      <c r="N50" s="17" t="n">
        <f aca="false">N32*Assumptions!$G$64/60*Assumptions!$G$62</f>
        <v>0</v>
      </c>
      <c r="O50" s="17" t="n">
        <f aca="false">O32*Assumptions!$G$64/60*Assumptions!$G$62</f>
        <v>0</v>
      </c>
      <c r="P50" s="17" t="n">
        <f aca="false">P32*Assumptions!$G$64/60*Assumptions!$G$62</f>
        <v>0</v>
      </c>
      <c r="Q50" s="17" t="n">
        <f aca="false">Q32*Assumptions!$G$64/60*Assumptions!$G$62</f>
        <v>0</v>
      </c>
      <c r="R50" s="17" t="n">
        <f aca="false">R32*Assumptions!$G$64/60*Assumptions!$G$62</f>
        <v>0</v>
      </c>
      <c r="S50" s="17" t="n">
        <f aca="false">S32*Assumptions!$G$64/60*Assumptions!$G$62</f>
        <v>0</v>
      </c>
      <c r="T50" s="17" t="n">
        <f aca="false">T32*Assumptions!$G$64/60*Assumptions!$G$62</f>
        <v>48.7354764357124</v>
      </c>
      <c r="U50" s="17" t="n">
        <f aca="false">U32*Assumptions!$G$64/60*Assumptions!$G$62</f>
        <v>99.4090821735485</v>
      </c>
      <c r="V50" s="17" t="n">
        <f aca="false">V32*Assumptions!$G$64/60*Assumptions!$G$62</f>
        <v>151.890479052043</v>
      </c>
      <c r="W50" s="17" t="n">
        <f aca="false">W32*Assumptions!$G$64/60*Assumptions!$G$62</f>
        <v>207.841609804062</v>
      </c>
      <c r="X50" s="17" t="n">
        <f aca="false">X32*Assumptions!$G$64/60*Assumptions!$G$62</f>
        <v>266.77880475022</v>
      </c>
      <c r="Y50" s="17" t="n">
        <f aca="false">Y32*Assumptions!$G$64/60*Assumptions!$G$62</f>
        <v>327.973714384209</v>
      </c>
      <c r="Z50" s="17" t="n">
        <f aca="false">Z32*Assumptions!$G$64/60*Assumptions!$G$62</f>
        <v>392.685449436038</v>
      </c>
      <c r="AA50" s="17" t="n">
        <f aca="false">AA32*Assumptions!$G$64/60*Assumptions!$G$62</f>
        <v>460.134377241707</v>
      </c>
      <c r="AB50" s="17" t="n">
        <f aca="false">AB32*Assumptions!$G$64/60*Assumptions!$G$62</f>
        <v>529.536369504941</v>
      </c>
      <c r="AC50" s="17" t="n">
        <f aca="false">AC32*Assumptions!$G$64/60*Assumptions!$G$62</f>
        <v>601.885992531332</v>
      </c>
      <c r="AD50" s="17" t="n">
        <f aca="false">AD32*Assumptions!$G$64/60*Assumptions!$G$62</f>
        <v>678.230292166259</v>
      </c>
      <c r="AE50" s="17" t="n">
        <f aca="false">AE32*Assumptions!$G$64/60*Assumptions!$G$62</f>
        <v>757.382158560855</v>
      </c>
      <c r="AF50" s="17" t="n">
        <f aca="false">AF32*Assumptions!$G$64/60*Assumptions!$G$62</f>
        <v>839.754406135363</v>
      </c>
      <c r="AG50" s="17" t="n">
        <f aca="false">AG32*Assumptions!$G$64/60*Assumptions!$G$62</f>
        <v>926.006156416208</v>
      </c>
      <c r="AH50" s="17" t="n">
        <f aca="false">AH32*Assumptions!$G$64/60*Assumptions!$G$62</f>
        <v>1014.66800633137</v>
      </c>
      <c r="AI50" s="17" t="n">
        <f aca="false">AI32*Assumptions!$G$64/60*Assumptions!$G$62</f>
        <v>1106.03823436167</v>
      </c>
      <c r="AJ50" s="17" t="n">
        <f aca="false">AJ32*Assumptions!$G$64/60*Assumptions!$G$62</f>
        <v>1200.52925758332</v>
      </c>
      <c r="AK50" s="17" t="n">
        <f aca="false">AK32*Assumptions!$G$64/60*Assumptions!$G$62</f>
        <v>1298.51471858068</v>
      </c>
      <c r="AL50" s="17" t="n">
        <f aca="false">AL32*Assumptions!$G$64/60*Assumptions!$G$62</f>
        <v>1399.97622480829</v>
      </c>
      <c r="AM50" s="17" t="n">
        <f aca="false">AM32*Assumptions!$G$64/60*Assumptions!$G$62</f>
        <v>1504.68058611591</v>
      </c>
      <c r="AN50" s="44" t="n">
        <f aca="false">AN32*Assumptions!$G$64/60*Assumptions!$G$62</f>
        <v>1612.62668855312</v>
      </c>
      <c r="AO50" s="44" t="n">
        <f aca="false">AO32*Assumptions!$G$64/60*Assumptions!$G$62</f>
        <v>1723.52593123062</v>
      </c>
      <c r="AP50" s="44" t="n">
        <f aca="false">AP32*Assumptions!$G$64/60*Assumptions!$G$62</f>
        <v>1837.11297324733</v>
      </c>
      <c r="AQ50" s="44" t="n">
        <f aca="false">AQ32*Assumptions!$G$64/60*Assumptions!$G$62</f>
        <v>1953.14383542225</v>
      </c>
      <c r="AR50" s="44" t="n">
        <f aca="false">AR32*Assumptions!$G$64/60*Assumptions!$G$62</f>
        <v>2071.3941599181</v>
      </c>
      <c r="AS50" s="44" t="n">
        <f aca="false">AS32*Assumptions!$G$64/60*Assumptions!$G$62</f>
        <v>2191.65761442687</v>
      </c>
      <c r="AT50" s="44" t="n">
        <f aca="false">AT32*Assumptions!$G$64/60*Assumptions!$G$62</f>
        <v>2313.67313558443</v>
      </c>
      <c r="AU50" s="44" t="n">
        <f aca="false">AU32*Assumptions!$G$64/60*Assumptions!$G$62</f>
        <v>2437.27251549281</v>
      </c>
      <c r="AV50" s="44" t="n">
        <f aca="false">AV32*Assumptions!$G$64/60*Assumptions!$G$62</f>
        <v>2562.30101337756</v>
      </c>
      <c r="AW50" s="44" t="n">
        <f aca="false">AW32*Assumptions!$G$64/60*Assumptions!$G$62</f>
        <v>2688.54497621378</v>
      </c>
      <c r="AX50" s="44" t="n">
        <f aca="false">AX32*Assumptions!$G$64/60*Assumptions!$G$62</f>
        <v>2815.87977073692</v>
      </c>
      <c r="AY50" s="44" t="n">
        <f aca="false">AY32*Assumptions!$G$64/60*Assumptions!$G$62</f>
        <v>2944.19071156598</v>
      </c>
      <c r="AZ50" s="44" t="n">
        <f aca="false">AZ32*Assumptions!$G$64/60*Assumptions!$G$62</f>
        <v>3073.30097174026</v>
      </c>
      <c r="BA50" s="44" t="n">
        <f aca="false">BA32*Assumptions!$G$64/60*Assumptions!$G$62</f>
        <v>3203.04848720236</v>
      </c>
      <c r="BB50" s="44" t="n">
        <f aca="false">BB32*Assumptions!$G$64/60*Assumptions!$G$62</f>
        <v>3333.3560570484</v>
      </c>
      <c r="BC50" s="44" t="n">
        <f aca="false">BC32*Assumptions!$G$64/60*Assumptions!$G$62</f>
        <v>3464.08131996279</v>
      </c>
      <c r="BD50" s="44" t="n">
        <f aca="false">BD32*Assumptions!$G$64/60*Assumptions!$G$62</f>
        <v>3595.09390640158</v>
      </c>
      <c r="BE50" s="44" t="n">
        <f aca="false">BE32*Assumptions!$G$64/60*Assumptions!$G$62</f>
        <v>3726.34576584702</v>
      </c>
      <c r="BF50" s="44" t="n">
        <f aca="false">BF32*Assumptions!$G$64/60*Assumptions!$G$62</f>
        <v>3857.72135130362</v>
      </c>
      <c r="BG50" s="44" t="n">
        <f aca="false">BG32*Assumptions!$G$64/60*Assumptions!$G$62</f>
        <v>3989.11496220278</v>
      </c>
      <c r="BH50" s="44" t="n">
        <f aca="false">BH32*Assumptions!$G$64/60*Assumptions!$G$62</f>
        <v>4120.42995336435</v>
      </c>
      <c r="BI50" s="44" t="n">
        <f aca="false">BI32*Assumptions!$G$64/60*Assumptions!$G$62</f>
        <v>4251.57800855725</v>
      </c>
      <c r="BJ50" s="44" t="n">
        <f aca="false">BJ32*Assumptions!$G$64/60*Assumptions!$G$62</f>
        <v>4382.47847328215</v>
      </c>
      <c r="BK50" s="44" t="n">
        <f aca="false">BK32*Assumptions!$G$64/60*Assumptions!$G$62</f>
        <v>4513.05774185329</v>
      </c>
    </row>
    <row r="51" customFormat="false" ht="15" hidden="false" customHeight="false" outlineLevel="0" collapsed="false">
      <c r="A51" s="28" t="s">
        <v>617</v>
      </c>
      <c r="B51" s="6" t="s">
        <v>618</v>
      </c>
      <c r="C51" s="43"/>
      <c r="D51" s="17" t="n">
        <f aca="false">D24*Assumptions!$G$61</f>
        <v>0</v>
      </c>
      <c r="E51" s="17" t="n">
        <f aca="false">E24*Assumptions!$G$61</f>
        <v>0</v>
      </c>
      <c r="F51" s="17" t="n">
        <f aca="false">F24*Assumptions!$G$61</f>
        <v>0</v>
      </c>
      <c r="G51" s="17" t="n">
        <f aca="false">G24*Assumptions!$G$61</f>
        <v>0</v>
      </c>
      <c r="H51" s="17" t="n">
        <f aca="false">H24*Assumptions!$G$61</f>
        <v>1.413125</v>
      </c>
      <c r="I51" s="17" t="n">
        <f aca="false">I24*Assumptions!$G$61</f>
        <v>3.561075</v>
      </c>
      <c r="J51" s="17" t="n">
        <f aca="false">J24*Assumptions!$G$61</f>
        <v>5.7786920625</v>
      </c>
      <c r="K51" s="17" t="n">
        <f aca="false">K24*Assumptions!$G$61</f>
        <v>9.16387822</v>
      </c>
      <c r="L51" s="17" t="n">
        <f aca="false">L24*Assumptions!$G$61</f>
        <v>14.3059969385812</v>
      </c>
      <c r="M51" s="17" t="n">
        <f aca="false">M24*Assumptions!$G$61</f>
        <v>19.9389293447032</v>
      </c>
      <c r="N51" s="17" t="n">
        <f aca="false">N24*Assumptions!$G$61</f>
        <v>26.3767100953363</v>
      </c>
      <c r="O51" s="17" t="n">
        <f aca="false">O24*Assumptions!$G$61</f>
        <v>34.044703523035</v>
      </c>
      <c r="P51" s="17" t="n">
        <f aca="false">P24*Assumptions!$G$61</f>
        <v>43.0427508314285</v>
      </c>
      <c r="Q51" s="17" t="n">
        <f aca="false">Q24*Assumptions!$G$61</f>
        <v>53.1478196464697</v>
      </c>
      <c r="R51" s="17" t="n">
        <f aca="false">R24*Assumptions!$G$61</f>
        <v>64.042939060186</v>
      </c>
      <c r="S51" s="17" t="n">
        <f aca="false">S24*Assumptions!$G$61</f>
        <v>75.6909481162019</v>
      </c>
      <c r="T51" s="17" t="n">
        <f aca="false">T24*Assumptions!$G$61</f>
        <v>87.8391986253414</v>
      </c>
      <c r="U51" s="17" t="n">
        <f aca="false">U24*Assumptions!$G$61</f>
        <v>100.323360632784</v>
      </c>
      <c r="V51" s="17" t="n">
        <f aca="false">V24*Assumptions!$G$61</f>
        <v>113.036512122358</v>
      </c>
      <c r="W51" s="17" t="n">
        <f aca="false">W24*Assumptions!$G$61</f>
        <v>127.322172313471</v>
      </c>
      <c r="X51" s="17" t="n">
        <f aca="false">X24*Assumptions!$G$61</f>
        <v>142.456692043355</v>
      </c>
      <c r="Y51" s="17" t="n">
        <f aca="false">Y24*Assumptions!$G$61</f>
        <v>157.745332067384</v>
      </c>
      <c r="Z51" s="17" t="n">
        <f aca="false">Z24*Assumptions!$G$61</f>
        <v>174.266663260611</v>
      </c>
      <c r="AA51" s="17" t="n">
        <f aca="false">AA24*Assumptions!$G$61</f>
        <v>191.18425656204</v>
      </c>
      <c r="AB51" s="17" t="n">
        <f aca="false">AB24*Assumptions!$G$61</f>
        <v>207.901957953542</v>
      </c>
      <c r="AC51" s="17" t="n">
        <f aca="false">AC24*Assumptions!$G$61</f>
        <v>225.393441946137</v>
      </c>
      <c r="AD51" s="17" t="n">
        <f aca="false">AD24*Assumptions!$G$61</f>
        <v>244.39560984856</v>
      </c>
      <c r="AE51" s="17" t="n">
        <f aca="false">AE24*Assumptions!$G$61</f>
        <v>263.681620259299</v>
      </c>
      <c r="AF51" s="17" t="n">
        <f aca="false">AF24*Assumptions!$G$61</f>
        <v>283.648032287702</v>
      </c>
      <c r="AG51" s="17" t="n">
        <f aca="false">AG24*Assumptions!$G$61</f>
        <v>304.773750314973</v>
      </c>
      <c r="AH51" s="17" t="n">
        <f aca="false">AH24*Assumptions!$G$61</f>
        <v>325.723666739419</v>
      </c>
      <c r="AI51" s="17" t="n">
        <f aca="false">AI24*Assumptions!$G$61</f>
        <v>346.939330124962</v>
      </c>
      <c r="AJ51" s="17" t="n">
        <f aca="false">AJ24*Assumptions!$G$61</f>
        <v>368.816996858122</v>
      </c>
      <c r="AK51" s="17" t="n">
        <f aca="false">AK24*Assumptions!$G$61</f>
        <v>391.609340911907</v>
      </c>
      <c r="AL51" s="17" t="n">
        <f aca="false">AL24*Assumptions!$G$61</f>
        <v>415.193131617326</v>
      </c>
      <c r="AM51" s="17" t="n">
        <f aca="false">AM24*Assumptions!$G$61</f>
        <v>439.316724975602</v>
      </c>
      <c r="AN51" s="44" t="n">
        <f aca="false">AN24*Assumptions!$G$61</f>
        <v>463.985873764238</v>
      </c>
      <c r="AO51" s="44" t="n">
        <f aca="false">AO24*Assumptions!$G$61</f>
        <v>488.976270451551</v>
      </c>
      <c r="AP51" s="44" t="n">
        <f aca="false">AP24*Assumptions!$G$61</f>
        <v>514.142448773256</v>
      </c>
      <c r="AQ51" s="44" t="n">
        <f aca="false">AQ24*Assumptions!$G$61</f>
        <v>539.390185952567</v>
      </c>
      <c r="AR51" s="44" t="n">
        <f aca="false">AR24*Assumptions!$G$61</f>
        <v>564.65856417662</v>
      </c>
      <c r="AS51" s="44" t="n">
        <f aca="false">AS24*Assumptions!$G$61</f>
        <v>589.908310589179</v>
      </c>
      <c r="AT51" s="44" t="n">
        <f aca="false">AT24*Assumptions!$G$61</f>
        <v>615.057693318599</v>
      </c>
      <c r="AU51" s="44" t="n">
        <f aca="false">AU24*Assumptions!$G$61</f>
        <v>640.110994178366</v>
      </c>
      <c r="AV51" s="44" t="n">
        <f aca="false">AV24*Assumptions!$G$61</f>
        <v>665.071304802002</v>
      </c>
      <c r="AW51" s="44" t="n">
        <f aca="false">AW24*Assumptions!$G$61</f>
        <v>689.884415121504</v>
      </c>
      <c r="AX51" s="44" t="n">
        <f aca="false">AX24*Assumptions!$G$61</f>
        <v>714.572481159179</v>
      </c>
      <c r="AY51" s="44" t="n">
        <f aca="false">AY24*Assumptions!$G$61</f>
        <v>739.150197970365</v>
      </c>
      <c r="AZ51" s="44" t="n">
        <f aca="false">AZ24*Assumptions!$G$61</f>
        <v>763.570883045467</v>
      </c>
      <c r="BA51" s="44" t="n">
        <f aca="false">BA24*Assumptions!$G$61</f>
        <v>787.805045800636</v>
      </c>
      <c r="BB51" s="44" t="n">
        <f aca="false">BB24*Assumptions!$G$61</f>
        <v>811.890886873286</v>
      </c>
      <c r="BC51" s="44" t="n">
        <f aca="false">BC24*Assumptions!$G$61</f>
        <v>835.796982499479</v>
      </c>
      <c r="BD51" s="44" t="n">
        <f aca="false">BD24*Assumptions!$G$61</f>
        <v>859.503740596186</v>
      </c>
      <c r="BE51" s="44" t="n">
        <f aca="false">BE24*Assumptions!$G$61</f>
        <v>883.05577633933</v>
      </c>
      <c r="BF51" s="44" t="n">
        <f aca="false">BF24*Assumptions!$G$61</f>
        <v>906.425816122856</v>
      </c>
      <c r="BG51" s="44" t="n">
        <f aca="false">BG24*Assumptions!$G$61</f>
        <v>929.596946367125</v>
      </c>
      <c r="BH51" s="44" t="n">
        <f aca="false">BH24*Assumptions!$G$61</f>
        <v>952.558979367027</v>
      </c>
      <c r="BI51" s="44" t="n">
        <f aca="false">BI24*Assumptions!$G$61</f>
        <v>975.306091174679</v>
      </c>
      <c r="BJ51" s="44" t="n">
        <f aca="false">BJ24*Assumptions!$G$61</f>
        <v>997.835286303792</v>
      </c>
      <c r="BK51" s="44" t="n">
        <f aca="false">BK24*Assumptions!$G$61</f>
        <v>1020.14539986731</v>
      </c>
    </row>
    <row r="52" customFormat="false" ht="15" hidden="false" customHeight="false" outlineLevel="0" collapsed="false">
      <c r="A52" s="28" t="s">
        <v>619</v>
      </c>
      <c r="B52" s="6" t="s">
        <v>620</v>
      </c>
      <c r="C52" s="43"/>
      <c r="D52" s="17" t="n">
        <f aca="false">(D33*Assumptions!$G$56+D34*Assumptions!$G$57+D25*Assumptions!$G$58+D24*Assumptions!$G$59)*Assumptions!$G$55</f>
        <v>0</v>
      </c>
      <c r="E52" s="17" t="n">
        <f aca="false">(E33*Assumptions!$G$56+E34*Assumptions!$G$57+E25*Assumptions!$G$58+E24*Assumptions!$G$59)*Assumptions!$G$55</f>
        <v>0</v>
      </c>
      <c r="F52" s="17" t="n">
        <f aca="false">(F33*Assumptions!$G$56+F34*Assumptions!$G$57+F25*Assumptions!$G$58+F24*Assumptions!$G$59)*Assumptions!$G$55</f>
        <v>0</v>
      </c>
      <c r="G52" s="17" t="n">
        <f aca="false">(G33*Assumptions!$G$56+G34*Assumptions!$G$57+G25*Assumptions!$G$58+G24*Assumptions!$G$59)*Assumptions!$G$55</f>
        <v>0</v>
      </c>
      <c r="H52" s="17" t="n">
        <f aca="false">(H33*Assumptions!$G$56+H34*Assumptions!$G$57+H25*Assumptions!$G$58+H24*Assumptions!$G$59)*Assumptions!$G$55</f>
        <v>4.6633125</v>
      </c>
      <c r="I52" s="17" t="n">
        <f aca="false">(I33*Assumptions!$G$56+I34*Assumptions!$G$57+I25*Assumptions!$G$58+I24*Assumptions!$G$59)*Assumptions!$G$55</f>
        <v>7.2747675</v>
      </c>
      <c r="J52" s="17" t="n">
        <f aca="false">(J33*Assumptions!$G$56+J34*Assumptions!$G$57+J25*Assumptions!$G$58+J24*Assumptions!$G$59)*Assumptions!$G$55</f>
        <v>7.78819820625</v>
      </c>
      <c r="K52" s="17" t="n">
        <f aca="false">(K33*Assumptions!$G$56+K34*Assumptions!$G$57+K25*Assumptions!$G$58+K24*Assumptions!$G$59)*Assumptions!$G$55</f>
        <v>11.933901672</v>
      </c>
      <c r="L52" s="17" t="n">
        <f aca="false">(L33*Assumptions!$G$56+L34*Assumptions!$G$57+L25*Assumptions!$G$58+L24*Assumptions!$G$59)*Assumptions!$G$55</f>
        <v>18.1786236963581</v>
      </c>
      <c r="M52" s="17" t="n">
        <f aca="false">(M33*Assumptions!$G$56+M34*Assumptions!$G$57+M25*Assumptions!$G$58+M24*Assumptions!$G$59)*Assumptions!$G$55</f>
        <v>20.4770685360953</v>
      </c>
      <c r="N52" s="17" t="n">
        <f aca="false">(N33*Assumptions!$G$56+N34*Assumptions!$G$57+N25*Assumptions!$G$58+N24*Assumptions!$G$59)*Assumptions!$G$55</f>
        <v>23.8766151505899</v>
      </c>
      <c r="O52" s="17" t="n">
        <f aca="false">(O33*Assumptions!$G$56+O34*Assumptions!$G$57+O25*Assumptions!$G$58+O24*Assumptions!$G$59)*Assumptions!$G$55</f>
        <v>28.7861040439901</v>
      </c>
      <c r="P52" s="17" t="n">
        <f aca="false">(P33*Assumptions!$G$56+P34*Assumptions!$G$57+P25*Assumptions!$G$58+P24*Assumptions!$G$59)*Assumptions!$G$55</f>
        <v>34.1874569827391</v>
      </c>
      <c r="Q52" s="17" t="n">
        <f aca="false">(Q33*Assumptions!$G$56+Q34*Assumptions!$G$57+Q25*Assumptions!$G$58+Q24*Assumptions!$G$59)*Assumptions!$G$55</f>
        <v>39.0283701993845</v>
      </c>
      <c r="R52" s="17" t="n">
        <f aca="false">(R33*Assumptions!$G$56+R34*Assumptions!$G$57+R25*Assumptions!$G$58+R24*Assumptions!$G$59)*Assumptions!$G$55</f>
        <v>42.969406258598</v>
      </c>
      <c r="S52" s="17" t="n">
        <f aca="false">(S33*Assumptions!$G$56+S34*Assumptions!$G$57+S25*Assumptions!$G$58+S24*Assumptions!$G$59)*Assumptions!$G$55</f>
        <v>46.8920978407968</v>
      </c>
      <c r="T52" s="17" t="n">
        <f aca="false">(T33*Assumptions!$G$56+T34*Assumptions!$G$57+T25*Assumptions!$G$58+T24*Assumptions!$G$59)*Assumptions!$G$55</f>
        <v>131.245851574013</v>
      </c>
      <c r="U52" s="17" t="n">
        <f aca="false">(U33*Assumptions!$G$56+U34*Assumptions!$G$57+U25*Assumptions!$G$58+U24*Assumptions!$G$59)*Assumptions!$G$55</f>
        <v>218.142400871278</v>
      </c>
      <c r="V52" s="17" t="n">
        <f aca="false">(V33*Assumptions!$G$56+V34*Assumptions!$G$57+V25*Assumptions!$G$58+V24*Assumptions!$G$59)*Assumptions!$G$55</f>
        <v>307.538761598384</v>
      </c>
      <c r="W52" s="17" t="n">
        <f aca="false">(W33*Assumptions!$G$56+W34*Assumptions!$G$57+W25*Assumptions!$G$58+W24*Assumptions!$G$59)*Assumptions!$G$55</f>
        <v>406.981511717318</v>
      </c>
      <c r="X52" s="17" t="n">
        <f aca="false">(X33*Assumptions!$G$56+X34*Assumptions!$G$57+X25*Assumptions!$G$58+X24*Assumptions!$G$59)*Assumptions!$G$55</f>
        <v>509.01959643529</v>
      </c>
      <c r="Y52" s="17" t="n">
        <f aca="false">(Y33*Assumptions!$G$56+Y34*Assumptions!$G$57+Y25*Assumptions!$G$58+Y24*Assumptions!$G$59)*Assumptions!$G$55</f>
        <v>612.440769459324</v>
      </c>
      <c r="Z52" s="17" t="n">
        <f aca="false">(Z33*Assumptions!$G$56+Z34*Assumptions!$G$57+Z25*Assumptions!$G$58+Z24*Assumptions!$G$59)*Assumptions!$G$55</f>
        <v>725.106108313961</v>
      </c>
      <c r="AA52" s="17" t="n">
        <f aca="false">(AA33*Assumptions!$G$56+AA34*Assumptions!$G$57+AA25*Assumptions!$G$58+AA24*Assumptions!$G$59)*Assumptions!$G$55</f>
        <v>839.538257739067</v>
      </c>
      <c r="AB52" s="17" t="n">
        <f aca="false">(AB33*Assumptions!$G$56+AB34*Assumptions!$G$57+AB25*Assumptions!$G$58+AB24*Assumptions!$G$59)*Assumptions!$G$55</f>
        <v>955.115432786061</v>
      </c>
      <c r="AC52" s="17" t="n">
        <f aca="false">(AC33*Assumptions!$G$56+AC34*Assumptions!$G$57+AC25*Assumptions!$G$58+AC24*Assumptions!$G$59)*Assumptions!$G$55</f>
        <v>1078.60058944482</v>
      </c>
      <c r="AD52" s="17" t="n">
        <f aca="false">(AD33*Assumptions!$G$56+AD34*Assumptions!$G$57+AD25*Assumptions!$G$58+AD24*Assumptions!$G$59)*Assumptions!$G$55</f>
        <v>1211.08488515926</v>
      </c>
      <c r="AE52" s="17" t="n">
        <f aca="false">(AE33*Assumptions!$G$56+AE34*Assumptions!$G$57+AE25*Assumptions!$G$58+AE24*Assumptions!$G$59)*Assumptions!$G$55</f>
        <v>1344.20387071729</v>
      </c>
      <c r="AF52" s="17" t="n">
        <f aca="false">(AF33*Assumptions!$G$56+AF34*Assumptions!$G$57+AF25*Assumptions!$G$58+AF24*Assumptions!$G$59)*Assumptions!$G$55</f>
        <v>1483.84137514282</v>
      </c>
      <c r="AG52" s="17" t="n">
        <f aca="false">(AG33*Assumptions!$G$56+AG34*Assumptions!$G$57+AG25*Assumptions!$G$58+AG24*Assumptions!$G$59)*Assumptions!$G$55</f>
        <v>1631.41837326298</v>
      </c>
      <c r="AH52" s="17" t="n">
        <f aca="false">(AH33*Assumptions!$G$56+AH34*Assumptions!$G$57+AH25*Assumptions!$G$58+AH24*Assumptions!$G$59)*Assumptions!$G$55</f>
        <v>1778.56103655822</v>
      </c>
      <c r="AI52" s="17" t="n">
        <f aca="false">(AI33*Assumptions!$G$56+AI34*Assumptions!$G$57+AI25*Assumptions!$G$58+AI24*Assumptions!$G$59)*Assumptions!$G$55</f>
        <v>1931.45576252611</v>
      </c>
      <c r="AJ52" s="17" t="n">
        <f aca="false">(AJ33*Assumptions!$G$56+AJ34*Assumptions!$G$57+AJ25*Assumptions!$G$58+AJ24*Assumptions!$G$59)*Assumptions!$G$55</f>
        <v>2090.69962307184</v>
      </c>
      <c r="AK52" s="17" t="n">
        <f aca="false">(AK33*Assumptions!$G$56+AK34*Assumptions!$G$57+AK25*Assumptions!$G$58+AK24*Assumptions!$G$59)*Assumptions!$G$55</f>
        <v>2256.49289197689</v>
      </c>
      <c r="AL52" s="17" t="n">
        <f aca="false">(AL33*Assumptions!$G$56+AL34*Assumptions!$G$57+AL25*Assumptions!$G$58+AL24*Assumptions!$G$59)*Assumptions!$G$55</f>
        <v>2427.59573473635</v>
      </c>
      <c r="AM52" s="17" t="n">
        <f aca="false">(AM33*Assumptions!$G$56+AM34*Assumptions!$G$57+AM25*Assumptions!$G$58+AM24*Assumptions!$G$59)*Assumptions!$G$55</f>
        <v>2603.17789445533</v>
      </c>
      <c r="AN52" s="44" t="n">
        <f aca="false">(AN33*Assumptions!$G$56+AN34*Assumptions!$G$57+AN25*Assumptions!$G$58+AN24*Assumptions!$G$59)*Assumptions!$G$55</f>
        <v>2784.05295498754</v>
      </c>
      <c r="AO52" s="44" t="n">
        <f aca="false">(AO33*Assumptions!$G$56+AO34*Assumptions!$G$57+AO25*Assumptions!$G$58+AO24*Assumptions!$G$59)*Assumptions!$G$55</f>
        <v>2968.98111969356</v>
      </c>
      <c r="AP52" s="44" t="n">
        <f aca="false">(AP33*Assumptions!$G$56+AP34*Assumptions!$G$57+AP25*Assumptions!$G$58+AP24*Assumptions!$G$59)*Assumptions!$G$55</f>
        <v>3157.7516067032</v>
      </c>
      <c r="AQ52" s="44" t="n">
        <f aca="false">(AQ33*Assumptions!$G$56+AQ34*Assumptions!$G$57+AQ25*Assumptions!$G$58+AQ24*Assumptions!$G$59)*Assumptions!$G$55</f>
        <v>3350.10962672874</v>
      </c>
      <c r="AR52" s="44" t="n">
        <f aca="false">(AR33*Assumptions!$G$56+AR34*Assumptions!$G$57+AR25*Assumptions!$G$58+AR24*Assumptions!$G$59)*Assumptions!$G$55</f>
        <v>3545.78155093061</v>
      </c>
      <c r="AS52" s="44" t="n">
        <f aca="false">(AS33*Assumptions!$G$56+AS34*Assumptions!$G$57+AS25*Assumptions!$G$58+AS24*Assumptions!$G$59)*Assumptions!$G$55</f>
        <v>3744.49045745092</v>
      </c>
      <c r="AT52" s="44" t="n">
        <f aca="false">(AT33*Assumptions!$G$56+AT34*Assumptions!$G$57+AT25*Assumptions!$G$58+AT24*Assumptions!$G$59)*Assumptions!$G$55</f>
        <v>3945.66022669395</v>
      </c>
      <c r="AU52" s="44" t="n">
        <f aca="false">(AU33*Assumptions!$G$56+AU34*Assumptions!$G$57+AU25*Assumptions!$G$58+AU24*Assumptions!$G$59)*Assumptions!$G$55</f>
        <v>4149.28856851548</v>
      </c>
      <c r="AV52" s="44" t="n">
        <f aca="false">(AV33*Assumptions!$G$56+AV34*Assumptions!$G$57+AV25*Assumptions!$G$58+AV24*Assumptions!$G$59)*Assumptions!$G$55</f>
        <v>4355.11957806082</v>
      </c>
      <c r="AW52" s="44" t="n">
        <f aca="false">(AW33*Assumptions!$G$56+AW34*Assumptions!$G$57+AW25*Assumptions!$G$58+AW24*Assumptions!$G$59)*Assumptions!$G$55</f>
        <v>4562.6142046575</v>
      </c>
      <c r="AX52" s="44" t="n">
        <f aca="false">(AX33*Assumptions!$G$56+AX34*Assumptions!$G$57+AX25*Assumptions!$G$58+AX24*Assumptions!$G$59)*Assumptions!$G$55</f>
        <v>4771.81572041815</v>
      </c>
      <c r="AY52" s="44" t="n">
        <f aca="false">(AY33*Assumptions!$G$56+AY34*Assumptions!$G$57+AY25*Assumptions!$G$58+AY24*Assumptions!$G$59)*Assumptions!$G$55</f>
        <v>4982.51752630853</v>
      </c>
      <c r="AZ52" s="44" t="n">
        <f aca="false">(AZ33*Assumptions!$G$56+AZ34*Assumptions!$G$57+AZ25*Assumptions!$G$58+AZ24*Assumptions!$G$59)*Assumptions!$G$55</f>
        <v>5194.23068306313</v>
      </c>
      <c r="BA52" s="44" t="n">
        <f aca="false">(BA33*Assumptions!$G$56+BA34*Assumptions!$G$57+BA25*Assumptions!$G$58+BA24*Assumptions!$G$59)*Assumptions!$G$55</f>
        <v>5406.74234065903</v>
      </c>
      <c r="BB52" s="44" t="n">
        <f aca="false">(BB33*Assumptions!$G$56+BB34*Assumptions!$G$57+BB25*Assumptions!$G$58+BB24*Assumptions!$G$59)*Assumptions!$G$55</f>
        <v>5620.15014028025</v>
      </c>
      <c r="BC52" s="44" t="n">
        <f aca="false">(BC33*Assumptions!$G$56+BC34*Assumptions!$G$57+BC25*Assumptions!$G$58+BC24*Assumptions!$G$59)*Assumptions!$G$55</f>
        <v>5833.99885873069</v>
      </c>
      <c r="BD52" s="44" t="n">
        <f aca="false">(BD33*Assumptions!$G$56+BD34*Assumptions!$G$57+BD25*Assumptions!$G$58+BD24*Assumptions!$G$59)*Assumptions!$G$55</f>
        <v>6048.11301111259</v>
      </c>
      <c r="BE52" s="44" t="n">
        <f aca="false">(BE33*Assumptions!$G$56+BE34*Assumptions!$G$57+BE25*Assumptions!$G$58+BE24*Assumptions!$G$59)*Assumptions!$G$55</f>
        <v>6262.62870169108</v>
      </c>
      <c r="BF52" s="44" t="n">
        <f aca="false">(BF33*Assumptions!$G$56+BF34*Assumptions!$G$57+BF25*Assumptions!$G$58+BF24*Assumptions!$G$59)*Assumptions!$G$55</f>
        <v>6477.12871652859</v>
      </c>
      <c r="BG52" s="44" t="n">
        <f aca="false">(BG33*Assumptions!$G$56+BG34*Assumptions!$G$57+BG25*Assumptions!$G$58+BG24*Assumptions!$G$59)*Assumptions!$G$55</f>
        <v>6691.4742149112</v>
      </c>
      <c r="BH52" s="44" t="n">
        <f aca="false">(BH33*Assumptions!$G$56+BH34*Assumptions!$G$57+BH25*Assumptions!$G$58+BH24*Assumptions!$G$59)*Assumptions!$G$55</f>
        <v>6905.53081096613</v>
      </c>
      <c r="BI52" s="44" t="n">
        <f aca="false">(BI33*Assumptions!$G$56+BI34*Assumptions!$G$57+BI25*Assumptions!$G$58+BI24*Assumptions!$G$59)*Assumptions!$G$55</f>
        <v>7119.1710442163</v>
      </c>
      <c r="BJ52" s="44" t="n">
        <f aca="false">(BJ33*Assumptions!$G$56+BJ34*Assumptions!$G$57+BJ25*Assumptions!$G$58+BJ24*Assumptions!$G$59)*Assumptions!$G$55</f>
        <v>7332.27565315612</v>
      </c>
      <c r="BK52" s="44" t="n">
        <f aca="false">(BK33*Assumptions!$G$56+BK34*Assumptions!$G$57+BK25*Assumptions!$G$58+BK24*Assumptions!$G$59)*Assumptions!$G$55</f>
        <v>7544.73409844474</v>
      </c>
    </row>
    <row r="53" customFormat="false" ht="15" hidden="false" customHeight="false" outlineLevel="0" collapsed="false">
      <c r="A53" s="28" t="s">
        <v>621</v>
      </c>
      <c r="B53" s="6" t="s">
        <v>622</v>
      </c>
      <c r="C53" s="43"/>
      <c r="D53" s="17" t="n">
        <f aca="false">D39*Assumptions!$G$51+D32*Assumptions!$G$45*Assumptions!$G$52</f>
        <v>0</v>
      </c>
      <c r="E53" s="17" t="n">
        <f aca="false">E39*Assumptions!$G$51+E32*Assumptions!$G$45*Assumptions!$G$52</f>
        <v>0</v>
      </c>
      <c r="F53" s="17" t="n">
        <f aca="false">F39*Assumptions!$G$51+F32*Assumptions!$G$45*Assumptions!$G$52</f>
        <v>0</v>
      </c>
      <c r="G53" s="17" t="n">
        <f aca="false">G39*Assumptions!$G$51+G32*Assumptions!$G$45*Assumptions!$G$52</f>
        <v>0</v>
      </c>
      <c r="H53" s="17" t="n">
        <f aca="false">H39*Assumptions!$G$51+H32*Assumptions!$G$45*Assumptions!$G$52</f>
        <v>0</v>
      </c>
      <c r="I53" s="17" t="n">
        <f aca="false">I39*Assumptions!$G$51+I32*Assumptions!$G$45*Assumptions!$G$52</f>
        <v>0</v>
      </c>
      <c r="J53" s="17" t="n">
        <f aca="false">J39*Assumptions!$G$51+J32*Assumptions!$G$45*Assumptions!$G$52</f>
        <v>0</v>
      </c>
      <c r="K53" s="17" t="n">
        <f aca="false">K39*Assumptions!$G$51+K32*Assumptions!$G$45*Assumptions!$G$52</f>
        <v>0</v>
      </c>
      <c r="L53" s="17" t="n">
        <f aca="false">L39*Assumptions!$G$51+L32*Assumptions!$G$45*Assumptions!$G$52</f>
        <v>0</v>
      </c>
      <c r="M53" s="17" t="n">
        <f aca="false">M39*Assumptions!$G$51+M32*Assumptions!$G$45*Assumptions!$G$52</f>
        <v>0</v>
      </c>
      <c r="N53" s="17" t="n">
        <f aca="false">N39*Assumptions!$G$51+N32*Assumptions!$G$45*Assumptions!$G$52</f>
        <v>0</v>
      </c>
      <c r="O53" s="17" t="n">
        <f aca="false">O39*Assumptions!$G$51+O32*Assumptions!$G$45*Assumptions!$G$52</f>
        <v>0</v>
      </c>
      <c r="P53" s="17" t="n">
        <f aca="false">P39*Assumptions!$G$51+P32*Assumptions!$G$45*Assumptions!$G$52</f>
        <v>0</v>
      </c>
      <c r="Q53" s="17" t="n">
        <f aca="false">Q39*Assumptions!$G$51+Q32*Assumptions!$G$45*Assumptions!$G$52</f>
        <v>0</v>
      </c>
      <c r="R53" s="17" t="n">
        <f aca="false">R39*Assumptions!$G$51+R32*Assumptions!$G$45*Assumptions!$G$52</f>
        <v>0</v>
      </c>
      <c r="S53" s="17" t="n">
        <f aca="false">S39*Assumptions!$G$51+S32*Assumptions!$G$45*Assumptions!$G$52</f>
        <v>0</v>
      </c>
      <c r="T53" s="17" t="n">
        <f aca="false">T39*Assumptions!$G$51+T32*Assumptions!$G$45*Assumptions!$G$52</f>
        <v>63.0141228350493</v>
      </c>
      <c r="U53" s="17" t="n">
        <f aca="false">U39*Assumptions!$G$51+U32*Assumptions!$G$45*Assumptions!$G$52</f>
        <v>128.430425213343</v>
      </c>
      <c r="V53" s="17" t="n">
        <f aca="false">V39*Assumptions!$G$51+V32*Assumptions!$G$45*Assumptions!$G$52</f>
        <v>196.08352919065</v>
      </c>
      <c r="W53" s="17" t="n">
        <f aca="false">W39*Assumptions!$G$51+W32*Assumptions!$G$45*Assumptions!$G$52</f>
        <v>268.125474582004</v>
      </c>
      <c r="X53" s="17" t="n">
        <f aca="false">X39*Assumptions!$G$51+X32*Assumptions!$G$45*Assumptions!$G$52</f>
        <v>343.930275037621</v>
      </c>
      <c r="Y53" s="17" t="n">
        <f aca="false">Y39*Assumptions!$G$51+Y32*Assumptions!$G$45*Assumptions!$G$52</f>
        <v>422.556627913952</v>
      </c>
      <c r="Z53" s="17" t="n">
        <f aca="false">Z39*Assumptions!$G$51+Z32*Assumptions!$G$45*Assumptions!$G$52</f>
        <v>505.634481203946</v>
      </c>
      <c r="AA53" s="17" t="n">
        <f aca="false">AA39*Assumptions!$G$51+AA32*Assumptions!$G$45*Assumptions!$G$52</f>
        <v>592.154886131715</v>
      </c>
      <c r="AB53" s="17" t="n">
        <f aca="false">AB39*Assumptions!$G$51+AB32*Assumptions!$G$45*Assumptions!$G$52</f>
        <v>681.104786414641</v>
      </c>
      <c r="AC53" s="17" t="n">
        <f aca="false">AC39*Assumptions!$G$51+AC32*Assumptions!$G$45*Assumptions!$G$52</f>
        <v>773.772543113412</v>
      </c>
      <c r="AD53" s="17" t="n">
        <f aca="false">AD39*Assumptions!$G$51+AD32*Assumptions!$G$45*Assumptions!$G$52</f>
        <v>871.512070034202</v>
      </c>
      <c r="AE53" s="17" t="n">
        <f aca="false">AE39*Assumptions!$G$51+AE32*Assumptions!$G$45*Assumptions!$G$52</f>
        <v>972.786305366654</v>
      </c>
      <c r="AF53" s="17" t="n">
        <f aca="false">AF39*Assumptions!$G$51+AF32*Assumptions!$G$45*Assumptions!$G$52</f>
        <v>1078.12952690863</v>
      </c>
      <c r="AG53" s="17" t="n">
        <f aca="false">AG39*Assumptions!$G$51+AG32*Assumptions!$G$45*Assumptions!$G$52</f>
        <v>1188.39355481997</v>
      </c>
      <c r="AH53" s="17" t="n">
        <f aca="false">AH39*Assumptions!$G$51+AH32*Assumptions!$G$45*Assumptions!$G$52</f>
        <v>1301.67667700743</v>
      </c>
      <c r="AI53" s="17" t="n">
        <f aca="false">AI39*Assumptions!$G$51+AI32*Assumptions!$G$45*Assumptions!$G$52</f>
        <v>1418.3660066351</v>
      </c>
      <c r="AJ53" s="17" t="n">
        <f aca="false">AJ39*Assumptions!$G$51+AJ32*Assumptions!$G$45*Assumptions!$G$52</f>
        <v>1538.99548822308</v>
      </c>
      <c r="AK53" s="17" t="n">
        <f aca="false">AK39*Assumptions!$G$51+AK32*Assumptions!$G$45*Assumptions!$G$52</f>
        <v>1664.04799407602</v>
      </c>
      <c r="AL53" s="17" t="n">
        <f aca="false">AL39*Assumptions!$G$51+AL32*Assumptions!$G$45*Assumptions!$G$52</f>
        <v>1793.49871348874</v>
      </c>
      <c r="AM53" s="17" t="n">
        <f aca="false">AM39*Assumptions!$G$51+AM32*Assumptions!$G$45*Assumptions!$G$52</f>
        <v>1927.04520841014</v>
      </c>
      <c r="AN53" s="44" t="n">
        <f aca="false">AN39*Assumptions!$G$51+AN32*Assumptions!$G$45*Assumptions!$G$52</f>
        <v>2064.68566401369</v>
      </c>
      <c r="AO53" s="44" t="n">
        <f aca="false">AO39*Assumptions!$G$51+AO32*Assumptions!$G$45*Assumptions!$G$52</f>
        <v>2206.04656988444</v>
      </c>
      <c r="AP53" s="44" t="n">
        <f aca="false">AP39*Assumptions!$G$51+AP32*Assumptions!$G$45*Assumptions!$G$52</f>
        <v>2350.78512160786</v>
      </c>
      <c r="AQ53" s="44" t="n">
        <f aca="false">AQ39*Assumptions!$G$51+AQ32*Assumptions!$G$45*Assumptions!$G$52</f>
        <v>2498.58667293105</v>
      </c>
      <c r="AR53" s="44" t="n">
        <f aca="false">AR39*Assumptions!$G$51+AR32*Assumptions!$G$45*Assumptions!$G$52</f>
        <v>2649.16240280783</v>
      </c>
      <c r="AS53" s="44" t="n">
        <f aca="false">AS39*Assumptions!$G$51+AS32*Assumptions!$G$45*Assumptions!$G$52</f>
        <v>2802.24717897036</v>
      </c>
      <c r="AT53" s="44" t="n">
        <f aca="false">AT39*Assumptions!$G$51+AT32*Assumptions!$G$45*Assumptions!$G$52</f>
        <v>2957.50542046321</v>
      </c>
      <c r="AU53" s="44" t="n">
        <f aca="false">AU39*Assumptions!$G$51+AU32*Assumptions!$G$45*Assumptions!$G$52</f>
        <v>3114.72201949971</v>
      </c>
      <c r="AV53" s="44" t="n">
        <f aca="false">AV39*Assumptions!$G$51+AV32*Assumptions!$G$45*Assumptions!$G$52</f>
        <v>3273.69946783981</v>
      </c>
      <c r="AW53" s="44" t="n">
        <f aca="false">AW39*Assumptions!$G$51+AW32*Assumptions!$G$45*Assumptions!$G$52</f>
        <v>3434.16423060027</v>
      </c>
      <c r="AX53" s="44" t="n">
        <f aca="false">AX39*Assumptions!$G$51+AX32*Assumptions!$G$45*Assumptions!$G$52</f>
        <v>3595.95813585606</v>
      </c>
      <c r="AY53" s="44" t="n">
        <f aca="false">AY39*Assumptions!$G$51+AY32*Assumptions!$G$45*Assumptions!$G$52</f>
        <v>3758.93592897692</v>
      </c>
      <c r="AZ53" s="44" t="n">
        <f aca="false">AZ39*Assumptions!$G$51+AZ32*Assumptions!$G$45*Assumptions!$G$52</f>
        <v>3922.87203802984</v>
      </c>
      <c r="BA53" s="44" t="n">
        <f aca="false">BA39*Assumptions!$G$51+BA32*Assumptions!$G$45*Assumptions!$G$52</f>
        <v>4087.56014094077</v>
      </c>
      <c r="BB53" s="44" t="n">
        <f aca="false">BB39*Assumptions!$G$51+BB32*Assumptions!$G$45*Assumptions!$G$52</f>
        <v>4252.90376190135</v>
      </c>
      <c r="BC53" s="44" t="n">
        <f aca="false">BC39*Assumptions!$G$51+BC32*Assumptions!$G$45*Assumptions!$G$52</f>
        <v>4418.72210516614</v>
      </c>
      <c r="BD53" s="44" t="n">
        <f aca="false">BD39*Assumptions!$G$51+BD32*Assumptions!$G$45*Assumptions!$G$52</f>
        <v>4584.84995581798</v>
      </c>
      <c r="BE53" s="44" t="n">
        <f aca="false">BE39*Assumptions!$G$51+BE32*Assumptions!$G$45*Assumptions!$G$52</f>
        <v>4751.22858153506</v>
      </c>
      <c r="BF53" s="44" t="n">
        <f aca="false">BF39*Assumptions!$G$51+BF32*Assumptions!$G$45*Assumptions!$G$52</f>
        <v>4917.71184592459</v>
      </c>
      <c r="BG53" s="44" t="n">
        <f aca="false">BG39*Assumptions!$G$51+BG32*Assumptions!$G$45*Assumptions!$G$52</f>
        <v>5084.1663652111</v>
      </c>
      <c r="BH53" s="44" t="n">
        <f aca="false">BH39*Assumptions!$G$51+BH32*Assumptions!$G$45*Assumptions!$G$52</f>
        <v>5250.47046354325</v>
      </c>
      <c r="BI53" s="44" t="n">
        <f aca="false">BI39*Assumptions!$G$51+BI32*Assumptions!$G$45*Assumptions!$G$52</f>
        <v>5416.51321501763</v>
      </c>
      <c r="BJ53" s="44" t="n">
        <f aca="false">BJ39*Assumptions!$G$51+BJ32*Assumptions!$G$45*Assumptions!$G$52</f>
        <v>5582.19356510212</v>
      </c>
      <c r="BK53" s="44" t="n">
        <f aca="false">BK39*Assumptions!$G$51+BK32*Assumptions!$G$45*Assumptions!$G$52</f>
        <v>5747.41952476655</v>
      </c>
    </row>
    <row r="54" customFormat="false" ht="15" hidden="false" customHeight="false" outlineLevel="0" collapsed="false">
      <c r="A54" s="28" t="s">
        <v>623</v>
      </c>
      <c r="B54" s="6" t="s">
        <v>517</v>
      </c>
      <c r="C54" s="43"/>
      <c r="D54" s="17" t="n">
        <f aca="false">(D37+D38)*Assumptions!$G$53+D32*Assumptions!$G$54</f>
        <v>0</v>
      </c>
      <c r="E54" s="17" t="n">
        <f aca="false">(E37+E38)*Assumptions!$G$53+E32*Assumptions!$G$54</f>
        <v>0</v>
      </c>
      <c r="F54" s="17" t="n">
        <f aca="false">(F37+F38)*Assumptions!$G$53+F32*Assumptions!$G$54</f>
        <v>0</v>
      </c>
      <c r="G54" s="17" t="n">
        <f aca="false">(G37+G38)*Assumptions!$G$53+G32*Assumptions!$G$54</f>
        <v>0</v>
      </c>
      <c r="H54" s="17" t="n">
        <f aca="false">(H37+H38)*Assumptions!$G$53+H32*Assumptions!$G$54</f>
        <v>0</v>
      </c>
      <c r="I54" s="17" t="n">
        <f aca="false">(I37+I38)*Assumptions!$G$53+I32*Assumptions!$G$54</f>
        <v>0</v>
      </c>
      <c r="J54" s="17" t="n">
        <f aca="false">(J37+J38)*Assumptions!$G$53+J32*Assumptions!$G$54</f>
        <v>0</v>
      </c>
      <c r="K54" s="17" t="n">
        <f aca="false">(K37+K38)*Assumptions!$G$53+K32*Assumptions!$G$54</f>
        <v>0</v>
      </c>
      <c r="L54" s="17" t="n">
        <f aca="false">(L37+L38)*Assumptions!$G$53+L32*Assumptions!$G$54</f>
        <v>0</v>
      </c>
      <c r="M54" s="17" t="n">
        <f aca="false">(M37+M38)*Assumptions!$G$53+M32*Assumptions!$G$54</f>
        <v>0</v>
      </c>
      <c r="N54" s="17" t="n">
        <f aca="false">(N37+N38)*Assumptions!$G$53+N32*Assumptions!$G$54</f>
        <v>0</v>
      </c>
      <c r="O54" s="17" t="n">
        <f aca="false">(O37+O38)*Assumptions!$G$53+O32*Assumptions!$G$54</f>
        <v>0</v>
      </c>
      <c r="P54" s="17" t="n">
        <f aca="false">(P37+P38)*Assumptions!$G$53+P32*Assumptions!$G$54</f>
        <v>0</v>
      </c>
      <c r="Q54" s="17" t="n">
        <f aca="false">(Q37+Q38)*Assumptions!$G$53+Q32*Assumptions!$G$54</f>
        <v>0</v>
      </c>
      <c r="R54" s="17" t="n">
        <f aca="false">(R37+R38)*Assumptions!$G$53+R32*Assumptions!$G$54</f>
        <v>0</v>
      </c>
      <c r="S54" s="17" t="n">
        <f aca="false">(S37+S38)*Assumptions!$G$53+S32*Assumptions!$G$54</f>
        <v>0</v>
      </c>
      <c r="T54" s="17" t="n">
        <f aca="false">(T37+T38)*Assumptions!$G$53+T32*Assumptions!$G$54</f>
        <v>15.7390995049624</v>
      </c>
      <c r="U54" s="17" t="n">
        <f aca="false">(U37+U38)*Assumptions!$G$53+U32*Assumptions!$G$54</f>
        <v>32.0826081594788</v>
      </c>
      <c r="V54" s="17" t="n">
        <f aca="false">(V37+V38)*Assumptions!$G$53+V32*Assumptions!$G$54</f>
        <v>48.9890854993016</v>
      </c>
      <c r="W54" s="17" t="n">
        <f aca="false">(W37+W38)*Assumptions!$G$53+W32*Assumptions!$G$54</f>
        <v>66.9959135100664</v>
      </c>
      <c r="X54" s="17" t="n">
        <f aca="false">(X37+X38)*Assumptions!$G$53+X32*Assumptions!$G$54</f>
        <v>85.9467649044599</v>
      </c>
      <c r="Y54" s="17" t="n">
        <f aca="false">(Y37+Y38)*Assumptions!$G$53+Y32*Assumptions!$G$54</f>
        <v>105.606510854741</v>
      </c>
      <c r="Z54" s="17" t="n">
        <f aca="false">(Z37+Z38)*Assumptions!$G$53+Z32*Assumptions!$G$54</f>
        <v>126.382182573536</v>
      </c>
      <c r="AA54" s="17" t="n">
        <f aca="false">(AA37+AA38)*Assumptions!$G$53+AA32*Assumptions!$G$54</f>
        <v>148.021812096863</v>
      </c>
      <c r="AB54" s="17" t="n">
        <f aca="false">(AB37+AB38)*Assumptions!$G$53+AB32*Assumptions!$G$54</f>
        <v>170.27233299478</v>
      </c>
      <c r="AC54" s="17" t="n">
        <f aca="false">(AC37+AC38)*Assumptions!$G$53+AC32*Assumptions!$G$54</f>
        <v>193.455438223055</v>
      </c>
      <c r="AD54" s="17" t="n">
        <f aca="false">(AD37+AD38)*Assumptions!$G$53+AD32*Assumptions!$G$54</f>
        <v>217.909291838372</v>
      </c>
      <c r="AE54" s="17" t="n">
        <f aca="false">(AE37+AE38)*Assumptions!$G$53+AE32*Assumptions!$G$54</f>
        <v>243.250071820687</v>
      </c>
      <c r="AF54" s="17" t="n">
        <f aca="false">(AF37+AF38)*Assumptions!$G$53+AF32*Assumptions!$G$54</f>
        <v>269.611203317331</v>
      </c>
      <c r="AG54" s="17" t="n">
        <f aca="false">(AG37+AG38)*Assumptions!$G$53+AG32*Assumptions!$G$54</f>
        <v>297.205463833261</v>
      </c>
      <c r="AH54" s="17" t="n">
        <f aca="false">(AH37+AH38)*Assumptions!$G$53+AH32*Assumptions!$G$54</f>
        <v>325.557937404204</v>
      </c>
      <c r="AI54" s="17" t="n">
        <f aca="false">(AI37+AI38)*Assumptions!$G$53+AI32*Assumptions!$G$54</f>
        <v>354.765252236931</v>
      </c>
      <c r="AJ54" s="17" t="n">
        <f aca="false">(AJ37+AJ38)*Assumptions!$G$53+AJ32*Assumptions!$G$54</f>
        <v>384.96074255927</v>
      </c>
      <c r="AK54" s="17" t="n">
        <f aca="false">(AK37+AK38)*Assumptions!$G$53+AK32*Assumptions!$G$54</f>
        <v>416.265026114918</v>
      </c>
      <c r="AL54" s="17" t="n">
        <f aca="false">(AL37+AL38)*Assumptions!$G$53+AL32*Assumptions!$G$54</f>
        <v>448.671949695695</v>
      </c>
      <c r="AM54" s="17" t="n">
        <f aca="false">(AM37+AM38)*Assumptions!$G$53+AM32*Assumptions!$G$54</f>
        <v>482.106012490214</v>
      </c>
      <c r="AN54" s="44" t="n">
        <f aca="false">(AN37+AN38)*Assumptions!$G$53+AN32*Assumptions!$G$54</f>
        <v>516.566777136373</v>
      </c>
      <c r="AO54" s="44" t="n">
        <f aca="false">(AO37+AO38)*Assumptions!$G$53+AO32*Assumptions!$G$54</f>
        <v>551.960966647462</v>
      </c>
      <c r="AP54" s="44" t="n">
        <f aca="false">(AP37+AP38)*Assumptions!$G$53+AP32*Assumptions!$G$54</f>
        <v>588.202946656252</v>
      </c>
      <c r="AQ54" s="44" t="n">
        <f aca="false">(AQ37+AQ38)*Assumptions!$G$53+AQ32*Assumptions!$G$54</f>
        <v>625.214093011827</v>
      </c>
      <c r="AR54" s="44" t="n">
        <f aca="false">(AR37+AR38)*Assumptions!$G$53+AR32*Assumptions!$G$54</f>
        <v>662.92221259171</v>
      </c>
      <c r="AS54" s="44" t="n">
        <f aca="false">(AS37+AS38)*Assumptions!$G$53+AS32*Assumptions!$G$54</f>
        <v>701.261012791825</v>
      </c>
      <c r="AT54" s="44" t="n">
        <f aca="false">(AT37+AT38)*Assumptions!$G$53+AT32*Assumptions!$G$54</f>
        <v>740.146591460935</v>
      </c>
      <c r="AU54" s="44" t="n">
        <f aca="false">(AU37+AU38)*Assumptions!$G$53+AU32*Assumptions!$G$54</f>
        <v>779.525119597861</v>
      </c>
      <c r="AV54" s="44" t="n">
        <f aca="false">(AV37+AV38)*Assumptions!$G$53+AV32*Assumptions!$G$54</f>
        <v>819.347156112778</v>
      </c>
      <c r="AW54" s="44" t="n">
        <f aca="false">(AW37+AW38)*Assumptions!$G$53+AW32*Assumptions!$G$54</f>
        <v>859.544264462007</v>
      </c>
      <c r="AX54" s="44" t="n">
        <f aca="false">(AX37+AX38)*Assumptions!$G$53+AX32*Assumptions!$G$54</f>
        <v>900.076811279725</v>
      </c>
      <c r="AY54" s="44" t="n">
        <f aca="false">(AY37+AY38)*Assumptions!$G$53+AY32*Assumptions!$G$54</f>
        <v>940.908387232422</v>
      </c>
      <c r="AZ54" s="44" t="n">
        <f aca="false">(AZ37+AZ38)*Assumptions!$G$53+AZ32*Assumptions!$G$54</f>
        <v>981.982520749965</v>
      </c>
      <c r="BA54" s="44" t="n">
        <f aca="false">(BA37+BA38)*Assumptions!$G$53+BA32*Assumptions!$G$54</f>
        <v>1023.24754144164</v>
      </c>
      <c r="BB54" s="44" t="n">
        <f aca="false">(BB37+BB38)*Assumptions!$G$53+BB32*Assumptions!$G$54</f>
        <v>1064.67921023613</v>
      </c>
      <c r="BC54" s="44" t="n">
        <f aca="false">(BC37+BC38)*Assumptions!$G$53+BC32*Assumptions!$G$54</f>
        <v>1106.23223030865</v>
      </c>
      <c r="BD54" s="44" t="n">
        <f aca="false">(BD37+BD38)*Assumptions!$G$53+BD32*Assumptions!$G$54</f>
        <v>1147.86519325452</v>
      </c>
      <c r="BE54" s="44" t="n">
        <f aca="false">(BE37+BE38)*Assumptions!$G$53+BE32*Assumptions!$G$54</f>
        <v>1189.56328499533</v>
      </c>
      <c r="BF54" s="44" t="n">
        <f aca="false">(BF37+BF38)*Assumptions!$G$53+BF32*Assumptions!$G$54</f>
        <v>1231.28986607892</v>
      </c>
      <c r="BG54" s="44" t="n">
        <f aca="false">(BG37+BG38)*Assumptions!$G$53+BG32*Assumptions!$G$54</f>
        <v>1273.01148137845</v>
      </c>
      <c r="BH54" s="44" t="n">
        <f aca="false">(BH37+BH38)*Assumptions!$G$53+BH32*Assumptions!$G$54</f>
        <v>1314.6976000896</v>
      </c>
      <c r="BI54" s="44" t="n">
        <f aca="false">(BI37+BI38)*Assumptions!$G$53+BI32*Assumptions!$G$54</f>
        <v>1356.3203772514</v>
      </c>
      <c r="BJ54" s="44" t="n">
        <f aca="false">(BJ37+BJ38)*Assumptions!$G$53+BJ32*Assumptions!$G$54</f>
        <v>1397.8544349785</v>
      </c>
      <c r="BK54" s="44" t="n">
        <f aca="false">(BK37+BK38)*Assumptions!$G$53+BK32*Assumptions!$G$54</f>
        <v>1439.27666174741</v>
      </c>
    </row>
    <row r="55" customFormat="false" ht="15" hidden="false" customHeight="false" outlineLevel="0" collapsed="false">
      <c r="A55" s="28" t="s">
        <v>624</v>
      </c>
      <c r="B55" s="6" t="s">
        <v>625</v>
      </c>
      <c r="C55" s="43"/>
      <c r="D55" s="17" t="n">
        <f aca="false">D25*Assumptions!$G$65*Assumptions!$G$66*Assumptions!$G$67</f>
        <v>0</v>
      </c>
      <c r="E55" s="17" t="n">
        <f aca="false">E25*Assumptions!$G$65*Assumptions!$G$66*Assumptions!$G$67</f>
        <v>0</v>
      </c>
      <c r="F55" s="17" t="n">
        <f aca="false">F25*Assumptions!$G$65*Assumptions!$G$66*Assumptions!$G$67</f>
        <v>0</v>
      </c>
      <c r="G55" s="17" t="n">
        <f aca="false">G25*Assumptions!$G$65*Assumptions!$G$66*Assumptions!$G$67</f>
        <v>0</v>
      </c>
      <c r="H55" s="17" t="n">
        <f aca="false">H25*Assumptions!$G$65*Assumptions!$G$66*Assumptions!$G$67</f>
        <v>38.154375</v>
      </c>
      <c r="I55" s="17" t="n">
        <f aca="false">I25*Assumptions!$G$65*Assumptions!$G$66*Assumptions!$G$67</f>
        <v>59.520825</v>
      </c>
      <c r="J55" s="17" t="n">
        <f aca="false">J25*Assumptions!$G$65*Assumptions!$G$66*Assumptions!$G$67</f>
        <v>63.7216216875</v>
      </c>
      <c r="K55" s="17" t="n">
        <f aca="false">K25*Assumptions!$G$65*Assumptions!$G$66*Assumptions!$G$67</f>
        <v>97.64101368</v>
      </c>
      <c r="L55" s="17" t="n">
        <f aca="false">L25*Assumptions!$G$65*Assumptions!$G$66*Assumptions!$G$67</f>
        <v>148.734193879294</v>
      </c>
      <c r="M55" s="17" t="n">
        <f aca="false">M25*Assumptions!$G$65*Assumptions!$G$66*Assumptions!$G$67</f>
        <v>167.539651658962</v>
      </c>
      <c r="N55" s="17" t="n">
        <f aca="false">N25*Assumptions!$G$65*Assumptions!$G$66*Assumptions!$G$67</f>
        <v>195.354123959372</v>
      </c>
      <c r="O55" s="17" t="n">
        <f aca="false">O25*Assumptions!$G$65*Assumptions!$G$66*Assumptions!$G$67</f>
        <v>235.522669450828</v>
      </c>
      <c r="P55" s="17" t="n">
        <f aca="false">P25*Assumptions!$G$65*Assumptions!$G$66*Assumptions!$G$67</f>
        <v>279.715557131502</v>
      </c>
      <c r="Q55" s="17" t="n">
        <f aca="false">Q25*Assumptions!$G$65*Assumptions!$G$66*Assumptions!$G$67</f>
        <v>319.323028904055</v>
      </c>
      <c r="R55" s="17" t="n">
        <f aca="false">R25*Assumptions!$G$65*Assumptions!$G$66*Assumptions!$G$67</f>
        <v>351.567869388529</v>
      </c>
      <c r="S55" s="17" t="n">
        <f aca="false">S25*Assumptions!$G$65*Assumptions!$G$66*Assumptions!$G$67</f>
        <v>383.662618697428</v>
      </c>
      <c r="T55" s="17" t="n">
        <f aca="false">T25*Assumptions!$G$65*Assumptions!$G$66*Assumptions!$G$67</f>
        <v>409.748987712264</v>
      </c>
      <c r="U55" s="17" t="n">
        <f aca="false">U25*Assumptions!$G$65*Assumptions!$G$66*Assumptions!$G$67</f>
        <v>431.938708716318</v>
      </c>
      <c r="V55" s="17" t="n">
        <f aca="false">V25*Assumptions!$G$65*Assumptions!$G$66*Assumptions!$G$67</f>
        <v>451.604319701919</v>
      </c>
      <c r="W55" s="17" t="n">
        <f aca="false">W25*Assumptions!$G$65*Assumptions!$G$66*Assumptions!$G$67</f>
        <v>507.792258252197</v>
      </c>
      <c r="X55" s="17" t="n">
        <f aca="false">X25*Assumptions!$G$65*Assumptions!$G$66*Assumptions!$G$67</f>
        <v>546.139978805418</v>
      </c>
      <c r="Y55" s="17" t="n">
        <f aca="false">Y25*Assumptions!$G$65*Assumptions!$G$66*Assumptions!$G$67</f>
        <v>566.646508055597</v>
      </c>
      <c r="Z55" s="17" t="n">
        <f aca="false">Z25*Assumptions!$G$65*Assumptions!$G$66*Assumptions!$G$67</f>
        <v>616.440900849892</v>
      </c>
      <c r="AA55" s="17" t="n">
        <f aca="false">AA25*Assumptions!$G$65*Assumptions!$G$66*Assumptions!$G$67</f>
        <v>644.983015460048</v>
      </c>
      <c r="AB55" s="17" t="n">
        <f aca="false">AB25*Assumptions!$G$65*Assumptions!$G$66*Assumptions!$G$67</f>
        <v>657.856934657571</v>
      </c>
      <c r="AC55" s="17" t="n">
        <f aca="false">AC25*Assumptions!$G$65*Assumptions!$G$66*Assumptions!$G$67</f>
        <v>696.804182389877</v>
      </c>
      <c r="AD55" s="17" t="n">
        <f aca="false">AD25*Assumptions!$G$65*Assumptions!$G$66*Assumptions!$G$67</f>
        <v>756.48345066725</v>
      </c>
      <c r="AE55" s="17" t="n">
        <f aca="false">AE25*Assumptions!$G$65*Assumptions!$G$66*Assumptions!$G$67</f>
        <v>784.669539726405</v>
      </c>
      <c r="AF55" s="17" t="n">
        <f aca="false">AF25*Assumptions!$G$65*Assumptions!$G$66*Assumptions!$G$67</f>
        <v>823.869274646931</v>
      </c>
      <c r="AG55" s="17" t="n">
        <f aca="false">AG25*Assumptions!$G$65*Assumptions!$G$66*Assumptions!$G$67</f>
        <v>876.734261607022</v>
      </c>
      <c r="AH55" s="17" t="n">
        <f aca="false">AH25*Assumptions!$G$65*Assumptions!$G$66*Assumptions!$G$67</f>
        <v>894.803393800217</v>
      </c>
      <c r="AI55" s="17" t="n">
        <f aca="false">AI25*Assumptions!$G$65*Assumptions!$G$66*Assumptions!$G$67</f>
        <v>924.604471488237</v>
      </c>
      <c r="AJ55" s="17" t="n">
        <f aca="false">AJ25*Assumptions!$G$65*Assumptions!$G$66*Assumptions!$G$67</f>
        <v>965.391478330269</v>
      </c>
      <c r="AK55" s="17" t="n">
        <f aca="false">AK25*Assumptions!$G$65*Assumptions!$G$66*Assumptions!$G$67</f>
        <v>1013.71564605896</v>
      </c>
      <c r="AL55" s="17" t="n">
        <f aca="false">AL25*Assumptions!$G$65*Assumptions!$G$66*Assumptions!$G$67</f>
        <v>1059.70043723117</v>
      </c>
      <c r="AM55" s="17" t="n">
        <f aca="false">AM25*Assumptions!$G$65*Assumptions!$G$66*Assumptions!$G$67</f>
        <v>1099.74560282017</v>
      </c>
      <c r="AN55" s="44" t="n">
        <f aca="false">AN25*Assumptions!$G$65*Assumptions!$G$66*Assumptions!$G$67</f>
        <v>1140.52908026683</v>
      </c>
      <c r="AO55" s="44" t="n">
        <f aca="false">AO25*Assumptions!$G$65*Assumptions!$G$66*Assumptions!$G$67</f>
        <v>1175.84545422282</v>
      </c>
      <c r="AP55" s="44" t="n">
        <f aca="false">AP25*Assumptions!$G$65*Assumptions!$G$66*Assumptions!$G$67</f>
        <v>1207.58118677372</v>
      </c>
      <c r="AQ55" s="44" t="n">
        <f aca="false">AQ25*Assumptions!$G$65*Assumptions!$G$66*Assumptions!$G$67</f>
        <v>1236.96274851651</v>
      </c>
      <c r="AR55" s="44" t="n">
        <f aca="false">AR25*Assumptions!$G$65*Assumptions!$G$66*Assumptions!$G$67</f>
        <v>1264.78761287819</v>
      </c>
      <c r="AS55" s="44" t="n">
        <f aca="false">AS25*Assumptions!$G$65*Assumptions!$G$66*Assumptions!$G$67</f>
        <v>1291.57440244986</v>
      </c>
      <c r="AT55" s="44" t="n">
        <f aca="false">AT25*Assumptions!$G$65*Assumptions!$G$66*Assumptions!$G$67</f>
        <v>1316.13430913066</v>
      </c>
      <c r="AU55" s="44" t="n">
        <f aca="false">AU25*Assumptions!$G$65*Assumptions!$G$66*Assumptions!$G$67</f>
        <v>1340.70143199779</v>
      </c>
      <c r="AV55" s="44" t="n">
        <f aca="false">AV25*Assumptions!$G$65*Assumptions!$G$66*Assumptions!$G$67</f>
        <v>1365.24826055079</v>
      </c>
      <c r="AW55" s="44" t="n">
        <f aca="false">AW25*Assumptions!$G$65*Assumptions!$G$66*Assumptions!$G$67</f>
        <v>1388.23098781273</v>
      </c>
      <c r="AX55" s="44" t="n">
        <f aca="false">AX25*Assumptions!$G$65*Assumptions!$G$66*Assumptions!$G$67</f>
        <v>1411.65295134844</v>
      </c>
      <c r="AY55" s="44" t="n">
        <f aca="false">AY25*Assumptions!$G$65*Assumptions!$G$66*Assumptions!$G$67</f>
        <v>1435.33663355395</v>
      </c>
      <c r="AZ55" s="44" t="n">
        <f aca="false">AZ25*Assumptions!$G$65*Assumptions!$G$66*Assumptions!$G$67</f>
        <v>1457.64071083575</v>
      </c>
      <c r="BA55" s="44" t="n">
        <f aca="false">BA25*Assumptions!$G$65*Assumptions!$G$66*Assumptions!$G$67</f>
        <v>1478.97894807867</v>
      </c>
      <c r="BB55" s="44" t="n">
        <f aca="false">BB25*Assumptions!$G$65*Assumptions!$G$66*Assumptions!$G$67</f>
        <v>1501.14715842622</v>
      </c>
      <c r="BC55" s="44" t="n">
        <f aca="false">BC25*Assumptions!$G$65*Assumptions!$G$66*Assumptions!$G$67</f>
        <v>1522.30673973037</v>
      </c>
      <c r="BD55" s="44" t="n">
        <f aca="false">BD25*Assumptions!$G$65*Assumptions!$G$66*Assumptions!$G$67</f>
        <v>1542.74320971053</v>
      </c>
      <c r="BE55" s="44" t="n">
        <f aca="false">BE25*Assumptions!$G$65*Assumptions!$G$66*Assumptions!$G$67</f>
        <v>1564.16900490878</v>
      </c>
      <c r="BF55" s="44" t="n">
        <f aca="false">BF25*Assumptions!$G$65*Assumptions!$G$66*Assumptions!$G$67</f>
        <v>1584.69131260167</v>
      </c>
      <c r="BG55" s="44" t="n">
        <f aca="false">BG25*Assumptions!$G$65*Assumptions!$G$66*Assumptions!$G$67</f>
        <v>1604.56039800794</v>
      </c>
      <c r="BH55" s="44" t="n">
        <f aca="false">BH25*Assumptions!$G$65*Assumptions!$G$66*Assumptions!$G$67</f>
        <v>1623.93959307385</v>
      </c>
      <c r="BI55" s="44" t="n">
        <f aca="false">BI25*Assumptions!$G$65*Assumptions!$G$66*Assumptions!$G$67</f>
        <v>1642.935716523</v>
      </c>
      <c r="BJ55" s="44" t="n">
        <f aca="false">BJ25*Assumptions!$G$65*Assumptions!$G$66*Assumptions!$G$67</f>
        <v>1661.61884695471</v>
      </c>
      <c r="BK55" s="44" t="n">
        <f aca="false">BK25*Assumptions!$G$65*Assumptions!$G$66*Assumptions!$G$67</f>
        <v>1680.03517542316</v>
      </c>
    </row>
    <row r="56" customFormat="false" ht="15" hidden="false" customHeight="false" outlineLevel="0" collapsed="false">
      <c r="A56" s="28" t="s">
        <v>626</v>
      </c>
      <c r="B56" s="6" t="s">
        <v>627</v>
      </c>
      <c r="C56" s="43"/>
      <c r="D56" s="17" t="n">
        <f aca="false">(D41+D42+D43)*Assumptions!$G$78</f>
        <v>0</v>
      </c>
      <c r="E56" s="17" t="n">
        <f aca="false">(E41+E42+E43)*Assumptions!$G$78</f>
        <v>0</v>
      </c>
      <c r="F56" s="17" t="n">
        <f aca="false">(F41+F42+F43)*Assumptions!$G$78</f>
        <v>0</v>
      </c>
      <c r="G56" s="17" t="n">
        <f aca="false">(G41+G42+G43)*Assumptions!$G$78</f>
        <v>0</v>
      </c>
      <c r="H56" s="17" t="n">
        <f aca="false">(H41+H42+H43)*Assumptions!$G$78</f>
        <v>0</v>
      </c>
      <c r="I56" s="17" t="n">
        <f aca="false">(I41+I42+I43)*Assumptions!$G$78</f>
        <v>0</v>
      </c>
      <c r="J56" s="17" t="n">
        <f aca="false">(J41+J42+J43)*Assumptions!$G$78</f>
        <v>0</v>
      </c>
      <c r="K56" s="17" t="n">
        <f aca="false">(K41+K42+K43)*Assumptions!$G$78</f>
        <v>0</v>
      </c>
      <c r="L56" s="17" t="n">
        <f aca="false">(L41+L42+L43)*Assumptions!$G$78</f>
        <v>0</v>
      </c>
      <c r="M56" s="17" t="n">
        <f aca="false">(M41+M42+M43)*Assumptions!$G$78</f>
        <v>0</v>
      </c>
      <c r="N56" s="17" t="n">
        <f aca="false">(N41+N42+N43)*Assumptions!$G$78</f>
        <v>0</v>
      </c>
      <c r="O56" s="17" t="n">
        <f aca="false">(O41+O42+O43)*Assumptions!$G$78</f>
        <v>0</v>
      </c>
      <c r="P56" s="17" t="n">
        <f aca="false">(P41+P42+P43)*Assumptions!$G$78</f>
        <v>0</v>
      </c>
      <c r="Q56" s="17" t="n">
        <f aca="false">(Q41+Q42+Q43)*Assumptions!$G$78</f>
        <v>0</v>
      </c>
      <c r="R56" s="17" t="n">
        <f aca="false">(R41+R42+R43)*Assumptions!$G$78</f>
        <v>0</v>
      </c>
      <c r="S56" s="17" t="n">
        <f aca="false">(S41+S42+S43)*Assumptions!$G$78</f>
        <v>0</v>
      </c>
      <c r="T56" s="17" t="n">
        <f aca="false">(T41+T42+T43)*Assumptions!$G$78</f>
        <v>0</v>
      </c>
      <c r="U56" s="17" t="n">
        <f aca="false">(U41+U42+U43)*Assumptions!$G$78</f>
        <v>0</v>
      </c>
      <c r="V56" s="17" t="n">
        <f aca="false">(V41+V42+V43)*Assumptions!$G$78</f>
        <v>0</v>
      </c>
      <c r="W56" s="17" t="n">
        <f aca="false">(W41+W42+W43)*Assumptions!$G$78</f>
        <v>0</v>
      </c>
      <c r="X56" s="17" t="n">
        <f aca="false">(X41+X42+X43)*Assumptions!$G$78</f>
        <v>0</v>
      </c>
      <c r="Y56" s="17" t="n">
        <f aca="false">(Y41+Y42+Y43)*Assumptions!$G$78</f>
        <v>0</v>
      </c>
      <c r="Z56" s="17" t="n">
        <f aca="false">(Z41+Z42+Z43)*Assumptions!$G$78</f>
        <v>0</v>
      </c>
      <c r="AA56" s="17" t="n">
        <f aca="false">(AA41+AA42+AA43)*Assumptions!$G$78</f>
        <v>0</v>
      </c>
      <c r="AB56" s="17" t="n">
        <f aca="false">(AB41+AB42+AB43)*Assumptions!$G$78</f>
        <v>0</v>
      </c>
      <c r="AC56" s="17" t="n">
        <f aca="false">(AC41+AC42+AC43)*Assumptions!$G$78</f>
        <v>0</v>
      </c>
      <c r="AD56" s="17" t="n">
        <f aca="false">(AD41+AD42+AD43)*Assumptions!$G$78</f>
        <v>0</v>
      </c>
      <c r="AE56" s="17" t="n">
        <f aca="false">(AE41+AE42+AE43)*Assumptions!$G$78</f>
        <v>38.0062386311929</v>
      </c>
      <c r="AF56" s="17" t="n">
        <f aca="false">(AF41+AF42+AF43)*Assumptions!$G$78</f>
        <v>81.4809808683147</v>
      </c>
      <c r="AG56" s="17" t="n">
        <f aca="false">(AG41+AG42+AG43)*Assumptions!$G$78</f>
        <v>131.143269333536</v>
      </c>
      <c r="AH56" s="17" t="n">
        <f aca="false">(AH41+AH42+AH43)*Assumptions!$G$78</f>
        <v>185.678008248478</v>
      </c>
      <c r="AI56" s="17" t="n">
        <f aca="false">(AI41+AI42+AI43)*Assumptions!$G$78</f>
        <v>246.203119049163</v>
      </c>
      <c r="AJ56" s="17" t="n">
        <f aca="false">(AJ41+AJ42+AJ43)*Assumptions!$G$78</f>
        <v>313.327347276909</v>
      </c>
      <c r="AK56" s="17" t="n">
        <f aca="false">(AK41+AK42+AK43)*Assumptions!$G$78</f>
        <v>332.207263454367</v>
      </c>
      <c r="AL56" s="17" t="n">
        <f aca="false">(AL41+AL42+AL43)*Assumptions!$G$78</f>
        <v>351.571503917471</v>
      </c>
      <c r="AM56" s="17" t="n">
        <f aca="false">(AM41+AM42+AM43)*Assumptions!$G$78</f>
        <v>371.080883041767</v>
      </c>
      <c r="AN56" s="44" t="n">
        <f aca="false">(AN41+AN42+AN43)*Assumptions!$G$78</f>
        <v>391.024334442606</v>
      </c>
      <c r="AO56" s="44" t="n">
        <f aca="false">(AO41+AO42+AO43)*Assumptions!$G$78</f>
        <v>410.971784373496</v>
      </c>
      <c r="AP56" s="44" t="n">
        <f aca="false">(AP41+AP42+AP43)*Assumptions!$G$78</f>
        <v>430.896306883717</v>
      </c>
      <c r="AQ56" s="44" t="n">
        <f aca="false">(AQ41+AQ42+AQ43)*Assumptions!$G$78</f>
        <v>450.780655369951</v>
      </c>
      <c r="AR56" s="44" t="n">
        <f aca="false">(AR41+AR42+AR43)*Assumptions!$G$78</f>
        <v>470.613872252048</v>
      </c>
      <c r="AS56" s="44" t="n">
        <f aca="false">(AS41+AS42+AS43)*Assumptions!$G$78</f>
        <v>490.389085287795</v>
      </c>
      <c r="AT56" s="44" t="n">
        <f aca="false">(AT41+AT42+AT43)*Assumptions!$G$78</f>
        <v>509.995299477791</v>
      </c>
      <c r="AU56" s="44" t="n">
        <f aca="false">(AU41+AU42+AU43)*Assumptions!$G$78</f>
        <v>529.530916885881</v>
      </c>
      <c r="AV56" s="44" t="n">
        <f aca="false">(AV41+AV42+AV43)*Assumptions!$G$78</f>
        <v>548.997046203886</v>
      </c>
      <c r="AW56" s="44" t="n">
        <f aca="false">(AW41+AW42+AW43)*Assumptions!$G$78</f>
        <v>568.287868358309</v>
      </c>
      <c r="AX56" s="44" t="n">
        <f aca="false">(AX41+AX42+AX43)*Assumptions!$G$78</f>
        <v>587.505138200426</v>
      </c>
      <c r="AY56" s="44" t="n">
        <f aca="false">(AY41+AY42+AY43)*Assumptions!$G$78</f>
        <v>606.652132285127</v>
      </c>
      <c r="AZ56" s="44" t="n">
        <f aca="false">(AZ41+AZ42+AZ43)*Assumptions!$G$78</f>
        <v>625.624429315634</v>
      </c>
      <c r="BA56" s="44" t="n">
        <f aca="false">(BA41+BA42+BA43)*Assumptions!$G$78</f>
        <v>644.417905752161</v>
      </c>
      <c r="BB56" s="44" t="n">
        <f aca="false">(BB41+BB42+BB43)*Assumptions!$G$78</f>
        <v>663.137309693933</v>
      </c>
      <c r="BC56" s="44" t="n">
        <f aca="false">(BC41+BC42+BC43)*Assumptions!$G$78</f>
        <v>681.681069946535</v>
      </c>
      <c r="BD56" s="44" t="n">
        <f aca="false">(BD41+BD42+BD43)*Assumptions!$G$78</f>
        <v>700.046900324271</v>
      </c>
      <c r="BE56" s="44" t="n">
        <f aca="false">(BE41+BE42+BE43)*Assumptions!$G$78</f>
        <v>718.34072814621</v>
      </c>
      <c r="BF56" s="44" t="n">
        <f aca="false">(BF41+BF42+BF43)*Assumptions!$G$78</f>
        <v>736.461733801115</v>
      </c>
      <c r="BG56" s="44" t="n">
        <f aca="false">(BG41+BG42+BG43)*Assumptions!$G$78</f>
        <v>754.408104871743</v>
      </c>
      <c r="BH56" s="44" t="n">
        <f aca="false">(BH41+BH42+BH43)*Assumptions!$G$78</f>
        <v>772.179286288641</v>
      </c>
      <c r="BI56" s="44" t="n">
        <f aca="false">(BI41+BI42+BI43)*Assumptions!$G$78</f>
        <v>789.775534028404</v>
      </c>
      <c r="BJ56" s="44" t="n">
        <f aca="false">(BJ41+BJ42+BJ43)*Assumptions!$G$78</f>
        <v>807.197625079843</v>
      </c>
      <c r="BK56" s="44" t="n">
        <f aca="false">(BK41+BK42+BK43)*Assumptions!$G$78</f>
        <v>824.446668983664</v>
      </c>
    </row>
    <row r="57" customFormat="false" ht="15" hidden="false" customHeight="false" outlineLevel="0" collapsed="false">
      <c r="A57" s="28" t="s">
        <v>628</v>
      </c>
      <c r="B57" s="6" t="s">
        <v>629</v>
      </c>
      <c r="C57" s="43"/>
      <c r="D57" s="17" t="n">
        <f aca="false">D45*Assumptions!$G$82</f>
        <v>0</v>
      </c>
      <c r="E57" s="17" t="n">
        <f aca="false">E45*Assumptions!$G$82</f>
        <v>0</v>
      </c>
      <c r="F57" s="17" t="n">
        <f aca="false">F45*Assumptions!$G$82</f>
        <v>0</v>
      </c>
      <c r="G57" s="17" t="n">
        <f aca="false">G45*Assumptions!$G$82</f>
        <v>0</v>
      </c>
      <c r="H57" s="17" t="n">
        <f aca="false">H45*Assumptions!$G$82</f>
        <v>0</v>
      </c>
      <c r="I57" s="17" t="n">
        <f aca="false">I45*Assumptions!$G$82</f>
        <v>0</v>
      </c>
      <c r="J57" s="17" t="n">
        <f aca="false">J45*Assumptions!$G$82</f>
        <v>0</v>
      </c>
      <c r="K57" s="17" t="n">
        <f aca="false">K45*Assumptions!$G$82</f>
        <v>0</v>
      </c>
      <c r="L57" s="17" t="n">
        <f aca="false">L45*Assumptions!$G$82</f>
        <v>0</v>
      </c>
      <c r="M57" s="17" t="n">
        <f aca="false">M45*Assumptions!$G$82</f>
        <v>0</v>
      </c>
      <c r="N57" s="17" t="n">
        <f aca="false">N45*Assumptions!$G$82</f>
        <v>0</v>
      </c>
      <c r="O57" s="17" t="n">
        <f aca="false">O45*Assumptions!$G$82</f>
        <v>0</v>
      </c>
      <c r="P57" s="17" t="n">
        <f aca="false">P45*Assumptions!$G$82</f>
        <v>0</v>
      </c>
      <c r="Q57" s="17" t="n">
        <f aca="false">Q45*Assumptions!$G$82</f>
        <v>168.75</v>
      </c>
      <c r="R57" s="17" t="n">
        <f aca="false">R45*Assumptions!$G$82</f>
        <v>253.125</v>
      </c>
      <c r="S57" s="17" t="n">
        <f aca="false">S45*Assumptions!$G$82</f>
        <v>253.125</v>
      </c>
      <c r="T57" s="17" t="n">
        <f aca="false">T45*Assumptions!$G$82</f>
        <v>337.5</v>
      </c>
      <c r="U57" s="17" t="n">
        <f aca="false">U45*Assumptions!$G$82</f>
        <v>421.875</v>
      </c>
      <c r="V57" s="17" t="n">
        <f aca="false">V45*Assumptions!$G$82</f>
        <v>506.25</v>
      </c>
      <c r="W57" s="17" t="n">
        <f aca="false">W45*Assumptions!$G$82</f>
        <v>590.625</v>
      </c>
      <c r="X57" s="17" t="n">
        <f aca="false">X45*Assumptions!$G$82</f>
        <v>675</v>
      </c>
      <c r="Y57" s="17" t="n">
        <f aca="false">Y45*Assumptions!$G$82</f>
        <v>759.375</v>
      </c>
      <c r="Z57" s="17" t="n">
        <f aca="false">Z45*Assumptions!$G$82</f>
        <v>843.75</v>
      </c>
      <c r="AA57" s="17" t="n">
        <f aca="false">AA45*Assumptions!$G$82</f>
        <v>928.125</v>
      </c>
      <c r="AB57" s="17" t="n">
        <f aca="false">AB45*Assumptions!$G$82</f>
        <v>1012.5</v>
      </c>
      <c r="AC57" s="17" t="n">
        <f aca="false">AC45*Assumptions!$G$82</f>
        <v>1181.25</v>
      </c>
      <c r="AD57" s="17" t="n">
        <f aca="false">AD45*Assumptions!$G$82</f>
        <v>1265.625</v>
      </c>
      <c r="AE57" s="17" t="n">
        <f aca="false">AE45*Assumptions!$G$82</f>
        <v>1350</v>
      </c>
      <c r="AF57" s="17" t="n">
        <f aca="false">AF45*Assumptions!$G$82</f>
        <v>1518.75</v>
      </c>
      <c r="AG57" s="17" t="n">
        <f aca="false">AG45*Assumptions!$G$82</f>
        <v>1603.125</v>
      </c>
      <c r="AH57" s="17" t="n">
        <f aca="false">AH45*Assumptions!$G$82</f>
        <v>1687.5</v>
      </c>
      <c r="AI57" s="17" t="n">
        <f aca="false">AI45*Assumptions!$G$82</f>
        <v>1856.25</v>
      </c>
      <c r="AJ57" s="17" t="n">
        <f aca="false">AJ45*Assumptions!$G$82</f>
        <v>2025</v>
      </c>
      <c r="AK57" s="17" t="n">
        <f aca="false">AK45*Assumptions!$G$82</f>
        <v>2109.375</v>
      </c>
      <c r="AL57" s="17" t="n">
        <f aca="false">AL45*Assumptions!$G$82</f>
        <v>2278.125</v>
      </c>
      <c r="AM57" s="17" t="n">
        <f aca="false">AM45*Assumptions!$G$82</f>
        <v>2446.875</v>
      </c>
      <c r="AN57" s="44" t="n">
        <f aca="false">AN45*Assumptions!$G$82</f>
        <v>2531.25</v>
      </c>
      <c r="AO57" s="44" t="n">
        <f aca="false">AO45*Assumptions!$G$82</f>
        <v>2700</v>
      </c>
      <c r="AP57" s="44" t="n">
        <f aca="false">AP45*Assumptions!$G$82</f>
        <v>2868.75</v>
      </c>
      <c r="AQ57" s="44" t="n">
        <f aca="false">AQ45*Assumptions!$G$82</f>
        <v>3037.5</v>
      </c>
      <c r="AR57" s="44" t="n">
        <f aca="false">AR45*Assumptions!$G$82</f>
        <v>3206.25</v>
      </c>
      <c r="AS57" s="44" t="n">
        <f aca="false">AS45*Assumptions!$G$82</f>
        <v>3375</v>
      </c>
      <c r="AT57" s="44" t="n">
        <f aca="false">AT45*Assumptions!$G$82</f>
        <v>3543.75</v>
      </c>
      <c r="AU57" s="44" t="n">
        <f aca="false">AU45*Assumptions!$G$82</f>
        <v>3712.5</v>
      </c>
      <c r="AV57" s="44" t="n">
        <f aca="false">AV45*Assumptions!$G$82</f>
        <v>3881.25</v>
      </c>
      <c r="AW57" s="44" t="n">
        <f aca="false">AW45*Assumptions!$G$82</f>
        <v>4050</v>
      </c>
      <c r="AX57" s="44" t="n">
        <f aca="false">AX45*Assumptions!$G$82</f>
        <v>4218.75</v>
      </c>
      <c r="AY57" s="44" t="n">
        <f aca="false">AY45*Assumptions!$G$82</f>
        <v>4387.5</v>
      </c>
      <c r="AZ57" s="44" t="n">
        <f aca="false">AZ45*Assumptions!$G$82</f>
        <v>4556.25</v>
      </c>
      <c r="BA57" s="44" t="n">
        <f aca="false">BA45*Assumptions!$G$82</f>
        <v>4725</v>
      </c>
      <c r="BB57" s="44" t="n">
        <f aca="false">BB45*Assumptions!$G$82</f>
        <v>4893.75</v>
      </c>
      <c r="BC57" s="44" t="n">
        <f aca="false">BC45*Assumptions!$G$82</f>
        <v>5062.5</v>
      </c>
      <c r="BD57" s="44" t="n">
        <f aca="false">BD45*Assumptions!$G$82</f>
        <v>5231.25</v>
      </c>
      <c r="BE57" s="44" t="n">
        <f aca="false">BE45*Assumptions!$G$82</f>
        <v>5400</v>
      </c>
      <c r="BF57" s="44" t="n">
        <f aca="false">BF45*Assumptions!$G$82</f>
        <v>5568.75</v>
      </c>
      <c r="BG57" s="44" t="n">
        <f aca="false">BG45*Assumptions!$G$82</f>
        <v>5737.5</v>
      </c>
      <c r="BH57" s="44" t="n">
        <f aca="false">BH45*Assumptions!$G$82</f>
        <v>5906.25</v>
      </c>
      <c r="BI57" s="44" t="n">
        <f aca="false">BI45*Assumptions!$G$82</f>
        <v>6075</v>
      </c>
      <c r="BJ57" s="44" t="n">
        <f aca="false">BJ45*Assumptions!$G$82</f>
        <v>6243.75</v>
      </c>
      <c r="BK57" s="44" t="n">
        <f aca="false">BK45*Assumptions!$G$82</f>
        <v>6412.5</v>
      </c>
    </row>
    <row r="58" customFormat="false" ht="15" hidden="false" customHeight="false" outlineLevel="0" collapsed="false">
      <c r="A58" s="28" t="s">
        <v>630</v>
      </c>
      <c r="B58" s="5" t="s">
        <v>631</v>
      </c>
      <c r="C58" s="43"/>
      <c r="D58" s="45" t="n">
        <f aca="false">D49+D50+D51+D52+D53+D54+D55+D56+D57</f>
        <v>0</v>
      </c>
      <c r="E58" s="45" t="n">
        <f aca="false">E49+E50+E51+E52+E53+E54+E55+E56+E57</f>
        <v>0</v>
      </c>
      <c r="F58" s="45" t="n">
        <f aca="false">F49+F50+F51+F52+F53+F54+F55+F56+F57</f>
        <v>0</v>
      </c>
      <c r="G58" s="45" t="n">
        <f aca="false">G49+G50+G51+G52+G53+G54+G55+G56+G57</f>
        <v>0</v>
      </c>
      <c r="H58" s="45" t="n">
        <f aca="false">H49+H50+H51+H52+H53+H54+H55+H56+H57</f>
        <v>65.8987291666667</v>
      </c>
      <c r="I58" s="45" t="n">
        <f aca="false">I49+I50+I51+I52+I53+I54+I55+I56+I57</f>
        <v>110.875671666667</v>
      </c>
      <c r="J58" s="45" t="n">
        <f aca="false">J49+J50+J51+J52+J53+J54+J55+J56+J57</f>
        <v>130.40307608125</v>
      </c>
      <c r="K58" s="45" t="n">
        <f aca="false">K49+K50+K51+K52+K53+K54+K55+K56+K57</f>
        <v>201.657295389083</v>
      </c>
      <c r="L58" s="45" t="n">
        <f aca="false">L49+L50+L51+L52+L53+L54+L55+L56+L57</f>
        <v>309.244114646479</v>
      </c>
      <c r="M58" s="45" t="n">
        <f aca="false">M49+M50+M51+M52+M53+M54+M55+M56+M57</f>
        <v>371.102796670684</v>
      </c>
      <c r="N58" s="45" t="n">
        <f aca="false">N49+N50+N51+N52+N53+N54+N55+N56+N57</f>
        <v>451.325674864912</v>
      </c>
      <c r="O58" s="45" t="n">
        <f aca="false">O49+O50+O51+O52+O53+O54+O55+O56+O57</f>
        <v>557.484387087538</v>
      </c>
      <c r="P58" s="45" t="n">
        <f aca="false">P49+P50+P51+P52+P53+P54+P55+P56+P57</f>
        <v>677.62239924799</v>
      </c>
      <c r="Q58" s="45" t="n">
        <f aca="false">Q49+Q50+Q51+Q52+Q53+Q54+Q55+Q56+Q57</f>
        <v>966.189703375874</v>
      </c>
      <c r="R58" s="45" t="n">
        <f aca="false">R49+R50+R51+R52+R53+R54+R55+R56+R57</f>
        <v>1163.99034448702</v>
      </c>
      <c r="S58" s="45" t="n">
        <f aca="false">S49+S50+S51+S52+S53+S54+S55+S56+S57</f>
        <v>1281.67057646967</v>
      </c>
      <c r="T58" s="45" t="n">
        <f aca="false">T49+T50+T51+T52+T53+T54+T55+T56+T57</f>
        <v>1686.30399938443</v>
      </c>
      <c r="U58" s="45" t="n">
        <f aca="false">U49+U50+U51+U52+U53+U54+U55+U56+U57</f>
        <v>2095.02910250354</v>
      </c>
      <c r="V58" s="45" t="n">
        <f aca="false">V49+V50+V51+V52+V53+V54+V55+V56+V57</f>
        <v>2508.72971206741</v>
      </c>
      <c r="W58" s="45" t="n">
        <f aca="false">W49+W50+W51+W52+W53+W54+W55+W56+W57</f>
        <v>3001.36001149951</v>
      </c>
      <c r="X58" s="45" t="n">
        <f aca="false">X49+X50+X51+X52+X53+X54+X55+X56+X57</f>
        <v>3484.63040591688</v>
      </c>
      <c r="Y58" s="45" t="n">
        <f aca="false">Y49+Y50+Y51+Y52+Y53+Y54+Y55+Y56+Y57</f>
        <v>3951.28785706965</v>
      </c>
      <c r="Z58" s="45" t="n">
        <f aca="false">Z49+Z50+Z51+Z52+Z53+Z54+Z55+Z56+Z57</f>
        <v>4484.15947936242</v>
      </c>
      <c r="AA58" s="45" t="n">
        <f aca="false">AA49+AA50+AA51+AA52+AA53+AA54+AA55+AA56+AA57</f>
        <v>4998.77579535197</v>
      </c>
      <c r="AB58" s="45" t="n">
        <f aca="false">AB49+AB50+AB51+AB52+AB53+AB54+AB55+AB56+AB57</f>
        <v>5496.64807919752</v>
      </c>
      <c r="AC58" s="45" t="n">
        <f aca="false">AC49+AC50+AC51+AC52+AC53+AC54+AC55+AC56+AC57</f>
        <v>6135.10544988576</v>
      </c>
      <c r="AD58" s="45" t="n">
        <f aca="false">AD49+AD50+AD51+AD52+AD53+AD54+AD55+AD56+AD57</f>
        <v>6746.21864599533</v>
      </c>
      <c r="AE58" s="45" t="n">
        <f aca="false">AE49+AE50+AE51+AE52+AE53+AE54+AE55+AE56+AE57</f>
        <v>7361.28840423432</v>
      </c>
      <c r="AF58" s="45" t="n">
        <f aca="false">AF49+AF50+AF51+AF52+AF53+AF54+AF55+AF56+AF57</f>
        <v>8100.32781246751</v>
      </c>
      <c r="AG58" s="45" t="n">
        <f aca="false">AG49+AG50+AG51+AG52+AG53+AG54+AG55+AG56+AG57</f>
        <v>8804.9719459501</v>
      </c>
      <c r="AH58" s="45" t="n">
        <f aca="false">AH49+AH50+AH51+AH52+AH53+AH54+AH55+AH56+AH57</f>
        <v>9471.0199046212</v>
      </c>
      <c r="AI58" s="45" t="n">
        <f aca="false">AI49+AI50+AI51+AI52+AI53+AI54+AI55+AI56+AI57</f>
        <v>10257.9793598354</v>
      </c>
      <c r="AJ58" s="45" t="n">
        <f aca="false">AJ49+AJ50+AJ51+AJ52+AJ53+AJ54+AJ55+AJ56+AJ57</f>
        <v>11085.0862288152</v>
      </c>
      <c r="AK58" s="45" t="n">
        <f aca="false">AK49+AK50+AK51+AK52+AK53+AK54+AK55+AK56+AK57</f>
        <v>11811.028373137</v>
      </c>
      <c r="AL58" s="45" t="n">
        <f aca="false">AL49+AL50+AL51+AL52+AL53+AL54+AL55+AL56+AL57</f>
        <v>12637.587615872</v>
      </c>
      <c r="AM58" s="45" t="n">
        <f aca="false">AM49+AM50+AM51+AM52+AM53+AM54+AM55+AM56+AM57</f>
        <v>13472.126150149</v>
      </c>
      <c r="AN58" s="46" t="n">
        <f aca="false">AN49+AN50+AN51+AN52+AN53+AN54+AN55+AN56+AN57</f>
        <v>14240.6480786259</v>
      </c>
      <c r="AO58" s="46" t="n">
        <f aca="false">AO49+AO50+AO51+AO52+AO53+AO54+AO55+AO56+AO57</f>
        <v>15099.5517015775</v>
      </c>
      <c r="AP58" s="46" t="n">
        <f aca="false">AP49+AP50+AP51+AP52+AP53+AP54+AP55+AP56+AP57</f>
        <v>15965.2766430015</v>
      </c>
      <c r="AQ58" s="46" t="n">
        <f aca="false">AQ49+AQ50+AQ51+AQ52+AQ53+AQ54+AQ55+AQ56+AQ57</f>
        <v>16838.0509297655</v>
      </c>
      <c r="AR58" s="46" t="n">
        <f aca="false">AR49+AR50+AR51+AR52+AR53+AR54+AR55+AR56+AR57</f>
        <v>17717.746172936</v>
      </c>
      <c r="AS58" s="46" t="n">
        <f aca="false">AS49+AS50+AS51+AS52+AS53+AS54+AS55+AS56+AS57</f>
        <v>18604.0251347072</v>
      </c>
      <c r="AT58" s="46" t="n">
        <f aca="false">AT49+AT50+AT51+AT52+AT53+AT54+AT55+AT56+AT57</f>
        <v>19493.3878114759</v>
      </c>
      <c r="AU58" s="46" t="n">
        <f aca="false">AU49+AU50+AU51+AU52+AU53+AU54+AU55+AU56+AU57</f>
        <v>20388.6118001608</v>
      </c>
      <c r="AV58" s="46" t="n">
        <f aca="false">AV49+AV50+AV51+AV52+AV53+AV54+AV55+AV56+AV57</f>
        <v>21289.0209252673</v>
      </c>
      <c r="AW58" s="46" t="n">
        <f aca="false">AW49+AW50+AW51+AW52+AW53+AW54+AW55+AW56+AW57</f>
        <v>22190.9546412292</v>
      </c>
      <c r="AX58" s="46" t="n">
        <f aca="false">AX49+AX50+AX51+AX52+AX53+AX54+AX55+AX56+AX57</f>
        <v>23097.1410493953</v>
      </c>
      <c r="AY58" s="46" t="n">
        <f aca="false">AY49+AY50+AY51+AY52+AY53+AY54+AY55+AY56+AY57</f>
        <v>24006.9221578857</v>
      </c>
      <c r="AZ58" s="46" t="n">
        <f aca="false">AZ49+AZ50+AZ51+AZ52+AZ53+AZ54+AZ55+AZ56+AZ57</f>
        <v>24916.6954703726</v>
      </c>
      <c r="BA58" s="46" t="n">
        <f aca="false">BA49+BA50+BA51+BA52+BA53+BA54+BA55+BA56+BA57</f>
        <v>25826.2213111319</v>
      </c>
      <c r="BB58" s="46" t="n">
        <f aca="false">BB49+BB50+BB51+BB52+BB53+BB54+BB55+BB56+BB57</f>
        <v>26738.2178333703</v>
      </c>
      <c r="BC58" s="46" t="n">
        <f aca="false">BC49+BC50+BC51+BC52+BC53+BC54+BC55+BC56+BC57</f>
        <v>27649.0271988329</v>
      </c>
      <c r="BD58" s="46" t="n">
        <f aca="false">BD49+BD50+BD51+BD52+BD53+BD54+BD55+BD56+BD57</f>
        <v>28558.4133474477</v>
      </c>
      <c r="BE58" s="46" t="n">
        <f aca="false">BE49+BE50+BE51+BE52+BE53+BE54+BE55+BE56+BE57</f>
        <v>29469.1331327239</v>
      </c>
      <c r="BF58" s="46" t="n">
        <f aca="false">BF49+BF50+BF51+BF52+BF53+BF54+BF55+BF56+BF57</f>
        <v>30377.5872520632</v>
      </c>
      <c r="BG58" s="46" t="n">
        <f aca="false">BG49+BG50+BG51+BG52+BG53+BG54+BG55+BG56+BG57</f>
        <v>31283.6083498885</v>
      </c>
      <c r="BH58" s="46" t="n">
        <f aca="false">BH49+BH50+BH51+BH52+BH53+BH54+BH55+BH56+BH57</f>
        <v>32186.9781381949</v>
      </c>
      <c r="BI58" s="46" t="n">
        <f aca="false">BI49+BI50+BI51+BI52+BI53+BI54+BI55+BI56+BI57</f>
        <v>33087.455557089</v>
      </c>
      <c r="BJ58" s="46" t="n">
        <f aca="false">BJ49+BJ50+BJ51+BJ52+BJ53+BJ54+BJ55+BJ56+BJ57</f>
        <v>33984.7942328077</v>
      </c>
      <c r="BK58" s="46" t="n">
        <f aca="false">BK49+BK50+BK51+BK52+BK53+BK54+BK55+BK56+BK57</f>
        <v>34878.7530488904</v>
      </c>
    </row>
    <row r="59" customFormat="false" ht="15" hidden="false" customHeight="false" outlineLevel="0" collapsed="false">
      <c r="A59" s="28" t="s">
        <v>632</v>
      </c>
      <c r="B59" s="5" t="s">
        <v>633</v>
      </c>
      <c r="C59" s="43"/>
      <c r="D59" s="45" t="n">
        <f aca="false">D46-D58</f>
        <v>0</v>
      </c>
      <c r="E59" s="45" t="n">
        <f aca="false">E46-E58</f>
        <v>0</v>
      </c>
      <c r="F59" s="45" t="n">
        <f aca="false">F46-F58</f>
        <v>0</v>
      </c>
      <c r="G59" s="45" t="n">
        <f aca="false">G46-G58</f>
        <v>0</v>
      </c>
      <c r="H59" s="45" t="n">
        <f aca="false">H46-H58</f>
        <v>-65.8987291666667</v>
      </c>
      <c r="I59" s="45" t="n">
        <f aca="false">I46-I58</f>
        <v>-110.875671666667</v>
      </c>
      <c r="J59" s="45" t="n">
        <f aca="false">J46-J58</f>
        <v>-130.40307608125</v>
      </c>
      <c r="K59" s="45" t="n">
        <f aca="false">K46-K58</f>
        <v>-201.657295389083</v>
      </c>
      <c r="L59" s="45" t="n">
        <f aca="false">L46-L58</f>
        <v>-309.244114646479</v>
      </c>
      <c r="M59" s="45" t="n">
        <f aca="false">M46-M58</f>
        <v>-371.102796670684</v>
      </c>
      <c r="N59" s="45" t="n">
        <f aca="false">N46-N58</f>
        <v>-451.325674864912</v>
      </c>
      <c r="O59" s="45" t="n">
        <f aca="false">O46-O58</f>
        <v>-557.484387087538</v>
      </c>
      <c r="P59" s="45" t="n">
        <f aca="false">P46-P58</f>
        <v>-677.62239924799</v>
      </c>
      <c r="Q59" s="45" t="n">
        <f aca="false">Q46-Q58</f>
        <v>-403.689703375874</v>
      </c>
      <c r="R59" s="45" t="n">
        <f aca="false">R46-R58</f>
        <v>-320.240344487018</v>
      </c>
      <c r="S59" s="45" t="n">
        <f aca="false">S46-S58</f>
        <v>-437.920576469668</v>
      </c>
      <c r="T59" s="45" t="n">
        <f aca="false">T46-T58</f>
        <v>-13.2395081468728</v>
      </c>
      <c r="U59" s="45" t="n">
        <f aca="false">U46-U58</f>
        <v>428.201522652376</v>
      </c>
      <c r="V59" s="45" t="n">
        <f aca="false">V46-V58</f>
        <v>884.081568963649</v>
      </c>
      <c r="W59" s="45" t="n">
        <f aca="false">W46-W58</f>
        <v>1299.16504846615</v>
      </c>
      <c r="X59" s="45" t="n">
        <f aca="false">X46-X58</f>
        <v>1756.29680555374</v>
      </c>
      <c r="Y59" s="45" t="n">
        <f aca="false">Y46-Y58</f>
        <v>2254.54308655965</v>
      </c>
      <c r="Z59" s="45" t="n">
        <f aca="false">Z46-Z58</f>
        <v>2725.25399949684</v>
      </c>
      <c r="AA59" s="45" t="n">
        <f aca="false">AA46-AA58</f>
        <v>3244.12334640743</v>
      </c>
      <c r="AB59" s="45" t="n">
        <f aca="false">AB46-AB58</f>
        <v>3800.82913101881</v>
      </c>
      <c r="AC59" s="45" t="n">
        <f aca="false">AC46-AC58</f>
        <v>4530.49869370107</v>
      </c>
      <c r="AD59" s="45" t="n">
        <f aca="false">AD46-AD58</f>
        <v>5050.33698358262</v>
      </c>
      <c r="AE59" s="45" t="n">
        <f aca="false">AE46-AE58</f>
        <v>5976.98622077159</v>
      </c>
      <c r="AF59" s="45" t="n">
        <f aca="false">AF46-AF58</f>
        <v>7150.95304637211</v>
      </c>
      <c r="AG59" s="45" t="n">
        <f aca="false">AG46-AG58</f>
        <v>8182.70134173384</v>
      </c>
      <c r="AH59" s="45" t="n">
        <f aca="false">AH46-AH58</f>
        <v>9327.99021786546</v>
      </c>
      <c r="AI59" s="45" t="n">
        <f aca="false">AI46-AI58</f>
        <v>10723.1087038085</v>
      </c>
      <c r="AJ59" s="45" t="n">
        <f aca="false">AJ46-AJ58</f>
        <v>12178.3025900828</v>
      </c>
      <c r="AK59" s="45" t="n">
        <f aca="false">AK46-AK58</f>
        <v>13009.3993998756</v>
      </c>
      <c r="AL59" s="45" t="n">
        <f aca="false">AL46-AL58</f>
        <v>14064.1874732275</v>
      </c>
      <c r="AM59" s="45" t="n">
        <f aca="false">AM46-AM58</f>
        <v>15148.0319410441</v>
      </c>
      <c r="AN59" s="46" t="n">
        <f aca="false">AN46-AN58</f>
        <v>16056.5521034307</v>
      </c>
      <c r="AO59" s="46" t="n">
        <f aca="false">AO46-AO58</f>
        <v>17188.3001798069</v>
      </c>
      <c r="AP59" s="46" t="n">
        <f aca="false">AP46-AP58</f>
        <v>18342.3358599324</v>
      </c>
      <c r="AQ59" s="46" t="n">
        <f aca="false">AQ46-AQ58</f>
        <v>19515.5223433279</v>
      </c>
      <c r="AR59" s="46" t="n">
        <f aca="false">AR46-AR58</f>
        <v>20705.366930974</v>
      </c>
      <c r="AS59" s="46" t="n">
        <f aca="false">AS46-AS58</f>
        <v>21909.8328109102</v>
      </c>
      <c r="AT59" s="46" t="n">
        <f aca="false">AT46-AT58</f>
        <v>23128.3921092144</v>
      </c>
      <c r="AU59" s="46" t="n">
        <f aca="false">AU46-AU58</f>
        <v>24357.3812999895</v>
      </c>
      <c r="AV59" s="46" t="n">
        <f aca="false">AV46-AV58</f>
        <v>25595.770842149</v>
      </c>
      <c r="AW59" s="46" t="n">
        <f aca="false">AW46-AW58</f>
        <v>26843.7851043321</v>
      </c>
      <c r="AX59" s="46" t="n">
        <f aca="false">AX46-AX58</f>
        <v>28098.3390194922</v>
      </c>
      <c r="AY59" s="46" t="n">
        <f aca="false">AY46-AY58</f>
        <v>29358.8612006645</v>
      </c>
      <c r="AZ59" s="46" t="n">
        <f aca="false">AZ46-AZ58</f>
        <v>30625.9492403507</v>
      </c>
      <c r="BA59" s="46" t="n">
        <f aca="false">BA46-BA58</f>
        <v>31898.0083777184</v>
      </c>
      <c r="BB59" s="46" t="n">
        <f aca="false">BB46-BB58</f>
        <v>33172.5301734279</v>
      </c>
      <c r="BC59" s="46" t="n">
        <f aca="false">BC46-BC58</f>
        <v>34450.5855878293</v>
      </c>
      <c r="BD59" s="46" t="n">
        <f aca="false">BD46-BD58</f>
        <v>35730.9521973234</v>
      </c>
      <c r="BE59" s="46" t="n">
        <f aca="false">BE46-BE58</f>
        <v>37011.4229488358</v>
      </c>
      <c r="BF59" s="46" t="n">
        <f aca="false">BF46-BF58</f>
        <v>38293.3192277345</v>
      </c>
      <c r="BG59" s="46" t="n">
        <f aca="false">BG46-BG58</f>
        <v>39575.6314685209</v>
      </c>
      <c r="BH59" s="46" t="n">
        <f aca="false">BH46-BH58</f>
        <v>40857.5154409023</v>
      </c>
      <c r="BI59" s="46" t="n">
        <f aca="false">BI46-BI58</f>
        <v>42138.2512868116</v>
      </c>
      <c r="BJ59" s="46" t="n">
        <f aca="false">BJ46-BJ58</f>
        <v>43417.2155143267</v>
      </c>
      <c r="BK59" s="46" t="n">
        <f aca="false">BK46-BK58</f>
        <v>44693.8615275364</v>
      </c>
    </row>
    <row r="60" customFormat="false" ht="15" hidden="false" customHeight="false" outlineLevel="0" collapsed="false">
      <c r="B60" s="5" t="s">
        <v>634</v>
      </c>
    </row>
    <row r="61" customFormat="false" ht="15" hidden="false" customHeight="false" outlineLevel="0" collapsed="false">
      <c r="A61" s="28" t="s">
        <v>268</v>
      </c>
      <c r="B61" s="6" t="s">
        <v>635</v>
      </c>
      <c r="C61" s="47"/>
      <c r="D61" s="9" t="n">
        <f aca="false">Assumptions!$G$83*(1+Assumptions!$G$84)^INT(D7/12)</f>
        <v>17.95</v>
      </c>
      <c r="E61" s="9" t="n">
        <f aca="false">Assumptions!$G$83*(1+Assumptions!$G$84)^INT(E7/12)</f>
        <v>17.95</v>
      </c>
      <c r="F61" s="9" t="n">
        <f aca="false">Assumptions!$G$83*(1+Assumptions!$G$84)^INT(F7/12)</f>
        <v>17.95</v>
      </c>
      <c r="G61" s="9" t="n">
        <f aca="false">Assumptions!$G$83*(1+Assumptions!$G$84)^INT(G7/12)</f>
        <v>17.95</v>
      </c>
      <c r="H61" s="9" t="n">
        <f aca="false">Assumptions!$G$83*(1+Assumptions!$G$84)^INT(H7/12)</f>
        <v>17.95</v>
      </c>
      <c r="I61" s="9" t="n">
        <f aca="false">Assumptions!$G$83*(1+Assumptions!$G$84)^INT(I7/12)</f>
        <v>17.95</v>
      </c>
      <c r="J61" s="9" t="n">
        <f aca="false">Assumptions!$G$83*(1+Assumptions!$G$84)^INT(J7/12)</f>
        <v>17.95</v>
      </c>
      <c r="K61" s="9" t="n">
        <f aca="false">Assumptions!$G$83*(1+Assumptions!$G$84)^INT(K7/12)</f>
        <v>17.95</v>
      </c>
      <c r="L61" s="9" t="n">
        <f aca="false">Assumptions!$G$83*(1+Assumptions!$G$84)^INT(L7/12)</f>
        <v>17.95</v>
      </c>
      <c r="M61" s="9" t="n">
        <f aca="false">Assumptions!$G$83*(1+Assumptions!$G$84)^INT(M7/12)</f>
        <v>17.95</v>
      </c>
      <c r="N61" s="9" t="n">
        <f aca="false">Assumptions!$G$83*(1+Assumptions!$G$84)^INT(N7/12)</f>
        <v>17.95</v>
      </c>
      <c r="O61" s="9" t="n">
        <f aca="false">Assumptions!$G$83*(1+Assumptions!$G$84)^INT(O7/12)</f>
        <v>18.39875</v>
      </c>
      <c r="P61" s="9" t="n">
        <f aca="false">Assumptions!$G$83*(1+Assumptions!$G$84)^INT(P7/12)</f>
        <v>18.39875</v>
      </c>
      <c r="Q61" s="9" t="n">
        <f aca="false">Assumptions!$G$83*(1+Assumptions!$G$84)^INT(Q7/12)</f>
        <v>18.39875</v>
      </c>
      <c r="R61" s="9" t="n">
        <f aca="false">Assumptions!$G$83*(1+Assumptions!$G$84)^INT(R7/12)</f>
        <v>18.39875</v>
      </c>
      <c r="S61" s="9" t="n">
        <f aca="false">Assumptions!$G$83*(1+Assumptions!$G$84)^INT(S7/12)</f>
        <v>18.39875</v>
      </c>
      <c r="T61" s="9" t="n">
        <f aca="false">Assumptions!$G$83*(1+Assumptions!$G$84)^INT(T7/12)</f>
        <v>18.39875</v>
      </c>
      <c r="U61" s="9" t="n">
        <f aca="false">Assumptions!$G$83*(1+Assumptions!$G$84)^INT(U7/12)</f>
        <v>18.39875</v>
      </c>
      <c r="V61" s="9" t="n">
        <f aca="false">Assumptions!$G$83*(1+Assumptions!$G$84)^INT(V7/12)</f>
        <v>18.39875</v>
      </c>
      <c r="W61" s="9" t="n">
        <f aca="false">Assumptions!$G$83*(1+Assumptions!$G$84)^INT(W7/12)</f>
        <v>18.39875</v>
      </c>
      <c r="X61" s="9" t="n">
        <f aca="false">Assumptions!$G$83*(1+Assumptions!$G$84)^INT(X7/12)</f>
        <v>18.39875</v>
      </c>
      <c r="Y61" s="9" t="n">
        <f aca="false">Assumptions!$G$83*(1+Assumptions!$G$84)^INT(Y7/12)</f>
        <v>18.39875</v>
      </c>
      <c r="Z61" s="9" t="n">
        <f aca="false">Assumptions!$G$83*(1+Assumptions!$G$84)^INT(Z7/12)</f>
        <v>18.39875</v>
      </c>
      <c r="AA61" s="9" t="n">
        <f aca="false">Assumptions!$G$83*(1+Assumptions!$G$84)^INT(AA7/12)</f>
        <v>18.85871875</v>
      </c>
      <c r="AB61" s="9" t="n">
        <f aca="false">Assumptions!$G$83*(1+Assumptions!$G$84)^INT(AB7/12)</f>
        <v>18.85871875</v>
      </c>
      <c r="AC61" s="9" t="n">
        <f aca="false">Assumptions!$G$83*(1+Assumptions!$G$84)^INT(AC7/12)</f>
        <v>18.85871875</v>
      </c>
      <c r="AD61" s="9" t="n">
        <f aca="false">Assumptions!$G$83*(1+Assumptions!$G$84)^INT(AD7/12)</f>
        <v>18.85871875</v>
      </c>
      <c r="AE61" s="9" t="n">
        <f aca="false">Assumptions!$G$83*(1+Assumptions!$G$84)^INT(AE7/12)</f>
        <v>18.85871875</v>
      </c>
      <c r="AF61" s="9" t="n">
        <f aca="false">Assumptions!$G$83*(1+Assumptions!$G$84)^INT(AF7/12)</f>
        <v>18.85871875</v>
      </c>
      <c r="AG61" s="9" t="n">
        <f aca="false">Assumptions!$G$83*(1+Assumptions!$G$84)^INT(AG7/12)</f>
        <v>18.85871875</v>
      </c>
      <c r="AH61" s="9" t="n">
        <f aca="false">Assumptions!$G$83*(1+Assumptions!$G$84)^INT(AH7/12)</f>
        <v>18.85871875</v>
      </c>
      <c r="AI61" s="9" t="n">
        <f aca="false">Assumptions!$G$83*(1+Assumptions!$G$84)^INT(AI7/12)</f>
        <v>18.85871875</v>
      </c>
      <c r="AJ61" s="9" t="n">
        <f aca="false">Assumptions!$G$83*(1+Assumptions!$G$84)^INT(AJ7/12)</f>
        <v>18.85871875</v>
      </c>
      <c r="AK61" s="9" t="n">
        <f aca="false">Assumptions!$G$83*(1+Assumptions!$G$84)^INT(AK7/12)</f>
        <v>18.85871875</v>
      </c>
      <c r="AL61" s="9" t="n">
        <f aca="false">Assumptions!$G$83*(1+Assumptions!$G$84)^INT(AL7/12)</f>
        <v>18.85871875</v>
      </c>
      <c r="AM61" s="9" t="n">
        <f aca="false">Assumptions!$G$83*(1+Assumptions!$G$84)^INT(AM7/12)</f>
        <v>19.33018671875</v>
      </c>
      <c r="AN61" s="48" t="n">
        <f aca="false">Assumptions!$G$83*(1+Assumptions!$G$84)^INT(AN7/12)</f>
        <v>19.33018671875</v>
      </c>
      <c r="AO61" s="48" t="n">
        <f aca="false">Assumptions!$G$83*(1+Assumptions!$G$84)^INT(AO7/12)</f>
        <v>19.33018671875</v>
      </c>
      <c r="AP61" s="48" t="n">
        <f aca="false">Assumptions!$G$83*(1+Assumptions!$G$84)^INT(AP7/12)</f>
        <v>19.33018671875</v>
      </c>
      <c r="AQ61" s="48" t="n">
        <f aca="false">Assumptions!$G$83*(1+Assumptions!$G$84)^INT(AQ7/12)</f>
        <v>19.33018671875</v>
      </c>
      <c r="AR61" s="48" t="n">
        <f aca="false">Assumptions!$G$83*(1+Assumptions!$G$84)^INT(AR7/12)</f>
        <v>19.33018671875</v>
      </c>
      <c r="AS61" s="48" t="n">
        <f aca="false">Assumptions!$G$83*(1+Assumptions!$G$84)^INT(AS7/12)</f>
        <v>19.33018671875</v>
      </c>
      <c r="AT61" s="48" t="n">
        <f aca="false">Assumptions!$G$83*(1+Assumptions!$G$84)^INT(AT7/12)</f>
        <v>19.33018671875</v>
      </c>
      <c r="AU61" s="48" t="n">
        <f aca="false">Assumptions!$G$83*(1+Assumptions!$G$84)^INT(AU7/12)</f>
        <v>19.33018671875</v>
      </c>
      <c r="AV61" s="48" t="n">
        <f aca="false">Assumptions!$G$83*(1+Assumptions!$G$84)^INT(AV7/12)</f>
        <v>19.33018671875</v>
      </c>
      <c r="AW61" s="48" t="n">
        <f aca="false">Assumptions!$G$83*(1+Assumptions!$G$84)^INT(AW7/12)</f>
        <v>19.33018671875</v>
      </c>
      <c r="AX61" s="48" t="n">
        <f aca="false">Assumptions!$G$83*(1+Assumptions!$G$84)^INT(AX7/12)</f>
        <v>19.33018671875</v>
      </c>
      <c r="AY61" s="48" t="n">
        <f aca="false">Assumptions!$G$83*(1+Assumptions!$G$84)^INT(AY7/12)</f>
        <v>19.8134413867187</v>
      </c>
      <c r="AZ61" s="48" t="n">
        <f aca="false">Assumptions!$G$83*(1+Assumptions!$G$84)^INT(AZ7/12)</f>
        <v>19.8134413867187</v>
      </c>
      <c r="BA61" s="48" t="n">
        <f aca="false">Assumptions!$G$83*(1+Assumptions!$G$84)^INT(BA7/12)</f>
        <v>19.8134413867187</v>
      </c>
      <c r="BB61" s="48" t="n">
        <f aca="false">Assumptions!$G$83*(1+Assumptions!$G$84)^INT(BB7/12)</f>
        <v>19.8134413867187</v>
      </c>
      <c r="BC61" s="48" t="n">
        <f aca="false">Assumptions!$G$83*(1+Assumptions!$G$84)^INT(BC7/12)</f>
        <v>19.8134413867187</v>
      </c>
      <c r="BD61" s="48" t="n">
        <f aca="false">Assumptions!$G$83*(1+Assumptions!$G$84)^INT(BD7/12)</f>
        <v>19.8134413867187</v>
      </c>
      <c r="BE61" s="48" t="n">
        <f aca="false">Assumptions!$G$83*(1+Assumptions!$G$84)^INT(BE7/12)</f>
        <v>19.8134413867187</v>
      </c>
      <c r="BF61" s="48" t="n">
        <f aca="false">Assumptions!$G$83*(1+Assumptions!$G$84)^INT(BF7/12)</f>
        <v>19.8134413867187</v>
      </c>
      <c r="BG61" s="48" t="n">
        <f aca="false">Assumptions!$G$83*(1+Assumptions!$G$84)^INT(BG7/12)</f>
        <v>19.8134413867187</v>
      </c>
      <c r="BH61" s="48" t="n">
        <f aca="false">Assumptions!$G$83*(1+Assumptions!$G$84)^INT(BH7/12)</f>
        <v>19.8134413867187</v>
      </c>
      <c r="BI61" s="48" t="n">
        <f aca="false">Assumptions!$G$83*(1+Assumptions!$G$84)^INT(BI7/12)</f>
        <v>19.8134413867187</v>
      </c>
      <c r="BJ61" s="48" t="n">
        <f aca="false">Assumptions!$G$83*(1+Assumptions!$G$84)^INT(BJ7/12)</f>
        <v>19.8134413867187</v>
      </c>
      <c r="BK61" s="48" t="n">
        <f aca="false">Assumptions!$G$83*(1+Assumptions!$G$84)^INT(BK7/12)</f>
        <v>20.3087774213867</v>
      </c>
    </row>
    <row r="62" customFormat="false" ht="15" hidden="false" customHeight="false" outlineLevel="0" collapsed="false">
      <c r="A62" s="28" t="s">
        <v>636</v>
      </c>
      <c r="B62" s="6" t="s">
        <v>637</v>
      </c>
      <c r="C62" s="43"/>
      <c r="D62" s="17" t="n">
        <f aca="false">D11*Assumptions!$G$86*D61*(1+Assumptions!$G$85)*Assumptions!$G$91</f>
        <v>0</v>
      </c>
      <c r="E62" s="17" t="n">
        <f aca="false">E11*Assumptions!$G$86*E61*(1+Assumptions!$G$85)*Assumptions!$G$91</f>
        <v>0</v>
      </c>
      <c r="F62" s="17" t="n">
        <f aca="false">F11*Assumptions!$G$86*F61*(1+Assumptions!$G$85)*Assumptions!$G$91</f>
        <v>0</v>
      </c>
      <c r="G62" s="17" t="n">
        <f aca="false">G11*Assumptions!$G$86*G61*(1+Assumptions!$G$85)*Assumptions!$G$91</f>
        <v>0</v>
      </c>
      <c r="H62" s="17" t="n">
        <f aca="false">H11*Assumptions!$G$86*H61*(1+Assumptions!$G$85)*Assumptions!$G$91</f>
        <v>327.578525</v>
      </c>
      <c r="I62" s="17" t="n">
        <f aca="false">I11*Assumptions!$G$86*I61*(1+Assumptions!$G$85)*Assumptions!$G$91</f>
        <v>288.269102</v>
      </c>
      <c r="J62" s="17" t="n">
        <f aca="false">J11*Assumptions!$G$86*J61*(1+Assumptions!$G$85)*Assumptions!$G$91</f>
        <v>196.547115</v>
      </c>
      <c r="K62" s="17" t="n">
        <f aca="false">K11*Assumptions!$G$86*K61*(1+Assumptions!$G$85)*Assumptions!$G$91</f>
        <v>458.609935</v>
      </c>
      <c r="L62" s="17" t="n">
        <f aca="false">L11*Assumptions!$G$86*L61*(1+Assumptions!$G$85)*Assumptions!$G$91</f>
        <v>694.466473</v>
      </c>
      <c r="M62" s="17" t="n">
        <f aca="false">M11*Assumptions!$G$86*M61*(1+Assumptions!$G$85)*Assumptions!$G$91</f>
        <v>550.331922</v>
      </c>
      <c r="N62" s="17" t="n">
        <f aca="false">N11*Assumptions!$G$86*N61*(1+Assumptions!$G$85)*Assumptions!$G$91</f>
        <v>668.260191</v>
      </c>
      <c r="O62" s="17" t="n">
        <f aca="false">O11*Assumptions!$G$86*O61*(1+Assumptions!$G$85)*Assumptions!$G$91</f>
        <v>859.5660496</v>
      </c>
      <c r="P62" s="17" t="n">
        <f aca="false">P11*Assumptions!$G$86*P61*(1+Assumptions!$G$85)*Assumptions!$G$91</f>
        <v>993.87324485</v>
      </c>
      <c r="Q62" s="17" t="n">
        <f aca="false">Q11*Assumptions!$G$86*Q61*(1+Assumptions!$G$85)*Assumptions!$G$91</f>
        <v>1061.026842475</v>
      </c>
      <c r="R62" s="17" t="n">
        <f aca="false">R11*Assumptions!$G$86*R61*(1+Assumptions!$G$85)*Assumptions!$G$91</f>
        <v>1087.888281525</v>
      </c>
      <c r="S62" s="17" t="n">
        <f aca="false">S11*Assumptions!$G$86*S61*(1+Assumptions!$G$85)*Assumptions!$G$91</f>
        <v>1155.04187915</v>
      </c>
      <c r="T62" s="17" t="n">
        <f aca="false">T11*Assumptions!$G$86*T61*(1+Assumptions!$G$85)*Assumptions!$G$91</f>
        <v>1168.472598675</v>
      </c>
      <c r="U62" s="17" t="n">
        <f aca="false">U11*Assumptions!$G$86*U61*(1+Assumptions!$G$85)*Assumptions!$G$91</f>
        <v>1181.9033182</v>
      </c>
      <c r="V62" s="17" t="n">
        <f aca="false">V11*Assumptions!$G$86*V61*(1+Assumptions!$G$85)*Assumptions!$G$91</f>
        <v>1195.334037725</v>
      </c>
      <c r="W62" s="17" t="n">
        <f aca="false">W11*Assumptions!$G$86*W61*(1+Assumptions!$G$85)*Assumptions!$G$91</f>
        <v>1544.532745375</v>
      </c>
      <c r="X62" s="17" t="n">
        <f aca="false">X11*Assumptions!$G$86*X61*(1+Assumptions!$G$85)*Assumptions!$G$91</f>
        <v>1517.671306325</v>
      </c>
      <c r="Y62" s="17" t="n">
        <f aca="false">Y11*Assumptions!$G$86*Y61*(1+Assumptions!$G$85)*Assumptions!$G$91</f>
        <v>1437.086989175</v>
      </c>
      <c r="Z62" s="17" t="n">
        <f aca="false">Z11*Assumptions!$G$86*Z61*(1+Assumptions!$G$85)*Assumptions!$G$91</f>
        <v>1719.1320992</v>
      </c>
      <c r="AA62" s="17" t="n">
        <f aca="false">AA11*Assumptions!$G$86*AA61*(1+Assumptions!$G$85)*Assumptions!$G$91</f>
        <v>1679.51147660125</v>
      </c>
      <c r="AB62" s="17" t="n">
        <f aca="false">AB11*Assumptions!$G$86*AB61*(1+Assumptions!$G$85)*Assumptions!$G$91</f>
        <v>1583.14606400937</v>
      </c>
      <c r="AC62" s="17" t="n">
        <f aca="false">AC11*Assumptions!$G$86*AC61*(1+Assumptions!$G$85)*Assumptions!$G$91</f>
        <v>1817.1763517325</v>
      </c>
      <c r="AD62" s="17" t="n">
        <f aca="false">AD11*Assumptions!$G$86*AD61*(1+Assumptions!$G$85)*Assumptions!$G$91</f>
        <v>2078.73961448188</v>
      </c>
      <c r="AE62" s="17" t="n">
        <f aca="false">AE11*Assumptions!$G$86*AE61*(1+Assumptions!$G$85)*Assumptions!$G$91</f>
        <v>1927.3082518375</v>
      </c>
      <c r="AF62" s="17" t="n">
        <f aca="false">AF11*Assumptions!$G$86*AF61*(1+Assumptions!$G$85)*Assumptions!$G$91</f>
        <v>2064.97312696875</v>
      </c>
      <c r="AG62" s="17" t="n">
        <f aca="false">AG11*Assumptions!$G$86*AG61*(1+Assumptions!$G$85)*Assumptions!$G$91</f>
        <v>2257.7039521525</v>
      </c>
      <c r="AH62" s="17" t="n">
        <f aca="false">AH11*Assumptions!$G$86*AH61*(1+Assumptions!$G$85)*Assumptions!$G$91</f>
        <v>2051.20663945562</v>
      </c>
      <c r="AI62" s="17" t="n">
        <f aca="false">AI11*Assumptions!$G$86*AI61*(1+Assumptions!$G$85)*Assumptions!$G$91</f>
        <v>2161.33853956062</v>
      </c>
      <c r="AJ62" s="17" t="n">
        <f aca="false">AJ11*Assumptions!$G$86*AJ61*(1+Assumptions!$G$85)*Assumptions!$G$91</f>
        <v>2299.00341469187</v>
      </c>
      <c r="AK62" s="17" t="n">
        <f aca="false">AK11*Assumptions!$G$86*AK61*(1+Assumptions!$G$85)*Assumptions!$G$91</f>
        <v>2436.66828982312</v>
      </c>
      <c r="AL62" s="17" t="n">
        <f aca="false">AL11*Assumptions!$G$86*AL61*(1+Assumptions!$G$85)*Assumptions!$G$91</f>
        <v>2505.50072738875</v>
      </c>
      <c r="AM62" s="17" t="n">
        <f aca="false">AM11*Assumptions!$G$86*AM61*(1+Assumptions!$G$85)*Assumptions!$G$91</f>
        <v>2596.35954497537</v>
      </c>
      <c r="AN62" s="44" t="n">
        <f aca="false">AN11*Assumptions!$G$86*AN61*(1+Assumptions!$G$85)*Assumptions!$G$91</f>
        <v>2666.91279348014</v>
      </c>
      <c r="AO62" s="44" t="n">
        <f aca="false">AO11*Assumptions!$G$86*AO61*(1+Assumptions!$G$85)*Assumptions!$G$91</f>
        <v>2681.02344318109</v>
      </c>
      <c r="AP62" s="44" t="n">
        <f aca="false">AP11*Assumptions!$G$86*AP61*(1+Assumptions!$G$85)*Assumptions!$G$91</f>
        <v>2695.13409288205</v>
      </c>
      <c r="AQ62" s="44" t="n">
        <f aca="false">AQ11*Assumptions!$G$86*AQ61*(1+Assumptions!$G$85)*Assumptions!$G$91</f>
        <v>2709.244742583</v>
      </c>
      <c r="AR62" s="44" t="n">
        <f aca="false">AR11*Assumptions!$G$86*AR61*(1+Assumptions!$G$85)*Assumptions!$G$91</f>
        <v>2723.35539228395</v>
      </c>
      <c r="AS62" s="44" t="n">
        <f aca="false">AS11*Assumptions!$G$86*AS61*(1+Assumptions!$G$85)*Assumptions!$G$91</f>
        <v>2737.46604198491</v>
      </c>
      <c r="AT62" s="44" t="n">
        <f aca="false">AT11*Assumptions!$G$86*AT61*(1+Assumptions!$G$85)*Assumptions!$G$91</f>
        <v>2737.46604198491</v>
      </c>
      <c r="AU62" s="44" t="n">
        <f aca="false">AU11*Assumptions!$G$86*AU61*(1+Assumptions!$G$85)*Assumptions!$G$91</f>
        <v>2751.57669168586</v>
      </c>
      <c r="AV62" s="44" t="n">
        <f aca="false">AV11*Assumptions!$G$86*AV61*(1+Assumptions!$G$85)*Assumptions!$G$91</f>
        <v>2765.68734138681</v>
      </c>
      <c r="AW62" s="44" t="n">
        <f aca="false">AW11*Assumptions!$G$86*AW61*(1+Assumptions!$G$85)*Assumptions!$G$91</f>
        <v>2765.68734138681</v>
      </c>
      <c r="AX62" s="44" t="n">
        <f aca="false">AX11*Assumptions!$G$86*AX61*(1+Assumptions!$G$85)*Assumptions!$G$91</f>
        <v>2779.79799108777</v>
      </c>
      <c r="AY62" s="44" t="n">
        <f aca="false">AY11*Assumptions!$G$86*AY61*(1+Assumptions!$G$85)*Assumptions!$G$91</f>
        <v>2863.75635680844</v>
      </c>
      <c r="AZ62" s="44" t="n">
        <f aca="false">AZ11*Assumptions!$G$86*AZ61*(1+Assumptions!$G$85)*Assumptions!$G$91</f>
        <v>2863.75635680844</v>
      </c>
      <c r="BA62" s="44" t="n">
        <f aca="false">BA11*Assumptions!$G$86*BA61*(1+Assumptions!$G$85)*Assumptions!$G$91</f>
        <v>2863.75635680844</v>
      </c>
      <c r="BB62" s="44" t="n">
        <f aca="false">BB11*Assumptions!$G$86*BB61*(1+Assumptions!$G$85)*Assumptions!$G$91</f>
        <v>2878.21977275191</v>
      </c>
      <c r="BC62" s="44" t="n">
        <f aca="false">BC11*Assumptions!$G$86*BC61*(1+Assumptions!$G$85)*Assumptions!$G$91</f>
        <v>2878.21977275191</v>
      </c>
      <c r="BD62" s="44" t="n">
        <f aca="false">BD11*Assumptions!$G$86*BD61*(1+Assumptions!$G$85)*Assumptions!$G$91</f>
        <v>2878.21977275191</v>
      </c>
      <c r="BE62" s="44" t="n">
        <f aca="false">BE11*Assumptions!$G$86*BE61*(1+Assumptions!$G$85)*Assumptions!$G$91</f>
        <v>2892.68318869539</v>
      </c>
      <c r="BF62" s="44" t="n">
        <f aca="false">BF11*Assumptions!$G$86*BF61*(1+Assumptions!$G$85)*Assumptions!$G$91</f>
        <v>2892.68318869539</v>
      </c>
      <c r="BG62" s="44" t="n">
        <f aca="false">BG11*Assumptions!$G$86*BG61*(1+Assumptions!$G$85)*Assumptions!$G$91</f>
        <v>2892.68318869539</v>
      </c>
      <c r="BH62" s="44" t="n">
        <f aca="false">BH11*Assumptions!$G$86*BH61*(1+Assumptions!$G$85)*Assumptions!$G$91</f>
        <v>2892.68318869539</v>
      </c>
      <c r="BI62" s="44" t="n">
        <f aca="false">BI11*Assumptions!$G$86*BI61*(1+Assumptions!$G$85)*Assumptions!$G$91</f>
        <v>2892.68318869539</v>
      </c>
      <c r="BJ62" s="44" t="n">
        <f aca="false">BJ11*Assumptions!$G$86*BJ61*(1+Assumptions!$G$85)*Assumptions!$G$91</f>
        <v>2892.68318869539</v>
      </c>
      <c r="BK62" s="44" t="n">
        <f aca="false">BK11*Assumptions!$G$86*BK61*(1+Assumptions!$G$85)*Assumptions!$G$91</f>
        <v>2965.00026841277</v>
      </c>
    </row>
    <row r="63" customFormat="false" ht="15" hidden="false" customHeight="false" outlineLevel="0" collapsed="false">
      <c r="A63" s="28" t="s">
        <v>638</v>
      </c>
      <c r="B63" s="6" t="s">
        <v>639</v>
      </c>
      <c r="C63" s="43"/>
      <c r="D63" s="17" t="n">
        <f aca="false">D14*Assumptions!$G$87*(1+Assumptions!$G$85)*Assumptions!$G$91</f>
        <v>0</v>
      </c>
      <c r="E63" s="17" t="n">
        <f aca="false">E14*Assumptions!$G$87*(1+Assumptions!$G$85)*Assumptions!$G$91</f>
        <v>0</v>
      </c>
      <c r="F63" s="17" t="n">
        <f aca="false">F14*Assumptions!$G$87*(1+Assumptions!$G$85)*Assumptions!$G$91</f>
        <v>0</v>
      </c>
      <c r="G63" s="17" t="n">
        <f aca="false">G14*Assumptions!$G$87*(1+Assumptions!$G$85)*Assumptions!$G$91</f>
        <v>0</v>
      </c>
      <c r="H63" s="17" t="n">
        <f aca="false">H14*Assumptions!$G$87*(1+Assumptions!$G$85)*Assumptions!$G$91</f>
        <v>159.683125</v>
      </c>
      <c r="I63" s="17" t="n">
        <f aca="false">I14*Assumptions!$G$87*(1+Assumptions!$G$85)*Assumptions!$G$91</f>
        <v>140.52115</v>
      </c>
      <c r="J63" s="17" t="n">
        <f aca="false">J14*Assumptions!$G$87*(1+Assumptions!$G$85)*Assumptions!$G$91</f>
        <v>95.809875</v>
      </c>
      <c r="K63" s="17" t="n">
        <f aca="false">K14*Assumptions!$G$87*(1+Assumptions!$G$85)*Assumptions!$G$91</f>
        <v>223.556375</v>
      </c>
      <c r="L63" s="17" t="n">
        <f aca="false">L14*Assumptions!$G$87*(1+Assumptions!$G$85)*Assumptions!$G$91</f>
        <v>338.528225</v>
      </c>
      <c r="M63" s="17" t="n">
        <f aca="false">M14*Assumptions!$G$87*(1+Assumptions!$G$85)*Assumptions!$G$91</f>
        <v>268.26765</v>
      </c>
      <c r="N63" s="17" t="n">
        <f aca="false">N14*Assumptions!$G$87*(1+Assumptions!$G$85)*Assumptions!$G$91</f>
        <v>325.753575</v>
      </c>
      <c r="O63" s="17" t="n">
        <f aca="false">O14*Assumptions!$G$87*(1+Assumptions!$G$85)*Assumptions!$G$91</f>
        <v>408.7888</v>
      </c>
      <c r="P63" s="17" t="n">
        <f aca="false">P14*Assumptions!$G$87*(1+Assumptions!$G$85)*Assumptions!$G$91</f>
        <v>472.66205</v>
      </c>
      <c r="Q63" s="17" t="n">
        <f aca="false">Q14*Assumptions!$G$87*(1+Assumptions!$G$85)*Assumptions!$G$91</f>
        <v>504.598675</v>
      </c>
      <c r="R63" s="17" t="n">
        <f aca="false">R14*Assumptions!$G$87*(1+Assumptions!$G$85)*Assumptions!$G$91</f>
        <v>517.373325</v>
      </c>
      <c r="S63" s="17" t="n">
        <f aca="false">S14*Assumptions!$G$87*(1+Assumptions!$G$85)*Assumptions!$G$91</f>
        <v>549.30995</v>
      </c>
      <c r="T63" s="17" t="n">
        <f aca="false">T14*Assumptions!$G$87*(1+Assumptions!$G$85)*Assumptions!$G$91</f>
        <v>555.697275</v>
      </c>
      <c r="U63" s="17" t="n">
        <f aca="false">U14*Assumptions!$G$87*(1+Assumptions!$G$85)*Assumptions!$G$91</f>
        <v>562.0846</v>
      </c>
      <c r="V63" s="17" t="n">
        <f aca="false">V14*Assumptions!$G$87*(1+Assumptions!$G$85)*Assumptions!$G$91</f>
        <v>568.471925</v>
      </c>
      <c r="W63" s="17" t="n">
        <f aca="false">W14*Assumptions!$G$87*(1+Assumptions!$G$85)*Assumptions!$G$91</f>
        <v>734.542375</v>
      </c>
      <c r="X63" s="17" t="n">
        <f aca="false">X14*Assumptions!$G$87*(1+Assumptions!$G$85)*Assumptions!$G$91</f>
        <v>721.767725</v>
      </c>
      <c r="Y63" s="17" t="n">
        <f aca="false">Y14*Assumptions!$G$87*(1+Assumptions!$G$85)*Assumptions!$G$91</f>
        <v>683.443775</v>
      </c>
      <c r="Z63" s="17" t="n">
        <f aca="false">Z14*Assumptions!$G$87*(1+Assumptions!$G$85)*Assumptions!$G$91</f>
        <v>817.5776</v>
      </c>
      <c r="AA63" s="17" t="n">
        <f aca="false">AA14*Assumptions!$G$87*(1+Assumptions!$G$85)*Assumptions!$G$91</f>
        <v>779.25365</v>
      </c>
      <c r="AB63" s="17" t="n">
        <f aca="false">AB14*Assumptions!$G$87*(1+Assumptions!$G$85)*Assumptions!$G$91</f>
        <v>734.542375</v>
      </c>
      <c r="AC63" s="17" t="n">
        <f aca="false">AC14*Assumptions!$G$87*(1+Assumptions!$G$85)*Assumptions!$G$91</f>
        <v>843.1269</v>
      </c>
      <c r="AD63" s="17" t="n">
        <f aca="false">AD14*Assumptions!$G$87*(1+Assumptions!$G$85)*Assumptions!$G$91</f>
        <v>964.486075</v>
      </c>
      <c r="AE63" s="17" t="n">
        <f aca="false">AE14*Assumptions!$G$87*(1+Assumptions!$G$85)*Assumptions!$G$91</f>
        <v>894.2255</v>
      </c>
      <c r="AF63" s="17" t="n">
        <f aca="false">AF14*Assumptions!$G$87*(1+Assumptions!$G$85)*Assumptions!$G$91</f>
        <v>958.09875</v>
      </c>
      <c r="AG63" s="17" t="n">
        <f aca="false">AG14*Assumptions!$G$87*(1+Assumptions!$G$85)*Assumptions!$G$91</f>
        <v>1047.5213</v>
      </c>
      <c r="AH63" s="17" t="n">
        <f aca="false">AH14*Assumptions!$G$87*(1+Assumptions!$G$85)*Assumptions!$G$91</f>
        <v>951.711425</v>
      </c>
      <c r="AI63" s="17" t="n">
        <f aca="false">AI14*Assumptions!$G$87*(1+Assumptions!$G$85)*Assumptions!$G$91</f>
        <v>1002.810025</v>
      </c>
      <c r="AJ63" s="17" t="n">
        <f aca="false">AJ14*Assumptions!$G$87*(1+Assumptions!$G$85)*Assumptions!$G$91</f>
        <v>1066.683275</v>
      </c>
      <c r="AK63" s="17" t="n">
        <f aca="false">AK14*Assumptions!$G$87*(1+Assumptions!$G$85)*Assumptions!$G$91</f>
        <v>1130.556525</v>
      </c>
      <c r="AL63" s="17" t="n">
        <f aca="false">AL14*Assumptions!$G$87*(1+Assumptions!$G$85)*Assumptions!$G$91</f>
        <v>1162.49315</v>
      </c>
      <c r="AM63" s="17" t="n">
        <f aca="false">AM14*Assumptions!$G$87*(1+Assumptions!$G$85)*Assumptions!$G$91</f>
        <v>1175.2678</v>
      </c>
      <c r="AN63" s="44" t="n">
        <f aca="false">AN14*Assumptions!$G$87*(1+Assumptions!$G$85)*Assumptions!$G$91</f>
        <v>1207.204425</v>
      </c>
      <c r="AO63" s="44" t="n">
        <f aca="false">AO14*Assumptions!$G$87*(1+Assumptions!$G$85)*Assumptions!$G$91</f>
        <v>1213.59175</v>
      </c>
      <c r="AP63" s="44" t="n">
        <f aca="false">AP14*Assumptions!$G$87*(1+Assumptions!$G$85)*Assumptions!$G$91</f>
        <v>1219.979075</v>
      </c>
      <c r="AQ63" s="44" t="n">
        <f aca="false">AQ14*Assumptions!$G$87*(1+Assumptions!$G$85)*Assumptions!$G$91</f>
        <v>1226.3664</v>
      </c>
      <c r="AR63" s="44" t="n">
        <f aca="false">AR14*Assumptions!$G$87*(1+Assumptions!$G$85)*Assumptions!$G$91</f>
        <v>1232.753725</v>
      </c>
      <c r="AS63" s="44" t="n">
        <f aca="false">AS14*Assumptions!$G$87*(1+Assumptions!$G$85)*Assumptions!$G$91</f>
        <v>1239.14105</v>
      </c>
      <c r="AT63" s="44" t="n">
        <f aca="false">AT14*Assumptions!$G$87*(1+Assumptions!$G$85)*Assumptions!$G$91</f>
        <v>1239.14105</v>
      </c>
      <c r="AU63" s="44" t="n">
        <f aca="false">AU14*Assumptions!$G$87*(1+Assumptions!$G$85)*Assumptions!$G$91</f>
        <v>1245.528375</v>
      </c>
      <c r="AV63" s="44" t="n">
        <f aca="false">AV14*Assumptions!$G$87*(1+Assumptions!$G$85)*Assumptions!$G$91</f>
        <v>1251.9157</v>
      </c>
      <c r="AW63" s="44" t="n">
        <f aca="false">AW14*Assumptions!$G$87*(1+Assumptions!$G$85)*Assumptions!$G$91</f>
        <v>1251.9157</v>
      </c>
      <c r="AX63" s="44" t="n">
        <f aca="false">AX14*Assumptions!$G$87*(1+Assumptions!$G$85)*Assumptions!$G$91</f>
        <v>1258.303025</v>
      </c>
      <c r="AY63" s="44" t="n">
        <f aca="false">AY14*Assumptions!$G$87*(1+Assumptions!$G$85)*Assumptions!$G$91</f>
        <v>1264.69035</v>
      </c>
      <c r="AZ63" s="44" t="n">
        <f aca="false">AZ14*Assumptions!$G$87*(1+Assumptions!$G$85)*Assumptions!$G$91</f>
        <v>1264.69035</v>
      </c>
      <c r="BA63" s="44" t="n">
        <f aca="false">BA14*Assumptions!$G$87*(1+Assumptions!$G$85)*Assumptions!$G$91</f>
        <v>1264.69035</v>
      </c>
      <c r="BB63" s="44" t="n">
        <f aca="false">BB14*Assumptions!$G$87*(1+Assumptions!$G$85)*Assumptions!$G$91</f>
        <v>1271.077675</v>
      </c>
      <c r="BC63" s="44" t="n">
        <f aca="false">BC14*Assumptions!$G$87*(1+Assumptions!$G$85)*Assumptions!$G$91</f>
        <v>1271.077675</v>
      </c>
      <c r="BD63" s="44" t="n">
        <f aca="false">BD14*Assumptions!$G$87*(1+Assumptions!$G$85)*Assumptions!$G$91</f>
        <v>1271.077675</v>
      </c>
      <c r="BE63" s="44" t="n">
        <f aca="false">BE14*Assumptions!$G$87*(1+Assumptions!$G$85)*Assumptions!$G$91</f>
        <v>1277.465</v>
      </c>
      <c r="BF63" s="44" t="n">
        <f aca="false">BF14*Assumptions!$G$87*(1+Assumptions!$G$85)*Assumptions!$G$91</f>
        <v>1277.465</v>
      </c>
      <c r="BG63" s="44" t="n">
        <f aca="false">BG14*Assumptions!$G$87*(1+Assumptions!$G$85)*Assumptions!$G$91</f>
        <v>1277.465</v>
      </c>
      <c r="BH63" s="44" t="n">
        <f aca="false">BH14*Assumptions!$G$87*(1+Assumptions!$G$85)*Assumptions!$G$91</f>
        <v>1277.465</v>
      </c>
      <c r="BI63" s="44" t="n">
        <f aca="false">BI14*Assumptions!$G$87*(1+Assumptions!$G$85)*Assumptions!$G$91</f>
        <v>1277.465</v>
      </c>
      <c r="BJ63" s="44" t="n">
        <f aca="false">BJ14*Assumptions!$G$87*(1+Assumptions!$G$85)*Assumptions!$G$91</f>
        <v>1277.465</v>
      </c>
      <c r="BK63" s="44" t="n">
        <f aca="false">BK14*Assumptions!$G$87*(1+Assumptions!$G$85)*Assumptions!$G$91</f>
        <v>1277.465</v>
      </c>
    </row>
    <row r="64" customFormat="false" ht="15" hidden="false" customHeight="false" outlineLevel="0" collapsed="false">
      <c r="A64" s="28" t="s">
        <v>640</v>
      </c>
      <c r="B64" s="6" t="s">
        <v>641</v>
      </c>
      <c r="C64" s="43"/>
      <c r="D64" s="17" t="n">
        <f aca="false">D11*Assumptions!$G$88*Assumptions!$G$91</f>
        <v>0</v>
      </c>
      <c r="E64" s="17" t="n">
        <f aca="false">E11*Assumptions!$G$88*Assumptions!$G$91</f>
        <v>0</v>
      </c>
      <c r="F64" s="17" t="n">
        <f aca="false">F11*Assumptions!$G$88*Assumptions!$G$91</f>
        <v>0</v>
      </c>
      <c r="G64" s="17" t="n">
        <f aca="false">G11*Assumptions!$G$88*Assumptions!$G$91</f>
        <v>0</v>
      </c>
      <c r="H64" s="17" t="n">
        <f aca="false">H11*Assumptions!$G$88*Assumptions!$G$91</f>
        <v>121.125</v>
      </c>
      <c r="I64" s="17" t="n">
        <f aca="false">I11*Assumptions!$G$88*Assumptions!$G$91</f>
        <v>106.59</v>
      </c>
      <c r="J64" s="17" t="n">
        <f aca="false">J11*Assumptions!$G$88*Assumptions!$G$91</f>
        <v>72.675</v>
      </c>
      <c r="K64" s="17" t="n">
        <f aca="false">K11*Assumptions!$G$88*Assumptions!$G$91</f>
        <v>169.575</v>
      </c>
      <c r="L64" s="17" t="n">
        <f aca="false">L11*Assumptions!$G$88*Assumptions!$G$91</f>
        <v>256.785</v>
      </c>
      <c r="M64" s="17" t="n">
        <f aca="false">M11*Assumptions!$G$88*Assumptions!$G$91</f>
        <v>203.49</v>
      </c>
      <c r="N64" s="17" t="n">
        <f aca="false">N11*Assumptions!$G$88*Assumptions!$G$91</f>
        <v>247.095</v>
      </c>
      <c r="O64" s="17" t="n">
        <f aca="false">O11*Assumptions!$G$88*Assumptions!$G$91</f>
        <v>310.08</v>
      </c>
      <c r="P64" s="17" t="n">
        <f aca="false">P11*Assumptions!$G$88*Assumptions!$G$91</f>
        <v>358.53</v>
      </c>
      <c r="Q64" s="17" t="n">
        <f aca="false">Q11*Assumptions!$G$88*Assumptions!$G$91</f>
        <v>382.755</v>
      </c>
      <c r="R64" s="17" t="n">
        <f aca="false">R11*Assumptions!$G$88*Assumptions!$G$91</f>
        <v>392.445</v>
      </c>
      <c r="S64" s="17" t="n">
        <f aca="false">S11*Assumptions!$G$88*Assumptions!$G$91</f>
        <v>416.67</v>
      </c>
      <c r="T64" s="17" t="n">
        <f aca="false">T11*Assumptions!$G$88*Assumptions!$G$91</f>
        <v>421.515</v>
      </c>
      <c r="U64" s="17" t="n">
        <f aca="false">U11*Assumptions!$G$88*Assumptions!$G$91</f>
        <v>426.36</v>
      </c>
      <c r="V64" s="17" t="n">
        <f aca="false">V11*Assumptions!$G$88*Assumptions!$G$91</f>
        <v>431.205</v>
      </c>
      <c r="W64" s="17" t="n">
        <f aca="false">W11*Assumptions!$G$88*Assumptions!$G$91</f>
        <v>557.175</v>
      </c>
      <c r="X64" s="17" t="n">
        <f aca="false">X11*Assumptions!$G$88*Assumptions!$G$91</f>
        <v>547.485</v>
      </c>
      <c r="Y64" s="17" t="n">
        <f aca="false">Y11*Assumptions!$G$88*Assumptions!$G$91</f>
        <v>518.415</v>
      </c>
      <c r="Z64" s="17" t="n">
        <f aca="false">Z11*Assumptions!$G$88*Assumptions!$G$91</f>
        <v>620.16</v>
      </c>
      <c r="AA64" s="17" t="n">
        <f aca="false">AA11*Assumptions!$G$88*Assumptions!$G$91</f>
        <v>591.09</v>
      </c>
      <c r="AB64" s="17" t="n">
        <f aca="false">AB11*Assumptions!$G$88*Assumptions!$G$91</f>
        <v>557.175</v>
      </c>
      <c r="AC64" s="17" t="n">
        <f aca="false">AC11*Assumptions!$G$88*Assumptions!$G$91</f>
        <v>639.54</v>
      </c>
      <c r="AD64" s="17" t="n">
        <f aca="false">AD11*Assumptions!$G$88*Assumptions!$G$91</f>
        <v>731.595</v>
      </c>
      <c r="AE64" s="17" t="n">
        <f aca="false">AE11*Assumptions!$G$88*Assumptions!$G$91</f>
        <v>678.3</v>
      </c>
      <c r="AF64" s="17" t="n">
        <f aca="false">AF11*Assumptions!$G$88*Assumptions!$G$91</f>
        <v>726.75</v>
      </c>
      <c r="AG64" s="17" t="n">
        <f aca="false">AG11*Assumptions!$G$88*Assumptions!$G$91</f>
        <v>794.58</v>
      </c>
      <c r="AH64" s="17" t="n">
        <f aca="false">AH11*Assumptions!$G$88*Assumptions!$G$91</f>
        <v>721.905</v>
      </c>
      <c r="AI64" s="17" t="n">
        <f aca="false">AI11*Assumptions!$G$88*Assumptions!$G$91</f>
        <v>760.665</v>
      </c>
      <c r="AJ64" s="17" t="n">
        <f aca="false">AJ11*Assumptions!$G$88*Assumptions!$G$91</f>
        <v>809.115</v>
      </c>
      <c r="AK64" s="17" t="n">
        <f aca="false">AK11*Assumptions!$G$88*Assumptions!$G$91</f>
        <v>857.565</v>
      </c>
      <c r="AL64" s="17" t="n">
        <f aca="false">AL11*Assumptions!$G$88*Assumptions!$G$91</f>
        <v>881.79</v>
      </c>
      <c r="AM64" s="17" t="n">
        <f aca="false">AM11*Assumptions!$G$88*Assumptions!$G$91</f>
        <v>891.48</v>
      </c>
      <c r="AN64" s="44" t="n">
        <f aca="false">AN11*Assumptions!$G$88*Assumptions!$G$91</f>
        <v>915.705</v>
      </c>
      <c r="AO64" s="44" t="n">
        <f aca="false">AO11*Assumptions!$G$88*Assumptions!$G$91</f>
        <v>920.55</v>
      </c>
      <c r="AP64" s="44" t="n">
        <f aca="false">AP11*Assumptions!$G$88*Assumptions!$G$91</f>
        <v>925.395</v>
      </c>
      <c r="AQ64" s="44" t="n">
        <f aca="false">AQ11*Assumptions!$G$88*Assumptions!$G$91</f>
        <v>930.24</v>
      </c>
      <c r="AR64" s="44" t="n">
        <f aca="false">AR11*Assumptions!$G$88*Assumptions!$G$91</f>
        <v>935.085</v>
      </c>
      <c r="AS64" s="44" t="n">
        <f aca="false">AS11*Assumptions!$G$88*Assumptions!$G$91</f>
        <v>939.93</v>
      </c>
      <c r="AT64" s="44" t="n">
        <f aca="false">AT11*Assumptions!$G$88*Assumptions!$G$91</f>
        <v>939.93</v>
      </c>
      <c r="AU64" s="44" t="n">
        <f aca="false">AU11*Assumptions!$G$88*Assumptions!$G$91</f>
        <v>944.775</v>
      </c>
      <c r="AV64" s="44" t="n">
        <f aca="false">AV11*Assumptions!$G$88*Assumptions!$G$91</f>
        <v>949.62</v>
      </c>
      <c r="AW64" s="44" t="n">
        <f aca="false">AW11*Assumptions!$G$88*Assumptions!$G$91</f>
        <v>949.62</v>
      </c>
      <c r="AX64" s="44" t="n">
        <f aca="false">AX11*Assumptions!$G$88*Assumptions!$G$91</f>
        <v>954.465</v>
      </c>
      <c r="AY64" s="44" t="n">
        <f aca="false">AY11*Assumptions!$G$88*Assumptions!$G$91</f>
        <v>959.31</v>
      </c>
      <c r="AZ64" s="44" t="n">
        <f aca="false">AZ11*Assumptions!$G$88*Assumptions!$G$91</f>
        <v>959.31</v>
      </c>
      <c r="BA64" s="44" t="n">
        <f aca="false">BA11*Assumptions!$G$88*Assumptions!$G$91</f>
        <v>959.31</v>
      </c>
      <c r="BB64" s="44" t="n">
        <f aca="false">BB11*Assumptions!$G$88*Assumptions!$G$91</f>
        <v>964.155</v>
      </c>
      <c r="BC64" s="44" t="n">
        <f aca="false">BC11*Assumptions!$G$88*Assumptions!$G$91</f>
        <v>964.155</v>
      </c>
      <c r="BD64" s="44" t="n">
        <f aca="false">BD11*Assumptions!$G$88*Assumptions!$G$91</f>
        <v>964.155</v>
      </c>
      <c r="BE64" s="44" t="n">
        <f aca="false">BE11*Assumptions!$G$88*Assumptions!$G$91</f>
        <v>969</v>
      </c>
      <c r="BF64" s="44" t="n">
        <f aca="false">BF11*Assumptions!$G$88*Assumptions!$G$91</f>
        <v>969</v>
      </c>
      <c r="BG64" s="44" t="n">
        <f aca="false">BG11*Assumptions!$G$88*Assumptions!$G$91</f>
        <v>969</v>
      </c>
      <c r="BH64" s="44" t="n">
        <f aca="false">BH11*Assumptions!$G$88*Assumptions!$G$91</f>
        <v>969</v>
      </c>
      <c r="BI64" s="44" t="n">
        <f aca="false">BI11*Assumptions!$G$88*Assumptions!$G$91</f>
        <v>969</v>
      </c>
      <c r="BJ64" s="44" t="n">
        <f aca="false">BJ11*Assumptions!$G$88*Assumptions!$G$91</f>
        <v>969</v>
      </c>
      <c r="BK64" s="44" t="n">
        <f aca="false">BK11*Assumptions!$G$88*Assumptions!$G$91</f>
        <v>969</v>
      </c>
    </row>
    <row r="65" customFormat="false" ht="15" hidden="false" customHeight="false" outlineLevel="0" collapsed="false">
      <c r="A65" s="28" t="s">
        <v>642</v>
      </c>
      <c r="B65" s="6" t="s">
        <v>643</v>
      </c>
      <c r="C65" s="43"/>
      <c r="D65" s="17" t="n">
        <f aca="false">D8*Assumptions!$G$89*Assumptions!$G$91</f>
        <v>0</v>
      </c>
      <c r="E65" s="17" t="n">
        <f aca="false">E8*Assumptions!$G$89*Assumptions!$G$91</f>
        <v>0</v>
      </c>
      <c r="F65" s="17" t="n">
        <f aca="false">F8*Assumptions!$G$89*Assumptions!$G$91</f>
        <v>0</v>
      </c>
      <c r="G65" s="17" t="n">
        <f aca="false">G8*Assumptions!$G$89*Assumptions!$G$91</f>
        <v>0</v>
      </c>
      <c r="H65" s="17" t="n">
        <f aca="false">H8*Assumptions!$G$89*Assumptions!$G$91</f>
        <v>750</v>
      </c>
      <c r="I65" s="17" t="n">
        <f aca="false">I8*Assumptions!$G$89*Assumptions!$G$91</f>
        <v>0</v>
      </c>
      <c r="J65" s="17" t="n">
        <f aca="false">J8*Assumptions!$G$89*Assumptions!$G$91</f>
        <v>0</v>
      </c>
      <c r="K65" s="17" t="n">
        <f aca="false">K8*Assumptions!$G$89*Assumptions!$G$91</f>
        <v>750</v>
      </c>
      <c r="L65" s="17" t="n">
        <f aca="false">L8*Assumptions!$G$89*Assumptions!$G$91</f>
        <v>750</v>
      </c>
      <c r="M65" s="17" t="n">
        <f aca="false">M8*Assumptions!$G$89*Assumptions!$G$91</f>
        <v>0</v>
      </c>
      <c r="N65" s="17" t="n">
        <f aca="false">N8*Assumptions!$G$89*Assumptions!$G$91</f>
        <v>750</v>
      </c>
      <c r="O65" s="17" t="n">
        <f aca="false">O8*Assumptions!$G$89*Assumptions!$G$91</f>
        <v>750</v>
      </c>
      <c r="P65" s="17" t="n">
        <f aca="false">P8*Assumptions!$G$89*Assumptions!$G$91</f>
        <v>750</v>
      </c>
      <c r="Q65" s="17" t="n">
        <f aca="false">Q8*Assumptions!$G$89*Assumptions!$G$91</f>
        <v>750</v>
      </c>
      <c r="R65" s="17" t="n">
        <f aca="false">R8*Assumptions!$G$89*Assumptions!$G$91</f>
        <v>750</v>
      </c>
      <c r="S65" s="17" t="n">
        <f aca="false">S8*Assumptions!$G$89*Assumptions!$G$91</f>
        <v>750</v>
      </c>
      <c r="T65" s="17" t="n">
        <f aca="false">T8*Assumptions!$G$89*Assumptions!$G$91</f>
        <v>750</v>
      </c>
      <c r="U65" s="17" t="n">
        <f aca="false">U8*Assumptions!$G$89*Assumptions!$G$91</f>
        <v>750</v>
      </c>
      <c r="V65" s="17" t="n">
        <f aca="false">V8*Assumptions!$G$89*Assumptions!$G$91</f>
        <v>750</v>
      </c>
      <c r="W65" s="17" t="n">
        <f aca="false">W8*Assumptions!$G$89*Assumptions!$G$91</f>
        <v>1500</v>
      </c>
      <c r="X65" s="17" t="n">
        <f aca="false">X8*Assumptions!$G$89*Assumptions!$G$91</f>
        <v>750</v>
      </c>
      <c r="Y65" s="17" t="n">
        <f aca="false">Y8*Assumptions!$G$89*Assumptions!$G$91</f>
        <v>750</v>
      </c>
      <c r="Z65" s="17" t="n">
        <f aca="false">Z8*Assumptions!$G$89*Assumptions!$G$91</f>
        <v>1500</v>
      </c>
      <c r="AA65" s="17" t="n">
        <f aca="false">AA8*Assumptions!$G$89*Assumptions!$G$91</f>
        <v>750</v>
      </c>
      <c r="AB65" s="17" t="n">
        <f aca="false">AB8*Assumptions!$G$89*Assumptions!$G$91</f>
        <v>750</v>
      </c>
      <c r="AC65" s="17" t="n">
        <f aca="false">AC8*Assumptions!$G$89*Assumptions!$G$91</f>
        <v>1500</v>
      </c>
      <c r="AD65" s="17" t="n">
        <f aca="false">AD8*Assumptions!$G$89*Assumptions!$G$91</f>
        <v>1500</v>
      </c>
      <c r="AE65" s="17" t="n">
        <f aca="false">AE8*Assumptions!$G$89*Assumptions!$G$91</f>
        <v>750</v>
      </c>
      <c r="AF65" s="17" t="n">
        <f aca="false">AF8*Assumptions!$G$89*Assumptions!$G$91</f>
        <v>1500</v>
      </c>
      <c r="AG65" s="17" t="n">
        <f aca="false">AG8*Assumptions!$G$89*Assumptions!$G$91</f>
        <v>1500</v>
      </c>
      <c r="AH65" s="17" t="n">
        <f aca="false">AH8*Assumptions!$G$89*Assumptions!$G$91</f>
        <v>750</v>
      </c>
      <c r="AI65" s="17" t="n">
        <f aca="false">AI8*Assumptions!$G$89*Assumptions!$G$91</f>
        <v>1500</v>
      </c>
      <c r="AJ65" s="17" t="n">
        <f aca="false">AJ8*Assumptions!$G$89*Assumptions!$G$91</f>
        <v>1500</v>
      </c>
      <c r="AK65" s="17" t="n">
        <f aca="false">AK8*Assumptions!$G$89*Assumptions!$G$91</f>
        <v>1500</v>
      </c>
      <c r="AL65" s="17" t="n">
        <f aca="false">AL8*Assumptions!$G$89*Assumptions!$G$91</f>
        <v>1500</v>
      </c>
      <c r="AM65" s="17" t="n">
        <f aca="false">AM8*Assumptions!$G$89*Assumptions!$G$91</f>
        <v>1500</v>
      </c>
      <c r="AN65" s="44" t="n">
        <f aca="false">AN8*Assumptions!$G$89*Assumptions!$G$91</f>
        <v>1500</v>
      </c>
      <c r="AO65" s="44" t="n">
        <f aca="false">AO8*Assumptions!$G$89*Assumptions!$G$91</f>
        <v>1500</v>
      </c>
      <c r="AP65" s="44" t="n">
        <f aca="false">AP8*Assumptions!$G$89*Assumptions!$G$91</f>
        <v>1500</v>
      </c>
      <c r="AQ65" s="44" t="n">
        <f aca="false">AQ8*Assumptions!$G$89*Assumptions!$G$91</f>
        <v>1500</v>
      </c>
      <c r="AR65" s="44" t="n">
        <f aca="false">AR8*Assumptions!$G$89*Assumptions!$G$91</f>
        <v>1500</v>
      </c>
      <c r="AS65" s="44" t="n">
        <f aca="false">AS8*Assumptions!$G$89*Assumptions!$G$91</f>
        <v>1500</v>
      </c>
      <c r="AT65" s="44" t="n">
        <f aca="false">AT8*Assumptions!$G$89*Assumptions!$G$91</f>
        <v>1500</v>
      </c>
      <c r="AU65" s="44" t="n">
        <f aca="false">AU8*Assumptions!$G$89*Assumptions!$G$91</f>
        <v>1500</v>
      </c>
      <c r="AV65" s="44" t="n">
        <f aca="false">AV8*Assumptions!$G$89*Assumptions!$G$91</f>
        <v>1500</v>
      </c>
      <c r="AW65" s="44" t="n">
        <f aca="false">AW8*Assumptions!$G$89*Assumptions!$G$91</f>
        <v>1500</v>
      </c>
      <c r="AX65" s="44" t="n">
        <f aca="false">AX8*Assumptions!$G$89*Assumptions!$G$91</f>
        <v>1500</v>
      </c>
      <c r="AY65" s="44" t="n">
        <f aca="false">AY8*Assumptions!$G$89*Assumptions!$G$91</f>
        <v>1500</v>
      </c>
      <c r="AZ65" s="44" t="n">
        <f aca="false">AZ8*Assumptions!$G$89*Assumptions!$G$91</f>
        <v>1500</v>
      </c>
      <c r="BA65" s="44" t="n">
        <f aca="false">BA8*Assumptions!$G$89*Assumptions!$G$91</f>
        <v>1500</v>
      </c>
      <c r="BB65" s="44" t="n">
        <f aca="false">BB8*Assumptions!$G$89*Assumptions!$G$91</f>
        <v>1500</v>
      </c>
      <c r="BC65" s="44" t="n">
        <f aca="false">BC8*Assumptions!$G$89*Assumptions!$G$91</f>
        <v>1500</v>
      </c>
      <c r="BD65" s="44" t="n">
        <f aca="false">BD8*Assumptions!$G$89*Assumptions!$G$91</f>
        <v>1500</v>
      </c>
      <c r="BE65" s="44" t="n">
        <f aca="false">BE8*Assumptions!$G$89*Assumptions!$G$91</f>
        <v>1500</v>
      </c>
      <c r="BF65" s="44" t="n">
        <f aca="false">BF8*Assumptions!$G$89*Assumptions!$G$91</f>
        <v>1500</v>
      </c>
      <c r="BG65" s="44" t="n">
        <f aca="false">BG8*Assumptions!$G$89*Assumptions!$G$91</f>
        <v>1500</v>
      </c>
      <c r="BH65" s="44" t="n">
        <f aca="false">BH8*Assumptions!$G$89*Assumptions!$G$91</f>
        <v>1500</v>
      </c>
      <c r="BI65" s="44" t="n">
        <f aca="false">BI8*Assumptions!$G$89*Assumptions!$G$91</f>
        <v>1500</v>
      </c>
      <c r="BJ65" s="44" t="n">
        <f aca="false">BJ8*Assumptions!$G$89*Assumptions!$G$91</f>
        <v>1500</v>
      </c>
      <c r="BK65" s="44" t="n">
        <f aca="false">BK8*Assumptions!$G$89*Assumptions!$G$91</f>
        <v>1500</v>
      </c>
    </row>
    <row r="66" customFormat="false" ht="15" hidden="false" customHeight="false" outlineLevel="0" collapsed="false">
      <c r="A66" s="28" t="s">
        <v>644</v>
      </c>
      <c r="B66" s="6" t="s">
        <v>645</v>
      </c>
      <c r="C66" s="43"/>
      <c r="D66" s="17" t="n">
        <f aca="false">D35*Assumptions!$G$90*Assumptions!$G$91</f>
        <v>0</v>
      </c>
      <c r="E66" s="17" t="n">
        <f aca="false">E35*Assumptions!$G$90*Assumptions!$G$91</f>
        <v>0</v>
      </c>
      <c r="F66" s="17" t="n">
        <f aca="false">F35*Assumptions!$G$90*Assumptions!$G$91</f>
        <v>0</v>
      </c>
      <c r="G66" s="17" t="n">
        <f aca="false">G35*Assumptions!$G$90*Assumptions!$G$91</f>
        <v>0</v>
      </c>
      <c r="H66" s="17" t="n">
        <f aca="false">H35*Assumptions!$G$90*Assumptions!$G$91</f>
        <v>0</v>
      </c>
      <c r="I66" s="17" t="n">
        <f aca="false">I35*Assumptions!$G$90*Assumptions!$G$91</f>
        <v>0</v>
      </c>
      <c r="J66" s="17" t="n">
        <f aca="false">J35*Assumptions!$G$90*Assumptions!$G$91</f>
        <v>0</v>
      </c>
      <c r="K66" s="17" t="n">
        <f aca="false">K35*Assumptions!$G$90*Assumptions!$G$91</f>
        <v>0</v>
      </c>
      <c r="L66" s="17" t="n">
        <f aca="false">L35*Assumptions!$G$90*Assumptions!$G$91</f>
        <v>0</v>
      </c>
      <c r="M66" s="17" t="n">
        <f aca="false">M35*Assumptions!$G$90*Assumptions!$G$91</f>
        <v>0</v>
      </c>
      <c r="N66" s="17" t="n">
        <f aca="false">N35*Assumptions!$G$90*Assumptions!$G$91</f>
        <v>0</v>
      </c>
      <c r="O66" s="17" t="n">
        <f aca="false">O35*Assumptions!$G$90*Assumptions!$G$91</f>
        <v>0</v>
      </c>
      <c r="P66" s="17" t="n">
        <f aca="false">P35*Assumptions!$G$90*Assumptions!$G$91</f>
        <v>0</v>
      </c>
      <c r="Q66" s="17" t="n">
        <f aca="false">Q35*Assumptions!$G$90*Assumptions!$G$91</f>
        <v>0</v>
      </c>
      <c r="R66" s="17" t="n">
        <f aca="false">R35*Assumptions!$G$90*Assumptions!$G$91</f>
        <v>0</v>
      </c>
      <c r="S66" s="17" t="n">
        <f aca="false">S35*Assumptions!$G$90*Assumptions!$G$91</f>
        <v>0</v>
      </c>
      <c r="T66" s="17" t="n">
        <f aca="false">T35*Assumptions!$G$90*Assumptions!$G$91</f>
        <v>389.883811485699</v>
      </c>
      <c r="U66" s="17" t="n">
        <f aca="false">U35*Assumptions!$G$90*Assumptions!$G$91</f>
        <v>414.161231661117</v>
      </c>
      <c r="V66" s="17" t="n">
        <f aca="false">V35*Assumptions!$G$90*Assumptions!$G$91</f>
        <v>437.74480981919</v>
      </c>
      <c r="W66" s="17" t="n">
        <f aca="false">W35*Assumptions!$G$90*Assumptions!$G$91</f>
        <v>474.94933224552</v>
      </c>
      <c r="X66" s="17" t="n">
        <f aca="false">X35*Assumptions!$G$90*Assumptions!$G$91</f>
        <v>508.909049333994</v>
      </c>
      <c r="Y66" s="17" t="n">
        <f aca="false">Y35*Assumptions!$G$90*Assumptions!$G$91</f>
        <v>537.579461926955</v>
      </c>
      <c r="Z66" s="17" t="n">
        <f aca="false">Z35*Assumptions!$G$90*Assumptions!$G$91</f>
        <v>576.729149003791</v>
      </c>
      <c r="AA66" s="17" t="n">
        <f aca="false">AA35*Assumptions!$G$90*Assumptions!$G$91</f>
        <v>610.27480334384</v>
      </c>
      <c r="AB66" s="17" t="n">
        <f aca="false">AB35*Assumptions!$G$90*Assumptions!$G$91</f>
        <v>638.040126009375</v>
      </c>
      <c r="AC66" s="17" t="n">
        <f aca="false">AC35*Assumptions!$G$90*Assumptions!$G$91</f>
        <v>674.113530722017</v>
      </c>
      <c r="AD66" s="17" t="n">
        <f aca="false">AD35*Assumptions!$G$90*Assumptions!$G$91</f>
        <v>719.093875735056</v>
      </c>
      <c r="AE66" s="17" t="n">
        <f aca="false">AE35*Assumptions!$G$90*Assumptions!$G$91</f>
        <v>755.296383746692</v>
      </c>
      <c r="AF66" s="17" t="n">
        <f aca="false">AF35*Assumptions!$G$90*Assumptions!$G$91</f>
        <v>795.306769137019</v>
      </c>
      <c r="AG66" s="17" t="n">
        <f aca="false">AG35*Assumptions!$G$90*Assumptions!$G$91</f>
        <v>841.169795351131</v>
      </c>
      <c r="AH66" s="17" t="n">
        <f aca="false">AH35*Assumptions!$G$90*Assumptions!$G$91</f>
        <v>875.97590747622</v>
      </c>
      <c r="AI66" s="17" t="n">
        <f aca="false">AI35*Assumptions!$G$90*Assumptions!$G$91</f>
        <v>913.602065382013</v>
      </c>
      <c r="AJ66" s="17" t="n">
        <f aca="false">AJ35*Assumptions!$G$90*Assumptions!$G$91</f>
        <v>955.015067958318</v>
      </c>
      <c r="AK66" s="17" t="n">
        <f aca="false">AK35*Assumptions!$G$90*Assumptions!$G$91</f>
        <v>999.978954343872</v>
      </c>
      <c r="AL66" s="17" t="n">
        <f aca="false">AL35*Assumptions!$G$90*Assumptions!$G$91</f>
        <v>1045.42469916541</v>
      </c>
      <c r="AM66" s="17" t="n">
        <f aca="false">AM35*Assumptions!$G$90*Assumptions!$G$91</f>
        <v>1089.63061092648</v>
      </c>
      <c r="AN66" s="44" t="n">
        <f aca="false">AN35*Assumptions!$G$90*Assumptions!$G$91</f>
        <v>1134.4113249985</v>
      </c>
      <c r="AO66" s="44" t="n">
        <f aca="false">AO35*Assumptions!$G$90*Assumptions!$G$91</f>
        <v>1177.46674535955</v>
      </c>
      <c r="AP66" s="44" t="n">
        <f aca="false">AP35*Assumptions!$G$90*Assumptions!$G$91</f>
        <v>1218.93100375524</v>
      </c>
      <c r="AQ66" s="44" t="n">
        <f aca="false">AQ35*Assumptions!$G$90*Assumptions!$G$91</f>
        <v>1258.92723258383</v>
      </c>
      <c r="AR66" s="44" t="n">
        <f aca="false">AR35*Assumptions!$G$90*Assumptions!$G$91</f>
        <v>1297.56848634283</v>
      </c>
      <c r="AS66" s="44" t="n">
        <f aca="false">AS35*Assumptions!$G$90*Assumptions!$G$91</f>
        <v>1334.95858485538</v>
      </c>
      <c r="AT66" s="44" t="n">
        <f aca="false">AT35*Assumptions!$G$90*Assumptions!$G$91</f>
        <v>1370.62253985733</v>
      </c>
      <c r="AU66" s="44" t="n">
        <f aca="false">AU35*Assumptions!$G$90*Assumptions!$G$91</f>
        <v>1405.25620367225</v>
      </c>
      <c r="AV66" s="44" t="n">
        <f aca="false">AV35*Assumptions!$G$90*Assumptions!$G$91</f>
        <v>1438.93703586675</v>
      </c>
      <c r="AW66" s="44" t="n">
        <f aca="false">AW35*Assumptions!$G$90*Assumptions!$G$91</f>
        <v>1471.16588509767</v>
      </c>
      <c r="AX66" s="44" t="n">
        <f aca="false">AX35*Assumptions!$G$90*Assumptions!$G$91</f>
        <v>1502.61645190364</v>
      </c>
      <c r="AY66" s="44" t="n">
        <f aca="false">AY35*Assumptions!$G$90*Assumptions!$G$91</f>
        <v>1533.34588536508</v>
      </c>
      <c r="AZ66" s="44" t="n">
        <f aca="false">AZ35*Assumptions!$G$90*Assumptions!$G$91</f>
        <v>1562.83640947611</v>
      </c>
      <c r="BA66" s="44" t="n">
        <f aca="false">BA35*Assumptions!$G$90*Assumptions!$G$91</f>
        <v>1591.17429861009</v>
      </c>
      <c r="BB66" s="44" t="n">
        <f aca="false">BB35*Assumptions!$G$90*Assumptions!$G$91</f>
        <v>1619.00928646475</v>
      </c>
      <c r="BC66" s="44" t="n">
        <f aca="false">BC35*Assumptions!$G$90*Assumptions!$G$91</f>
        <v>1645.80619358384</v>
      </c>
      <c r="BD66" s="44" t="n">
        <f aca="false">BD35*Assumptions!$G$90*Assumptions!$G$91</f>
        <v>1671.63532910362</v>
      </c>
      <c r="BE66" s="44" t="n">
        <f aca="false">BE35*Assumptions!$G$90*Assumptions!$G$91</f>
        <v>1697.13177871574</v>
      </c>
      <c r="BF66" s="44" t="n">
        <f aca="false">BF35*Assumptions!$G$90*Assumptions!$G$91</f>
        <v>1721.7469215053</v>
      </c>
      <c r="BG66" s="44" t="n">
        <f aca="false">BG35*Assumptions!$G$90*Assumptions!$G$91</f>
        <v>1745.53873042793</v>
      </c>
      <c r="BH66" s="44" t="n">
        <f aca="false">BH35*Assumptions!$G$90*Assumptions!$G$91</f>
        <v>1768.56062248903</v>
      </c>
      <c r="BI66" s="44" t="n">
        <f aca="false">BI35*Assumptions!$G$90*Assumptions!$G$91</f>
        <v>1790.86183314882</v>
      </c>
      <c r="BJ66" s="44" t="n">
        <f aca="false">BJ35*Assumptions!$G$90*Assumptions!$G$91</f>
        <v>1812.48775933946</v>
      </c>
      <c r="BK66" s="44" t="n">
        <f aca="false">BK35*Assumptions!$G$90*Assumptions!$G$91</f>
        <v>1833.48027375991</v>
      </c>
    </row>
    <row r="67" customFormat="false" ht="15" hidden="false" customHeight="false" outlineLevel="0" collapsed="false">
      <c r="A67" s="28" t="s">
        <v>646</v>
      </c>
      <c r="B67" s="5" t="s">
        <v>647</v>
      </c>
      <c r="C67" s="43"/>
      <c r="D67" s="45" t="n">
        <f aca="false">D62+D63+D64+D65+D66</f>
        <v>0</v>
      </c>
      <c r="E67" s="45" t="n">
        <f aca="false">E62+E63+E64+E65+E66</f>
        <v>0</v>
      </c>
      <c r="F67" s="45" t="n">
        <f aca="false">F62+F63+F64+F65+F66</f>
        <v>0</v>
      </c>
      <c r="G67" s="45" t="n">
        <f aca="false">G62+G63+G64+G65+G66</f>
        <v>0</v>
      </c>
      <c r="H67" s="45" t="n">
        <f aca="false">H62+H63+H64+H65+H66</f>
        <v>1358.38665</v>
      </c>
      <c r="I67" s="45" t="n">
        <f aca="false">I62+I63+I64+I65+I66</f>
        <v>535.380252</v>
      </c>
      <c r="J67" s="45" t="n">
        <f aca="false">J62+J63+J64+J65+J66</f>
        <v>365.03199</v>
      </c>
      <c r="K67" s="45" t="n">
        <f aca="false">K62+K63+K64+K65+K66</f>
        <v>1601.74131</v>
      </c>
      <c r="L67" s="45" t="n">
        <f aca="false">L62+L63+L64+L65+L66</f>
        <v>2039.779698</v>
      </c>
      <c r="M67" s="45" t="n">
        <f aca="false">M62+M63+M64+M65+M66</f>
        <v>1022.089572</v>
      </c>
      <c r="N67" s="45" t="n">
        <f aca="false">N62+N63+N64+N65+N66</f>
        <v>1991.108766</v>
      </c>
      <c r="O67" s="45" t="n">
        <f aca="false">O62+O63+O64+O65+O66</f>
        <v>2328.4348496</v>
      </c>
      <c r="P67" s="45" t="n">
        <f aca="false">P62+P63+P64+P65+P66</f>
        <v>2575.06529485</v>
      </c>
      <c r="Q67" s="45" t="n">
        <f aca="false">Q62+Q63+Q64+Q65+Q66</f>
        <v>2698.380517475</v>
      </c>
      <c r="R67" s="45" t="n">
        <f aca="false">R62+R63+R64+R65+R66</f>
        <v>2747.706606525</v>
      </c>
      <c r="S67" s="45" t="n">
        <f aca="false">S62+S63+S64+S65+S66</f>
        <v>2871.02182915</v>
      </c>
      <c r="T67" s="45" t="n">
        <f aca="false">T62+T63+T64+T65+T66</f>
        <v>3285.5686851607</v>
      </c>
      <c r="U67" s="45" t="n">
        <f aca="false">U62+U63+U64+U65+U66</f>
        <v>3334.50914986112</v>
      </c>
      <c r="V67" s="45" t="n">
        <f aca="false">V62+V63+V64+V65+V66</f>
        <v>3382.75577254419</v>
      </c>
      <c r="W67" s="45" t="n">
        <f aca="false">W62+W63+W64+W65+W66</f>
        <v>4811.19945262052</v>
      </c>
      <c r="X67" s="45" t="n">
        <f aca="false">X62+X63+X64+X65+X66</f>
        <v>4045.83308065899</v>
      </c>
      <c r="Y67" s="45" t="n">
        <f aca="false">Y62+Y63+Y64+Y65+Y66</f>
        <v>3926.52522610195</v>
      </c>
      <c r="Z67" s="45" t="n">
        <f aca="false">Z62+Z63+Z64+Z65+Z66</f>
        <v>5233.59884820379</v>
      </c>
      <c r="AA67" s="45" t="n">
        <f aca="false">AA62+AA63+AA64+AA65+AA66</f>
        <v>4410.12992994509</v>
      </c>
      <c r="AB67" s="45" t="n">
        <f aca="false">AB62+AB63+AB64+AB65+AB66</f>
        <v>4262.90356501875</v>
      </c>
      <c r="AC67" s="45" t="n">
        <f aca="false">AC62+AC63+AC64+AC65+AC66</f>
        <v>5473.95678245452</v>
      </c>
      <c r="AD67" s="45" t="n">
        <f aca="false">AD62+AD63+AD64+AD65+AD66</f>
        <v>5993.91456521693</v>
      </c>
      <c r="AE67" s="45" t="n">
        <f aca="false">AE62+AE63+AE64+AE65+AE66</f>
        <v>5005.13013558419</v>
      </c>
      <c r="AF67" s="45" t="n">
        <f aca="false">AF62+AF63+AF64+AF65+AF66</f>
        <v>6045.12864610577</v>
      </c>
      <c r="AG67" s="45" t="n">
        <f aca="false">AG62+AG63+AG64+AG65+AG66</f>
        <v>6440.97504750363</v>
      </c>
      <c r="AH67" s="45" t="n">
        <f aca="false">AH62+AH63+AH64+AH65+AH66</f>
        <v>5350.79897193185</v>
      </c>
      <c r="AI67" s="45" t="n">
        <f aca="false">AI62+AI63+AI64+AI65+AI66</f>
        <v>6338.41562994264</v>
      </c>
      <c r="AJ67" s="45" t="n">
        <f aca="false">AJ62+AJ63+AJ64+AJ65+AJ66</f>
        <v>6629.81675765019</v>
      </c>
      <c r="AK67" s="45" t="n">
        <f aca="false">AK62+AK63+AK64+AK65+AK66</f>
        <v>6924.768769167</v>
      </c>
      <c r="AL67" s="45" t="n">
        <f aca="false">AL62+AL63+AL64+AL65+AL66</f>
        <v>7095.20857655416</v>
      </c>
      <c r="AM67" s="45" t="n">
        <f aca="false">AM62+AM63+AM64+AM65+AM66</f>
        <v>7252.73795590185</v>
      </c>
      <c r="AN67" s="46" t="n">
        <f aca="false">AN62+AN63+AN64+AN65+AN66</f>
        <v>7424.23354347864</v>
      </c>
      <c r="AO67" s="46" t="n">
        <f aca="false">AO62+AO63+AO64+AO65+AO66</f>
        <v>7492.63193854064</v>
      </c>
      <c r="AP67" s="46" t="n">
        <f aca="false">AP62+AP63+AP64+AP65+AP66</f>
        <v>7559.43917163729</v>
      </c>
      <c r="AQ67" s="46" t="n">
        <f aca="false">AQ62+AQ63+AQ64+AQ65+AQ66</f>
        <v>7624.77837516683</v>
      </c>
      <c r="AR67" s="46" t="n">
        <f aca="false">AR62+AR63+AR64+AR65+AR66</f>
        <v>7688.76260362679</v>
      </c>
      <c r="AS67" s="46" t="n">
        <f aca="false">AS62+AS63+AS64+AS65+AS66</f>
        <v>7751.49567684028</v>
      </c>
      <c r="AT67" s="46" t="n">
        <f aca="false">AT62+AT63+AT64+AT65+AT66</f>
        <v>7787.15963184223</v>
      </c>
      <c r="AU67" s="46" t="n">
        <f aca="false">AU62+AU63+AU64+AU65+AU66</f>
        <v>7847.1362703581</v>
      </c>
      <c r="AV67" s="46" t="n">
        <f aca="false">AV62+AV63+AV64+AV65+AV66</f>
        <v>7906.16007725357</v>
      </c>
      <c r="AW67" s="46" t="n">
        <f aca="false">AW62+AW63+AW64+AW65+AW66</f>
        <v>7938.38892648448</v>
      </c>
      <c r="AX67" s="46" t="n">
        <f aca="false">AX62+AX63+AX64+AX65+AX66</f>
        <v>7995.1824679914</v>
      </c>
      <c r="AY67" s="46" t="n">
        <f aca="false">AY62+AY63+AY64+AY65+AY66</f>
        <v>8121.10259217352</v>
      </c>
      <c r="AZ67" s="46" t="n">
        <f aca="false">AZ62+AZ63+AZ64+AZ65+AZ66</f>
        <v>8150.59311628454</v>
      </c>
      <c r="BA67" s="46" t="n">
        <f aca="false">BA62+BA63+BA64+BA65+BA66</f>
        <v>8178.93100541852</v>
      </c>
      <c r="BB67" s="46" t="n">
        <f aca="false">BB62+BB63+BB64+BB65+BB66</f>
        <v>8232.46173421667</v>
      </c>
      <c r="BC67" s="46" t="n">
        <f aca="false">BC62+BC63+BC64+BC65+BC66</f>
        <v>8259.25864133575</v>
      </c>
      <c r="BD67" s="46" t="n">
        <f aca="false">BD62+BD63+BD64+BD65+BD66</f>
        <v>8285.08777685553</v>
      </c>
      <c r="BE67" s="46" t="n">
        <f aca="false">BE62+BE63+BE64+BE65+BE66</f>
        <v>8336.27996741113</v>
      </c>
      <c r="BF67" s="46" t="n">
        <f aca="false">BF62+BF63+BF64+BF65+BF66</f>
        <v>8360.89511020069</v>
      </c>
      <c r="BG67" s="46" t="n">
        <f aca="false">BG62+BG63+BG64+BG65+BG66</f>
        <v>8384.68691912332</v>
      </c>
      <c r="BH67" s="46" t="n">
        <f aca="false">BH62+BH63+BH64+BH65+BH66</f>
        <v>8407.70881118442</v>
      </c>
      <c r="BI67" s="46" t="n">
        <f aca="false">BI62+BI63+BI64+BI65+BI66</f>
        <v>8430.01002184421</v>
      </c>
      <c r="BJ67" s="46" t="n">
        <f aca="false">BJ62+BJ63+BJ64+BJ65+BJ66</f>
        <v>8451.63594803485</v>
      </c>
      <c r="BK67" s="46" t="n">
        <f aca="false">BK62+BK63+BK64+BK65+BK66</f>
        <v>8544.94554217269</v>
      </c>
    </row>
    <row r="68" customFormat="false" ht="15" hidden="false" customHeight="false" outlineLevel="0" collapsed="false">
      <c r="B68" s="5" t="s">
        <v>648</v>
      </c>
    </row>
    <row r="69" customFormat="false" ht="15" hidden="false" customHeight="false" outlineLevel="0" collapsed="false">
      <c r="A69" s="28" t="s">
        <v>649</v>
      </c>
      <c r="B69" s="6" t="s">
        <v>650</v>
      </c>
      <c r="C69" s="43"/>
      <c r="D69" s="17" t="n">
        <f aca="false">Assumptions!$G$108</f>
        <v>1465</v>
      </c>
      <c r="E69" s="17" t="n">
        <f aca="false">Assumptions!$G$108</f>
        <v>1465</v>
      </c>
      <c r="F69" s="17" t="n">
        <f aca="false">Assumptions!$G$108</f>
        <v>1465</v>
      </c>
      <c r="G69" s="17" t="n">
        <f aca="false">Assumptions!$G$108</f>
        <v>1465</v>
      </c>
      <c r="H69" s="17" t="n">
        <f aca="false">Assumptions!$G$108</f>
        <v>1465</v>
      </c>
      <c r="I69" s="17" t="n">
        <f aca="false">Assumptions!$G$108</f>
        <v>1465</v>
      </c>
      <c r="J69" s="17" t="n">
        <f aca="false">Assumptions!$G$108</f>
        <v>1465</v>
      </c>
      <c r="K69" s="17" t="n">
        <f aca="false">Assumptions!$G$108</f>
        <v>1465</v>
      </c>
      <c r="L69" s="17" t="n">
        <f aca="false">Assumptions!$G$108</f>
        <v>1465</v>
      </c>
      <c r="M69" s="17" t="n">
        <f aca="false">Assumptions!$G$108</f>
        <v>1465</v>
      </c>
      <c r="N69" s="17" t="n">
        <f aca="false">Assumptions!$G$108</f>
        <v>1465</v>
      </c>
      <c r="O69" s="17" t="n">
        <f aca="false">Assumptions!$G$108</f>
        <v>1465</v>
      </c>
      <c r="P69" s="17" t="n">
        <f aca="false">Assumptions!$G$108</f>
        <v>1465</v>
      </c>
      <c r="Q69" s="17" t="n">
        <f aca="false">Assumptions!$G$108</f>
        <v>1465</v>
      </c>
      <c r="R69" s="17" t="n">
        <f aca="false">Assumptions!$G$108</f>
        <v>1465</v>
      </c>
      <c r="S69" s="17" t="n">
        <f aca="false">Assumptions!$G$108</f>
        <v>1465</v>
      </c>
      <c r="T69" s="17" t="n">
        <f aca="false">Assumptions!$G$108</f>
        <v>1465</v>
      </c>
      <c r="U69" s="17" t="n">
        <f aca="false">Assumptions!$G$108</f>
        <v>1465</v>
      </c>
      <c r="V69" s="17" t="n">
        <f aca="false">Assumptions!$G$108</f>
        <v>1465</v>
      </c>
      <c r="W69" s="17" t="n">
        <f aca="false">Assumptions!$G$108</f>
        <v>1465</v>
      </c>
      <c r="X69" s="17" t="n">
        <f aca="false">Assumptions!$G$108</f>
        <v>1465</v>
      </c>
      <c r="Y69" s="17" t="n">
        <f aca="false">Assumptions!$G$108</f>
        <v>1465</v>
      </c>
      <c r="Z69" s="17" t="n">
        <f aca="false">Assumptions!$G$108</f>
        <v>1465</v>
      </c>
      <c r="AA69" s="17" t="n">
        <f aca="false">Assumptions!$G$108</f>
        <v>1465</v>
      </c>
      <c r="AB69" s="17" t="n">
        <f aca="false">Assumptions!$G$108</f>
        <v>1465</v>
      </c>
      <c r="AC69" s="17" t="n">
        <f aca="false">Assumptions!$G$108</f>
        <v>1465</v>
      </c>
      <c r="AD69" s="17" t="n">
        <f aca="false">Assumptions!$G$108</f>
        <v>1465</v>
      </c>
      <c r="AE69" s="17" t="n">
        <f aca="false">Assumptions!$G$108</f>
        <v>1465</v>
      </c>
      <c r="AF69" s="17" t="n">
        <f aca="false">Assumptions!$G$108</f>
        <v>1465</v>
      </c>
      <c r="AG69" s="17" t="n">
        <f aca="false">Assumptions!$G$108</f>
        <v>1465</v>
      </c>
      <c r="AH69" s="17" t="n">
        <f aca="false">Assumptions!$G$108</f>
        <v>1465</v>
      </c>
      <c r="AI69" s="17" t="n">
        <f aca="false">Assumptions!$G$108</f>
        <v>1465</v>
      </c>
      <c r="AJ69" s="17" t="n">
        <f aca="false">Assumptions!$G$108</f>
        <v>1465</v>
      </c>
      <c r="AK69" s="17" t="n">
        <f aca="false">Assumptions!$G$108</f>
        <v>1465</v>
      </c>
      <c r="AL69" s="17" t="n">
        <f aca="false">Assumptions!$G$108</f>
        <v>1465</v>
      </c>
      <c r="AM69" s="17" t="n">
        <f aca="false">Assumptions!$G$108</f>
        <v>1465</v>
      </c>
      <c r="AN69" s="44" t="n">
        <f aca="false">Assumptions!$G$108</f>
        <v>1465</v>
      </c>
      <c r="AO69" s="44" t="n">
        <f aca="false">Assumptions!$G$108</f>
        <v>1465</v>
      </c>
      <c r="AP69" s="44" t="n">
        <f aca="false">Assumptions!$G$108</f>
        <v>1465</v>
      </c>
      <c r="AQ69" s="44" t="n">
        <f aca="false">Assumptions!$G$108</f>
        <v>1465</v>
      </c>
      <c r="AR69" s="44" t="n">
        <f aca="false">Assumptions!$G$108</f>
        <v>1465</v>
      </c>
      <c r="AS69" s="44" t="n">
        <f aca="false">Assumptions!$G$108</f>
        <v>1465</v>
      </c>
      <c r="AT69" s="44" t="n">
        <f aca="false">Assumptions!$G$108</f>
        <v>1465</v>
      </c>
      <c r="AU69" s="44" t="n">
        <f aca="false">Assumptions!$G$108</f>
        <v>1465</v>
      </c>
      <c r="AV69" s="44" t="n">
        <f aca="false">Assumptions!$G$108</f>
        <v>1465</v>
      </c>
      <c r="AW69" s="44" t="n">
        <f aca="false">Assumptions!$G$108</f>
        <v>1465</v>
      </c>
      <c r="AX69" s="44" t="n">
        <f aca="false">Assumptions!$G$108</f>
        <v>1465</v>
      </c>
      <c r="AY69" s="44" t="n">
        <f aca="false">Assumptions!$G$108</f>
        <v>1465</v>
      </c>
      <c r="AZ69" s="44" t="n">
        <f aca="false">Assumptions!$G$108</f>
        <v>1465</v>
      </c>
      <c r="BA69" s="44" t="n">
        <f aca="false">Assumptions!$G$108</f>
        <v>1465</v>
      </c>
      <c r="BB69" s="44" t="n">
        <f aca="false">Assumptions!$G$108</f>
        <v>1465</v>
      </c>
      <c r="BC69" s="44" t="n">
        <f aca="false">Assumptions!$G$108</f>
        <v>1465</v>
      </c>
      <c r="BD69" s="44" t="n">
        <f aca="false">Assumptions!$G$108</f>
        <v>1465</v>
      </c>
      <c r="BE69" s="44" t="n">
        <f aca="false">Assumptions!$G$108</f>
        <v>1465</v>
      </c>
      <c r="BF69" s="44" t="n">
        <f aca="false">Assumptions!$G$108</f>
        <v>1465</v>
      </c>
      <c r="BG69" s="44" t="n">
        <f aca="false">Assumptions!$G$108</f>
        <v>1465</v>
      </c>
      <c r="BH69" s="44" t="n">
        <f aca="false">Assumptions!$G$108</f>
        <v>1465</v>
      </c>
      <c r="BI69" s="44" t="n">
        <f aca="false">Assumptions!$G$108</f>
        <v>1465</v>
      </c>
      <c r="BJ69" s="44" t="n">
        <f aca="false">Assumptions!$G$108</f>
        <v>1465</v>
      </c>
      <c r="BK69" s="44" t="n">
        <f aca="false">Assumptions!$G$108</f>
        <v>1465</v>
      </c>
    </row>
    <row r="70" customFormat="false" ht="15" hidden="false" customHeight="false" outlineLevel="0" collapsed="false">
      <c r="A70" s="28" t="s">
        <v>651</v>
      </c>
      <c r="B70" s="6" t="s">
        <v>652</v>
      </c>
      <c r="C70" s="43"/>
      <c r="D70" s="17" t="n">
        <f aca="false">IF(D7&lt;=12,Assumptions!$G$100,IF(D7&lt;=24,Assumptions!$G$101,Assumptions!$G$102))</f>
        <v>4000</v>
      </c>
      <c r="E70" s="17" t="n">
        <f aca="false">IF(E7&lt;=12,Assumptions!$G$100,IF(E7&lt;=24,Assumptions!$G$101,Assumptions!$G$102))</f>
        <v>4000</v>
      </c>
      <c r="F70" s="17" t="n">
        <f aca="false">IF(F7&lt;=12,Assumptions!$G$100,IF(F7&lt;=24,Assumptions!$G$101,Assumptions!$G$102))</f>
        <v>4000</v>
      </c>
      <c r="G70" s="17" t="n">
        <f aca="false">IF(G7&lt;=12,Assumptions!$G$100,IF(G7&lt;=24,Assumptions!$G$101,Assumptions!$G$102))</f>
        <v>4000</v>
      </c>
      <c r="H70" s="17" t="n">
        <f aca="false">IF(H7&lt;=12,Assumptions!$G$100,IF(H7&lt;=24,Assumptions!$G$101,Assumptions!$G$102))</f>
        <v>4000</v>
      </c>
      <c r="I70" s="17" t="n">
        <f aca="false">IF(I7&lt;=12,Assumptions!$G$100,IF(I7&lt;=24,Assumptions!$G$101,Assumptions!$G$102))</f>
        <v>4000</v>
      </c>
      <c r="J70" s="17" t="n">
        <f aca="false">IF(J7&lt;=12,Assumptions!$G$100,IF(J7&lt;=24,Assumptions!$G$101,Assumptions!$G$102))</f>
        <v>4000</v>
      </c>
      <c r="K70" s="17" t="n">
        <f aca="false">IF(K7&lt;=12,Assumptions!$G$100,IF(K7&lt;=24,Assumptions!$G$101,Assumptions!$G$102))</f>
        <v>4000</v>
      </c>
      <c r="L70" s="17" t="n">
        <f aca="false">IF(L7&lt;=12,Assumptions!$G$100,IF(L7&lt;=24,Assumptions!$G$101,Assumptions!$G$102))</f>
        <v>4000</v>
      </c>
      <c r="M70" s="17" t="n">
        <f aca="false">IF(M7&lt;=12,Assumptions!$G$100,IF(M7&lt;=24,Assumptions!$G$101,Assumptions!$G$102))</f>
        <v>4000</v>
      </c>
      <c r="N70" s="17" t="n">
        <f aca="false">IF(N7&lt;=12,Assumptions!$G$100,IF(N7&lt;=24,Assumptions!$G$101,Assumptions!$G$102))</f>
        <v>4000</v>
      </c>
      <c r="O70" s="17" t="n">
        <f aca="false">IF(O7&lt;=12,Assumptions!$G$100,IF(O7&lt;=24,Assumptions!$G$101,Assumptions!$G$102))</f>
        <v>4000</v>
      </c>
      <c r="P70" s="17" t="n">
        <f aca="false">IF(P7&lt;=12,Assumptions!$G$100,IF(P7&lt;=24,Assumptions!$G$101,Assumptions!$G$102))</f>
        <v>5000</v>
      </c>
      <c r="Q70" s="17" t="n">
        <f aca="false">IF(Q7&lt;=12,Assumptions!$G$100,IF(Q7&lt;=24,Assumptions!$G$101,Assumptions!$G$102))</f>
        <v>5000</v>
      </c>
      <c r="R70" s="17" t="n">
        <f aca="false">IF(R7&lt;=12,Assumptions!$G$100,IF(R7&lt;=24,Assumptions!$G$101,Assumptions!$G$102))</f>
        <v>5000</v>
      </c>
      <c r="S70" s="17" t="n">
        <f aca="false">IF(S7&lt;=12,Assumptions!$G$100,IF(S7&lt;=24,Assumptions!$G$101,Assumptions!$G$102))</f>
        <v>5000</v>
      </c>
      <c r="T70" s="17" t="n">
        <f aca="false">IF(T7&lt;=12,Assumptions!$G$100,IF(T7&lt;=24,Assumptions!$G$101,Assumptions!$G$102))</f>
        <v>5000</v>
      </c>
      <c r="U70" s="17" t="n">
        <f aca="false">IF(U7&lt;=12,Assumptions!$G$100,IF(U7&lt;=24,Assumptions!$G$101,Assumptions!$G$102))</f>
        <v>5000</v>
      </c>
      <c r="V70" s="17" t="n">
        <f aca="false">IF(V7&lt;=12,Assumptions!$G$100,IF(V7&lt;=24,Assumptions!$G$101,Assumptions!$G$102))</f>
        <v>5000</v>
      </c>
      <c r="W70" s="17" t="n">
        <f aca="false">IF(W7&lt;=12,Assumptions!$G$100,IF(W7&lt;=24,Assumptions!$G$101,Assumptions!$G$102))</f>
        <v>5000</v>
      </c>
      <c r="X70" s="17" t="n">
        <f aca="false">IF(X7&lt;=12,Assumptions!$G$100,IF(X7&lt;=24,Assumptions!$G$101,Assumptions!$G$102))</f>
        <v>5000</v>
      </c>
      <c r="Y70" s="17" t="n">
        <f aca="false">IF(Y7&lt;=12,Assumptions!$G$100,IF(Y7&lt;=24,Assumptions!$G$101,Assumptions!$G$102))</f>
        <v>5000</v>
      </c>
      <c r="Z70" s="17" t="n">
        <f aca="false">IF(Z7&lt;=12,Assumptions!$G$100,IF(Z7&lt;=24,Assumptions!$G$101,Assumptions!$G$102))</f>
        <v>5000</v>
      </c>
      <c r="AA70" s="17" t="n">
        <f aca="false">IF(AA7&lt;=12,Assumptions!$G$100,IF(AA7&lt;=24,Assumptions!$G$101,Assumptions!$G$102))</f>
        <v>5000</v>
      </c>
      <c r="AB70" s="17" t="n">
        <f aca="false">IF(AB7&lt;=12,Assumptions!$G$100,IF(AB7&lt;=24,Assumptions!$G$101,Assumptions!$G$102))</f>
        <v>6000</v>
      </c>
      <c r="AC70" s="17" t="n">
        <f aca="false">IF(AC7&lt;=12,Assumptions!$G$100,IF(AC7&lt;=24,Assumptions!$G$101,Assumptions!$G$102))</f>
        <v>6000</v>
      </c>
      <c r="AD70" s="17" t="n">
        <f aca="false">IF(AD7&lt;=12,Assumptions!$G$100,IF(AD7&lt;=24,Assumptions!$G$101,Assumptions!$G$102))</f>
        <v>6000</v>
      </c>
      <c r="AE70" s="17" t="n">
        <f aca="false">IF(AE7&lt;=12,Assumptions!$G$100,IF(AE7&lt;=24,Assumptions!$G$101,Assumptions!$G$102))</f>
        <v>6000</v>
      </c>
      <c r="AF70" s="17" t="n">
        <f aca="false">IF(AF7&lt;=12,Assumptions!$G$100,IF(AF7&lt;=24,Assumptions!$G$101,Assumptions!$G$102))</f>
        <v>6000</v>
      </c>
      <c r="AG70" s="17" t="n">
        <f aca="false">IF(AG7&lt;=12,Assumptions!$G$100,IF(AG7&lt;=24,Assumptions!$G$101,Assumptions!$G$102))</f>
        <v>6000</v>
      </c>
      <c r="AH70" s="17" t="n">
        <f aca="false">IF(AH7&lt;=12,Assumptions!$G$100,IF(AH7&lt;=24,Assumptions!$G$101,Assumptions!$G$102))</f>
        <v>6000</v>
      </c>
      <c r="AI70" s="17" t="n">
        <f aca="false">IF(AI7&lt;=12,Assumptions!$G$100,IF(AI7&lt;=24,Assumptions!$G$101,Assumptions!$G$102))</f>
        <v>6000</v>
      </c>
      <c r="AJ70" s="17" t="n">
        <f aca="false">IF(AJ7&lt;=12,Assumptions!$G$100,IF(AJ7&lt;=24,Assumptions!$G$101,Assumptions!$G$102))</f>
        <v>6000</v>
      </c>
      <c r="AK70" s="17" t="n">
        <f aca="false">IF(AK7&lt;=12,Assumptions!$G$100,IF(AK7&lt;=24,Assumptions!$G$101,Assumptions!$G$102))</f>
        <v>6000</v>
      </c>
      <c r="AL70" s="17" t="n">
        <f aca="false">IF(AL7&lt;=12,Assumptions!$G$100,IF(AL7&lt;=24,Assumptions!$G$101,Assumptions!$G$102))</f>
        <v>6000</v>
      </c>
      <c r="AM70" s="17" t="n">
        <f aca="false">IF(AM7&lt;=12,Assumptions!$G$100,IF(AM7&lt;=24,Assumptions!$G$101,Assumptions!$G$102))</f>
        <v>6000</v>
      </c>
      <c r="AN70" s="44" t="n">
        <f aca="false">IF(AN7&lt;=12,Assumptions!$G$100,IF(AN7&lt;=24,Assumptions!$G$101,Assumptions!$G$102))</f>
        <v>6000</v>
      </c>
      <c r="AO70" s="44" t="n">
        <f aca="false">IF(AO7&lt;=12,Assumptions!$G$100,IF(AO7&lt;=24,Assumptions!$G$101,Assumptions!$G$102))</f>
        <v>6000</v>
      </c>
      <c r="AP70" s="44" t="n">
        <f aca="false">IF(AP7&lt;=12,Assumptions!$G$100,IF(AP7&lt;=24,Assumptions!$G$101,Assumptions!$G$102))</f>
        <v>6000</v>
      </c>
      <c r="AQ70" s="44" t="n">
        <f aca="false">IF(AQ7&lt;=12,Assumptions!$G$100,IF(AQ7&lt;=24,Assumptions!$G$101,Assumptions!$G$102))</f>
        <v>6000</v>
      </c>
      <c r="AR70" s="44" t="n">
        <f aca="false">IF(AR7&lt;=12,Assumptions!$G$100,IF(AR7&lt;=24,Assumptions!$G$101,Assumptions!$G$102))</f>
        <v>6000</v>
      </c>
      <c r="AS70" s="44" t="n">
        <f aca="false">IF(AS7&lt;=12,Assumptions!$G$100,IF(AS7&lt;=24,Assumptions!$G$101,Assumptions!$G$102))</f>
        <v>6000</v>
      </c>
      <c r="AT70" s="44" t="n">
        <f aca="false">IF(AT7&lt;=12,Assumptions!$G$100,IF(AT7&lt;=24,Assumptions!$G$101,Assumptions!$G$102))</f>
        <v>6000</v>
      </c>
      <c r="AU70" s="44" t="n">
        <f aca="false">IF(AU7&lt;=12,Assumptions!$G$100,IF(AU7&lt;=24,Assumptions!$G$101,Assumptions!$G$102))</f>
        <v>6000</v>
      </c>
      <c r="AV70" s="44" t="n">
        <f aca="false">IF(AV7&lt;=12,Assumptions!$G$100,IF(AV7&lt;=24,Assumptions!$G$101,Assumptions!$G$102))</f>
        <v>6000</v>
      </c>
      <c r="AW70" s="44" t="n">
        <f aca="false">IF(AW7&lt;=12,Assumptions!$G$100,IF(AW7&lt;=24,Assumptions!$G$101,Assumptions!$G$102))</f>
        <v>6000</v>
      </c>
      <c r="AX70" s="44" t="n">
        <f aca="false">IF(AX7&lt;=12,Assumptions!$G$100,IF(AX7&lt;=24,Assumptions!$G$101,Assumptions!$G$102))</f>
        <v>6000</v>
      </c>
      <c r="AY70" s="44" t="n">
        <f aca="false">IF(AY7&lt;=12,Assumptions!$G$100,IF(AY7&lt;=24,Assumptions!$G$101,Assumptions!$G$102))</f>
        <v>6000</v>
      </c>
      <c r="AZ70" s="44" t="n">
        <f aca="false">IF(AZ7&lt;=12,Assumptions!$G$100,IF(AZ7&lt;=24,Assumptions!$G$101,Assumptions!$G$102))</f>
        <v>6000</v>
      </c>
      <c r="BA70" s="44" t="n">
        <f aca="false">IF(BA7&lt;=12,Assumptions!$G$100,IF(BA7&lt;=24,Assumptions!$G$101,Assumptions!$G$102))</f>
        <v>6000</v>
      </c>
      <c r="BB70" s="44" t="n">
        <f aca="false">IF(BB7&lt;=12,Assumptions!$G$100,IF(BB7&lt;=24,Assumptions!$G$101,Assumptions!$G$102))</f>
        <v>6000</v>
      </c>
      <c r="BC70" s="44" t="n">
        <f aca="false">IF(BC7&lt;=12,Assumptions!$G$100,IF(BC7&lt;=24,Assumptions!$G$101,Assumptions!$G$102))</f>
        <v>6000</v>
      </c>
      <c r="BD70" s="44" t="n">
        <f aca="false">IF(BD7&lt;=12,Assumptions!$G$100,IF(BD7&lt;=24,Assumptions!$G$101,Assumptions!$G$102))</f>
        <v>6000</v>
      </c>
      <c r="BE70" s="44" t="n">
        <f aca="false">IF(BE7&lt;=12,Assumptions!$G$100,IF(BE7&lt;=24,Assumptions!$G$101,Assumptions!$G$102))</f>
        <v>6000</v>
      </c>
      <c r="BF70" s="44" t="n">
        <f aca="false">IF(BF7&lt;=12,Assumptions!$G$100,IF(BF7&lt;=24,Assumptions!$G$101,Assumptions!$G$102))</f>
        <v>6000</v>
      </c>
      <c r="BG70" s="44" t="n">
        <f aca="false">IF(BG7&lt;=12,Assumptions!$G$100,IF(BG7&lt;=24,Assumptions!$G$101,Assumptions!$G$102))</f>
        <v>6000</v>
      </c>
      <c r="BH70" s="44" t="n">
        <f aca="false">IF(BH7&lt;=12,Assumptions!$G$100,IF(BH7&lt;=24,Assumptions!$G$101,Assumptions!$G$102))</f>
        <v>6000</v>
      </c>
      <c r="BI70" s="44" t="n">
        <f aca="false">IF(BI7&lt;=12,Assumptions!$G$100,IF(BI7&lt;=24,Assumptions!$G$101,Assumptions!$G$102))</f>
        <v>6000</v>
      </c>
      <c r="BJ70" s="44" t="n">
        <f aca="false">IF(BJ7&lt;=12,Assumptions!$G$100,IF(BJ7&lt;=24,Assumptions!$G$101,Assumptions!$G$102))</f>
        <v>6000</v>
      </c>
      <c r="BK70" s="44" t="n">
        <f aca="false">IF(BK7&lt;=12,Assumptions!$G$100,IF(BK7&lt;=24,Assumptions!$G$101,Assumptions!$G$102))</f>
        <v>6000</v>
      </c>
    </row>
    <row r="71" customFormat="false" ht="15" hidden="false" customHeight="false" outlineLevel="0" collapsed="false">
      <c r="A71" s="28" t="s">
        <v>653</v>
      </c>
      <c r="B71" s="6" t="s">
        <v>654</v>
      </c>
      <c r="C71" s="43"/>
      <c r="D71" s="17" t="n">
        <f aca="false">INT(D13/Assumptions!$G$103)*Assumptions!$G$104</f>
        <v>0</v>
      </c>
      <c r="E71" s="17" t="n">
        <f aca="false">INT(E13/Assumptions!$G$103)*Assumptions!$G$104</f>
        <v>0</v>
      </c>
      <c r="F71" s="17" t="n">
        <f aca="false">INT(F13/Assumptions!$G$103)*Assumptions!$G$104</f>
        <v>0</v>
      </c>
      <c r="G71" s="17" t="n">
        <f aca="false">INT(G13/Assumptions!$G$103)*Assumptions!$G$104</f>
        <v>0</v>
      </c>
      <c r="H71" s="17" t="n">
        <f aca="false">INT(H13/Assumptions!$G$103)*Assumptions!$G$104</f>
        <v>0</v>
      </c>
      <c r="I71" s="17" t="n">
        <f aca="false">INT(I13/Assumptions!$G$103)*Assumptions!$G$104</f>
        <v>0</v>
      </c>
      <c r="J71" s="17" t="n">
        <f aca="false">INT(J13/Assumptions!$G$103)*Assumptions!$G$104</f>
        <v>0</v>
      </c>
      <c r="K71" s="17" t="n">
        <f aca="false">INT(K13/Assumptions!$G$103)*Assumptions!$G$104</f>
        <v>0</v>
      </c>
      <c r="L71" s="17" t="n">
        <f aca="false">INT(L13/Assumptions!$G$103)*Assumptions!$G$104</f>
        <v>0</v>
      </c>
      <c r="M71" s="17" t="n">
        <f aca="false">INT(M13/Assumptions!$G$103)*Assumptions!$G$104</f>
        <v>0</v>
      </c>
      <c r="N71" s="17" t="n">
        <f aca="false">INT(N13/Assumptions!$G$103)*Assumptions!$G$104</f>
        <v>0</v>
      </c>
      <c r="O71" s="17" t="n">
        <f aca="false">INT(O13/Assumptions!$G$103)*Assumptions!$G$104</f>
        <v>0</v>
      </c>
      <c r="P71" s="17" t="n">
        <f aca="false">INT(P13/Assumptions!$G$103)*Assumptions!$G$104</f>
        <v>0</v>
      </c>
      <c r="Q71" s="17" t="n">
        <f aca="false">INT(Q13/Assumptions!$G$103)*Assumptions!$G$104</f>
        <v>0</v>
      </c>
      <c r="R71" s="17" t="n">
        <f aca="false">INT(R13/Assumptions!$G$103)*Assumptions!$G$104</f>
        <v>0</v>
      </c>
      <c r="S71" s="17" t="n">
        <f aca="false">INT(S13/Assumptions!$G$103)*Assumptions!$G$104</f>
        <v>0</v>
      </c>
      <c r="T71" s="17" t="n">
        <f aca="false">INT(T13/Assumptions!$G$103)*Assumptions!$G$104</f>
        <v>0</v>
      </c>
      <c r="U71" s="17" t="n">
        <f aca="false">INT(U13/Assumptions!$G$103)*Assumptions!$G$104</f>
        <v>0</v>
      </c>
      <c r="V71" s="17" t="n">
        <f aca="false">INT(V13/Assumptions!$G$103)*Assumptions!$G$104</f>
        <v>0</v>
      </c>
      <c r="W71" s="17" t="n">
        <f aca="false">INT(W13/Assumptions!$G$103)*Assumptions!$G$104</f>
        <v>0</v>
      </c>
      <c r="X71" s="17" t="n">
        <f aca="false">INT(X13/Assumptions!$G$103)*Assumptions!$G$104</f>
        <v>0</v>
      </c>
      <c r="Y71" s="17" t="n">
        <f aca="false">INT(Y13/Assumptions!$G$103)*Assumptions!$G$104</f>
        <v>0</v>
      </c>
      <c r="Z71" s="17" t="n">
        <f aca="false">INT(Z13/Assumptions!$G$103)*Assumptions!$G$104</f>
        <v>0</v>
      </c>
      <c r="AA71" s="17" t="n">
        <f aca="false">INT(AA13/Assumptions!$G$103)*Assumptions!$G$104</f>
        <v>0</v>
      </c>
      <c r="AB71" s="17" t="n">
        <f aca="false">INT(AB13/Assumptions!$G$103)*Assumptions!$G$104</f>
        <v>0</v>
      </c>
      <c r="AC71" s="17" t="n">
        <f aca="false">INT(AC13/Assumptions!$G$103)*Assumptions!$G$104</f>
        <v>0</v>
      </c>
      <c r="AD71" s="17" t="n">
        <f aca="false">INT(AD13/Assumptions!$G$103)*Assumptions!$G$104</f>
        <v>0</v>
      </c>
      <c r="AE71" s="17" t="n">
        <f aca="false">INT(AE13/Assumptions!$G$103)*Assumptions!$G$104</f>
        <v>0</v>
      </c>
      <c r="AF71" s="17" t="n">
        <f aca="false">INT(AF13/Assumptions!$G$103)*Assumptions!$G$104</f>
        <v>0</v>
      </c>
      <c r="AG71" s="17" t="n">
        <f aca="false">INT(AG13/Assumptions!$G$103)*Assumptions!$G$104</f>
        <v>0</v>
      </c>
      <c r="AH71" s="17" t="n">
        <f aca="false">INT(AH13/Assumptions!$G$103)*Assumptions!$G$104</f>
        <v>0</v>
      </c>
      <c r="AI71" s="17" t="n">
        <f aca="false">INT(AI13/Assumptions!$G$103)*Assumptions!$G$104</f>
        <v>0</v>
      </c>
      <c r="AJ71" s="17" t="n">
        <f aca="false">INT(AJ13/Assumptions!$G$103)*Assumptions!$G$104</f>
        <v>0</v>
      </c>
      <c r="AK71" s="17" t="n">
        <f aca="false">INT(AK13/Assumptions!$G$103)*Assumptions!$G$104</f>
        <v>0</v>
      </c>
      <c r="AL71" s="17" t="n">
        <f aca="false">INT(AL13/Assumptions!$G$103)*Assumptions!$G$104</f>
        <v>0</v>
      </c>
      <c r="AM71" s="17" t="n">
        <f aca="false">INT(AM13/Assumptions!$G$103)*Assumptions!$G$104</f>
        <v>0</v>
      </c>
      <c r="AN71" s="44" t="n">
        <f aca="false">INT(AN13/Assumptions!$G$103)*Assumptions!$G$104</f>
        <v>0</v>
      </c>
      <c r="AO71" s="44" t="n">
        <f aca="false">INT(AO13/Assumptions!$G$103)*Assumptions!$G$104</f>
        <v>0</v>
      </c>
      <c r="AP71" s="44" t="n">
        <f aca="false">INT(AP13/Assumptions!$G$103)*Assumptions!$G$104</f>
        <v>0</v>
      </c>
      <c r="AQ71" s="44" t="n">
        <f aca="false">INT(AQ13/Assumptions!$G$103)*Assumptions!$G$104</f>
        <v>0</v>
      </c>
      <c r="AR71" s="44" t="n">
        <f aca="false">INT(AR13/Assumptions!$G$103)*Assumptions!$G$104</f>
        <v>0</v>
      </c>
      <c r="AS71" s="44" t="n">
        <f aca="false">INT(AS13/Assumptions!$G$103)*Assumptions!$G$104</f>
        <v>0</v>
      </c>
      <c r="AT71" s="44" t="n">
        <f aca="false">INT(AT13/Assumptions!$G$103)*Assumptions!$G$104</f>
        <v>0</v>
      </c>
      <c r="AU71" s="44" t="n">
        <f aca="false">INT(AU13/Assumptions!$G$103)*Assumptions!$G$104</f>
        <v>0</v>
      </c>
      <c r="AV71" s="44" t="n">
        <f aca="false">INT(AV13/Assumptions!$G$103)*Assumptions!$G$104</f>
        <v>0</v>
      </c>
      <c r="AW71" s="44" t="n">
        <f aca="false">INT(AW13/Assumptions!$G$103)*Assumptions!$G$104</f>
        <v>4200</v>
      </c>
      <c r="AX71" s="44" t="n">
        <f aca="false">INT(AX13/Assumptions!$G$103)*Assumptions!$G$104</f>
        <v>4200</v>
      </c>
      <c r="AY71" s="44" t="n">
        <f aca="false">INT(AY13/Assumptions!$G$103)*Assumptions!$G$104</f>
        <v>4200</v>
      </c>
      <c r="AZ71" s="44" t="n">
        <f aca="false">INT(AZ13/Assumptions!$G$103)*Assumptions!$G$104</f>
        <v>4200</v>
      </c>
      <c r="BA71" s="44" t="n">
        <f aca="false">INT(BA13/Assumptions!$G$103)*Assumptions!$G$104</f>
        <v>4200</v>
      </c>
      <c r="BB71" s="44" t="n">
        <f aca="false">INT(BB13/Assumptions!$G$103)*Assumptions!$G$104</f>
        <v>4200</v>
      </c>
      <c r="BC71" s="44" t="n">
        <f aca="false">INT(BC13/Assumptions!$G$103)*Assumptions!$G$104</f>
        <v>4200</v>
      </c>
      <c r="BD71" s="44" t="n">
        <f aca="false">INT(BD13/Assumptions!$G$103)*Assumptions!$G$104</f>
        <v>4200</v>
      </c>
      <c r="BE71" s="44" t="n">
        <f aca="false">INT(BE13/Assumptions!$G$103)*Assumptions!$G$104</f>
        <v>4200</v>
      </c>
      <c r="BF71" s="44" t="n">
        <f aca="false">INT(BF13/Assumptions!$G$103)*Assumptions!$G$104</f>
        <v>4200</v>
      </c>
      <c r="BG71" s="44" t="n">
        <f aca="false">INT(BG13/Assumptions!$G$103)*Assumptions!$G$104</f>
        <v>4200</v>
      </c>
      <c r="BH71" s="44" t="n">
        <f aca="false">INT(BH13/Assumptions!$G$103)*Assumptions!$G$104</f>
        <v>4200</v>
      </c>
      <c r="BI71" s="44" t="n">
        <f aca="false">INT(BI13/Assumptions!$G$103)*Assumptions!$G$104</f>
        <v>4200</v>
      </c>
      <c r="BJ71" s="44" t="n">
        <f aca="false">INT(BJ13/Assumptions!$G$103)*Assumptions!$G$104</f>
        <v>4200</v>
      </c>
      <c r="BK71" s="44" t="n">
        <f aca="false">INT(BK13/Assumptions!$G$103)*Assumptions!$G$104</f>
        <v>4200</v>
      </c>
    </row>
    <row r="72" customFormat="false" ht="15" hidden="false" customHeight="false" outlineLevel="0" collapsed="false">
      <c r="A72" s="28" t="s">
        <v>655</v>
      </c>
      <c r="B72" s="6" t="s">
        <v>342</v>
      </c>
      <c r="C72" s="43"/>
      <c r="D72" s="17" t="n">
        <f aca="false">IF(D7&gt;=Assumptions!$G$106,Assumptions!$G$105,0)</f>
        <v>0</v>
      </c>
      <c r="E72" s="17" t="n">
        <f aca="false">IF(E7&gt;=Assumptions!$G$106,Assumptions!$G$105,0)</f>
        <v>0</v>
      </c>
      <c r="F72" s="17" t="n">
        <f aca="false">IF(F7&gt;=Assumptions!$G$106,Assumptions!$G$105,0)</f>
        <v>0</v>
      </c>
      <c r="G72" s="17" t="n">
        <f aca="false">IF(G7&gt;=Assumptions!$G$106,Assumptions!$G$105,0)</f>
        <v>0</v>
      </c>
      <c r="H72" s="17" t="n">
        <f aca="false">IF(H7&gt;=Assumptions!$G$106,Assumptions!$G$105,0)</f>
        <v>0</v>
      </c>
      <c r="I72" s="17" t="n">
        <f aca="false">IF(I7&gt;=Assumptions!$G$106,Assumptions!$G$105,0)</f>
        <v>0</v>
      </c>
      <c r="J72" s="17" t="n">
        <f aca="false">IF(J7&gt;=Assumptions!$G$106,Assumptions!$G$105,0)</f>
        <v>0</v>
      </c>
      <c r="K72" s="17" t="n">
        <f aca="false">IF(K7&gt;=Assumptions!$G$106,Assumptions!$G$105,0)</f>
        <v>0</v>
      </c>
      <c r="L72" s="17" t="n">
        <f aca="false">IF(L7&gt;=Assumptions!$G$106,Assumptions!$G$105,0)</f>
        <v>0</v>
      </c>
      <c r="M72" s="17" t="n">
        <f aca="false">IF(M7&gt;=Assumptions!$G$106,Assumptions!$G$105,0)</f>
        <v>0</v>
      </c>
      <c r="N72" s="17" t="n">
        <f aca="false">IF(N7&gt;=Assumptions!$G$106,Assumptions!$G$105,0)</f>
        <v>0</v>
      </c>
      <c r="O72" s="17" t="n">
        <f aca="false">IF(O7&gt;=Assumptions!$G$106,Assumptions!$G$105,0)</f>
        <v>0</v>
      </c>
      <c r="P72" s="17" t="n">
        <f aca="false">IF(P7&gt;=Assumptions!$G$106,Assumptions!$G$105,0)</f>
        <v>0</v>
      </c>
      <c r="Q72" s="17" t="n">
        <f aca="false">IF(Q7&gt;=Assumptions!$G$106,Assumptions!$G$105,0)</f>
        <v>0</v>
      </c>
      <c r="R72" s="17" t="n">
        <f aca="false">IF(R7&gt;=Assumptions!$G$106,Assumptions!$G$105,0)</f>
        <v>0</v>
      </c>
      <c r="S72" s="17" t="n">
        <f aca="false">IF(S7&gt;=Assumptions!$G$106,Assumptions!$G$105,0)</f>
        <v>0</v>
      </c>
      <c r="T72" s="17" t="n">
        <f aca="false">IF(T7&gt;=Assumptions!$G$106,Assumptions!$G$105,0)</f>
        <v>0</v>
      </c>
      <c r="U72" s="17" t="n">
        <f aca="false">IF(U7&gt;=Assumptions!$G$106,Assumptions!$G$105,0)</f>
        <v>0</v>
      </c>
      <c r="V72" s="17" t="n">
        <f aca="false">IF(V7&gt;=Assumptions!$G$106,Assumptions!$G$105,0)</f>
        <v>0</v>
      </c>
      <c r="W72" s="17" t="n">
        <f aca="false">IF(W7&gt;=Assumptions!$G$106,Assumptions!$G$105,0)</f>
        <v>0</v>
      </c>
      <c r="X72" s="17" t="n">
        <f aca="false">IF(X7&gt;=Assumptions!$G$106,Assumptions!$G$105,0)</f>
        <v>0</v>
      </c>
      <c r="Y72" s="17" t="n">
        <f aca="false">IF(Y7&gt;=Assumptions!$G$106,Assumptions!$G$105,0)</f>
        <v>0</v>
      </c>
      <c r="Z72" s="17" t="n">
        <f aca="false">IF(Z7&gt;=Assumptions!$G$106,Assumptions!$G$105,0)</f>
        <v>0</v>
      </c>
      <c r="AA72" s="17" t="n">
        <f aca="false">IF(AA7&gt;=Assumptions!$G$106,Assumptions!$G$105,0)</f>
        <v>0</v>
      </c>
      <c r="AB72" s="17" t="n">
        <f aca="false">IF(AB7&gt;=Assumptions!$G$106,Assumptions!$G$105,0)</f>
        <v>0</v>
      </c>
      <c r="AC72" s="17" t="n">
        <f aca="false">IF(AC7&gt;=Assumptions!$G$106,Assumptions!$G$105,0)</f>
        <v>0</v>
      </c>
      <c r="AD72" s="17" t="n">
        <f aca="false">IF(AD7&gt;=Assumptions!$G$106,Assumptions!$G$105,0)</f>
        <v>0</v>
      </c>
      <c r="AE72" s="17" t="n">
        <f aca="false">IF(AE7&gt;=Assumptions!$G$106,Assumptions!$G$105,0)</f>
        <v>0</v>
      </c>
      <c r="AF72" s="17" t="n">
        <f aca="false">IF(AF7&gt;=Assumptions!$G$106,Assumptions!$G$105,0)</f>
        <v>0</v>
      </c>
      <c r="AG72" s="17" t="n">
        <f aca="false">IF(AG7&gt;=Assumptions!$G$106,Assumptions!$G$105,0)</f>
        <v>0</v>
      </c>
      <c r="AH72" s="17" t="n">
        <f aca="false">IF(AH7&gt;=Assumptions!$G$106,Assumptions!$G$105,0)</f>
        <v>0</v>
      </c>
      <c r="AI72" s="17" t="n">
        <f aca="false">IF(AI7&gt;=Assumptions!$G$106,Assumptions!$G$105,0)</f>
        <v>0</v>
      </c>
      <c r="AJ72" s="17" t="n">
        <f aca="false">IF(AJ7&gt;=Assumptions!$G$106,Assumptions!$G$105,0)</f>
        <v>0</v>
      </c>
      <c r="AK72" s="17" t="n">
        <f aca="false">IF(AK7&gt;=Assumptions!$G$106,Assumptions!$G$105,0)</f>
        <v>0</v>
      </c>
      <c r="AL72" s="17" t="n">
        <f aca="false">IF(AL7&gt;=Assumptions!$G$106,Assumptions!$G$105,0)</f>
        <v>0</v>
      </c>
      <c r="AM72" s="17" t="n">
        <f aca="false">IF(AM7&gt;=Assumptions!$G$106,Assumptions!$G$105,0)</f>
        <v>0</v>
      </c>
      <c r="AN72" s="44" t="n">
        <f aca="false">IF(AN7&gt;=Assumptions!$G$106,Assumptions!$G$105,0)</f>
        <v>0</v>
      </c>
      <c r="AO72" s="44" t="n">
        <f aca="false">IF(AO7&gt;=Assumptions!$G$106,Assumptions!$G$105,0)</f>
        <v>0</v>
      </c>
      <c r="AP72" s="44" t="n">
        <f aca="false">IF(AP7&gt;=Assumptions!$G$106,Assumptions!$G$105,0)</f>
        <v>0</v>
      </c>
      <c r="AQ72" s="44" t="n">
        <f aca="false">IF(AQ7&gt;=Assumptions!$G$106,Assumptions!$G$105,0)</f>
        <v>0</v>
      </c>
      <c r="AR72" s="44" t="n">
        <f aca="false">IF(AR7&gt;=Assumptions!$G$106,Assumptions!$G$105,0)</f>
        <v>0</v>
      </c>
      <c r="AS72" s="44" t="n">
        <f aca="false">IF(AS7&gt;=Assumptions!$G$106,Assumptions!$G$105,0)</f>
        <v>0</v>
      </c>
      <c r="AT72" s="44" t="n">
        <f aca="false">IF(AT7&gt;=Assumptions!$G$106,Assumptions!$G$105,0)</f>
        <v>0</v>
      </c>
      <c r="AU72" s="44" t="n">
        <f aca="false">IF(AU7&gt;=Assumptions!$G$106,Assumptions!$G$105,0)</f>
        <v>0</v>
      </c>
      <c r="AV72" s="44" t="n">
        <f aca="false">IF(AV7&gt;=Assumptions!$G$106,Assumptions!$G$105,0)</f>
        <v>0</v>
      </c>
      <c r="AW72" s="44" t="n">
        <f aca="false">IF(AW7&gt;=Assumptions!$G$106,Assumptions!$G$105,0)</f>
        <v>0</v>
      </c>
      <c r="AX72" s="44" t="n">
        <f aca="false">IF(AX7&gt;=Assumptions!$G$106,Assumptions!$G$105,0)</f>
        <v>0</v>
      </c>
      <c r="AY72" s="44" t="n">
        <f aca="false">IF(AY7&gt;=Assumptions!$G$106,Assumptions!$G$105,0)</f>
        <v>0</v>
      </c>
      <c r="AZ72" s="44" t="n">
        <f aca="false">IF(AZ7&gt;=Assumptions!$G$106,Assumptions!$G$105,0)</f>
        <v>0</v>
      </c>
      <c r="BA72" s="44" t="n">
        <f aca="false">IF(BA7&gt;=Assumptions!$G$106,Assumptions!$G$105,0)</f>
        <v>0</v>
      </c>
      <c r="BB72" s="44" t="n">
        <f aca="false">IF(BB7&gt;=Assumptions!$G$106,Assumptions!$G$105,0)</f>
        <v>0</v>
      </c>
      <c r="BC72" s="44" t="n">
        <f aca="false">IF(BC7&gt;=Assumptions!$G$106,Assumptions!$G$105,0)</f>
        <v>0</v>
      </c>
      <c r="BD72" s="44" t="n">
        <f aca="false">IF(BD7&gt;=Assumptions!$G$106,Assumptions!$G$105,0)</f>
        <v>0</v>
      </c>
      <c r="BE72" s="44" t="n">
        <f aca="false">IF(BE7&gt;=Assumptions!$G$106,Assumptions!$G$105,0)</f>
        <v>0</v>
      </c>
      <c r="BF72" s="44" t="n">
        <f aca="false">IF(BF7&gt;=Assumptions!$G$106,Assumptions!$G$105,0)</f>
        <v>0</v>
      </c>
      <c r="BG72" s="44" t="n">
        <f aca="false">IF(BG7&gt;=Assumptions!$G$106,Assumptions!$G$105,0)</f>
        <v>0</v>
      </c>
      <c r="BH72" s="44" t="n">
        <f aca="false">IF(BH7&gt;=Assumptions!$G$106,Assumptions!$G$105,0)</f>
        <v>0</v>
      </c>
      <c r="BI72" s="44" t="n">
        <f aca="false">IF(BI7&gt;=Assumptions!$G$106,Assumptions!$G$105,0)</f>
        <v>0</v>
      </c>
      <c r="BJ72" s="44" t="n">
        <f aca="false">IF(BJ7&gt;=Assumptions!$G$106,Assumptions!$G$105,0)</f>
        <v>0</v>
      </c>
      <c r="BK72" s="44" t="n">
        <f aca="false">IF(BK7&gt;=Assumptions!$G$106,Assumptions!$G$105,0)</f>
        <v>0</v>
      </c>
    </row>
    <row r="73" customFormat="false" ht="15" hidden="false" customHeight="false" outlineLevel="0" collapsed="false">
      <c r="A73" s="28" t="s">
        <v>656</v>
      </c>
      <c r="B73" s="6" t="s">
        <v>657</v>
      </c>
      <c r="C73" s="43"/>
      <c r="D73" s="22" t="n">
        <f aca="false">Assumptions!C$144</f>
        <v>3500</v>
      </c>
      <c r="E73" s="22" t="n">
        <f aca="false">Assumptions!D$144</f>
        <v>1500</v>
      </c>
      <c r="F73" s="22" t="n">
        <f aca="false">Assumptions!E$144</f>
        <v>3000</v>
      </c>
      <c r="G73" s="22" t="n">
        <f aca="false">Assumptions!F$144</f>
        <v>0</v>
      </c>
      <c r="H73" s="22" t="n">
        <f aca="false">Assumptions!G$144</f>
        <v>0</v>
      </c>
      <c r="I73" s="22" t="n">
        <f aca="false">Assumptions!H$144</f>
        <v>0</v>
      </c>
      <c r="J73" s="22" t="n">
        <f aca="false">Assumptions!I$144</f>
        <v>0</v>
      </c>
      <c r="K73" s="22" t="n">
        <f aca="false">Assumptions!J$144</f>
        <v>0</v>
      </c>
      <c r="L73" s="22" t="n">
        <f aca="false">Assumptions!K$144</f>
        <v>0</v>
      </c>
      <c r="M73" s="22" t="n">
        <f aca="false">Assumptions!L$144</f>
        <v>0</v>
      </c>
      <c r="N73" s="22" t="n">
        <f aca="false">Assumptions!M$144</f>
        <v>0</v>
      </c>
      <c r="O73" s="22" t="n">
        <f aca="false">Assumptions!N$144</f>
        <v>0</v>
      </c>
      <c r="P73" s="22" t="n">
        <f aca="false">Assumptions!O$144</f>
        <v>0</v>
      </c>
      <c r="Q73" s="22" t="n">
        <f aca="false">Assumptions!P$144</f>
        <v>0</v>
      </c>
      <c r="R73" s="22" t="n">
        <f aca="false">Assumptions!Q$144</f>
        <v>0</v>
      </c>
      <c r="S73" s="22" t="n">
        <f aca="false">Assumptions!R$144</f>
        <v>0</v>
      </c>
      <c r="T73" s="22" t="n">
        <f aca="false">Assumptions!S$144</f>
        <v>0</v>
      </c>
      <c r="U73" s="22" t="n">
        <f aca="false">Assumptions!T$144</f>
        <v>0</v>
      </c>
      <c r="V73" s="22" t="n">
        <f aca="false">Assumptions!U$144</f>
        <v>0</v>
      </c>
      <c r="W73" s="22" t="n">
        <f aca="false">Assumptions!V$144</f>
        <v>0</v>
      </c>
      <c r="X73" s="22" t="n">
        <f aca="false">Assumptions!W$144</f>
        <v>0</v>
      </c>
      <c r="Y73" s="22" t="n">
        <f aca="false">Assumptions!X$144</f>
        <v>0</v>
      </c>
      <c r="Z73" s="22" t="n">
        <f aca="false">Assumptions!Y$144</f>
        <v>0</v>
      </c>
      <c r="AA73" s="22" t="n">
        <f aca="false">Assumptions!Z$144</f>
        <v>0</v>
      </c>
      <c r="AB73" s="22" t="n">
        <f aca="false">Assumptions!AA$144</f>
        <v>0</v>
      </c>
      <c r="AC73" s="22" t="n">
        <f aca="false">Assumptions!AB$144</f>
        <v>0</v>
      </c>
      <c r="AD73" s="22" t="n">
        <f aca="false">Assumptions!AC$144</f>
        <v>0</v>
      </c>
      <c r="AE73" s="22" t="n">
        <f aca="false">Assumptions!AD$144</f>
        <v>0</v>
      </c>
      <c r="AF73" s="22" t="n">
        <f aca="false">Assumptions!AE$144</f>
        <v>0</v>
      </c>
      <c r="AG73" s="22" t="n">
        <f aca="false">Assumptions!AF$144</f>
        <v>0</v>
      </c>
      <c r="AH73" s="22" t="n">
        <f aca="false">Assumptions!AG$144</f>
        <v>0</v>
      </c>
      <c r="AI73" s="22" t="n">
        <f aca="false">Assumptions!AH$144</f>
        <v>0</v>
      </c>
      <c r="AJ73" s="22" t="n">
        <f aca="false">Assumptions!AI$144</f>
        <v>0</v>
      </c>
      <c r="AK73" s="22" t="n">
        <f aca="false">Assumptions!AJ$144</f>
        <v>0</v>
      </c>
      <c r="AL73" s="22" t="n">
        <f aca="false">Assumptions!AK$144</f>
        <v>0</v>
      </c>
      <c r="AM73" s="22" t="n">
        <f aca="false">Assumptions!AL$144</f>
        <v>0</v>
      </c>
      <c r="AN73" s="49" t="n">
        <f aca="false">Assumptions!AM$144</f>
        <v>0</v>
      </c>
      <c r="AO73" s="49" t="n">
        <f aca="false">Assumptions!AN$144</f>
        <v>0</v>
      </c>
      <c r="AP73" s="49" t="n">
        <f aca="false">Assumptions!AO$144</f>
        <v>0</v>
      </c>
      <c r="AQ73" s="49" t="n">
        <f aca="false">Assumptions!AP$144</f>
        <v>0</v>
      </c>
      <c r="AR73" s="49" t="n">
        <f aca="false">Assumptions!AQ$144</f>
        <v>0</v>
      </c>
      <c r="AS73" s="49" t="n">
        <f aca="false">Assumptions!AR$144</f>
        <v>0</v>
      </c>
      <c r="AT73" s="49" t="n">
        <f aca="false">Assumptions!AS$144</f>
        <v>0</v>
      </c>
      <c r="AU73" s="49" t="n">
        <f aca="false">Assumptions!AT$144</f>
        <v>0</v>
      </c>
      <c r="AV73" s="49" t="n">
        <f aca="false">Assumptions!AU$144</f>
        <v>0</v>
      </c>
      <c r="AW73" s="49" t="n">
        <f aca="false">Assumptions!AV$144</f>
        <v>0</v>
      </c>
      <c r="AX73" s="49" t="n">
        <f aca="false">Assumptions!AW$144</f>
        <v>0</v>
      </c>
      <c r="AY73" s="49" t="n">
        <f aca="false">Assumptions!AX$144</f>
        <v>0</v>
      </c>
      <c r="AZ73" s="49" t="n">
        <f aca="false">Assumptions!AY$144</f>
        <v>0</v>
      </c>
      <c r="BA73" s="49" t="n">
        <f aca="false">Assumptions!AZ$144</f>
        <v>0</v>
      </c>
      <c r="BB73" s="49" t="n">
        <f aca="false">Assumptions!BA$144</f>
        <v>0</v>
      </c>
      <c r="BC73" s="49" t="n">
        <f aca="false">Assumptions!BB$144</f>
        <v>0</v>
      </c>
      <c r="BD73" s="49" t="n">
        <f aca="false">Assumptions!BC$144</f>
        <v>0</v>
      </c>
      <c r="BE73" s="49" t="n">
        <f aca="false">Assumptions!BD$144</f>
        <v>0</v>
      </c>
      <c r="BF73" s="49" t="n">
        <f aca="false">Assumptions!BE$144</f>
        <v>0</v>
      </c>
      <c r="BG73" s="49" t="n">
        <f aca="false">Assumptions!BF$144</f>
        <v>0</v>
      </c>
      <c r="BH73" s="49" t="n">
        <f aca="false">Assumptions!BG$144</f>
        <v>0</v>
      </c>
      <c r="BI73" s="49" t="n">
        <f aca="false">Assumptions!BH$144</f>
        <v>0</v>
      </c>
      <c r="BJ73" s="49" t="n">
        <f aca="false">Assumptions!BI$144</f>
        <v>0</v>
      </c>
      <c r="BK73" s="49" t="n">
        <f aca="false">Assumptions!BJ$144</f>
        <v>0</v>
      </c>
    </row>
    <row r="74" customFormat="false" ht="15" hidden="false" customHeight="false" outlineLevel="0" collapsed="false">
      <c r="A74" s="28" t="s">
        <v>658</v>
      </c>
      <c r="B74" s="5" t="s">
        <v>659</v>
      </c>
      <c r="C74" s="43"/>
      <c r="D74" s="45" t="n">
        <f aca="false">D69+D70+D71+D72+D73</f>
        <v>8965</v>
      </c>
      <c r="E74" s="45" t="n">
        <f aca="false">E69+E70+E71+E72+E73</f>
        <v>6965</v>
      </c>
      <c r="F74" s="45" t="n">
        <f aca="false">F69+F70+F71+F72+F73</f>
        <v>8465</v>
      </c>
      <c r="G74" s="45" t="n">
        <f aca="false">G69+G70+G71+G72+G73</f>
        <v>5465</v>
      </c>
      <c r="H74" s="45" t="n">
        <f aca="false">H69+H70+H71+H72+H73</f>
        <v>5465</v>
      </c>
      <c r="I74" s="45" t="n">
        <f aca="false">I69+I70+I71+I72+I73</f>
        <v>5465</v>
      </c>
      <c r="J74" s="45" t="n">
        <f aca="false">J69+J70+J71+J72+J73</f>
        <v>5465</v>
      </c>
      <c r="K74" s="45" t="n">
        <f aca="false">K69+K70+K71+K72+K73</f>
        <v>5465</v>
      </c>
      <c r="L74" s="45" t="n">
        <f aca="false">L69+L70+L71+L72+L73</f>
        <v>5465</v>
      </c>
      <c r="M74" s="45" t="n">
        <f aca="false">M69+M70+M71+M72+M73</f>
        <v>5465</v>
      </c>
      <c r="N74" s="45" t="n">
        <f aca="false">N69+N70+N71+N72+N73</f>
        <v>5465</v>
      </c>
      <c r="O74" s="45" t="n">
        <f aca="false">O69+O70+O71+O72+O73</f>
        <v>5465</v>
      </c>
      <c r="P74" s="45" t="n">
        <f aca="false">P69+P70+P71+P72+P73</f>
        <v>6465</v>
      </c>
      <c r="Q74" s="45" t="n">
        <f aca="false">Q69+Q70+Q71+Q72+Q73</f>
        <v>6465</v>
      </c>
      <c r="R74" s="45" t="n">
        <f aca="false">R69+R70+R71+R72+R73</f>
        <v>6465</v>
      </c>
      <c r="S74" s="45" t="n">
        <f aca="false">S69+S70+S71+S72+S73</f>
        <v>6465</v>
      </c>
      <c r="T74" s="45" t="n">
        <f aca="false">T69+T70+T71+T72+T73</f>
        <v>6465</v>
      </c>
      <c r="U74" s="45" t="n">
        <f aca="false">U69+U70+U71+U72+U73</f>
        <v>6465</v>
      </c>
      <c r="V74" s="45" t="n">
        <f aca="false">V69+V70+V71+V72+V73</f>
        <v>6465</v>
      </c>
      <c r="W74" s="45" t="n">
        <f aca="false">W69+W70+W71+W72+W73</f>
        <v>6465</v>
      </c>
      <c r="X74" s="45" t="n">
        <f aca="false">X69+X70+X71+X72+X73</f>
        <v>6465</v>
      </c>
      <c r="Y74" s="45" t="n">
        <f aca="false">Y69+Y70+Y71+Y72+Y73</f>
        <v>6465</v>
      </c>
      <c r="Z74" s="45" t="n">
        <f aca="false">Z69+Z70+Z71+Z72+Z73</f>
        <v>6465</v>
      </c>
      <c r="AA74" s="45" t="n">
        <f aca="false">AA69+AA70+AA71+AA72+AA73</f>
        <v>6465</v>
      </c>
      <c r="AB74" s="45" t="n">
        <f aca="false">AB69+AB70+AB71+AB72+AB73</f>
        <v>7465</v>
      </c>
      <c r="AC74" s="45" t="n">
        <f aca="false">AC69+AC70+AC71+AC72+AC73</f>
        <v>7465</v>
      </c>
      <c r="AD74" s="45" t="n">
        <f aca="false">AD69+AD70+AD71+AD72+AD73</f>
        <v>7465</v>
      </c>
      <c r="AE74" s="45" t="n">
        <f aca="false">AE69+AE70+AE71+AE72+AE73</f>
        <v>7465</v>
      </c>
      <c r="AF74" s="45" t="n">
        <f aca="false">AF69+AF70+AF71+AF72+AF73</f>
        <v>7465</v>
      </c>
      <c r="AG74" s="45" t="n">
        <f aca="false">AG69+AG70+AG71+AG72+AG73</f>
        <v>7465</v>
      </c>
      <c r="AH74" s="45" t="n">
        <f aca="false">AH69+AH70+AH71+AH72+AH73</f>
        <v>7465</v>
      </c>
      <c r="AI74" s="45" t="n">
        <f aca="false">AI69+AI70+AI71+AI72+AI73</f>
        <v>7465</v>
      </c>
      <c r="AJ74" s="45" t="n">
        <f aca="false">AJ69+AJ70+AJ71+AJ72+AJ73</f>
        <v>7465</v>
      </c>
      <c r="AK74" s="45" t="n">
        <f aca="false">AK69+AK70+AK71+AK72+AK73</f>
        <v>7465</v>
      </c>
      <c r="AL74" s="45" t="n">
        <f aca="false">AL69+AL70+AL71+AL72+AL73</f>
        <v>7465</v>
      </c>
      <c r="AM74" s="45" t="n">
        <f aca="false">AM69+AM70+AM71+AM72+AM73</f>
        <v>7465</v>
      </c>
      <c r="AN74" s="46" t="n">
        <f aca="false">AN69+AN70+AN71+AN72+AN73</f>
        <v>7465</v>
      </c>
      <c r="AO74" s="46" t="n">
        <f aca="false">AO69+AO70+AO71+AO72+AO73</f>
        <v>7465</v>
      </c>
      <c r="AP74" s="46" t="n">
        <f aca="false">AP69+AP70+AP71+AP72+AP73</f>
        <v>7465</v>
      </c>
      <c r="AQ74" s="46" t="n">
        <f aca="false">AQ69+AQ70+AQ71+AQ72+AQ73</f>
        <v>7465</v>
      </c>
      <c r="AR74" s="46" t="n">
        <f aca="false">AR69+AR70+AR71+AR72+AR73</f>
        <v>7465</v>
      </c>
      <c r="AS74" s="46" t="n">
        <f aca="false">AS69+AS70+AS71+AS72+AS73</f>
        <v>7465</v>
      </c>
      <c r="AT74" s="46" t="n">
        <f aca="false">AT69+AT70+AT71+AT72+AT73</f>
        <v>7465</v>
      </c>
      <c r="AU74" s="46" t="n">
        <f aca="false">AU69+AU70+AU71+AU72+AU73</f>
        <v>7465</v>
      </c>
      <c r="AV74" s="46" t="n">
        <f aca="false">AV69+AV70+AV71+AV72+AV73</f>
        <v>7465</v>
      </c>
      <c r="AW74" s="46" t="n">
        <f aca="false">AW69+AW70+AW71+AW72+AW73</f>
        <v>11665</v>
      </c>
      <c r="AX74" s="46" t="n">
        <f aca="false">AX69+AX70+AX71+AX72+AX73</f>
        <v>11665</v>
      </c>
      <c r="AY74" s="46" t="n">
        <f aca="false">AY69+AY70+AY71+AY72+AY73</f>
        <v>11665</v>
      </c>
      <c r="AZ74" s="46" t="n">
        <f aca="false">AZ69+AZ70+AZ71+AZ72+AZ73</f>
        <v>11665</v>
      </c>
      <c r="BA74" s="46" t="n">
        <f aca="false">BA69+BA70+BA71+BA72+BA73</f>
        <v>11665</v>
      </c>
      <c r="BB74" s="46" t="n">
        <f aca="false">BB69+BB70+BB71+BB72+BB73</f>
        <v>11665</v>
      </c>
      <c r="BC74" s="46" t="n">
        <f aca="false">BC69+BC70+BC71+BC72+BC73</f>
        <v>11665</v>
      </c>
      <c r="BD74" s="46" t="n">
        <f aca="false">BD69+BD70+BD71+BD72+BD73</f>
        <v>11665</v>
      </c>
      <c r="BE74" s="46" t="n">
        <f aca="false">BE69+BE70+BE71+BE72+BE73</f>
        <v>11665</v>
      </c>
      <c r="BF74" s="46" t="n">
        <f aca="false">BF69+BF70+BF71+BF72+BF73</f>
        <v>11665</v>
      </c>
      <c r="BG74" s="46" t="n">
        <f aca="false">BG69+BG70+BG71+BG72+BG73</f>
        <v>11665</v>
      </c>
      <c r="BH74" s="46" t="n">
        <f aca="false">BH69+BH70+BH71+BH72+BH73</f>
        <v>11665</v>
      </c>
      <c r="BI74" s="46" t="n">
        <f aca="false">BI69+BI70+BI71+BI72+BI73</f>
        <v>11665</v>
      </c>
      <c r="BJ74" s="46" t="n">
        <f aca="false">BJ69+BJ70+BJ71+BJ72+BJ73</f>
        <v>11665</v>
      </c>
      <c r="BK74" s="46" t="n">
        <f aca="false">BK69+BK70+BK71+BK72+BK73</f>
        <v>11665</v>
      </c>
    </row>
    <row r="75" customFormat="false" ht="15" hidden="false" customHeight="false" outlineLevel="0" collapsed="false">
      <c r="B75" s="5" t="s">
        <v>660</v>
      </c>
    </row>
    <row r="76" customFormat="false" ht="15" hidden="false" customHeight="false" outlineLevel="0" collapsed="false">
      <c r="A76" s="28" t="s">
        <v>661</v>
      </c>
      <c r="B76" s="5" t="s">
        <v>662</v>
      </c>
      <c r="C76" s="43"/>
      <c r="D76" s="45" t="n">
        <f aca="false">D59-D67-D74</f>
        <v>-8965</v>
      </c>
      <c r="E76" s="45" t="n">
        <f aca="false">E59-E67-E74</f>
        <v>-6965</v>
      </c>
      <c r="F76" s="45" t="n">
        <f aca="false">F59-F67-F74</f>
        <v>-8465</v>
      </c>
      <c r="G76" s="45" t="n">
        <f aca="false">G59-G67-G74</f>
        <v>-5465</v>
      </c>
      <c r="H76" s="45" t="n">
        <f aca="false">H59-H67-H74</f>
        <v>-6889.28537916667</v>
      </c>
      <c r="I76" s="45" t="n">
        <f aca="false">I59-I67-I74</f>
        <v>-6111.25592366667</v>
      </c>
      <c r="J76" s="45" t="n">
        <f aca="false">J59-J67-J74</f>
        <v>-5960.43506608125</v>
      </c>
      <c r="K76" s="45" t="n">
        <f aca="false">K59-K67-K74</f>
        <v>-7268.39860538908</v>
      </c>
      <c r="L76" s="45" t="n">
        <f aca="false">L59-L67-L74</f>
        <v>-7814.02381264648</v>
      </c>
      <c r="M76" s="45" t="n">
        <f aca="false">M59-M67-M74</f>
        <v>-6858.19236867068</v>
      </c>
      <c r="N76" s="45" t="n">
        <f aca="false">N59-N67-N74</f>
        <v>-7907.43444086491</v>
      </c>
      <c r="O76" s="45" t="n">
        <f aca="false">O59-O67-O74</f>
        <v>-8350.91923668754</v>
      </c>
      <c r="P76" s="45" t="n">
        <f aca="false">P59-P67-P74</f>
        <v>-9717.68769409799</v>
      </c>
      <c r="Q76" s="45" t="n">
        <f aca="false">Q59-Q67-Q74</f>
        <v>-9567.07022085087</v>
      </c>
      <c r="R76" s="45" t="n">
        <f aca="false">R59-R67-R74</f>
        <v>-9532.94695101202</v>
      </c>
      <c r="S76" s="45" t="n">
        <f aca="false">S59-S67-S74</f>
        <v>-9773.94240561967</v>
      </c>
      <c r="T76" s="45" t="n">
        <f aca="false">T59-T67-T74</f>
        <v>-9763.80819330757</v>
      </c>
      <c r="U76" s="45" t="n">
        <f aca="false">U59-U67-U74</f>
        <v>-9371.30762720874</v>
      </c>
      <c r="V76" s="45" t="n">
        <f aca="false">V59-V67-V74</f>
        <v>-8963.67420358054</v>
      </c>
      <c r="W76" s="45" t="n">
        <f aca="false">W59-W67-W74</f>
        <v>-9977.03440415437</v>
      </c>
      <c r="X76" s="45" t="n">
        <f aca="false">X59-X67-X74</f>
        <v>-8754.53627510525</v>
      </c>
      <c r="Y76" s="45" t="n">
        <f aca="false">Y59-Y67-Y74</f>
        <v>-8136.98213954231</v>
      </c>
      <c r="Z76" s="45" t="n">
        <f aca="false">Z59-Z67-Z74</f>
        <v>-8973.34484870695</v>
      </c>
      <c r="AA76" s="45" t="n">
        <f aca="false">AA59-AA67-AA74</f>
        <v>-7631.00658353766</v>
      </c>
      <c r="AB76" s="45" t="n">
        <f aca="false">AB59-AB67-AB74</f>
        <v>-7927.07443399994</v>
      </c>
      <c r="AC76" s="45" t="n">
        <f aca="false">AC59-AC67-AC74</f>
        <v>-8408.45808875345</v>
      </c>
      <c r="AD76" s="45" t="n">
        <f aca="false">AD59-AD67-AD74</f>
        <v>-8408.57758163431</v>
      </c>
      <c r="AE76" s="45" t="n">
        <f aca="false">AE59-AE67-AE74</f>
        <v>-6493.1439148126</v>
      </c>
      <c r="AF76" s="45" t="n">
        <f aca="false">AF59-AF67-AF74</f>
        <v>-6359.17559973366</v>
      </c>
      <c r="AG76" s="45" t="n">
        <f aca="false">AG59-AG67-AG74</f>
        <v>-5723.27370576979</v>
      </c>
      <c r="AH76" s="45" t="n">
        <f aca="false">AH59-AH67-AH74</f>
        <v>-3487.80875406638</v>
      </c>
      <c r="AI76" s="45" t="n">
        <f aca="false">AI59-AI67-AI74</f>
        <v>-3080.30692613411</v>
      </c>
      <c r="AJ76" s="45" t="n">
        <f aca="false">AJ59-AJ67-AJ74</f>
        <v>-1916.51416756736</v>
      </c>
      <c r="AK76" s="45" t="n">
        <f aca="false">AK59-AK67-AK74</f>
        <v>-1380.36936929141</v>
      </c>
      <c r="AL76" s="45" t="n">
        <f aca="false">AL59-AL67-AL74</f>
        <v>-496.021103326709</v>
      </c>
      <c r="AM76" s="45" t="n">
        <f aca="false">AM59-AM67-AM74</f>
        <v>430.293985142287</v>
      </c>
      <c r="AN76" s="46" t="n">
        <f aca="false">AN59-AN67-AN74</f>
        <v>1167.3185599521</v>
      </c>
      <c r="AO76" s="46" t="n">
        <f aca="false">AO59-AO67-AO74</f>
        <v>2230.66824126626</v>
      </c>
      <c r="AP76" s="46" t="n">
        <f aca="false">AP59-AP67-AP74</f>
        <v>3317.8966882951</v>
      </c>
      <c r="AQ76" s="46" t="n">
        <f aca="false">AQ59-AQ67-AQ74</f>
        <v>4425.74396816103</v>
      </c>
      <c r="AR76" s="46" t="n">
        <f aca="false">AR59-AR67-AR74</f>
        <v>5551.60432734722</v>
      </c>
      <c r="AS76" s="46" t="n">
        <f aca="false">AS59-AS67-AS74</f>
        <v>6693.3371340699</v>
      </c>
      <c r="AT76" s="46" t="n">
        <f aca="false">AT59-AT67-AT74</f>
        <v>7876.2324773722</v>
      </c>
      <c r="AU76" s="46" t="n">
        <f aca="false">AU59-AU67-AU74</f>
        <v>9045.24502963144</v>
      </c>
      <c r="AV76" s="46" t="n">
        <f aca="false">AV59-AV67-AV74</f>
        <v>10224.6107648954</v>
      </c>
      <c r="AW76" s="46" t="n">
        <f aca="false">AW59-AW67-AW74</f>
        <v>7240.39617784764</v>
      </c>
      <c r="AX76" s="46" t="n">
        <f aca="false">AX59-AX67-AX74</f>
        <v>8438.15655150079</v>
      </c>
      <c r="AY76" s="46" t="n">
        <f aca="false">AY59-AY67-AY74</f>
        <v>9572.758608491</v>
      </c>
      <c r="AZ76" s="46" t="n">
        <f aca="false">AZ59-AZ67-AZ74</f>
        <v>10810.3561240662</v>
      </c>
      <c r="BA76" s="46" t="n">
        <f aca="false">BA59-BA67-BA74</f>
        <v>12054.0773722999</v>
      </c>
      <c r="BB76" s="46" t="n">
        <f aca="false">BB59-BB67-BB74</f>
        <v>13275.0684392112</v>
      </c>
      <c r="BC76" s="46" t="n">
        <f aca="false">BC59-BC67-BC74</f>
        <v>14526.3269464936</v>
      </c>
      <c r="BD76" s="46" t="n">
        <f aca="false">BD59-BD67-BD74</f>
        <v>15780.8644204679</v>
      </c>
      <c r="BE76" s="46" t="n">
        <f aca="false">BE59-BE67-BE74</f>
        <v>17010.1429814246</v>
      </c>
      <c r="BF76" s="46" t="n">
        <f aca="false">BF59-BF67-BF74</f>
        <v>18267.4241175338</v>
      </c>
      <c r="BG76" s="46" t="n">
        <f aca="false">BG59-BG67-BG74</f>
        <v>19525.9445493976</v>
      </c>
      <c r="BH76" s="46" t="n">
        <f aca="false">BH59-BH67-BH74</f>
        <v>20784.8066297178</v>
      </c>
      <c r="BI76" s="46" t="n">
        <f aca="false">BI59-BI67-BI74</f>
        <v>22043.2412649674</v>
      </c>
      <c r="BJ76" s="46" t="n">
        <f aca="false">BJ59-BJ67-BJ74</f>
        <v>23300.5795662919</v>
      </c>
      <c r="BK76" s="46" t="n">
        <f aca="false">BK59-BK67-BK74</f>
        <v>24483.9159853637</v>
      </c>
    </row>
    <row r="77" customFormat="false" ht="15" hidden="false" customHeight="false" outlineLevel="0" collapsed="false">
      <c r="A77" s="28" t="s">
        <v>663</v>
      </c>
      <c r="B77" s="5" t="s">
        <v>664</v>
      </c>
      <c r="C77" s="50" t="n">
        <f aca="false">Assumptions!$G$9</f>
        <v>0</v>
      </c>
      <c r="D77" s="45" t="n">
        <f aca="false">C77+D76</f>
        <v>-8965</v>
      </c>
      <c r="E77" s="45" t="n">
        <f aca="false">D77+E76</f>
        <v>-15930</v>
      </c>
      <c r="F77" s="45" t="n">
        <f aca="false">E77+F76</f>
        <v>-24395</v>
      </c>
      <c r="G77" s="45" t="n">
        <f aca="false">F77+G76</f>
        <v>-29860</v>
      </c>
      <c r="H77" s="45" t="n">
        <f aca="false">G77+H76</f>
        <v>-36749.2853791667</v>
      </c>
      <c r="I77" s="45" t="n">
        <f aca="false">H77+I76</f>
        <v>-42860.5413028333</v>
      </c>
      <c r="J77" s="45" t="n">
        <f aca="false">I77+J76</f>
        <v>-48820.9763689146</v>
      </c>
      <c r="K77" s="45" t="n">
        <f aca="false">J77+K76</f>
        <v>-56089.3749743037</v>
      </c>
      <c r="L77" s="45" t="n">
        <f aca="false">K77+L76</f>
        <v>-63903.3987869501</v>
      </c>
      <c r="M77" s="45" t="n">
        <f aca="false">L77+M76</f>
        <v>-70761.5911556208</v>
      </c>
      <c r="N77" s="45" t="n">
        <f aca="false">M77+N76</f>
        <v>-78669.0255964857</v>
      </c>
      <c r="O77" s="45" t="n">
        <f aca="false">N77+O76</f>
        <v>-87019.9448331733</v>
      </c>
      <c r="P77" s="45" t="n">
        <f aca="false">O77+P76</f>
        <v>-96737.6325272713</v>
      </c>
      <c r="Q77" s="45" t="n">
        <f aca="false">P77+Q76</f>
        <v>-106304.702748122</v>
      </c>
      <c r="R77" s="45" t="n">
        <f aca="false">Q77+R76</f>
        <v>-115837.649699134</v>
      </c>
      <c r="S77" s="45" t="n">
        <f aca="false">R77+S76</f>
        <v>-125611.592104754</v>
      </c>
      <c r="T77" s="45" t="n">
        <f aca="false">S77+T76</f>
        <v>-135375.400298061</v>
      </c>
      <c r="U77" s="45" t="n">
        <f aca="false">T77+U76</f>
        <v>-144746.70792527</v>
      </c>
      <c r="V77" s="45" t="n">
        <f aca="false">U77+V76</f>
        <v>-153710.382128851</v>
      </c>
      <c r="W77" s="45" t="n">
        <f aca="false">V77+W76</f>
        <v>-163687.416533005</v>
      </c>
      <c r="X77" s="45" t="n">
        <f aca="false">W77+X76</f>
        <v>-172441.95280811</v>
      </c>
      <c r="Y77" s="45" t="n">
        <f aca="false">X77+Y76</f>
        <v>-180578.934947653</v>
      </c>
      <c r="Z77" s="45" t="n">
        <f aca="false">Y77+Z76</f>
        <v>-189552.27979636</v>
      </c>
      <c r="AA77" s="45" t="n">
        <f aca="false">Z77+AA76</f>
        <v>-197183.286379897</v>
      </c>
      <c r="AB77" s="45" t="n">
        <f aca="false">AA77+AB76</f>
        <v>-205110.360813897</v>
      </c>
      <c r="AC77" s="45" t="n">
        <f aca="false">AB77+AC76</f>
        <v>-213518.818902651</v>
      </c>
      <c r="AD77" s="45" t="n">
        <f aca="false">AC77+AD76</f>
        <v>-221927.396484285</v>
      </c>
      <c r="AE77" s="45" t="n">
        <f aca="false">AD77+AE76</f>
        <v>-228420.540399098</v>
      </c>
      <c r="AF77" s="45" t="n">
        <f aca="false">AE77+AF76</f>
        <v>-234779.715998831</v>
      </c>
      <c r="AG77" s="45" t="n">
        <f aca="false">AF77+AG76</f>
        <v>-240502.989704601</v>
      </c>
      <c r="AH77" s="45" t="n">
        <f aca="false">AG77+AH76</f>
        <v>-243990.798458667</v>
      </c>
      <c r="AI77" s="45" t="n">
        <f aca="false">AH77+AI76</f>
        <v>-247071.105384801</v>
      </c>
      <c r="AJ77" s="45" t="n">
        <f aca="false">AI77+AJ76</f>
        <v>-248987.619552369</v>
      </c>
      <c r="AK77" s="45" t="n">
        <f aca="false">AJ77+AK76</f>
        <v>-250367.98892166</v>
      </c>
      <c r="AL77" s="45" t="n">
        <f aca="false">AK77+AL76</f>
        <v>-250864.010024987</v>
      </c>
      <c r="AM77" s="45" t="n">
        <f aca="false">AL77+AM76</f>
        <v>-250433.716039845</v>
      </c>
      <c r="AN77" s="46" t="n">
        <f aca="false">AM77+AN76</f>
        <v>-249266.397479893</v>
      </c>
      <c r="AO77" s="46" t="n">
        <f aca="false">AN77+AO76</f>
        <v>-247035.729238626</v>
      </c>
      <c r="AP77" s="46" t="n">
        <f aca="false">AO77+AP76</f>
        <v>-243717.832550331</v>
      </c>
      <c r="AQ77" s="46" t="n">
        <f aca="false">AP77+AQ76</f>
        <v>-239292.08858217</v>
      </c>
      <c r="AR77" s="46" t="n">
        <f aca="false">AQ77+AR76</f>
        <v>-233740.484254823</v>
      </c>
      <c r="AS77" s="46" t="n">
        <f aca="false">AR77+AS76</f>
        <v>-227047.147120753</v>
      </c>
      <c r="AT77" s="46" t="n">
        <f aca="false">AS77+AT76</f>
        <v>-219170.914643381</v>
      </c>
      <c r="AU77" s="46" t="n">
        <f aca="false">AT77+AU76</f>
        <v>-210125.669613749</v>
      </c>
      <c r="AV77" s="46" t="n">
        <f aca="false">AU77+AV76</f>
        <v>-199901.058848854</v>
      </c>
      <c r="AW77" s="46" t="n">
        <f aca="false">AV77+AW76</f>
        <v>-192660.662671006</v>
      </c>
      <c r="AX77" s="46" t="n">
        <f aca="false">AW77+AX76</f>
        <v>-184222.506119506</v>
      </c>
      <c r="AY77" s="46" t="n">
        <f aca="false">AX77+AY76</f>
        <v>-174649.747511015</v>
      </c>
      <c r="AZ77" s="46" t="n">
        <f aca="false">AY77+AZ76</f>
        <v>-163839.391386948</v>
      </c>
      <c r="BA77" s="46" t="n">
        <f aca="false">AZ77+BA76</f>
        <v>-151785.314014648</v>
      </c>
      <c r="BB77" s="46" t="n">
        <f aca="false">BA77+BB76</f>
        <v>-138510.245575437</v>
      </c>
      <c r="BC77" s="46" t="n">
        <f aca="false">BB77+BC76</f>
        <v>-123983.918628944</v>
      </c>
      <c r="BD77" s="46" t="n">
        <f aca="false">BC77+BD76</f>
        <v>-108203.054208476</v>
      </c>
      <c r="BE77" s="46" t="n">
        <f aca="false">BD77+BE76</f>
        <v>-91192.9112270512</v>
      </c>
      <c r="BF77" s="46" t="n">
        <f aca="false">BE77+BF76</f>
        <v>-72925.4871095173</v>
      </c>
      <c r="BG77" s="46" t="n">
        <f aca="false">BF77+BG76</f>
        <v>-53399.5425601198</v>
      </c>
      <c r="BH77" s="46" t="n">
        <f aca="false">BG77+BH76</f>
        <v>-32614.7359304019</v>
      </c>
      <c r="BI77" s="46" t="n">
        <f aca="false">BH77+BI76</f>
        <v>-10571.4946654345</v>
      </c>
      <c r="BJ77" s="46" t="n">
        <f aca="false">BI77+BJ76</f>
        <v>12729.0849008574</v>
      </c>
      <c r="BK77" s="46" t="n">
        <f aca="false">BJ77+BK76</f>
        <v>37213.0008862211</v>
      </c>
    </row>
    <row r="78" customFormat="false" ht="15" hidden="false" customHeight="false" outlineLevel="0" collapsed="false">
      <c r="A78" s="28" t="s">
        <v>665</v>
      </c>
      <c r="B78" s="6" t="s">
        <v>666</v>
      </c>
      <c r="C78" s="43"/>
      <c r="D78" s="17" t="n">
        <f aca="false">D39*Assumptions!$G$49+D39/Assumptions!$G$48*Assumptions!$G$50</f>
        <v>0</v>
      </c>
      <c r="E78" s="17" t="n">
        <f aca="false">E39*Assumptions!$G$49+E39/Assumptions!$G$48*Assumptions!$G$50</f>
        <v>0</v>
      </c>
      <c r="F78" s="17" t="n">
        <f aca="false">F39*Assumptions!$G$49+F39/Assumptions!$G$48*Assumptions!$G$50</f>
        <v>0</v>
      </c>
      <c r="G78" s="17" t="n">
        <f aca="false">G39*Assumptions!$G$49+G39/Assumptions!$G$48*Assumptions!$G$50</f>
        <v>0</v>
      </c>
      <c r="H78" s="17" t="n">
        <f aca="false">H39*Assumptions!$G$49+H39/Assumptions!$G$48*Assumptions!$G$50</f>
        <v>0</v>
      </c>
      <c r="I78" s="17" t="n">
        <f aca="false">I39*Assumptions!$G$49+I39/Assumptions!$G$48*Assumptions!$G$50</f>
        <v>0</v>
      </c>
      <c r="J78" s="17" t="n">
        <f aca="false">J39*Assumptions!$G$49+J39/Assumptions!$G$48*Assumptions!$G$50</f>
        <v>0</v>
      </c>
      <c r="K78" s="17" t="n">
        <f aca="false">K39*Assumptions!$G$49+K39/Assumptions!$G$48*Assumptions!$G$50</f>
        <v>0</v>
      </c>
      <c r="L78" s="17" t="n">
        <f aca="false">L39*Assumptions!$G$49+L39/Assumptions!$G$48*Assumptions!$G$50</f>
        <v>0</v>
      </c>
      <c r="M78" s="17" t="n">
        <f aca="false">M39*Assumptions!$G$49+M39/Assumptions!$G$48*Assumptions!$G$50</f>
        <v>0</v>
      </c>
      <c r="N78" s="17" t="n">
        <f aca="false">N39*Assumptions!$G$49+N39/Assumptions!$G$48*Assumptions!$G$50</f>
        <v>0</v>
      </c>
      <c r="O78" s="17" t="n">
        <f aca="false">O39*Assumptions!$G$49+O39/Assumptions!$G$48*Assumptions!$G$50</f>
        <v>0</v>
      </c>
      <c r="P78" s="17" t="n">
        <f aca="false">P39*Assumptions!$G$49+P39/Assumptions!$G$48*Assumptions!$G$50</f>
        <v>0</v>
      </c>
      <c r="Q78" s="17" t="n">
        <f aca="false">Q39*Assumptions!$G$49+Q39/Assumptions!$G$48*Assumptions!$G$50</f>
        <v>0</v>
      </c>
      <c r="R78" s="17" t="n">
        <f aca="false">R39*Assumptions!$G$49+R39/Assumptions!$G$48*Assumptions!$G$50</f>
        <v>0</v>
      </c>
      <c r="S78" s="17" t="n">
        <f aca="false">S39*Assumptions!$G$49+S39/Assumptions!$G$48*Assumptions!$G$50</f>
        <v>0</v>
      </c>
      <c r="T78" s="17" t="n">
        <f aca="false">T39*Assumptions!$G$49+T39/Assumptions!$G$48*Assumptions!$G$50</f>
        <v>771.230344742618</v>
      </c>
      <c r="U78" s="17" t="n">
        <f aca="false">U39*Assumptions!$G$49+U39/Assumptions!$G$48*Assumptions!$G$50</f>
        <v>1571.57146081799</v>
      </c>
      <c r="V78" s="17" t="n">
        <f aca="false">V39*Assumptions!$G$49+V39/Assumptions!$G$48*Assumptions!$G$50</f>
        <v>2399.00806510721</v>
      </c>
      <c r="W78" s="17" t="n">
        <f aca="false">W39*Assumptions!$G$49+W39/Assumptions!$G$48*Assumptions!$G$50</f>
        <v>3279.88785167055</v>
      </c>
      <c r="X78" s="17" t="n">
        <f aca="false">X39*Assumptions!$G$49+X39/Assumptions!$G$48*Assumptions!$G$50</f>
        <v>4206.54766737488</v>
      </c>
      <c r="Y78" s="17" t="n">
        <f aca="false">Y39*Assumptions!$G$49+Y39/Assumptions!$G$48*Assumptions!$G$50</f>
        <v>5167.46813082503</v>
      </c>
      <c r="Z78" s="17" t="n">
        <f aca="false">Z39*Assumptions!$G$49+Z39/Assumptions!$G$48*Assumptions!$G$50</f>
        <v>6182.60359932772</v>
      </c>
      <c r="AA78" s="17" t="n">
        <f aca="false">AA39*Assumptions!$G$49+AA39/Assumptions!$G$48*Assumptions!$G$50</f>
        <v>7239.60303777969</v>
      </c>
      <c r="AB78" s="17" t="n">
        <f aca="false">AB39*Assumptions!$G$49+AB39/Assumptions!$G$48*Assumptions!$G$50</f>
        <v>8326.06989622278</v>
      </c>
      <c r="AC78" s="17" t="n">
        <f aca="false">AC39*Assumptions!$G$49+AC39/Assumptions!$G$48*Assumptions!$G$50</f>
        <v>9457.77914229999</v>
      </c>
      <c r="AD78" s="17" t="n">
        <f aca="false">AD39*Assumptions!$G$49+AD39/Assumptions!$G$48*Assumptions!$G$50</f>
        <v>10651.3016215692</v>
      </c>
      <c r="AE78" s="17" t="n">
        <f aca="false">AE39*Assumptions!$G$49+AE39/Assumptions!$G$48*Assumptions!$G$50</f>
        <v>11887.8192264611</v>
      </c>
      <c r="AF78" s="17" t="n">
        <f aca="false">AF39*Assumptions!$G$49+AF39/Assumptions!$G$48*Assumptions!$G$50</f>
        <v>13173.8724263831</v>
      </c>
      <c r="AG78" s="17" t="n">
        <f aca="false">AG39*Assumptions!$G$49+AG39/Assumptions!$G$48*Assumptions!$G$50</f>
        <v>14519.8855042664</v>
      </c>
      <c r="AH78" s="17" t="n">
        <f aca="false">AH39*Assumptions!$G$49+AH39/Assumptions!$G$48*Assumptions!$G$50</f>
        <v>15902.5783710467</v>
      </c>
      <c r="AI78" s="17" t="n">
        <f aca="false">AI39*Assumptions!$G$49+AI39/Assumptions!$G$48*Assumptions!$G$50</f>
        <v>17326.6929366927</v>
      </c>
      <c r="AJ78" s="17" t="n">
        <f aca="false">AJ39*Assumptions!$G$49+AJ39/Assumptions!$G$48*Assumptions!$G$50</f>
        <v>18798.7660950863</v>
      </c>
      <c r="AK78" s="17" t="n">
        <f aca="false">AK39*Assumptions!$G$49+AK39/Assumptions!$G$48*Assumptions!$G$50</f>
        <v>20324.7070517246</v>
      </c>
      <c r="AL78" s="17" t="n">
        <f aca="false">AL39*Assumptions!$G$49+AL39/Assumptions!$G$48*Assumptions!$G$50</f>
        <v>21904.2092764366</v>
      </c>
      <c r="AM78" s="17" t="n">
        <f aca="false">AM39*Assumptions!$G$49+AM39/Assumptions!$G$48*Assumptions!$G$50</f>
        <v>23533.5686409275</v>
      </c>
      <c r="AN78" s="44" t="n">
        <f aca="false">AN39*Assumptions!$G$49+AN39/Assumptions!$G$48*Assumptions!$G$50</f>
        <v>25212.7618888074</v>
      </c>
      <c r="AO78" s="44" t="n">
        <f aca="false">AO39*Assumptions!$G$49+AO39/Assumptions!$G$48*Assumptions!$G$50</f>
        <v>26937.2166343047</v>
      </c>
      <c r="AP78" s="44" t="n">
        <f aca="false">AP39*Assumptions!$G$49+AP39/Assumptions!$G$48*Assumptions!$G$50</f>
        <v>28702.7380635141</v>
      </c>
      <c r="AQ78" s="44" t="n">
        <f aca="false">AQ39*Assumptions!$G$49+AQ39/Assumptions!$G$48*Assumptions!$G$50</f>
        <v>30505.4774908008</v>
      </c>
      <c r="AR78" s="44" t="n">
        <f aca="false">AR39*Assumptions!$G$49+AR39/Assumptions!$G$48*Assumptions!$G$50</f>
        <v>32341.9035751103</v>
      </c>
      <c r="AS78" s="44" t="n">
        <f aca="false">AS39*Assumptions!$G$49+AS39/Assumptions!$G$48*Assumptions!$G$50</f>
        <v>34208.7759683761</v>
      </c>
      <c r="AT78" s="44" t="n">
        <f aca="false">AT39*Assumptions!$G$49+AT39/Assumptions!$G$48*Assumptions!$G$50</f>
        <v>36101.9929864992</v>
      </c>
      <c r="AU78" s="44" t="n">
        <f aca="false">AU39*Assumptions!$G$49+AU39/Assumptions!$G$48*Assumptions!$G$50</f>
        <v>38018.928568601</v>
      </c>
      <c r="AV78" s="44" t="n">
        <f aca="false">AV39*Assumptions!$G$49+AV39/Assumptions!$G$48*Assumptions!$G$50</f>
        <v>39957.1725758559</v>
      </c>
      <c r="AW78" s="44" t="n">
        <f aca="false">AW39*Assumptions!$G$49+AW39/Assumptions!$G$48*Assumptions!$G$50</f>
        <v>41913.3847856719</v>
      </c>
      <c r="AX78" s="44" t="n">
        <f aca="false">AX39*Assumptions!$G$49+AX39/Assumptions!$G$48*Assumptions!$G$50</f>
        <v>43885.6376343559</v>
      </c>
      <c r="AY78" s="44" t="n">
        <f aca="false">AY39*Assumptions!$G$49+AY39/Assumptions!$G$48*Assumptions!$G$50</f>
        <v>45872.1618061077</v>
      </c>
      <c r="AZ78" s="44" t="n">
        <f aca="false">AZ39*Assumptions!$G$49+AZ39/Assumptions!$G$48*Assumptions!$G$50</f>
        <v>47870.205066606</v>
      </c>
      <c r="BA78" s="44" t="n">
        <f aca="false">BA39*Assumptions!$G$49+BA39/Assumptions!$G$48*Assumptions!$G$50</f>
        <v>49877.2512317263</v>
      </c>
      <c r="BB78" s="44" t="n">
        <f aca="false">BB39*Assumptions!$G$49+BB39/Assumptions!$G$48*Assumptions!$G$50</f>
        <v>51892.1288605235</v>
      </c>
      <c r="BC78" s="44" t="n">
        <f aca="false">BC39*Assumptions!$G$49+BC39/Assumptions!$G$48*Assumptions!$G$50</f>
        <v>53912.634328151</v>
      </c>
      <c r="BD78" s="44" t="n">
        <f aca="false">BD39*Assumptions!$G$49+BD39/Assumptions!$G$48*Assumptions!$G$50</f>
        <v>55936.7549147463</v>
      </c>
      <c r="BE78" s="44" t="n">
        <f aca="false">BE39*Assumptions!$G$49+BE39/Assumptions!$G$48*Assumptions!$G$50</f>
        <v>57963.781268769</v>
      </c>
      <c r="BF78" s="44" t="n">
        <f aca="false">BF39*Assumptions!$G$49+BF39/Assumptions!$G$48*Assumptions!$G$50</f>
        <v>59991.9339305076</v>
      </c>
      <c r="BG78" s="44" t="n">
        <f aca="false">BG39*Assumptions!$G$49+BG39/Assumptions!$G$48*Assumptions!$G$50</f>
        <v>62019.589579216</v>
      </c>
      <c r="BH78" s="44" t="n">
        <f aca="false">BH39*Assumptions!$G$49+BH39/Assumptions!$G$48*Assumptions!$G$50</f>
        <v>64045.2681860296</v>
      </c>
      <c r="BI78" s="44" t="n">
        <f aca="false">BI39*Assumptions!$G$49+BI39/Assumptions!$G$48*Assumptions!$G$50</f>
        <v>66067.6212371144</v>
      </c>
      <c r="BJ78" s="44" t="n">
        <f aca="false">BJ39*Assumptions!$G$49+BJ39/Assumptions!$G$48*Assumptions!$G$50</f>
        <v>68085.4209364736</v>
      </c>
      <c r="BK78" s="44" t="n">
        <f aca="false">BK39*Assumptions!$G$49+BK39/Assumptions!$G$48*Assumptions!$G$50</f>
        <v>70097.5503055898</v>
      </c>
    </row>
    <row r="79" customFormat="false" ht="15" hidden="false" customHeight="false" outlineLevel="0" collapsed="false">
      <c r="B79" s="5" t="s">
        <v>667</v>
      </c>
    </row>
    <row r="80" customFormat="false" ht="15" hidden="false" customHeight="false" outlineLevel="0" collapsed="false">
      <c r="A80" s="28" t="s">
        <v>668</v>
      </c>
      <c r="B80" s="6" t="s">
        <v>669</v>
      </c>
      <c r="C80" s="51"/>
      <c r="D80" s="39" t="n">
        <f aca="false">IF(D76&gt;=0,1,0)</f>
        <v>0</v>
      </c>
      <c r="E80" s="39" t="n">
        <f aca="false">IF(E76&gt;=0,1,0)</f>
        <v>0</v>
      </c>
      <c r="F80" s="39" t="n">
        <f aca="false">IF(F76&gt;=0,1,0)</f>
        <v>0</v>
      </c>
      <c r="G80" s="39" t="n">
        <f aca="false">IF(G76&gt;=0,1,0)</f>
        <v>0</v>
      </c>
      <c r="H80" s="39" t="n">
        <f aca="false">IF(H76&gt;=0,1,0)</f>
        <v>0</v>
      </c>
      <c r="I80" s="39" t="n">
        <f aca="false">IF(I76&gt;=0,1,0)</f>
        <v>0</v>
      </c>
      <c r="J80" s="39" t="n">
        <f aca="false">IF(J76&gt;=0,1,0)</f>
        <v>0</v>
      </c>
      <c r="K80" s="39" t="n">
        <f aca="false">IF(K76&gt;=0,1,0)</f>
        <v>0</v>
      </c>
      <c r="L80" s="39" t="n">
        <f aca="false">IF(L76&gt;=0,1,0)</f>
        <v>0</v>
      </c>
      <c r="M80" s="39" t="n">
        <f aca="false">IF(M76&gt;=0,1,0)</f>
        <v>0</v>
      </c>
      <c r="N80" s="39" t="n">
        <f aca="false">IF(N76&gt;=0,1,0)</f>
        <v>0</v>
      </c>
      <c r="O80" s="39" t="n">
        <f aca="false">IF(O76&gt;=0,1,0)</f>
        <v>0</v>
      </c>
      <c r="P80" s="39" t="n">
        <f aca="false">IF(P76&gt;=0,1,0)</f>
        <v>0</v>
      </c>
      <c r="Q80" s="39" t="n">
        <f aca="false">IF(Q76&gt;=0,1,0)</f>
        <v>0</v>
      </c>
      <c r="R80" s="39" t="n">
        <f aca="false">IF(R76&gt;=0,1,0)</f>
        <v>0</v>
      </c>
      <c r="S80" s="39" t="n">
        <f aca="false">IF(S76&gt;=0,1,0)</f>
        <v>0</v>
      </c>
      <c r="T80" s="39" t="n">
        <f aca="false">IF(T76&gt;=0,1,0)</f>
        <v>0</v>
      </c>
      <c r="U80" s="39" t="n">
        <f aca="false">IF(U76&gt;=0,1,0)</f>
        <v>0</v>
      </c>
      <c r="V80" s="39" t="n">
        <f aca="false">IF(V76&gt;=0,1,0)</f>
        <v>0</v>
      </c>
      <c r="W80" s="39" t="n">
        <f aca="false">IF(W76&gt;=0,1,0)</f>
        <v>0</v>
      </c>
      <c r="X80" s="39" t="n">
        <f aca="false">IF(X76&gt;=0,1,0)</f>
        <v>0</v>
      </c>
      <c r="Y80" s="39" t="n">
        <f aca="false">IF(Y76&gt;=0,1,0)</f>
        <v>0</v>
      </c>
      <c r="Z80" s="39" t="n">
        <f aca="false">IF(Z76&gt;=0,1,0)</f>
        <v>0</v>
      </c>
      <c r="AA80" s="39" t="n">
        <f aca="false">IF(AA76&gt;=0,1,0)</f>
        <v>0</v>
      </c>
      <c r="AB80" s="39" t="n">
        <f aca="false">IF(AB76&gt;=0,1,0)</f>
        <v>0</v>
      </c>
      <c r="AC80" s="39" t="n">
        <f aca="false">IF(AC76&gt;=0,1,0)</f>
        <v>0</v>
      </c>
      <c r="AD80" s="39" t="n">
        <f aca="false">IF(AD76&gt;=0,1,0)</f>
        <v>0</v>
      </c>
      <c r="AE80" s="39" t="n">
        <f aca="false">IF(AE76&gt;=0,1,0)</f>
        <v>0</v>
      </c>
      <c r="AF80" s="39" t="n">
        <f aca="false">IF(AF76&gt;=0,1,0)</f>
        <v>0</v>
      </c>
      <c r="AG80" s="39" t="n">
        <f aca="false">IF(AG76&gt;=0,1,0)</f>
        <v>0</v>
      </c>
      <c r="AH80" s="39" t="n">
        <f aca="false">IF(AH76&gt;=0,1,0)</f>
        <v>0</v>
      </c>
      <c r="AI80" s="39" t="n">
        <f aca="false">IF(AI76&gt;=0,1,0)</f>
        <v>0</v>
      </c>
      <c r="AJ80" s="39" t="n">
        <f aca="false">IF(AJ76&gt;=0,1,0)</f>
        <v>0</v>
      </c>
      <c r="AK80" s="39" t="n">
        <f aca="false">IF(AK76&gt;=0,1,0)</f>
        <v>0</v>
      </c>
      <c r="AL80" s="39" t="n">
        <f aca="false">IF(AL76&gt;=0,1,0)</f>
        <v>0</v>
      </c>
      <c r="AM80" s="39" t="n">
        <f aca="false">IF(AM76&gt;=0,1,0)</f>
        <v>1</v>
      </c>
      <c r="AN80" s="40" t="n">
        <f aca="false">IF(AN76&gt;=0,1,0)</f>
        <v>1</v>
      </c>
      <c r="AO80" s="40" t="n">
        <f aca="false">IF(AO76&gt;=0,1,0)</f>
        <v>1</v>
      </c>
      <c r="AP80" s="40" t="n">
        <f aca="false">IF(AP76&gt;=0,1,0)</f>
        <v>1</v>
      </c>
      <c r="AQ80" s="40" t="n">
        <f aca="false">IF(AQ76&gt;=0,1,0)</f>
        <v>1</v>
      </c>
      <c r="AR80" s="40" t="n">
        <f aca="false">IF(AR76&gt;=0,1,0)</f>
        <v>1</v>
      </c>
      <c r="AS80" s="40" t="n">
        <f aca="false">IF(AS76&gt;=0,1,0)</f>
        <v>1</v>
      </c>
      <c r="AT80" s="40" t="n">
        <f aca="false">IF(AT76&gt;=0,1,0)</f>
        <v>1</v>
      </c>
      <c r="AU80" s="40" t="n">
        <f aca="false">IF(AU76&gt;=0,1,0)</f>
        <v>1</v>
      </c>
      <c r="AV80" s="40" t="n">
        <f aca="false">IF(AV76&gt;=0,1,0)</f>
        <v>1</v>
      </c>
      <c r="AW80" s="40" t="n">
        <f aca="false">IF(AW76&gt;=0,1,0)</f>
        <v>1</v>
      </c>
      <c r="AX80" s="40" t="n">
        <f aca="false">IF(AX76&gt;=0,1,0)</f>
        <v>1</v>
      </c>
      <c r="AY80" s="40" t="n">
        <f aca="false">IF(AY76&gt;=0,1,0)</f>
        <v>1</v>
      </c>
      <c r="AZ80" s="40" t="n">
        <f aca="false">IF(AZ76&gt;=0,1,0)</f>
        <v>1</v>
      </c>
      <c r="BA80" s="40" t="n">
        <f aca="false">IF(BA76&gt;=0,1,0)</f>
        <v>1</v>
      </c>
      <c r="BB80" s="40" t="n">
        <f aca="false">IF(BB76&gt;=0,1,0)</f>
        <v>1</v>
      </c>
      <c r="BC80" s="40" t="n">
        <f aca="false">IF(BC76&gt;=0,1,0)</f>
        <v>1</v>
      </c>
      <c r="BD80" s="40" t="n">
        <f aca="false">IF(BD76&gt;=0,1,0)</f>
        <v>1</v>
      </c>
      <c r="BE80" s="40" t="n">
        <f aca="false">IF(BE76&gt;=0,1,0)</f>
        <v>1</v>
      </c>
      <c r="BF80" s="40" t="n">
        <f aca="false">IF(BF76&gt;=0,1,0)</f>
        <v>1</v>
      </c>
      <c r="BG80" s="40" t="n">
        <f aca="false">IF(BG76&gt;=0,1,0)</f>
        <v>1</v>
      </c>
      <c r="BH80" s="40" t="n">
        <f aca="false">IF(BH76&gt;=0,1,0)</f>
        <v>1</v>
      </c>
      <c r="BI80" s="40" t="n">
        <f aca="false">IF(BI76&gt;=0,1,0)</f>
        <v>1</v>
      </c>
      <c r="BJ80" s="40" t="n">
        <f aca="false">IF(BJ76&gt;=0,1,0)</f>
        <v>1</v>
      </c>
      <c r="BK80" s="40" t="n">
        <f aca="false">IF(BK76&gt;=0,1,0)</f>
        <v>1</v>
      </c>
    </row>
    <row r="81" customFormat="false" ht="15" hidden="false" customHeight="false" outlineLevel="0" collapsed="false">
      <c r="A81" s="28" t="s">
        <v>670</v>
      </c>
      <c r="B81" s="6" t="s">
        <v>671</v>
      </c>
      <c r="C81" s="51"/>
      <c r="D81" s="39" t="n">
        <f aca="false">IF(AND(D80=1,E81=1),1,0)</f>
        <v>0</v>
      </c>
      <c r="E81" s="39" t="n">
        <f aca="false">IF(AND(E80=1,F81=1),1,0)</f>
        <v>0</v>
      </c>
      <c r="F81" s="39" t="n">
        <f aca="false">IF(AND(F80=1,G81=1),1,0)</f>
        <v>0</v>
      </c>
      <c r="G81" s="39" t="n">
        <f aca="false">IF(AND(G80=1,H81=1),1,0)</f>
        <v>0</v>
      </c>
      <c r="H81" s="39" t="n">
        <f aca="false">IF(AND(H80=1,I81=1),1,0)</f>
        <v>0</v>
      </c>
      <c r="I81" s="39" t="n">
        <f aca="false">IF(AND(I80=1,J81=1),1,0)</f>
        <v>0</v>
      </c>
      <c r="J81" s="39" t="n">
        <f aca="false">IF(AND(J80=1,K81=1),1,0)</f>
        <v>0</v>
      </c>
      <c r="K81" s="39" t="n">
        <f aca="false">IF(AND(K80=1,L81=1),1,0)</f>
        <v>0</v>
      </c>
      <c r="L81" s="39" t="n">
        <f aca="false">IF(AND(L80=1,M81=1),1,0)</f>
        <v>0</v>
      </c>
      <c r="M81" s="39" t="n">
        <f aca="false">IF(AND(M80=1,N81=1),1,0)</f>
        <v>0</v>
      </c>
      <c r="N81" s="39" t="n">
        <f aca="false">IF(AND(N80=1,O81=1),1,0)</f>
        <v>0</v>
      </c>
      <c r="O81" s="39" t="n">
        <f aca="false">IF(AND(O80=1,P81=1),1,0)</f>
        <v>0</v>
      </c>
      <c r="P81" s="39" t="n">
        <f aca="false">IF(AND(P80=1,Q81=1),1,0)</f>
        <v>0</v>
      </c>
      <c r="Q81" s="39" t="n">
        <f aca="false">IF(AND(Q80=1,R81=1),1,0)</f>
        <v>0</v>
      </c>
      <c r="R81" s="39" t="n">
        <f aca="false">IF(AND(R80=1,S81=1),1,0)</f>
        <v>0</v>
      </c>
      <c r="S81" s="39" t="n">
        <f aca="false">IF(AND(S80=1,T81=1),1,0)</f>
        <v>0</v>
      </c>
      <c r="T81" s="39" t="n">
        <f aca="false">IF(AND(T80=1,U81=1),1,0)</f>
        <v>0</v>
      </c>
      <c r="U81" s="39" t="n">
        <f aca="false">IF(AND(U80=1,V81=1),1,0)</f>
        <v>0</v>
      </c>
      <c r="V81" s="39" t="n">
        <f aca="false">IF(AND(V80=1,W81=1),1,0)</f>
        <v>0</v>
      </c>
      <c r="W81" s="39" t="n">
        <f aca="false">IF(AND(W80=1,X81=1),1,0)</f>
        <v>0</v>
      </c>
      <c r="X81" s="39" t="n">
        <f aca="false">IF(AND(X80=1,Y81=1),1,0)</f>
        <v>0</v>
      </c>
      <c r="Y81" s="39" t="n">
        <f aca="false">IF(AND(Y80=1,Z81=1),1,0)</f>
        <v>0</v>
      </c>
      <c r="Z81" s="39" t="n">
        <f aca="false">IF(AND(Z80=1,AA81=1),1,0)</f>
        <v>0</v>
      </c>
      <c r="AA81" s="39" t="n">
        <f aca="false">IF(AND(AA80=1,AB81=1),1,0)</f>
        <v>0</v>
      </c>
      <c r="AB81" s="39" t="n">
        <f aca="false">IF(AND(AB80=1,AC81=1),1,0)</f>
        <v>0</v>
      </c>
      <c r="AC81" s="39" t="n">
        <f aca="false">IF(AND(AC80=1,AD81=1),1,0)</f>
        <v>0</v>
      </c>
      <c r="AD81" s="39" t="n">
        <f aca="false">IF(AND(AD80=1,AE81=1),1,0)</f>
        <v>0</v>
      </c>
      <c r="AE81" s="39" t="n">
        <f aca="false">IF(AND(AE80=1,AF81=1),1,0)</f>
        <v>0</v>
      </c>
      <c r="AF81" s="39" t="n">
        <f aca="false">IF(AND(AF80=1,AG81=1),1,0)</f>
        <v>0</v>
      </c>
      <c r="AG81" s="39" t="n">
        <f aca="false">IF(AND(AG80=1,AH81=1),1,0)</f>
        <v>0</v>
      </c>
      <c r="AH81" s="39" t="n">
        <f aca="false">IF(AND(AH80=1,AI81=1),1,0)</f>
        <v>0</v>
      </c>
      <c r="AI81" s="39" t="n">
        <f aca="false">IF(AND(AI80=1,AJ81=1),1,0)</f>
        <v>0</v>
      </c>
      <c r="AJ81" s="39" t="n">
        <f aca="false">IF(AND(AJ80=1,AK81=1),1,0)</f>
        <v>0</v>
      </c>
      <c r="AK81" s="39" t="n">
        <f aca="false">IF(AND(AK80=1,AL81=1),1,0)</f>
        <v>0</v>
      </c>
      <c r="AL81" s="39" t="n">
        <f aca="false">IF(AND(AL80=1,AM81=1),1,0)</f>
        <v>0</v>
      </c>
      <c r="AM81" s="39" t="n">
        <f aca="false">AM80</f>
        <v>1</v>
      </c>
    </row>
    <row r="82" customFormat="false" ht="15" hidden="false" customHeight="false" outlineLevel="0" collapsed="false">
      <c r="A82" s="28" t="s">
        <v>672</v>
      </c>
      <c r="B82" s="6" t="s">
        <v>673</v>
      </c>
      <c r="C82" s="51"/>
      <c r="D82" s="39" t="n">
        <f aca="false">IF(AND(D80=1,E82=1),1,0)</f>
        <v>0</v>
      </c>
      <c r="E82" s="39" t="n">
        <f aca="false">IF(AND(E80=1,F82=1),1,0)</f>
        <v>0</v>
      </c>
      <c r="F82" s="39" t="n">
        <f aca="false">IF(AND(F80=1,G82=1),1,0)</f>
        <v>0</v>
      </c>
      <c r="G82" s="39" t="n">
        <f aca="false">IF(AND(G80=1,H82=1),1,0)</f>
        <v>0</v>
      </c>
      <c r="H82" s="39" t="n">
        <f aca="false">IF(AND(H80=1,I82=1),1,0)</f>
        <v>0</v>
      </c>
      <c r="I82" s="39" t="n">
        <f aca="false">IF(AND(I80=1,J82=1),1,0)</f>
        <v>0</v>
      </c>
      <c r="J82" s="39" t="n">
        <f aca="false">IF(AND(J80=1,K82=1),1,0)</f>
        <v>0</v>
      </c>
      <c r="K82" s="39" t="n">
        <f aca="false">IF(AND(K80=1,L82=1),1,0)</f>
        <v>0</v>
      </c>
      <c r="L82" s="39" t="n">
        <f aca="false">IF(AND(L80=1,M82=1),1,0)</f>
        <v>0</v>
      </c>
      <c r="M82" s="39" t="n">
        <f aca="false">IF(AND(M80=1,N82=1),1,0)</f>
        <v>0</v>
      </c>
      <c r="N82" s="39" t="n">
        <f aca="false">IF(AND(N80=1,O82=1),1,0)</f>
        <v>0</v>
      </c>
      <c r="O82" s="39" t="n">
        <f aca="false">IF(AND(O80=1,P82=1),1,0)</f>
        <v>0</v>
      </c>
      <c r="P82" s="39" t="n">
        <f aca="false">IF(AND(P80=1,Q82=1),1,0)</f>
        <v>0</v>
      </c>
      <c r="Q82" s="39" t="n">
        <f aca="false">IF(AND(Q80=1,R82=1),1,0)</f>
        <v>0</v>
      </c>
      <c r="R82" s="39" t="n">
        <f aca="false">IF(AND(R80=1,S82=1),1,0)</f>
        <v>0</v>
      </c>
      <c r="S82" s="39" t="n">
        <f aca="false">IF(AND(S80=1,T82=1),1,0)</f>
        <v>0</v>
      </c>
      <c r="T82" s="39" t="n">
        <f aca="false">IF(AND(T80=1,U82=1),1,0)</f>
        <v>0</v>
      </c>
      <c r="U82" s="39" t="n">
        <f aca="false">IF(AND(U80=1,V82=1),1,0)</f>
        <v>0</v>
      </c>
      <c r="V82" s="39" t="n">
        <f aca="false">IF(AND(V80=1,W82=1),1,0)</f>
        <v>0</v>
      </c>
      <c r="W82" s="39" t="n">
        <f aca="false">IF(AND(W80=1,X82=1),1,0)</f>
        <v>0</v>
      </c>
      <c r="X82" s="39" t="n">
        <f aca="false">IF(AND(X80=1,Y82=1),1,0)</f>
        <v>0</v>
      </c>
      <c r="Y82" s="39" t="n">
        <f aca="false">IF(AND(Y80=1,Z82=1),1,0)</f>
        <v>0</v>
      </c>
      <c r="Z82" s="39" t="n">
        <f aca="false">IF(AND(Z80=1,AA82=1),1,0)</f>
        <v>0</v>
      </c>
      <c r="AA82" s="39" t="n">
        <f aca="false">IF(AND(AA80=1,AB82=1),1,0)</f>
        <v>0</v>
      </c>
      <c r="AB82" s="39" t="n">
        <f aca="false">IF(AND(AB80=1,AC82=1),1,0)</f>
        <v>0</v>
      </c>
      <c r="AC82" s="39" t="n">
        <f aca="false">IF(AND(AC80=1,AD82=1),1,0)</f>
        <v>0</v>
      </c>
      <c r="AD82" s="39" t="n">
        <f aca="false">IF(AND(AD80=1,AE82=1),1,0)</f>
        <v>0</v>
      </c>
      <c r="AE82" s="39" t="n">
        <f aca="false">IF(AND(AE80=1,AF82=1),1,0)</f>
        <v>0</v>
      </c>
      <c r="AF82" s="39" t="n">
        <f aca="false">IF(AND(AF80=1,AG82=1),1,0)</f>
        <v>0</v>
      </c>
      <c r="AG82" s="39" t="n">
        <f aca="false">IF(AND(AG80=1,AH82=1),1,0)</f>
        <v>0</v>
      </c>
      <c r="AH82" s="39" t="n">
        <f aca="false">IF(AND(AH80=1,AI82=1),1,0)</f>
        <v>0</v>
      </c>
      <c r="AI82" s="39" t="n">
        <f aca="false">IF(AND(AI80=1,AJ82=1),1,0)</f>
        <v>0</v>
      </c>
      <c r="AJ82" s="39" t="n">
        <f aca="false">IF(AND(AJ80=1,AK82=1),1,0)</f>
        <v>0</v>
      </c>
      <c r="AK82" s="39" t="n">
        <f aca="false">IF(AND(AK80=1,AL82=1),1,0)</f>
        <v>0</v>
      </c>
      <c r="AL82" s="39" t="n">
        <f aca="false">IF(AND(AL80=1,AM82=1),1,0)</f>
        <v>0</v>
      </c>
      <c r="AM82" s="39" t="n">
        <f aca="false">IF(AND(AM80=1,AN82=1),1,0)</f>
        <v>1</v>
      </c>
      <c r="AN82" s="39" t="n">
        <f aca="false">IF(AND(AN80=1,AO82=1),1,0)</f>
        <v>1</v>
      </c>
      <c r="AO82" s="39" t="n">
        <f aca="false">IF(AND(AO80=1,AP82=1),1,0)</f>
        <v>1</v>
      </c>
      <c r="AP82" s="39" t="n">
        <f aca="false">IF(AND(AP80=1,AQ82=1),1,0)</f>
        <v>1</v>
      </c>
      <c r="AQ82" s="39" t="n">
        <f aca="false">IF(AND(AQ80=1,AR82=1),1,0)</f>
        <v>1</v>
      </c>
      <c r="AR82" s="39" t="n">
        <f aca="false">IF(AND(AR80=1,AS82=1),1,0)</f>
        <v>1</v>
      </c>
      <c r="AS82" s="39" t="n">
        <f aca="false">IF(AND(AS80=1,AT82=1),1,0)</f>
        <v>1</v>
      </c>
      <c r="AT82" s="39" t="n">
        <f aca="false">IF(AND(AT80=1,AU82=1),1,0)</f>
        <v>1</v>
      </c>
      <c r="AU82" s="39" t="n">
        <f aca="false">IF(AND(AU80=1,AV82=1),1,0)</f>
        <v>1</v>
      </c>
      <c r="AV82" s="39" t="n">
        <f aca="false">IF(AND(AV80=1,AW82=1),1,0)</f>
        <v>1</v>
      </c>
      <c r="AW82" s="39" t="n">
        <f aca="false">IF(AND(AW80=1,AX82=1),1,0)</f>
        <v>1</v>
      </c>
      <c r="AX82" s="39" t="n">
        <f aca="false">IF(AND(AX80=1,AY82=1),1,0)</f>
        <v>1</v>
      </c>
      <c r="AY82" s="39" t="n">
        <f aca="false">IF(AND(AY80=1,AZ82=1),1,0)</f>
        <v>1</v>
      </c>
      <c r="AZ82" s="39" t="n">
        <f aca="false">IF(AND(AZ80=1,BA82=1),1,0)</f>
        <v>1</v>
      </c>
      <c r="BA82" s="39" t="n">
        <f aca="false">IF(AND(BA80=1,BB82=1),1,0)</f>
        <v>1</v>
      </c>
      <c r="BB82" s="39" t="n">
        <f aca="false">IF(AND(BB80=1,BC82=1),1,0)</f>
        <v>1</v>
      </c>
      <c r="BC82" s="39" t="n">
        <f aca="false">IF(AND(BC80=1,BD82=1),1,0)</f>
        <v>1</v>
      </c>
      <c r="BD82" s="39" t="n">
        <f aca="false">IF(AND(BD80=1,BE82=1),1,0)</f>
        <v>1</v>
      </c>
      <c r="BE82" s="39" t="n">
        <f aca="false">IF(AND(BE80=1,BF82=1),1,0)</f>
        <v>1</v>
      </c>
      <c r="BF82" s="39" t="n">
        <f aca="false">IF(AND(BF80=1,BG82=1),1,0)</f>
        <v>1</v>
      </c>
      <c r="BG82" s="39" t="n">
        <f aca="false">IF(AND(BG80=1,BH82=1),1,0)</f>
        <v>1</v>
      </c>
      <c r="BH82" s="39" t="n">
        <f aca="false">IF(AND(BH80=1,BI82=1),1,0)</f>
        <v>1</v>
      </c>
      <c r="BI82" s="39" t="n">
        <f aca="false">IF(AND(BI80=1,BJ82=1),1,0)</f>
        <v>1</v>
      </c>
      <c r="BJ82" s="39" t="n">
        <f aca="false">IF(AND(BJ80=1,BK82=1),1,0)</f>
        <v>1</v>
      </c>
      <c r="BK82" s="39" t="n">
        <f aca="false">BK80</f>
        <v>1</v>
      </c>
    </row>
    <row r="84" customFormat="false" ht="17.35" hidden="false" customHeight="false" outlineLevel="0" collapsed="false">
      <c r="B84" s="1" t="s">
        <v>674</v>
      </c>
    </row>
    <row r="85" customFormat="false" ht="15" hidden="false" customHeight="false" outlineLevel="0" collapsed="false">
      <c r="B85" s="5" t="s">
        <v>675</v>
      </c>
      <c r="C85" s="52" t="n">
        <f aca="false">IFERROR(MATCH(1,D81:AM81,0),"none")</f>
        <v>36</v>
      </c>
    </row>
    <row r="86" customFormat="false" ht="15" hidden="false" customHeight="false" outlineLevel="0" collapsed="false">
      <c r="B86" s="5" t="s">
        <v>676</v>
      </c>
      <c r="C86" s="52" t="n">
        <f aca="false">IFERROR(MATCH(1,D82:BK82,0),"none")</f>
        <v>36</v>
      </c>
    </row>
    <row r="87" customFormat="false" ht="15" hidden="false" customHeight="false" outlineLevel="0" collapsed="false">
      <c r="B87" s="5" t="s">
        <v>677</v>
      </c>
      <c r="C87" s="52" t="n">
        <f aca="false">IFERROR(MATCH(1,D80:AM80,0),"none")</f>
        <v>36</v>
      </c>
    </row>
    <row r="88" customFormat="false" ht="15" hidden="false" customHeight="false" outlineLevel="0" collapsed="false">
      <c r="B88" s="5" t="s">
        <v>486</v>
      </c>
      <c r="C88" s="53" t="n">
        <f aca="false">-MIN(0,MIN(D77:AM77))</f>
        <v>250864.010024987</v>
      </c>
    </row>
    <row r="89" customFormat="false" ht="15" hidden="false" customHeight="false" outlineLevel="0" collapsed="false">
      <c r="B89" s="5" t="s">
        <v>678</v>
      </c>
      <c r="C89" s="52" t="n">
        <f aca="false">MATCH(MIN(D77:AM77),D77:AM77,0)</f>
        <v>35</v>
      </c>
    </row>
    <row r="90" customFormat="false" ht="15" hidden="false" customHeight="false" outlineLevel="0" collapsed="false">
      <c r="B90" s="5" t="s">
        <v>679</v>
      </c>
      <c r="C90" s="53" t="n">
        <f aca="false">-MIN(0,MIN(D77:BK77))</f>
        <v>250864.010024987</v>
      </c>
    </row>
    <row r="91" customFormat="false" ht="15" hidden="false" customHeight="false" outlineLevel="0" collapsed="false">
      <c r="B91" s="5" t="s">
        <v>489</v>
      </c>
      <c r="C91" s="52" t="n">
        <f aca="false">IFERROR(MATCH(1,D16:AM16,0),"none")</f>
        <v>17</v>
      </c>
    </row>
    <row r="92" customFormat="false" ht="15" hidden="false" customHeight="false" outlineLevel="0" collapsed="false">
      <c r="B92" s="5" t="s">
        <v>490</v>
      </c>
      <c r="C92" s="52" t="n">
        <f aca="false">IFERROR(MATCH(1,D17:AM17,0),"none")</f>
        <v>17</v>
      </c>
    </row>
    <row r="93" customFormat="false" ht="15" hidden="false" customHeight="false" outlineLevel="0" collapsed="false">
      <c r="B93" s="5" t="s">
        <v>680</v>
      </c>
      <c r="C93" s="52" t="n">
        <f aca="false">IFERROR(MATCH(1,D18:AM18,0),"none")</f>
        <v>14</v>
      </c>
    </row>
    <row r="94" customFormat="false" ht="15" hidden="false" customHeight="false" outlineLevel="0" collapsed="false">
      <c r="B94" s="5" t="s">
        <v>492</v>
      </c>
      <c r="C94" s="52" t="n">
        <f aca="false">IFERROR(MATCH(1,D19:AM19,0),"none")</f>
        <v>28</v>
      </c>
    </row>
    <row r="95" customFormat="false" ht="15" hidden="false" customHeight="false" outlineLevel="0" collapsed="false">
      <c r="B95" s="5" t="s">
        <v>493</v>
      </c>
      <c r="C95" s="54" t="n">
        <f aca="false">AM13</f>
        <v>677.764757697361</v>
      </c>
    </row>
    <row r="96" customFormat="false" ht="15" hidden="false" customHeight="false" outlineLevel="0" collapsed="false">
      <c r="B96" s="5" t="s">
        <v>494</v>
      </c>
      <c r="C96" s="54" t="n">
        <f aca="false">AM32</f>
        <v>240.748893778546</v>
      </c>
    </row>
    <row r="97" customFormat="false" ht="15" hidden="false" customHeight="false" outlineLevel="0" collapsed="false">
      <c r="B97" s="5" t="s">
        <v>495</v>
      </c>
      <c r="C97" s="54" t="n">
        <f aca="false">AM24</f>
        <v>43931.6724975602</v>
      </c>
    </row>
    <row r="98" customFormat="false" ht="15" hidden="false" customHeight="false" outlineLevel="0" collapsed="false">
      <c r="B98" s="5" t="s">
        <v>496</v>
      </c>
      <c r="C98" s="53" t="n">
        <f aca="false">AM46</f>
        <v>28620.1580911932</v>
      </c>
    </row>
    <row r="99" customFormat="false" ht="15" hidden="false" customHeight="false" outlineLevel="0" collapsed="false">
      <c r="B99" s="5" t="s">
        <v>497</v>
      </c>
      <c r="C99" s="53" t="n">
        <f aca="false">AM76</f>
        <v>430.293985142287</v>
      </c>
    </row>
    <row r="100" customFormat="false" ht="15" hidden="false" customHeight="false" outlineLevel="0" collapsed="false">
      <c r="B100" s="5" t="s">
        <v>498</v>
      </c>
      <c r="C100" s="53" t="n">
        <f aca="false">SUM(D46:O46)</f>
        <v>0</v>
      </c>
    </row>
    <row r="101" customFormat="false" ht="15" hidden="false" customHeight="false" outlineLevel="0" collapsed="false">
      <c r="B101" s="5" t="s">
        <v>499</v>
      </c>
      <c r="C101" s="53" t="n">
        <f aca="false">SUM(P46:AA46)</f>
        <v>41038.7022331088</v>
      </c>
    </row>
    <row r="102" customFormat="false" ht="15" hidden="false" customHeight="false" outlineLevel="0" collapsed="false">
      <c r="B102" s="5" t="s">
        <v>500</v>
      </c>
      <c r="C102" s="53" t="n">
        <f aca="false">SUM(AB46:AM46)</f>
        <v>220522.713713244</v>
      </c>
    </row>
    <row r="103" customFormat="false" ht="15" hidden="false" customHeight="false" outlineLevel="0" collapsed="false">
      <c r="B103" s="5" t="s">
        <v>501</v>
      </c>
      <c r="C103" s="53" t="n">
        <f aca="false">SUM(D76:O76)</f>
        <v>-87019.9448331733</v>
      </c>
    </row>
    <row r="104" customFormat="false" ht="15" hidden="false" customHeight="false" outlineLevel="0" collapsed="false">
      <c r="B104" s="5" t="s">
        <v>502</v>
      </c>
      <c r="C104" s="53" t="n">
        <f aca="false">SUM(P76:AA76)</f>
        <v>-110163.341546724</v>
      </c>
    </row>
    <row r="105" customFormat="false" ht="15" hidden="false" customHeight="false" outlineLevel="0" collapsed="false">
      <c r="B105" s="5" t="s">
        <v>503</v>
      </c>
      <c r="C105" s="53" t="n">
        <f aca="false">SUM(AB76:AM76)</f>
        <v>-53250.4296599474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0"/>
  </cols>
  <sheetData>
    <row r="1" customFormat="false" ht="17.35" hidden="false" customHeight="false" outlineLevel="0" collapsed="false">
      <c r="A1" s="1" t="s">
        <v>689</v>
      </c>
    </row>
    <row r="3" customFormat="false" ht="15" hidden="false" customHeight="false" outlineLevel="0" collapsed="false">
      <c r="A3" s="4" t="s">
        <v>690</v>
      </c>
      <c r="B3" s="4" t="s">
        <v>691</v>
      </c>
      <c r="C3" s="4" t="s">
        <v>692</v>
      </c>
      <c r="D3" s="4" t="s">
        <v>693</v>
      </c>
      <c r="E3" s="4" t="s">
        <v>694</v>
      </c>
      <c r="F3" s="4" t="s">
        <v>695</v>
      </c>
      <c r="G3" s="4" t="s">
        <v>696</v>
      </c>
      <c r="H3" s="4" t="s">
        <v>697</v>
      </c>
      <c r="I3" s="4" t="s">
        <v>698</v>
      </c>
      <c r="J3" s="4" t="s">
        <v>699</v>
      </c>
      <c r="K3" s="4" t="s">
        <v>700</v>
      </c>
      <c r="L3" s="4" t="s">
        <v>701</v>
      </c>
    </row>
    <row r="4" customFormat="false" ht="15" hidden="false" customHeight="false" outlineLevel="0" collapsed="false">
      <c r="A4" s="6" t="s">
        <v>702</v>
      </c>
      <c r="B4" s="6" t="s">
        <v>117</v>
      </c>
      <c r="C4" s="6" t="n">
        <v>0.5</v>
      </c>
      <c r="D4" s="6" t="s">
        <v>703</v>
      </c>
      <c r="E4" s="6" t="n">
        <v>60</v>
      </c>
      <c r="F4" s="6" t="n">
        <v>310442</v>
      </c>
      <c r="G4" s="6" t="n">
        <v>410367</v>
      </c>
      <c r="H4" s="6" t="n">
        <v>6929</v>
      </c>
      <c r="I4" s="6" t="n">
        <v>-9015</v>
      </c>
      <c r="J4" s="6" t="n">
        <v>45.2</v>
      </c>
      <c r="K4" s="6" t="n">
        <v>2.37</v>
      </c>
      <c r="L4" s="6" t="n">
        <v>14.1</v>
      </c>
    </row>
    <row r="5" customFormat="false" ht="15" hidden="false" customHeight="false" outlineLevel="0" collapsed="false">
      <c r="A5" s="6" t="s">
        <v>702</v>
      </c>
      <c r="B5" s="6" t="s">
        <v>117</v>
      </c>
      <c r="C5" s="6" t="n">
        <v>0.75</v>
      </c>
      <c r="D5" s="6" t="s">
        <v>703</v>
      </c>
      <c r="E5" s="6" t="n">
        <v>54</v>
      </c>
      <c r="F5" s="6" t="n">
        <v>306098</v>
      </c>
      <c r="G5" s="6" t="n">
        <v>378366</v>
      </c>
      <c r="H5" s="6" t="n">
        <v>8213</v>
      </c>
      <c r="I5" s="6" t="n">
        <v>-8324</v>
      </c>
      <c r="J5" s="6" t="n">
        <v>64.7</v>
      </c>
      <c r="K5" s="6" t="n">
        <v>3.09</v>
      </c>
      <c r="L5" s="6" t="n">
        <v>10.8</v>
      </c>
    </row>
    <row r="6" customFormat="false" ht="15" hidden="false" customHeight="false" outlineLevel="0" collapsed="false">
      <c r="A6" s="6" t="s">
        <v>702</v>
      </c>
      <c r="B6" s="6" t="s">
        <v>117</v>
      </c>
      <c r="C6" s="6" t="n">
        <v>1</v>
      </c>
      <c r="D6" s="6" t="s">
        <v>703</v>
      </c>
      <c r="E6" s="6" t="n">
        <v>51</v>
      </c>
      <c r="F6" s="6" t="n">
        <v>302028</v>
      </c>
      <c r="G6" s="6" t="n">
        <v>357308</v>
      </c>
      <c r="H6" s="6" t="n">
        <v>9376</v>
      </c>
      <c r="I6" s="6" t="n">
        <v>-7695</v>
      </c>
      <c r="J6" s="6" t="n">
        <v>82.4</v>
      </c>
      <c r="K6" s="6" t="n">
        <v>3.63</v>
      </c>
      <c r="L6" s="6" t="n">
        <v>9.2</v>
      </c>
    </row>
    <row r="7" customFormat="false" ht="15" hidden="false" customHeight="false" outlineLevel="0" collapsed="false">
      <c r="A7" s="6" t="s">
        <v>702</v>
      </c>
      <c r="B7" s="6" t="s">
        <v>117</v>
      </c>
      <c r="C7" s="6" t="n">
        <v>1.25</v>
      </c>
      <c r="D7" s="6" t="s">
        <v>703</v>
      </c>
      <c r="E7" s="6" t="n">
        <v>49</v>
      </c>
      <c r="F7" s="6" t="n">
        <v>298212</v>
      </c>
      <c r="G7" s="6" t="n">
        <v>341789</v>
      </c>
      <c r="H7" s="6" t="n">
        <v>10429</v>
      </c>
      <c r="I7" s="6" t="n">
        <v>-7120</v>
      </c>
      <c r="J7" s="6" t="n">
        <v>98.5</v>
      </c>
      <c r="K7" s="6" t="n">
        <v>4.04</v>
      </c>
      <c r="L7" s="6" t="n">
        <v>8.3</v>
      </c>
    </row>
    <row r="8" customFormat="false" ht="15" hidden="false" customHeight="false" outlineLevel="0" collapsed="false">
      <c r="A8" s="6" t="s">
        <v>702</v>
      </c>
      <c r="B8" s="6" t="s">
        <v>117</v>
      </c>
      <c r="C8" s="6" t="n">
        <v>1.5</v>
      </c>
      <c r="D8" s="6" t="s">
        <v>703</v>
      </c>
      <c r="E8" s="6" t="n">
        <v>48</v>
      </c>
      <c r="F8" s="6" t="n">
        <v>294633</v>
      </c>
      <c r="G8" s="6" t="n">
        <v>330154</v>
      </c>
      <c r="H8" s="6" t="n">
        <v>11384</v>
      </c>
      <c r="I8" s="6" t="n">
        <v>-6596</v>
      </c>
      <c r="J8" s="6" t="n">
        <v>113.2</v>
      </c>
      <c r="K8" s="6" t="n">
        <v>4.35</v>
      </c>
      <c r="L8" s="6" t="n">
        <v>7.7</v>
      </c>
    </row>
    <row r="9" customFormat="false" ht="15" hidden="false" customHeight="false" outlineLevel="0" collapsed="false">
      <c r="A9" s="6" t="s">
        <v>702</v>
      </c>
      <c r="B9" s="6" t="s">
        <v>121</v>
      </c>
      <c r="C9" s="6" t="n">
        <v>0.02</v>
      </c>
      <c r="D9" s="6" t="s">
        <v>703</v>
      </c>
      <c r="E9" s="6" t="n">
        <v>51</v>
      </c>
      <c r="F9" s="6" t="n">
        <v>301235</v>
      </c>
      <c r="G9" s="6" t="n">
        <v>350973</v>
      </c>
      <c r="H9" s="6" t="n">
        <v>9629</v>
      </c>
      <c r="I9" s="6" t="n">
        <v>-7531</v>
      </c>
      <c r="J9" s="6" t="n">
        <v>86.3</v>
      </c>
      <c r="K9" s="6" t="n">
        <v>5.45</v>
      </c>
      <c r="L9" s="6" t="n">
        <v>9.2</v>
      </c>
    </row>
    <row r="10" customFormat="false" ht="15" hidden="false" customHeight="false" outlineLevel="0" collapsed="false">
      <c r="A10" s="6" t="s">
        <v>702</v>
      </c>
      <c r="B10" s="6" t="s">
        <v>121</v>
      </c>
      <c r="C10" s="6" t="n">
        <v>0.03</v>
      </c>
      <c r="D10" s="6" t="s">
        <v>703</v>
      </c>
      <c r="E10" s="6" t="n">
        <v>51</v>
      </c>
      <c r="F10" s="6" t="n">
        <v>302028</v>
      </c>
      <c r="G10" s="6" t="n">
        <v>357308</v>
      </c>
      <c r="H10" s="6" t="n">
        <v>9376</v>
      </c>
      <c r="I10" s="6" t="n">
        <v>-7695</v>
      </c>
      <c r="J10" s="6" t="n">
        <v>82.4</v>
      </c>
      <c r="K10" s="6" t="n">
        <v>3.63</v>
      </c>
      <c r="L10" s="6" t="n">
        <v>9.2</v>
      </c>
    </row>
    <row r="11" customFormat="false" ht="15" hidden="false" customHeight="false" outlineLevel="0" collapsed="false">
      <c r="A11" s="6" t="s">
        <v>702</v>
      </c>
      <c r="B11" s="6" t="s">
        <v>121</v>
      </c>
      <c r="C11" s="6" t="n">
        <v>0.045</v>
      </c>
      <c r="D11" s="6" t="s">
        <v>703</v>
      </c>
      <c r="E11" s="6" t="n">
        <v>54</v>
      </c>
      <c r="F11" s="6" t="n">
        <v>303145</v>
      </c>
      <c r="G11" s="6" t="n">
        <v>367151</v>
      </c>
      <c r="H11" s="6" t="n">
        <v>9025</v>
      </c>
      <c r="I11" s="6" t="n">
        <v>-7922</v>
      </c>
      <c r="J11" s="6" t="n">
        <v>77.1</v>
      </c>
      <c r="K11" s="6" t="n">
        <v>2.42</v>
      </c>
      <c r="L11" s="6" t="n">
        <v>9.2</v>
      </c>
    </row>
    <row r="12" customFormat="false" ht="15" hidden="false" customHeight="false" outlineLevel="0" collapsed="false">
      <c r="A12" s="6" t="s">
        <v>702</v>
      </c>
      <c r="B12" s="6" t="s">
        <v>121</v>
      </c>
      <c r="C12" s="6" t="n">
        <v>0.06</v>
      </c>
      <c r="D12" s="6" t="s">
        <v>703</v>
      </c>
      <c r="E12" s="6" t="n">
        <v>57</v>
      </c>
      <c r="F12" s="6" t="n">
        <v>304184</v>
      </c>
      <c r="G12" s="6" t="n">
        <v>377223</v>
      </c>
      <c r="H12" s="6" t="n">
        <v>8706</v>
      </c>
      <c r="I12" s="6" t="n">
        <v>-8128</v>
      </c>
      <c r="J12" s="6" t="n">
        <v>72.3</v>
      </c>
      <c r="K12" s="6" t="n">
        <v>1.82</v>
      </c>
      <c r="L12" s="6" t="n">
        <v>9.2</v>
      </c>
    </row>
    <row r="13" customFormat="false" ht="15" hidden="false" customHeight="false" outlineLevel="0" collapsed="false">
      <c r="A13" s="6" t="s">
        <v>702</v>
      </c>
      <c r="B13" s="6" t="s">
        <v>121</v>
      </c>
      <c r="C13" s="6" t="n">
        <v>0.08</v>
      </c>
      <c r="D13" s="6" t="s">
        <v>703</v>
      </c>
      <c r="E13" s="6" t="n">
        <v>60</v>
      </c>
      <c r="F13" s="6" t="n">
        <v>305457</v>
      </c>
      <c r="G13" s="6" t="n">
        <v>391327</v>
      </c>
      <c r="H13" s="6" t="n">
        <v>8326</v>
      </c>
      <c r="I13" s="6" t="n">
        <v>-8374</v>
      </c>
      <c r="J13" s="6" t="n">
        <v>66.5</v>
      </c>
      <c r="K13" s="6" t="n">
        <v>1.36</v>
      </c>
      <c r="L13" s="6" t="n">
        <v>9.2</v>
      </c>
    </row>
    <row r="14" customFormat="false" ht="15" hidden="false" customHeight="false" outlineLevel="0" collapsed="false">
      <c r="A14" s="6" t="s">
        <v>702</v>
      </c>
      <c r="B14" s="6" t="s">
        <v>299</v>
      </c>
      <c r="C14" s="6" t="n">
        <v>0.5</v>
      </c>
      <c r="D14" s="6" t="s">
        <v>703</v>
      </c>
      <c r="E14" s="6" t="n">
        <v>46</v>
      </c>
      <c r="F14" s="6" t="n">
        <v>260603</v>
      </c>
      <c r="G14" s="6" t="n">
        <v>288368</v>
      </c>
      <c r="H14" s="6" t="n">
        <v>9376</v>
      </c>
      <c r="I14" s="6" t="n">
        <v>-5580</v>
      </c>
      <c r="J14" s="6" t="n">
        <v>82.4</v>
      </c>
      <c r="K14" s="6" t="n">
        <v>7.26</v>
      </c>
      <c r="L14" s="6" t="n">
        <v>4.6</v>
      </c>
    </row>
    <row r="15" customFormat="false" ht="15" hidden="false" customHeight="false" outlineLevel="0" collapsed="false">
      <c r="A15" s="6" t="s">
        <v>702</v>
      </c>
      <c r="B15" s="6" t="s">
        <v>299</v>
      </c>
      <c r="C15" s="6" t="n">
        <v>0.75</v>
      </c>
      <c r="D15" s="6" t="s">
        <v>703</v>
      </c>
      <c r="E15" s="6" t="n">
        <v>48</v>
      </c>
      <c r="F15" s="6" t="n">
        <v>281315</v>
      </c>
      <c r="G15" s="6" t="n">
        <v>321148</v>
      </c>
      <c r="H15" s="6" t="n">
        <v>9376</v>
      </c>
      <c r="I15" s="6" t="n">
        <v>-6637</v>
      </c>
      <c r="J15" s="6" t="n">
        <v>82.4</v>
      </c>
      <c r="K15" s="6" t="n">
        <v>4.84</v>
      </c>
      <c r="L15" s="6" t="n">
        <v>6.9</v>
      </c>
    </row>
    <row r="16" customFormat="false" ht="15" hidden="false" customHeight="false" outlineLevel="0" collapsed="false">
      <c r="A16" s="6" t="s">
        <v>702</v>
      </c>
      <c r="B16" s="6" t="s">
        <v>299</v>
      </c>
      <c r="C16" s="6" t="n">
        <v>1</v>
      </c>
      <c r="D16" s="6" t="s">
        <v>703</v>
      </c>
      <c r="E16" s="6" t="n">
        <v>51</v>
      </c>
      <c r="F16" s="6" t="n">
        <v>302028</v>
      </c>
      <c r="G16" s="6" t="n">
        <v>357308</v>
      </c>
      <c r="H16" s="6" t="n">
        <v>9376</v>
      </c>
      <c r="I16" s="6" t="n">
        <v>-7695</v>
      </c>
      <c r="J16" s="6" t="n">
        <v>82.4</v>
      </c>
      <c r="K16" s="6" t="n">
        <v>3.63</v>
      </c>
      <c r="L16" s="6" t="n">
        <v>9.2</v>
      </c>
    </row>
    <row r="17" customFormat="false" ht="15" hidden="false" customHeight="false" outlineLevel="0" collapsed="false">
      <c r="A17" s="6" t="s">
        <v>702</v>
      </c>
      <c r="B17" s="6" t="s">
        <v>299</v>
      </c>
      <c r="C17" s="6" t="n">
        <v>1.5</v>
      </c>
      <c r="D17" s="6" t="s">
        <v>703</v>
      </c>
      <c r="E17" s="6" t="n">
        <v>57</v>
      </c>
      <c r="F17" s="6" t="n">
        <v>343453</v>
      </c>
      <c r="G17" s="6" t="n">
        <v>439368</v>
      </c>
      <c r="H17" s="6" t="n">
        <v>9376</v>
      </c>
      <c r="I17" s="6" t="n">
        <v>-9809</v>
      </c>
      <c r="J17" s="6" t="n">
        <v>82.4</v>
      </c>
      <c r="K17" s="6" t="n">
        <v>2.42</v>
      </c>
      <c r="L17" s="6" t="n">
        <v>13.8</v>
      </c>
    </row>
    <row r="18" customFormat="false" ht="15" hidden="false" customHeight="false" outlineLevel="0" collapsed="false">
      <c r="A18" s="6" t="s">
        <v>702</v>
      </c>
      <c r="B18" s="6" t="s">
        <v>299</v>
      </c>
      <c r="C18" s="6" t="n">
        <v>2</v>
      </c>
      <c r="D18" s="6" t="s">
        <v>703</v>
      </c>
      <c r="E18" s="6" t="s">
        <v>703</v>
      </c>
      <c r="F18" s="6" t="n">
        <v>384877</v>
      </c>
      <c r="G18" s="6" t="n">
        <v>534035</v>
      </c>
      <c r="H18" s="6" t="n">
        <v>9376</v>
      </c>
      <c r="I18" s="6" t="n">
        <v>-11924</v>
      </c>
      <c r="J18" s="6" t="n">
        <v>82.4</v>
      </c>
      <c r="K18" s="6" t="n">
        <v>1.82</v>
      </c>
      <c r="L18" s="6" t="n">
        <v>18.4</v>
      </c>
    </row>
    <row r="19" customFormat="false" ht="15" hidden="false" customHeight="false" outlineLevel="0" collapsed="false">
      <c r="A19" s="6" t="s">
        <v>702</v>
      </c>
      <c r="B19" s="6" t="s">
        <v>223</v>
      </c>
      <c r="C19" s="6" t="n">
        <v>0.05</v>
      </c>
      <c r="D19" s="6" t="s">
        <v>703</v>
      </c>
      <c r="E19" s="6" t="n">
        <v>51</v>
      </c>
      <c r="F19" s="6" t="n">
        <v>302028</v>
      </c>
      <c r="G19" s="6" t="n">
        <v>358743</v>
      </c>
      <c r="H19" s="6" t="n">
        <v>9376</v>
      </c>
      <c r="I19" s="6" t="n">
        <v>-7695</v>
      </c>
      <c r="J19" s="6" t="n">
        <v>82.4</v>
      </c>
      <c r="K19" s="6" t="n">
        <v>3.63</v>
      </c>
      <c r="L19" s="6" t="n">
        <v>9.2</v>
      </c>
    </row>
    <row r="20" customFormat="false" ht="15" hidden="false" customHeight="false" outlineLevel="0" collapsed="false">
      <c r="A20" s="6" t="s">
        <v>702</v>
      </c>
      <c r="B20" s="6" t="s">
        <v>223</v>
      </c>
      <c r="C20" s="6" t="n">
        <v>0.1</v>
      </c>
      <c r="D20" s="6" t="s">
        <v>703</v>
      </c>
      <c r="E20" s="6" t="n">
        <v>51</v>
      </c>
      <c r="F20" s="6" t="n">
        <v>302028</v>
      </c>
      <c r="G20" s="6" t="n">
        <v>358265</v>
      </c>
      <c r="H20" s="6" t="n">
        <v>9376</v>
      </c>
      <c r="I20" s="6" t="n">
        <v>-7695</v>
      </c>
      <c r="J20" s="6" t="n">
        <v>82.4</v>
      </c>
      <c r="K20" s="6" t="n">
        <v>3.63</v>
      </c>
      <c r="L20" s="6" t="n">
        <v>9.2</v>
      </c>
    </row>
    <row r="21" customFormat="false" ht="15" hidden="false" customHeight="false" outlineLevel="0" collapsed="false">
      <c r="A21" s="6" t="s">
        <v>702</v>
      </c>
      <c r="B21" s="6" t="s">
        <v>223</v>
      </c>
      <c r="C21" s="6" t="n">
        <v>0.2</v>
      </c>
      <c r="D21" s="6" t="s">
        <v>703</v>
      </c>
      <c r="E21" s="6" t="n">
        <v>51</v>
      </c>
      <c r="F21" s="6" t="n">
        <v>302028</v>
      </c>
      <c r="G21" s="6" t="n">
        <v>357308</v>
      </c>
      <c r="H21" s="6" t="n">
        <v>9376</v>
      </c>
      <c r="I21" s="6" t="n">
        <v>-7695</v>
      </c>
      <c r="J21" s="6" t="n">
        <v>82.4</v>
      </c>
      <c r="K21" s="6" t="n">
        <v>3.63</v>
      </c>
      <c r="L21" s="6" t="n">
        <v>9.2</v>
      </c>
    </row>
    <row r="22" customFormat="false" ht="15" hidden="false" customHeight="false" outlineLevel="0" collapsed="false">
      <c r="A22" s="6" t="s">
        <v>702</v>
      </c>
      <c r="B22" s="6" t="s">
        <v>223</v>
      </c>
      <c r="C22" s="6" t="n">
        <v>0.3</v>
      </c>
      <c r="D22" s="6" t="s">
        <v>703</v>
      </c>
      <c r="E22" s="6" t="n">
        <v>51</v>
      </c>
      <c r="F22" s="6" t="n">
        <v>302028</v>
      </c>
      <c r="G22" s="6" t="n">
        <v>356352</v>
      </c>
      <c r="H22" s="6" t="n">
        <v>9376</v>
      </c>
      <c r="I22" s="6" t="n">
        <v>-7695</v>
      </c>
      <c r="J22" s="6" t="n">
        <v>82.4</v>
      </c>
      <c r="K22" s="6" t="n">
        <v>3.63</v>
      </c>
      <c r="L22" s="6" t="n">
        <v>9.2</v>
      </c>
    </row>
    <row r="23" customFormat="false" ht="15" hidden="false" customHeight="false" outlineLevel="0" collapsed="false">
      <c r="A23" s="6" t="s">
        <v>702</v>
      </c>
      <c r="B23" s="6" t="s">
        <v>223</v>
      </c>
      <c r="C23" s="6" t="n">
        <v>0.4</v>
      </c>
      <c r="D23" s="6" t="s">
        <v>703</v>
      </c>
      <c r="E23" s="6" t="n">
        <v>51</v>
      </c>
      <c r="F23" s="6" t="n">
        <v>302028</v>
      </c>
      <c r="G23" s="6" t="n">
        <v>355395</v>
      </c>
      <c r="H23" s="6" t="n">
        <v>9376</v>
      </c>
      <c r="I23" s="6" t="n">
        <v>-7695</v>
      </c>
      <c r="J23" s="6" t="n">
        <v>82.4</v>
      </c>
      <c r="K23" s="6" t="n">
        <v>3.63</v>
      </c>
      <c r="L23" s="6" t="n">
        <v>9.2</v>
      </c>
    </row>
    <row r="24" customFormat="false" ht="15" hidden="false" customHeight="false" outlineLevel="0" collapsed="false">
      <c r="A24" s="6" t="s">
        <v>702</v>
      </c>
      <c r="B24" s="6" t="s">
        <v>257</v>
      </c>
      <c r="C24" s="6" t="n">
        <v>0</v>
      </c>
      <c r="D24" s="6" t="s">
        <v>703</v>
      </c>
      <c r="E24" s="6" t="s">
        <v>703</v>
      </c>
      <c r="F24" s="6" t="n">
        <v>329328</v>
      </c>
      <c r="G24" s="6" t="n">
        <v>483080</v>
      </c>
      <c r="H24" s="6" t="n">
        <v>5438</v>
      </c>
      <c r="I24" s="6" t="n">
        <v>-10451</v>
      </c>
      <c r="J24" s="6" t="n">
        <v>82.4</v>
      </c>
      <c r="K24" s="6" t="n">
        <v>3.63</v>
      </c>
      <c r="L24" s="6" t="n">
        <v>9.2</v>
      </c>
    </row>
    <row r="25" customFormat="false" ht="15" hidden="false" customHeight="false" outlineLevel="0" collapsed="false">
      <c r="A25" s="6" t="s">
        <v>702</v>
      </c>
      <c r="B25" s="6" t="s">
        <v>257</v>
      </c>
      <c r="C25" s="6" t="n">
        <v>0.5</v>
      </c>
      <c r="D25" s="6" t="s">
        <v>703</v>
      </c>
      <c r="E25" s="6" t="n">
        <v>60</v>
      </c>
      <c r="F25" s="6" t="n">
        <v>315678</v>
      </c>
      <c r="G25" s="6" t="n">
        <v>410795</v>
      </c>
      <c r="H25" s="6" t="n">
        <v>7407</v>
      </c>
      <c r="I25" s="6" t="n">
        <v>-9073</v>
      </c>
      <c r="J25" s="6" t="n">
        <v>82.4</v>
      </c>
      <c r="K25" s="6" t="n">
        <v>3.63</v>
      </c>
      <c r="L25" s="6" t="n">
        <v>9.2</v>
      </c>
    </row>
    <row r="26" customFormat="false" ht="15" hidden="false" customHeight="false" outlineLevel="0" collapsed="false">
      <c r="A26" s="6" t="s">
        <v>702</v>
      </c>
      <c r="B26" s="6" t="s">
        <v>257</v>
      </c>
      <c r="C26" s="6" t="n">
        <v>1</v>
      </c>
      <c r="D26" s="6" t="s">
        <v>703</v>
      </c>
      <c r="E26" s="6" t="n">
        <v>51</v>
      </c>
      <c r="F26" s="6" t="n">
        <v>302028</v>
      </c>
      <c r="G26" s="6" t="n">
        <v>357308</v>
      </c>
      <c r="H26" s="6" t="n">
        <v>9376</v>
      </c>
      <c r="I26" s="6" t="n">
        <v>-7695</v>
      </c>
      <c r="J26" s="6" t="n">
        <v>82.4</v>
      </c>
      <c r="K26" s="6" t="n">
        <v>3.63</v>
      </c>
      <c r="L26" s="6" t="n">
        <v>9.2</v>
      </c>
    </row>
    <row r="27" customFormat="false" ht="15" hidden="false" customHeight="false" outlineLevel="0" collapsed="false">
      <c r="A27" s="6" t="s">
        <v>702</v>
      </c>
      <c r="B27" s="6" t="s">
        <v>257</v>
      </c>
      <c r="C27" s="6" t="n">
        <v>2</v>
      </c>
      <c r="D27" s="6" t="s">
        <v>703</v>
      </c>
      <c r="E27" s="6" t="n">
        <v>43</v>
      </c>
      <c r="F27" s="6" t="n">
        <v>274728</v>
      </c>
      <c r="G27" s="6" t="n">
        <v>292838</v>
      </c>
      <c r="H27" s="6" t="n">
        <v>13313</v>
      </c>
      <c r="I27" s="6" t="n">
        <v>-4938</v>
      </c>
      <c r="J27" s="6" t="n">
        <v>82.4</v>
      </c>
      <c r="K27" s="6" t="n">
        <v>3.63</v>
      </c>
      <c r="L27" s="6" t="n">
        <v>9.2</v>
      </c>
    </row>
    <row r="28" customFormat="false" ht="15" hidden="false" customHeight="false" outlineLevel="0" collapsed="false">
      <c r="A28" s="6" t="s">
        <v>702</v>
      </c>
      <c r="B28" s="6" t="s">
        <v>257</v>
      </c>
      <c r="C28" s="6" t="n">
        <v>3</v>
      </c>
      <c r="D28" s="6" t="s">
        <v>703</v>
      </c>
      <c r="E28" s="6" t="n">
        <v>40</v>
      </c>
      <c r="F28" s="6" t="n">
        <v>247428</v>
      </c>
      <c r="G28" s="6" t="n">
        <v>250471</v>
      </c>
      <c r="H28" s="6" t="n">
        <v>17251</v>
      </c>
      <c r="I28" s="6" t="n">
        <v>-2182</v>
      </c>
      <c r="J28" s="6" t="n">
        <v>82.4</v>
      </c>
      <c r="K28" s="6" t="n">
        <v>3.63</v>
      </c>
      <c r="L28" s="6" t="n">
        <v>9.2</v>
      </c>
    </row>
    <row r="29" customFormat="false" ht="15" hidden="false" customHeight="false" outlineLevel="0" collapsed="false">
      <c r="A29" s="6" t="s">
        <v>702</v>
      </c>
      <c r="B29" s="6" t="s">
        <v>22</v>
      </c>
      <c r="C29" s="6" t="n">
        <v>20</v>
      </c>
      <c r="D29" s="6" t="s">
        <v>703</v>
      </c>
      <c r="E29" s="6" t="n">
        <v>54</v>
      </c>
      <c r="F29" s="6" t="n">
        <v>292171</v>
      </c>
      <c r="G29" s="6" t="n">
        <v>369654</v>
      </c>
      <c r="H29" s="6" t="n">
        <v>7348</v>
      </c>
      <c r="I29" s="6" t="n">
        <v>-7487</v>
      </c>
      <c r="J29" s="6" t="n">
        <v>51.6</v>
      </c>
      <c r="K29" s="6" t="n">
        <v>3.37</v>
      </c>
      <c r="L29" s="6" t="n">
        <v>9.9</v>
      </c>
    </row>
    <row r="30" customFormat="false" ht="15" hidden="false" customHeight="false" outlineLevel="0" collapsed="false">
      <c r="A30" s="6" t="s">
        <v>702</v>
      </c>
      <c r="B30" s="6" t="s">
        <v>22</v>
      </c>
      <c r="C30" s="6" t="n">
        <v>26</v>
      </c>
      <c r="D30" s="6" t="s">
        <v>703</v>
      </c>
      <c r="E30" s="6" t="n">
        <v>51</v>
      </c>
      <c r="F30" s="6" t="n">
        <v>299079</v>
      </c>
      <c r="G30" s="6" t="n">
        <v>358296</v>
      </c>
      <c r="H30" s="6" t="n">
        <v>9136</v>
      </c>
      <c r="I30" s="6" t="n">
        <v>-7596</v>
      </c>
      <c r="J30" s="6" t="n">
        <v>78.8</v>
      </c>
      <c r="K30" s="6" t="n">
        <v>3.6</v>
      </c>
      <c r="L30" s="6" t="n">
        <v>9.3</v>
      </c>
    </row>
    <row r="31" customFormat="false" ht="15" hidden="false" customHeight="false" outlineLevel="0" collapsed="false">
      <c r="A31" s="6" t="s">
        <v>702</v>
      </c>
      <c r="B31" s="6" t="s">
        <v>22</v>
      </c>
      <c r="C31" s="6" t="n">
        <v>32</v>
      </c>
      <c r="D31" s="6" t="s">
        <v>703</v>
      </c>
      <c r="E31" s="6" t="n">
        <v>51</v>
      </c>
      <c r="F31" s="6" t="n">
        <v>308594</v>
      </c>
      <c r="G31" s="6" t="n">
        <v>354931</v>
      </c>
      <c r="H31" s="6" t="n">
        <v>10630</v>
      </c>
      <c r="I31" s="6" t="n">
        <v>-7897</v>
      </c>
      <c r="J31" s="6" t="n">
        <v>101.5</v>
      </c>
      <c r="K31" s="6" t="n">
        <v>3.75</v>
      </c>
      <c r="L31" s="6" t="n">
        <v>8.9</v>
      </c>
    </row>
    <row r="32" customFormat="false" ht="15" hidden="false" customHeight="false" outlineLevel="0" collapsed="false">
      <c r="A32" s="6" t="s">
        <v>702</v>
      </c>
      <c r="B32" s="6" t="s">
        <v>22</v>
      </c>
      <c r="C32" s="6" t="n">
        <v>38</v>
      </c>
      <c r="D32" s="6" t="s">
        <v>703</v>
      </c>
      <c r="E32" s="6" t="n">
        <v>49</v>
      </c>
      <c r="F32" s="6" t="n">
        <v>314540</v>
      </c>
      <c r="G32" s="6" t="n">
        <v>352188</v>
      </c>
      <c r="H32" s="6" t="n">
        <v>13631</v>
      </c>
      <c r="I32" s="6" t="n">
        <v>-6844</v>
      </c>
      <c r="J32" s="6" t="n">
        <v>124.4</v>
      </c>
      <c r="K32" s="6" t="n">
        <v>3.87</v>
      </c>
      <c r="L32" s="6" t="n">
        <v>8.6</v>
      </c>
    </row>
    <row r="33" customFormat="false" ht="15" hidden="false" customHeight="false" outlineLevel="0" collapsed="false">
      <c r="A33" s="6" t="s">
        <v>702</v>
      </c>
      <c r="B33" s="6" t="s">
        <v>22</v>
      </c>
      <c r="C33" s="6" t="n">
        <v>44</v>
      </c>
      <c r="D33" s="6" t="s">
        <v>703</v>
      </c>
      <c r="E33" s="6" t="n">
        <v>48</v>
      </c>
      <c r="F33" s="6" t="n">
        <v>320947</v>
      </c>
      <c r="G33" s="6" t="n">
        <v>355437</v>
      </c>
      <c r="H33" s="6" t="n">
        <v>16137</v>
      </c>
      <c r="I33" s="6" t="n">
        <v>-6212</v>
      </c>
      <c r="J33" s="6" t="n">
        <v>145.7</v>
      </c>
      <c r="K33" s="6" t="n">
        <v>3.96</v>
      </c>
      <c r="L33" s="6" t="n">
        <v>8.4</v>
      </c>
    </row>
    <row r="34" customFormat="false" ht="15" hidden="false" customHeight="false" outlineLevel="0" collapsed="false">
      <c r="A34" s="6" t="s">
        <v>702</v>
      </c>
      <c r="B34" s="6" t="s">
        <v>30</v>
      </c>
      <c r="C34" s="6" t="n">
        <v>0.005</v>
      </c>
      <c r="D34" s="6" t="s">
        <v>703</v>
      </c>
      <c r="E34" s="6" t="n">
        <v>51</v>
      </c>
      <c r="F34" s="6" t="n">
        <v>300479</v>
      </c>
      <c r="G34" s="6" t="n">
        <v>345634</v>
      </c>
      <c r="H34" s="6" t="n">
        <v>10053</v>
      </c>
      <c r="I34" s="6" t="n">
        <v>-7578</v>
      </c>
      <c r="J34" s="6" t="n">
        <v>92.7</v>
      </c>
      <c r="K34" s="6" t="n">
        <v>3.63</v>
      </c>
      <c r="L34" s="6" t="n">
        <v>9.2</v>
      </c>
    </row>
    <row r="35" customFormat="false" ht="15" hidden="false" customHeight="false" outlineLevel="0" collapsed="false">
      <c r="A35" s="6" t="s">
        <v>702</v>
      </c>
      <c r="B35" s="6" t="s">
        <v>30</v>
      </c>
      <c r="C35" s="6" t="n">
        <v>0.01</v>
      </c>
      <c r="D35" s="6" t="s">
        <v>703</v>
      </c>
      <c r="E35" s="6" t="n">
        <v>51</v>
      </c>
      <c r="F35" s="6" t="n">
        <v>300068</v>
      </c>
      <c r="G35" s="6" t="n">
        <v>350097</v>
      </c>
      <c r="H35" s="6" t="n">
        <v>9773</v>
      </c>
      <c r="I35" s="6" t="n">
        <v>-7592</v>
      </c>
      <c r="J35" s="6" t="n">
        <v>88.5</v>
      </c>
      <c r="K35" s="6" t="n">
        <v>3.63</v>
      </c>
      <c r="L35" s="6" t="n">
        <v>9.2</v>
      </c>
    </row>
    <row r="36" customFormat="false" ht="15" hidden="false" customHeight="false" outlineLevel="0" collapsed="false">
      <c r="A36" s="6" t="s">
        <v>702</v>
      </c>
      <c r="B36" s="6" t="s">
        <v>30</v>
      </c>
      <c r="C36" s="6" t="n">
        <v>0.015</v>
      </c>
      <c r="D36" s="6" t="s">
        <v>703</v>
      </c>
      <c r="E36" s="6" t="n">
        <v>51</v>
      </c>
      <c r="F36" s="6" t="n">
        <v>302028</v>
      </c>
      <c r="G36" s="6" t="n">
        <v>357308</v>
      </c>
      <c r="H36" s="6" t="n">
        <v>9376</v>
      </c>
      <c r="I36" s="6" t="n">
        <v>-7695</v>
      </c>
      <c r="J36" s="6" t="n">
        <v>82.4</v>
      </c>
      <c r="K36" s="6" t="n">
        <v>3.63</v>
      </c>
      <c r="L36" s="6" t="n">
        <v>9.2</v>
      </c>
    </row>
    <row r="37" customFormat="false" ht="15" hidden="false" customHeight="false" outlineLevel="0" collapsed="false">
      <c r="A37" s="6" t="s">
        <v>702</v>
      </c>
      <c r="B37" s="6" t="s">
        <v>30</v>
      </c>
      <c r="C37" s="6" t="n">
        <v>0.025</v>
      </c>
      <c r="D37" s="6" t="s">
        <v>703</v>
      </c>
      <c r="E37" s="6" t="n">
        <v>54</v>
      </c>
      <c r="F37" s="6" t="n">
        <v>302992</v>
      </c>
      <c r="G37" s="6" t="n">
        <v>371584</v>
      </c>
      <c r="H37" s="6" t="n">
        <v>8763</v>
      </c>
      <c r="I37" s="6" t="n">
        <v>-7817</v>
      </c>
      <c r="J37" s="6" t="n">
        <v>73.1</v>
      </c>
      <c r="K37" s="6" t="n">
        <v>3.63</v>
      </c>
      <c r="L37" s="6" t="n">
        <v>9.2</v>
      </c>
    </row>
    <row r="38" customFormat="false" ht="15" hidden="false" customHeight="false" outlineLevel="0" collapsed="false">
      <c r="A38" s="6" t="s">
        <v>702</v>
      </c>
      <c r="B38" s="6" t="s">
        <v>30</v>
      </c>
      <c r="C38" s="6" t="n">
        <v>0.04</v>
      </c>
      <c r="D38" s="6" t="s">
        <v>703</v>
      </c>
      <c r="E38" s="6" t="n">
        <v>57</v>
      </c>
      <c r="F38" s="6" t="n">
        <v>304100</v>
      </c>
      <c r="G38" s="6" t="n">
        <v>396064</v>
      </c>
      <c r="H38" s="6" t="n">
        <v>8030</v>
      </c>
      <c r="I38" s="6" t="n">
        <v>-7953</v>
      </c>
      <c r="J38" s="6" t="n">
        <v>62</v>
      </c>
      <c r="K38" s="6" t="n">
        <v>3.63</v>
      </c>
      <c r="L38" s="6" t="n">
        <v>9.2</v>
      </c>
    </row>
    <row r="39" customFormat="false" ht="15" hidden="false" customHeight="false" outlineLevel="0" collapsed="false">
      <c r="A39" s="6" t="s">
        <v>702</v>
      </c>
      <c r="B39" s="6" t="s">
        <v>704</v>
      </c>
      <c r="C39" s="6" t="n">
        <v>0</v>
      </c>
      <c r="D39" s="6" t="s">
        <v>703</v>
      </c>
      <c r="E39" s="6" t="n">
        <v>42</v>
      </c>
      <c r="F39" s="6" t="n">
        <v>122028</v>
      </c>
      <c r="G39" s="6" t="n">
        <v>125734</v>
      </c>
      <c r="H39" s="6" t="n">
        <v>9376</v>
      </c>
      <c r="I39" s="6" t="n">
        <v>-1695</v>
      </c>
      <c r="J39" s="6" t="n">
        <v>82.4</v>
      </c>
      <c r="K39" s="6" t="n">
        <v>3.63</v>
      </c>
      <c r="L39" s="6" t="n">
        <v>9.2</v>
      </c>
    </row>
    <row r="40" customFormat="false" ht="15" hidden="false" customHeight="false" outlineLevel="0" collapsed="false">
      <c r="A40" s="6" t="s">
        <v>702</v>
      </c>
      <c r="B40" s="6" t="s">
        <v>704</v>
      </c>
      <c r="C40" s="6" t="n">
        <v>0.5</v>
      </c>
      <c r="D40" s="6" t="s">
        <v>703</v>
      </c>
      <c r="E40" s="6" t="n">
        <v>45</v>
      </c>
      <c r="F40" s="6" t="n">
        <v>212028</v>
      </c>
      <c r="G40" s="6" t="n">
        <v>234102</v>
      </c>
      <c r="H40" s="6" t="n">
        <v>9376</v>
      </c>
      <c r="I40" s="6" t="n">
        <v>-4695</v>
      </c>
      <c r="J40" s="6" t="n">
        <v>82.4</v>
      </c>
      <c r="K40" s="6" t="n">
        <v>3.63</v>
      </c>
      <c r="L40" s="6" t="n">
        <v>9.2</v>
      </c>
    </row>
    <row r="41" customFormat="false" ht="15" hidden="false" customHeight="false" outlineLevel="0" collapsed="false">
      <c r="A41" s="6" t="s">
        <v>702</v>
      </c>
      <c r="B41" s="6" t="s">
        <v>704</v>
      </c>
      <c r="C41" s="6" t="n">
        <v>1</v>
      </c>
      <c r="D41" s="6" t="s">
        <v>703</v>
      </c>
      <c r="E41" s="6" t="n">
        <v>51</v>
      </c>
      <c r="F41" s="6" t="n">
        <v>302028</v>
      </c>
      <c r="G41" s="6" t="n">
        <v>357308</v>
      </c>
      <c r="H41" s="6" t="n">
        <v>9376</v>
      </c>
      <c r="I41" s="6" t="n">
        <v>-7695</v>
      </c>
      <c r="J41" s="6" t="n">
        <v>82.4</v>
      </c>
      <c r="K41" s="6" t="n">
        <v>3.63</v>
      </c>
      <c r="L41" s="6" t="n">
        <v>9.2</v>
      </c>
    </row>
    <row r="42" customFormat="false" ht="15" hidden="false" customHeight="false" outlineLevel="0" collapsed="false">
      <c r="A42" s="6" t="s">
        <v>702</v>
      </c>
      <c r="B42" s="6" t="s">
        <v>704</v>
      </c>
      <c r="C42" s="6" t="n">
        <v>1.5</v>
      </c>
      <c r="D42" s="6" t="s">
        <v>703</v>
      </c>
      <c r="E42" s="6" t="n">
        <v>60</v>
      </c>
      <c r="F42" s="6" t="n">
        <v>392028</v>
      </c>
      <c r="G42" s="6" t="n">
        <v>500730</v>
      </c>
      <c r="H42" s="6" t="n">
        <v>9376</v>
      </c>
      <c r="I42" s="6" t="n">
        <v>-10695</v>
      </c>
      <c r="J42" s="6" t="n">
        <v>82.4</v>
      </c>
      <c r="K42" s="6" t="n">
        <v>3.63</v>
      </c>
      <c r="L42" s="6" t="n">
        <v>9.2</v>
      </c>
    </row>
    <row r="43" customFormat="false" ht="15" hidden="false" customHeight="false" outlineLevel="0" collapsed="false">
      <c r="A43" s="6" t="s">
        <v>705</v>
      </c>
      <c r="B43" s="6" t="s">
        <v>117</v>
      </c>
      <c r="C43" s="6" t="n">
        <v>0.5</v>
      </c>
      <c r="D43" s="6" t="s">
        <v>703</v>
      </c>
      <c r="E43" s="6" t="n">
        <v>39</v>
      </c>
      <c r="F43" s="6" t="n">
        <v>185449</v>
      </c>
      <c r="G43" s="6" t="n">
        <v>186280</v>
      </c>
      <c r="H43" s="6" t="n">
        <v>17791</v>
      </c>
      <c r="I43" s="6" t="n">
        <v>-1059</v>
      </c>
      <c r="J43" s="6" t="n">
        <v>71.1</v>
      </c>
      <c r="K43" s="6" t="n">
        <v>2.37</v>
      </c>
      <c r="L43" s="6" t="n">
        <v>14.1</v>
      </c>
    </row>
    <row r="44" customFormat="false" ht="15" hidden="false" customHeight="false" outlineLevel="0" collapsed="false">
      <c r="A44" s="6" t="s">
        <v>705</v>
      </c>
      <c r="B44" s="6" t="s">
        <v>117</v>
      </c>
      <c r="C44" s="6" t="n">
        <v>0.75</v>
      </c>
      <c r="D44" s="6" t="s">
        <v>703</v>
      </c>
      <c r="E44" s="6" t="n">
        <v>37</v>
      </c>
      <c r="F44" s="6" t="n">
        <v>175678</v>
      </c>
      <c r="G44" s="6" t="n">
        <v>175678</v>
      </c>
      <c r="H44" s="6" t="n">
        <v>19708</v>
      </c>
      <c r="I44" s="6" t="n">
        <v>-6</v>
      </c>
      <c r="J44" s="6" t="n">
        <v>100.3</v>
      </c>
      <c r="K44" s="6" t="n">
        <v>3.09</v>
      </c>
      <c r="L44" s="6" t="n">
        <v>10.8</v>
      </c>
    </row>
    <row r="45" customFormat="false" ht="15" hidden="false" customHeight="false" outlineLevel="0" collapsed="false">
      <c r="A45" s="6" t="s">
        <v>705</v>
      </c>
      <c r="B45" s="6" t="s">
        <v>117</v>
      </c>
      <c r="C45" s="6" t="n">
        <v>1</v>
      </c>
      <c r="D45" s="6" t="n">
        <v>35</v>
      </c>
      <c r="E45" s="6" t="n">
        <v>35</v>
      </c>
      <c r="F45" s="6" t="n">
        <v>167965</v>
      </c>
      <c r="G45" s="6" t="n">
        <v>167965</v>
      </c>
      <c r="H45" s="6" t="n">
        <v>21390</v>
      </c>
      <c r="I45" s="6" t="n">
        <v>921</v>
      </c>
      <c r="J45" s="6" t="n">
        <v>126</v>
      </c>
      <c r="K45" s="6" t="n">
        <v>3.63</v>
      </c>
      <c r="L45" s="6" t="n">
        <v>9.2</v>
      </c>
    </row>
    <row r="46" customFormat="false" ht="15" hidden="false" customHeight="false" outlineLevel="0" collapsed="false">
      <c r="A46" s="6" t="s">
        <v>705</v>
      </c>
      <c r="B46" s="6" t="s">
        <v>117</v>
      </c>
      <c r="C46" s="6" t="n">
        <v>1.25</v>
      </c>
      <c r="D46" s="6" t="n">
        <v>34</v>
      </c>
      <c r="E46" s="6" t="n">
        <v>34</v>
      </c>
      <c r="F46" s="6" t="n">
        <v>161766</v>
      </c>
      <c r="G46" s="6" t="n">
        <v>161766</v>
      </c>
      <c r="H46" s="6" t="n">
        <v>22874</v>
      </c>
      <c r="I46" s="6" t="n">
        <v>1742</v>
      </c>
      <c r="J46" s="6" t="n">
        <v>148.8</v>
      </c>
      <c r="K46" s="6" t="n">
        <v>4.04</v>
      </c>
      <c r="L46" s="6" t="n">
        <v>8.3</v>
      </c>
    </row>
    <row r="47" customFormat="false" ht="15" hidden="false" customHeight="false" outlineLevel="0" collapsed="false">
      <c r="A47" s="6" t="s">
        <v>705</v>
      </c>
      <c r="B47" s="6" t="s">
        <v>117</v>
      </c>
      <c r="C47" s="6" t="n">
        <v>1.5</v>
      </c>
      <c r="D47" s="6" t="n">
        <v>33</v>
      </c>
      <c r="E47" s="6" t="n">
        <v>33</v>
      </c>
      <c r="F47" s="6" t="n">
        <v>156732</v>
      </c>
      <c r="G47" s="6" t="n">
        <v>156732</v>
      </c>
      <c r="H47" s="6" t="n">
        <v>24188</v>
      </c>
      <c r="I47" s="6" t="n">
        <v>2472</v>
      </c>
      <c r="J47" s="6" t="n">
        <v>169</v>
      </c>
      <c r="K47" s="6" t="n">
        <v>4.35</v>
      </c>
      <c r="L47" s="6" t="n">
        <v>7.7</v>
      </c>
    </row>
    <row r="48" customFormat="false" ht="15" hidden="false" customHeight="false" outlineLevel="0" collapsed="false">
      <c r="A48" s="6" t="s">
        <v>705</v>
      </c>
      <c r="B48" s="6" t="s">
        <v>121</v>
      </c>
      <c r="C48" s="6" t="n">
        <v>0.02</v>
      </c>
      <c r="D48" s="6" t="n">
        <v>35</v>
      </c>
      <c r="E48" s="6" t="n">
        <v>35</v>
      </c>
      <c r="F48" s="6" t="n">
        <v>166155</v>
      </c>
      <c r="G48" s="6" t="n">
        <v>166155</v>
      </c>
      <c r="H48" s="6" t="n">
        <v>21899</v>
      </c>
      <c r="I48" s="6" t="n">
        <v>1251</v>
      </c>
      <c r="J48" s="6" t="n">
        <v>133.7</v>
      </c>
      <c r="K48" s="6" t="n">
        <v>5.45</v>
      </c>
      <c r="L48" s="6" t="n">
        <v>9.2</v>
      </c>
    </row>
    <row r="49" customFormat="false" ht="15" hidden="false" customHeight="false" outlineLevel="0" collapsed="false">
      <c r="A49" s="6" t="s">
        <v>705</v>
      </c>
      <c r="B49" s="6" t="s">
        <v>121</v>
      </c>
      <c r="C49" s="6" t="n">
        <v>0.03</v>
      </c>
      <c r="D49" s="6" t="n">
        <v>35</v>
      </c>
      <c r="E49" s="6" t="n">
        <v>35</v>
      </c>
      <c r="F49" s="6" t="n">
        <v>167965</v>
      </c>
      <c r="G49" s="6" t="n">
        <v>167965</v>
      </c>
      <c r="H49" s="6" t="n">
        <v>21390</v>
      </c>
      <c r="I49" s="6" t="n">
        <v>921</v>
      </c>
      <c r="J49" s="6" t="n">
        <v>126</v>
      </c>
      <c r="K49" s="6" t="n">
        <v>3.63</v>
      </c>
      <c r="L49" s="6" t="n">
        <v>9.2</v>
      </c>
    </row>
    <row r="50" customFormat="false" ht="15" hidden="false" customHeight="false" outlineLevel="0" collapsed="false">
      <c r="A50" s="6" t="s">
        <v>705</v>
      </c>
      <c r="B50" s="6" t="s">
        <v>121</v>
      </c>
      <c r="C50" s="6" t="n">
        <v>0.045</v>
      </c>
      <c r="D50" s="6" t="n">
        <v>36</v>
      </c>
      <c r="E50" s="6" t="n">
        <v>36</v>
      </c>
      <c r="F50" s="6" t="n">
        <v>170631</v>
      </c>
      <c r="G50" s="6" t="n">
        <v>170631</v>
      </c>
      <c r="H50" s="6" t="n">
        <v>20712</v>
      </c>
      <c r="I50" s="6" t="n">
        <v>481</v>
      </c>
      <c r="J50" s="6" t="n">
        <v>115.7</v>
      </c>
      <c r="K50" s="6" t="n">
        <v>2.42</v>
      </c>
      <c r="L50" s="6" t="n">
        <v>9.2</v>
      </c>
    </row>
    <row r="51" customFormat="false" ht="15" hidden="false" customHeight="false" outlineLevel="0" collapsed="false">
      <c r="A51" s="6" t="s">
        <v>705</v>
      </c>
      <c r="B51" s="6" t="s">
        <v>121</v>
      </c>
      <c r="C51" s="6" t="n">
        <v>0.06</v>
      </c>
      <c r="D51" s="6" t="n">
        <v>36</v>
      </c>
      <c r="E51" s="6" t="n">
        <v>36</v>
      </c>
      <c r="F51" s="6" t="n">
        <v>173225</v>
      </c>
      <c r="G51" s="6" t="n">
        <v>173225</v>
      </c>
      <c r="H51" s="6" t="n">
        <v>20121</v>
      </c>
      <c r="I51" s="6" t="n">
        <v>98</v>
      </c>
      <c r="J51" s="6" t="n">
        <v>106.8</v>
      </c>
      <c r="K51" s="6" t="n">
        <v>1.82</v>
      </c>
      <c r="L51" s="6" t="n">
        <v>9.2</v>
      </c>
    </row>
    <row r="52" customFormat="false" ht="15" hidden="false" customHeight="false" outlineLevel="0" collapsed="false">
      <c r="A52" s="6" t="s">
        <v>705</v>
      </c>
      <c r="B52" s="6" t="s">
        <v>121</v>
      </c>
      <c r="C52" s="6" t="n">
        <v>0.08</v>
      </c>
      <c r="D52" s="6" t="s">
        <v>703</v>
      </c>
      <c r="E52" s="6" t="n">
        <v>38</v>
      </c>
      <c r="F52" s="6" t="n">
        <v>176631</v>
      </c>
      <c r="G52" s="6" t="n">
        <v>176645</v>
      </c>
      <c r="H52" s="6" t="n">
        <v>19445</v>
      </c>
      <c r="I52" s="6" t="n">
        <v>-340</v>
      </c>
      <c r="J52" s="6" t="n">
        <v>96.5</v>
      </c>
      <c r="K52" s="6" t="n">
        <v>1.36</v>
      </c>
      <c r="L52" s="6" t="n">
        <v>9.2</v>
      </c>
    </row>
    <row r="53" customFormat="false" ht="15" hidden="false" customHeight="false" outlineLevel="0" collapsed="false">
      <c r="A53" s="6" t="s">
        <v>705</v>
      </c>
      <c r="B53" s="6" t="s">
        <v>299</v>
      </c>
      <c r="C53" s="6" t="n">
        <v>0.5</v>
      </c>
      <c r="D53" s="6" t="n">
        <v>31</v>
      </c>
      <c r="E53" s="6" t="n">
        <v>31</v>
      </c>
      <c r="F53" s="6" t="n">
        <v>122859</v>
      </c>
      <c r="G53" s="6" t="n">
        <v>122859</v>
      </c>
      <c r="H53" s="6" t="n">
        <v>21390</v>
      </c>
      <c r="I53" s="6" t="n">
        <v>4142</v>
      </c>
      <c r="J53" s="6" t="n">
        <v>126</v>
      </c>
      <c r="K53" s="6" t="n">
        <v>7.26</v>
      </c>
      <c r="L53" s="6" t="n">
        <v>4.6</v>
      </c>
    </row>
    <row r="54" customFormat="false" ht="15" hidden="false" customHeight="false" outlineLevel="0" collapsed="false">
      <c r="A54" s="6" t="s">
        <v>705</v>
      </c>
      <c r="B54" s="6" t="s">
        <v>299</v>
      </c>
      <c r="C54" s="6" t="n">
        <v>0.75</v>
      </c>
      <c r="D54" s="6" t="n">
        <v>33</v>
      </c>
      <c r="E54" s="6" t="n">
        <v>33</v>
      </c>
      <c r="F54" s="6" t="n">
        <v>143945</v>
      </c>
      <c r="G54" s="6" t="n">
        <v>143945</v>
      </c>
      <c r="H54" s="6" t="n">
        <v>21390</v>
      </c>
      <c r="I54" s="6" t="n">
        <v>2532</v>
      </c>
      <c r="J54" s="6" t="n">
        <v>126</v>
      </c>
      <c r="K54" s="6" t="n">
        <v>4.84</v>
      </c>
      <c r="L54" s="6" t="n">
        <v>6.9</v>
      </c>
    </row>
    <row r="55" customFormat="false" ht="15" hidden="false" customHeight="false" outlineLevel="0" collapsed="false">
      <c r="A55" s="6" t="s">
        <v>705</v>
      </c>
      <c r="B55" s="6" t="s">
        <v>299</v>
      </c>
      <c r="C55" s="6" t="n">
        <v>1</v>
      </c>
      <c r="D55" s="6" t="n">
        <v>35</v>
      </c>
      <c r="E55" s="6" t="n">
        <v>35</v>
      </c>
      <c r="F55" s="6" t="n">
        <v>167965</v>
      </c>
      <c r="G55" s="6" t="n">
        <v>167965</v>
      </c>
      <c r="H55" s="6" t="n">
        <v>21390</v>
      </c>
      <c r="I55" s="6" t="n">
        <v>921</v>
      </c>
      <c r="J55" s="6" t="n">
        <v>126</v>
      </c>
      <c r="K55" s="6" t="n">
        <v>3.63</v>
      </c>
      <c r="L55" s="6" t="n">
        <v>9.2</v>
      </c>
    </row>
    <row r="56" customFormat="false" ht="15" hidden="false" customHeight="false" outlineLevel="0" collapsed="false">
      <c r="A56" s="6" t="s">
        <v>705</v>
      </c>
      <c r="B56" s="6" t="s">
        <v>299</v>
      </c>
      <c r="C56" s="6" t="n">
        <v>1.5</v>
      </c>
      <c r="D56" s="6" t="s">
        <v>703</v>
      </c>
      <c r="E56" s="6" t="n">
        <v>40</v>
      </c>
      <c r="F56" s="6" t="n">
        <v>224279</v>
      </c>
      <c r="G56" s="6" t="n">
        <v>227685</v>
      </c>
      <c r="H56" s="6" t="n">
        <v>21390</v>
      </c>
      <c r="I56" s="6" t="n">
        <v>-2299</v>
      </c>
      <c r="J56" s="6" t="n">
        <v>126</v>
      </c>
      <c r="K56" s="6" t="n">
        <v>2.42</v>
      </c>
      <c r="L56" s="6" t="n">
        <v>13.8</v>
      </c>
    </row>
    <row r="57" customFormat="false" ht="15" hidden="false" customHeight="false" outlineLevel="0" collapsed="false">
      <c r="A57" s="6" t="s">
        <v>705</v>
      </c>
      <c r="B57" s="6" t="s">
        <v>299</v>
      </c>
      <c r="C57" s="6" t="n">
        <v>2</v>
      </c>
      <c r="D57" s="6" t="s">
        <v>703</v>
      </c>
      <c r="E57" s="6" t="n">
        <v>44</v>
      </c>
      <c r="F57" s="6" t="n">
        <v>281734</v>
      </c>
      <c r="G57" s="6" t="n">
        <v>301787</v>
      </c>
      <c r="H57" s="6" t="n">
        <v>21390</v>
      </c>
      <c r="I57" s="6" t="n">
        <v>-5520</v>
      </c>
      <c r="J57" s="6" t="n">
        <v>126</v>
      </c>
      <c r="K57" s="6" t="n">
        <v>1.82</v>
      </c>
      <c r="L57" s="6" t="n">
        <v>18.4</v>
      </c>
    </row>
    <row r="58" customFormat="false" ht="15" hidden="false" customHeight="false" outlineLevel="0" collapsed="false">
      <c r="A58" s="6" t="s">
        <v>705</v>
      </c>
      <c r="B58" s="6" t="s">
        <v>223</v>
      </c>
      <c r="C58" s="6" t="n">
        <v>0.05</v>
      </c>
      <c r="D58" s="6" t="n">
        <v>35</v>
      </c>
      <c r="E58" s="6" t="n">
        <v>35</v>
      </c>
      <c r="F58" s="6" t="n">
        <v>168403</v>
      </c>
      <c r="G58" s="6" t="n">
        <v>168403</v>
      </c>
      <c r="H58" s="6" t="n">
        <v>21219</v>
      </c>
      <c r="I58" s="6" t="n">
        <v>767</v>
      </c>
      <c r="J58" s="6" t="n">
        <v>126</v>
      </c>
      <c r="K58" s="6" t="n">
        <v>3.63</v>
      </c>
      <c r="L58" s="6" t="n">
        <v>9.2</v>
      </c>
    </row>
    <row r="59" customFormat="false" ht="15" hidden="false" customHeight="false" outlineLevel="0" collapsed="false">
      <c r="A59" s="6" t="s">
        <v>705</v>
      </c>
      <c r="B59" s="6" t="s">
        <v>223</v>
      </c>
      <c r="C59" s="6" t="n">
        <v>0.1</v>
      </c>
      <c r="D59" s="6" t="n">
        <v>35</v>
      </c>
      <c r="E59" s="6" t="n">
        <v>35</v>
      </c>
      <c r="F59" s="6" t="n">
        <v>168257</v>
      </c>
      <c r="G59" s="6" t="n">
        <v>168257</v>
      </c>
      <c r="H59" s="6" t="n">
        <v>21276</v>
      </c>
      <c r="I59" s="6" t="n">
        <v>819</v>
      </c>
      <c r="J59" s="6" t="n">
        <v>126</v>
      </c>
      <c r="K59" s="6" t="n">
        <v>3.63</v>
      </c>
      <c r="L59" s="6" t="n">
        <v>9.2</v>
      </c>
    </row>
    <row r="60" customFormat="false" ht="15" hidden="false" customHeight="false" outlineLevel="0" collapsed="false">
      <c r="A60" s="6" t="s">
        <v>705</v>
      </c>
      <c r="B60" s="6" t="s">
        <v>223</v>
      </c>
      <c r="C60" s="6" t="n">
        <v>0.2</v>
      </c>
      <c r="D60" s="6" t="n">
        <v>35</v>
      </c>
      <c r="E60" s="6" t="n">
        <v>35</v>
      </c>
      <c r="F60" s="6" t="n">
        <v>167965</v>
      </c>
      <c r="G60" s="6" t="n">
        <v>167965</v>
      </c>
      <c r="H60" s="6" t="n">
        <v>21390</v>
      </c>
      <c r="I60" s="6" t="n">
        <v>921</v>
      </c>
      <c r="J60" s="6" t="n">
        <v>126</v>
      </c>
      <c r="K60" s="6" t="n">
        <v>3.63</v>
      </c>
      <c r="L60" s="6" t="n">
        <v>9.2</v>
      </c>
    </row>
    <row r="61" customFormat="false" ht="15" hidden="false" customHeight="false" outlineLevel="0" collapsed="false">
      <c r="A61" s="6" t="s">
        <v>705</v>
      </c>
      <c r="B61" s="6" t="s">
        <v>223</v>
      </c>
      <c r="C61" s="6" t="n">
        <v>0.3</v>
      </c>
      <c r="D61" s="6" t="n">
        <v>35</v>
      </c>
      <c r="E61" s="6" t="n">
        <v>35</v>
      </c>
      <c r="F61" s="6" t="n">
        <v>167674</v>
      </c>
      <c r="G61" s="6" t="n">
        <v>167674</v>
      </c>
      <c r="H61" s="6" t="n">
        <v>21504</v>
      </c>
      <c r="I61" s="6" t="n">
        <v>1024</v>
      </c>
      <c r="J61" s="6" t="n">
        <v>126</v>
      </c>
      <c r="K61" s="6" t="n">
        <v>3.63</v>
      </c>
      <c r="L61" s="6" t="n">
        <v>9.2</v>
      </c>
    </row>
    <row r="62" customFormat="false" ht="15" hidden="false" customHeight="false" outlineLevel="0" collapsed="false">
      <c r="A62" s="6" t="s">
        <v>705</v>
      </c>
      <c r="B62" s="6" t="s">
        <v>223</v>
      </c>
      <c r="C62" s="6" t="n">
        <v>0.4</v>
      </c>
      <c r="D62" s="6" t="n">
        <v>35</v>
      </c>
      <c r="E62" s="6" t="n">
        <v>35</v>
      </c>
      <c r="F62" s="6" t="n">
        <v>167382</v>
      </c>
      <c r="G62" s="6" t="n">
        <v>167382</v>
      </c>
      <c r="H62" s="6" t="n">
        <v>21618</v>
      </c>
      <c r="I62" s="6" t="n">
        <v>1126</v>
      </c>
      <c r="J62" s="6" t="n">
        <v>126</v>
      </c>
      <c r="K62" s="6" t="n">
        <v>3.63</v>
      </c>
      <c r="L62" s="6" t="n">
        <v>9.2</v>
      </c>
    </row>
    <row r="63" customFormat="false" ht="15" hidden="false" customHeight="false" outlineLevel="0" collapsed="false">
      <c r="A63" s="6" t="s">
        <v>705</v>
      </c>
      <c r="B63" s="6" t="s">
        <v>257</v>
      </c>
      <c r="C63" s="6" t="n">
        <v>0</v>
      </c>
      <c r="D63" s="6" t="s">
        <v>703</v>
      </c>
      <c r="E63" s="6" t="n">
        <v>56</v>
      </c>
      <c r="F63" s="6" t="n">
        <v>245836</v>
      </c>
      <c r="G63" s="6" t="n">
        <v>312503</v>
      </c>
      <c r="H63" s="6" t="n">
        <v>10515</v>
      </c>
      <c r="I63" s="6" t="n">
        <v>-6691</v>
      </c>
      <c r="J63" s="6" t="n">
        <v>126</v>
      </c>
      <c r="K63" s="6" t="n">
        <v>3.63</v>
      </c>
      <c r="L63" s="6" t="n">
        <v>9.2</v>
      </c>
    </row>
    <row r="64" customFormat="false" ht="15" hidden="false" customHeight="false" outlineLevel="0" collapsed="false">
      <c r="A64" s="6" t="s">
        <v>705</v>
      </c>
      <c r="B64" s="6" t="s">
        <v>257</v>
      </c>
      <c r="C64" s="6" t="n">
        <v>0.5</v>
      </c>
      <c r="D64" s="6" t="s">
        <v>703</v>
      </c>
      <c r="E64" s="6" t="n">
        <v>47</v>
      </c>
      <c r="F64" s="6" t="n">
        <v>226082</v>
      </c>
      <c r="G64" s="6" t="n">
        <v>251350</v>
      </c>
      <c r="H64" s="6" t="n">
        <v>13234</v>
      </c>
      <c r="I64" s="6" t="n">
        <v>-4788</v>
      </c>
      <c r="J64" s="6" t="n">
        <v>126</v>
      </c>
      <c r="K64" s="6" t="n">
        <v>3.63</v>
      </c>
      <c r="L64" s="6" t="n">
        <v>9.2</v>
      </c>
    </row>
    <row r="65" customFormat="false" ht="15" hidden="false" customHeight="false" outlineLevel="0" collapsed="false">
      <c r="A65" s="6" t="s">
        <v>705</v>
      </c>
      <c r="B65" s="6" t="s">
        <v>257</v>
      </c>
      <c r="C65" s="6" t="n">
        <v>1</v>
      </c>
      <c r="D65" s="6" t="s">
        <v>703</v>
      </c>
      <c r="E65" s="6" t="n">
        <v>42</v>
      </c>
      <c r="F65" s="6" t="n">
        <v>206329</v>
      </c>
      <c r="G65" s="6" t="n">
        <v>213575</v>
      </c>
      <c r="H65" s="6" t="n">
        <v>15953</v>
      </c>
      <c r="I65" s="6" t="n">
        <v>-2885</v>
      </c>
      <c r="J65" s="6" t="n">
        <v>126</v>
      </c>
      <c r="K65" s="6" t="n">
        <v>3.63</v>
      </c>
      <c r="L65" s="6" t="n">
        <v>9.2</v>
      </c>
    </row>
    <row r="66" customFormat="false" ht="15" hidden="false" customHeight="false" outlineLevel="0" collapsed="false">
      <c r="A66" s="6" t="s">
        <v>705</v>
      </c>
      <c r="B66" s="6" t="s">
        <v>257</v>
      </c>
      <c r="C66" s="6" t="n">
        <v>2</v>
      </c>
      <c r="D66" s="6" t="n">
        <v>35</v>
      </c>
      <c r="E66" s="6" t="n">
        <v>35</v>
      </c>
      <c r="F66" s="6" t="n">
        <v>167965</v>
      </c>
      <c r="G66" s="6" t="n">
        <v>167965</v>
      </c>
      <c r="H66" s="6" t="n">
        <v>21390</v>
      </c>
      <c r="I66" s="6" t="n">
        <v>921</v>
      </c>
      <c r="J66" s="6" t="n">
        <v>126</v>
      </c>
      <c r="K66" s="6" t="n">
        <v>3.63</v>
      </c>
      <c r="L66" s="6" t="n">
        <v>9.2</v>
      </c>
    </row>
    <row r="67" customFormat="false" ht="15" hidden="false" customHeight="false" outlineLevel="0" collapsed="false">
      <c r="A67" s="6" t="s">
        <v>705</v>
      </c>
      <c r="B67" s="6" t="s">
        <v>257</v>
      </c>
      <c r="C67" s="6" t="n">
        <v>3</v>
      </c>
      <c r="D67" s="6" t="n">
        <v>31</v>
      </c>
      <c r="E67" s="6" t="n">
        <v>31</v>
      </c>
      <c r="F67" s="6" t="n">
        <v>142532</v>
      </c>
      <c r="G67" s="6" t="n">
        <v>142532</v>
      </c>
      <c r="H67" s="6" t="n">
        <v>26828</v>
      </c>
      <c r="I67" s="6" t="n">
        <v>4727</v>
      </c>
      <c r="J67" s="6" t="n">
        <v>126</v>
      </c>
      <c r="K67" s="6" t="n">
        <v>3.63</v>
      </c>
      <c r="L67" s="6" t="n">
        <v>9.2</v>
      </c>
    </row>
    <row r="68" customFormat="false" ht="15" hidden="false" customHeight="false" outlineLevel="0" collapsed="false">
      <c r="A68" s="6" t="s">
        <v>705</v>
      </c>
      <c r="B68" s="6" t="s">
        <v>22</v>
      </c>
      <c r="C68" s="6" t="n">
        <v>20</v>
      </c>
      <c r="D68" s="6" t="n">
        <v>36</v>
      </c>
      <c r="E68" s="6" t="n">
        <v>36</v>
      </c>
      <c r="F68" s="6" t="n">
        <v>162102</v>
      </c>
      <c r="G68" s="6" t="n">
        <v>162102</v>
      </c>
      <c r="H68" s="6" t="n">
        <v>17679</v>
      </c>
      <c r="I68" s="6" t="n">
        <v>308</v>
      </c>
      <c r="J68" s="6" t="n">
        <v>90.5</v>
      </c>
      <c r="K68" s="6" t="n">
        <v>3.37</v>
      </c>
      <c r="L68" s="6" t="n">
        <v>9.9</v>
      </c>
    </row>
    <row r="69" customFormat="false" ht="15" hidden="false" customHeight="false" outlineLevel="0" collapsed="false">
      <c r="A69" s="6" t="s">
        <v>705</v>
      </c>
      <c r="B69" s="6" t="s">
        <v>22</v>
      </c>
      <c r="C69" s="6" t="n">
        <v>26</v>
      </c>
      <c r="D69" s="6" t="n">
        <v>35</v>
      </c>
      <c r="E69" s="6" t="n">
        <v>35</v>
      </c>
      <c r="F69" s="6" t="n">
        <v>166645</v>
      </c>
      <c r="G69" s="6" t="n">
        <v>166645</v>
      </c>
      <c r="H69" s="6" t="n">
        <v>20926</v>
      </c>
      <c r="I69" s="6" t="n">
        <v>953</v>
      </c>
      <c r="J69" s="6" t="n">
        <v>120.4</v>
      </c>
      <c r="K69" s="6" t="n">
        <v>3.6</v>
      </c>
      <c r="L69" s="6" t="n">
        <v>9.3</v>
      </c>
    </row>
    <row r="70" customFormat="false" ht="15" hidden="false" customHeight="false" outlineLevel="0" collapsed="false">
      <c r="A70" s="6" t="s">
        <v>705</v>
      </c>
      <c r="B70" s="6" t="s">
        <v>22</v>
      </c>
      <c r="C70" s="6" t="n">
        <v>32</v>
      </c>
      <c r="D70" s="6" t="n">
        <v>35</v>
      </c>
      <c r="E70" s="6" t="n">
        <v>35</v>
      </c>
      <c r="F70" s="6" t="n">
        <v>173739</v>
      </c>
      <c r="G70" s="6" t="n">
        <v>173739</v>
      </c>
      <c r="H70" s="6" t="n">
        <v>23293</v>
      </c>
      <c r="I70" s="6" t="n">
        <v>824</v>
      </c>
      <c r="J70" s="6" t="n">
        <v>149</v>
      </c>
      <c r="K70" s="6" t="n">
        <v>3.75</v>
      </c>
      <c r="L70" s="6" t="n">
        <v>8.9</v>
      </c>
    </row>
    <row r="71" customFormat="false" ht="15" hidden="false" customHeight="false" outlineLevel="0" collapsed="false">
      <c r="A71" s="6" t="s">
        <v>705</v>
      </c>
      <c r="B71" s="6" t="s">
        <v>22</v>
      </c>
      <c r="C71" s="6" t="n">
        <v>38</v>
      </c>
      <c r="D71" s="6" t="n">
        <v>36</v>
      </c>
      <c r="E71" s="6" t="n">
        <v>36</v>
      </c>
      <c r="F71" s="6" t="n">
        <v>179762</v>
      </c>
      <c r="G71" s="6" t="n">
        <v>179762</v>
      </c>
      <c r="H71" s="6" t="n">
        <v>25667</v>
      </c>
      <c r="I71" s="6" t="n">
        <v>699</v>
      </c>
      <c r="J71" s="6" t="n">
        <v>177.7</v>
      </c>
      <c r="K71" s="6" t="n">
        <v>3.87</v>
      </c>
      <c r="L71" s="6" t="n">
        <v>8.6</v>
      </c>
    </row>
    <row r="72" customFormat="false" ht="15" hidden="false" customHeight="false" outlineLevel="0" collapsed="false">
      <c r="A72" s="6" t="s">
        <v>705</v>
      </c>
      <c r="B72" s="6" t="s">
        <v>22</v>
      </c>
      <c r="C72" s="6" t="n">
        <v>44</v>
      </c>
      <c r="D72" s="6" t="n">
        <v>36</v>
      </c>
      <c r="E72" s="6" t="n">
        <v>36</v>
      </c>
      <c r="F72" s="6" t="n">
        <v>188737</v>
      </c>
      <c r="G72" s="6" t="n">
        <v>188737</v>
      </c>
      <c r="H72" s="6" t="n">
        <v>28040</v>
      </c>
      <c r="I72" s="6" t="n">
        <v>573</v>
      </c>
      <c r="J72" s="6" t="n">
        <v>206.5</v>
      </c>
      <c r="K72" s="6" t="n">
        <v>3.96</v>
      </c>
      <c r="L72" s="6" t="n">
        <v>8.4</v>
      </c>
    </row>
    <row r="73" customFormat="false" ht="15" hidden="false" customHeight="false" outlineLevel="0" collapsed="false">
      <c r="A73" s="6" t="s">
        <v>705</v>
      </c>
      <c r="B73" s="6" t="s">
        <v>30</v>
      </c>
      <c r="C73" s="6" t="n">
        <v>0.005</v>
      </c>
      <c r="D73" s="6" t="n">
        <v>35</v>
      </c>
      <c r="E73" s="6" t="n">
        <v>35</v>
      </c>
      <c r="F73" s="6" t="n">
        <v>164557</v>
      </c>
      <c r="G73" s="6" t="n">
        <v>164557</v>
      </c>
      <c r="H73" s="6" t="n">
        <v>22451</v>
      </c>
      <c r="I73" s="6" t="n">
        <v>1230</v>
      </c>
      <c r="J73" s="6" t="n">
        <v>138.4</v>
      </c>
      <c r="K73" s="6" t="n">
        <v>3.63</v>
      </c>
      <c r="L73" s="6" t="n">
        <v>9.2</v>
      </c>
    </row>
    <row r="74" customFormat="false" ht="15" hidden="false" customHeight="false" outlineLevel="0" collapsed="false">
      <c r="A74" s="6" t="s">
        <v>705</v>
      </c>
      <c r="B74" s="6" t="s">
        <v>30</v>
      </c>
      <c r="C74" s="6" t="n">
        <v>0.01</v>
      </c>
      <c r="D74" s="6" t="n">
        <v>35</v>
      </c>
      <c r="E74" s="6" t="n">
        <v>35</v>
      </c>
      <c r="F74" s="6" t="n">
        <v>166380</v>
      </c>
      <c r="G74" s="6" t="n">
        <v>166380</v>
      </c>
      <c r="H74" s="6" t="n">
        <v>21884</v>
      </c>
      <c r="I74" s="6" t="n">
        <v>1060</v>
      </c>
      <c r="J74" s="6" t="n">
        <v>131.7</v>
      </c>
      <c r="K74" s="6" t="n">
        <v>3.63</v>
      </c>
      <c r="L74" s="6" t="n">
        <v>9.2</v>
      </c>
    </row>
    <row r="75" customFormat="false" ht="15" hidden="false" customHeight="false" outlineLevel="0" collapsed="false">
      <c r="A75" s="6" t="s">
        <v>705</v>
      </c>
      <c r="B75" s="6" t="s">
        <v>30</v>
      </c>
      <c r="C75" s="6" t="n">
        <v>0.015</v>
      </c>
      <c r="D75" s="6" t="n">
        <v>35</v>
      </c>
      <c r="E75" s="6" t="n">
        <v>35</v>
      </c>
      <c r="F75" s="6" t="n">
        <v>167965</v>
      </c>
      <c r="G75" s="6" t="n">
        <v>167965</v>
      </c>
      <c r="H75" s="6" t="n">
        <v>21390</v>
      </c>
      <c r="I75" s="6" t="n">
        <v>921</v>
      </c>
      <c r="J75" s="6" t="n">
        <v>126</v>
      </c>
      <c r="K75" s="6" t="n">
        <v>3.63</v>
      </c>
      <c r="L75" s="6" t="n">
        <v>9.2</v>
      </c>
    </row>
    <row r="76" customFormat="false" ht="15" hidden="false" customHeight="false" outlineLevel="0" collapsed="false">
      <c r="A76" s="6" t="s">
        <v>705</v>
      </c>
      <c r="B76" s="6" t="s">
        <v>30</v>
      </c>
      <c r="C76" s="6" t="n">
        <v>0.025</v>
      </c>
      <c r="D76" s="6" t="n">
        <v>36</v>
      </c>
      <c r="E76" s="6" t="n">
        <v>36</v>
      </c>
      <c r="F76" s="6" t="n">
        <v>169523</v>
      </c>
      <c r="G76" s="6" t="n">
        <v>169523</v>
      </c>
      <c r="H76" s="6" t="n">
        <v>20498</v>
      </c>
      <c r="I76" s="6" t="n">
        <v>665</v>
      </c>
      <c r="J76" s="6" t="n">
        <v>115.6</v>
      </c>
      <c r="K76" s="6" t="n">
        <v>3.63</v>
      </c>
      <c r="L76" s="6" t="n">
        <v>9.2</v>
      </c>
    </row>
    <row r="77" customFormat="false" ht="15" hidden="false" customHeight="false" outlineLevel="0" collapsed="false">
      <c r="A77" s="6" t="s">
        <v>705</v>
      </c>
      <c r="B77" s="6" t="s">
        <v>30</v>
      </c>
      <c r="C77" s="6" t="n">
        <v>0.04</v>
      </c>
      <c r="D77" s="6" t="s">
        <v>703</v>
      </c>
      <c r="E77" s="6" t="n">
        <v>37</v>
      </c>
      <c r="F77" s="6" t="n">
        <v>175390</v>
      </c>
      <c r="G77" s="6" t="n">
        <v>175390</v>
      </c>
      <c r="H77" s="6" t="n">
        <v>18749</v>
      </c>
      <c r="I77" s="6" t="n">
        <v>-214</v>
      </c>
      <c r="J77" s="6" t="n">
        <v>101.7</v>
      </c>
      <c r="K77" s="6" t="n">
        <v>3.63</v>
      </c>
      <c r="L77" s="6" t="n">
        <v>9.2</v>
      </c>
    </row>
    <row r="78" customFormat="false" ht="15" hidden="false" customHeight="false" outlineLevel="0" collapsed="false">
      <c r="A78" s="6" t="s">
        <v>705</v>
      </c>
      <c r="B78" s="6" t="s">
        <v>704</v>
      </c>
      <c r="C78" s="6" t="n">
        <v>0</v>
      </c>
      <c r="D78" s="6" t="n">
        <v>31</v>
      </c>
      <c r="E78" s="6" t="n">
        <v>31</v>
      </c>
      <c r="F78" s="6" t="n">
        <v>90745</v>
      </c>
      <c r="G78" s="6" t="n">
        <v>90745</v>
      </c>
      <c r="H78" s="6" t="n">
        <v>21390</v>
      </c>
      <c r="I78" s="6" t="n">
        <v>3921</v>
      </c>
      <c r="J78" s="6" t="n">
        <v>126</v>
      </c>
      <c r="K78" s="6" t="n">
        <v>3.63</v>
      </c>
      <c r="L78" s="6" t="n">
        <v>9.2</v>
      </c>
    </row>
    <row r="79" customFormat="false" ht="15" hidden="false" customHeight="false" outlineLevel="0" collapsed="false">
      <c r="A79" s="6" t="s">
        <v>705</v>
      </c>
      <c r="B79" s="6" t="s">
        <v>704</v>
      </c>
      <c r="C79" s="6" t="n">
        <v>0.5</v>
      </c>
      <c r="D79" s="6" t="n">
        <v>33</v>
      </c>
      <c r="E79" s="6" t="n">
        <v>33</v>
      </c>
      <c r="F79" s="6" t="n">
        <v>127472</v>
      </c>
      <c r="G79" s="6" t="n">
        <v>127472</v>
      </c>
      <c r="H79" s="6" t="n">
        <v>21390</v>
      </c>
      <c r="I79" s="6" t="n">
        <v>2421</v>
      </c>
      <c r="J79" s="6" t="n">
        <v>126</v>
      </c>
      <c r="K79" s="6" t="n">
        <v>3.63</v>
      </c>
      <c r="L79" s="6" t="n">
        <v>9.2</v>
      </c>
    </row>
    <row r="80" customFormat="false" ht="15" hidden="false" customHeight="false" outlineLevel="0" collapsed="false">
      <c r="A80" s="6" t="s">
        <v>705</v>
      </c>
      <c r="B80" s="6" t="s">
        <v>704</v>
      </c>
      <c r="C80" s="6" t="n">
        <v>1</v>
      </c>
      <c r="D80" s="6" t="n">
        <v>35</v>
      </c>
      <c r="E80" s="6" t="n">
        <v>35</v>
      </c>
      <c r="F80" s="6" t="n">
        <v>167965</v>
      </c>
      <c r="G80" s="6" t="n">
        <v>167965</v>
      </c>
      <c r="H80" s="6" t="n">
        <v>21390</v>
      </c>
      <c r="I80" s="6" t="n">
        <v>921</v>
      </c>
      <c r="J80" s="6" t="n">
        <v>126</v>
      </c>
      <c r="K80" s="6" t="n">
        <v>3.63</v>
      </c>
      <c r="L80" s="6" t="n">
        <v>9.2</v>
      </c>
    </row>
    <row r="81" customFormat="false" ht="15" hidden="false" customHeight="false" outlineLevel="0" collapsed="false">
      <c r="A81" s="6" t="s">
        <v>705</v>
      </c>
      <c r="B81" s="6" t="s">
        <v>704</v>
      </c>
      <c r="C81" s="6" t="n">
        <v>1.5</v>
      </c>
      <c r="D81" s="6" t="s">
        <v>703</v>
      </c>
      <c r="E81" s="6" t="n">
        <v>38</v>
      </c>
      <c r="F81" s="6" t="n">
        <v>211823</v>
      </c>
      <c r="G81" s="6" t="n">
        <v>211959</v>
      </c>
      <c r="H81" s="6" t="n">
        <v>21390</v>
      </c>
      <c r="I81" s="6" t="n">
        <v>-579</v>
      </c>
      <c r="J81" s="6" t="n">
        <v>126</v>
      </c>
      <c r="K81" s="6" t="n">
        <v>3.63</v>
      </c>
      <c r="L81" s="6" t="n">
        <v>9.2</v>
      </c>
    </row>
    <row r="84" customFormat="false" ht="15" hidden="false" customHeight="false" outlineLevel="0" collapsed="false">
      <c r="A84" s="4" t="s">
        <v>706</v>
      </c>
      <c r="B84" s="4" t="n">
        <v>0.02</v>
      </c>
      <c r="C84" s="4" t="n">
        <v>0.03</v>
      </c>
      <c r="D84" s="4" t="n">
        <v>0.045</v>
      </c>
      <c r="E84" s="4" t="n">
        <v>0.06</v>
      </c>
    </row>
    <row r="85" customFormat="false" ht="15" hidden="false" customHeight="false" outlineLevel="0" collapsed="false">
      <c r="A85" s="6" t="n">
        <v>0.5</v>
      </c>
      <c r="B85" s="6" t="s">
        <v>707</v>
      </c>
      <c r="C85" s="6" t="s">
        <v>708</v>
      </c>
      <c r="D85" s="6" t="s">
        <v>709</v>
      </c>
      <c r="E85" s="6" t="s">
        <v>710</v>
      </c>
    </row>
    <row r="86" customFormat="false" ht="15" hidden="false" customHeight="false" outlineLevel="0" collapsed="false">
      <c r="A86" s="6" t="n">
        <v>0.75</v>
      </c>
      <c r="B86" s="6" t="s">
        <v>711</v>
      </c>
      <c r="C86" s="6" t="s">
        <v>712</v>
      </c>
      <c r="D86" s="6" t="s">
        <v>713</v>
      </c>
      <c r="E86" s="6" t="s">
        <v>714</v>
      </c>
    </row>
    <row r="87" customFormat="false" ht="15" hidden="false" customHeight="false" outlineLevel="0" collapsed="false">
      <c r="A87" s="6" t="n">
        <v>1</v>
      </c>
      <c r="B87" s="6" t="s">
        <v>715</v>
      </c>
      <c r="C87" s="6" t="s">
        <v>716</v>
      </c>
      <c r="D87" s="6" t="s">
        <v>717</v>
      </c>
      <c r="E87" s="6" t="s">
        <v>718</v>
      </c>
    </row>
    <row r="88" customFormat="false" ht="15" hidden="false" customHeight="false" outlineLevel="0" collapsed="false">
      <c r="A88" s="6" t="n">
        <v>1.25</v>
      </c>
      <c r="B88" s="6" t="s">
        <v>719</v>
      </c>
      <c r="C88" s="6" t="s">
        <v>720</v>
      </c>
      <c r="D88" s="6" t="s">
        <v>721</v>
      </c>
      <c r="E88" s="6" t="s">
        <v>722</v>
      </c>
    </row>
    <row r="89" customFormat="false" ht="15" hidden="false" customHeight="false" outlineLevel="0" collapsed="false">
      <c r="A89" s="6" t="n">
        <v>1.5</v>
      </c>
      <c r="B89" s="6" t="s">
        <v>723</v>
      </c>
      <c r="C89" s="6" t="s">
        <v>724</v>
      </c>
      <c r="D89" s="6" t="s">
        <v>725</v>
      </c>
      <c r="E89" s="6" t="s">
        <v>726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2026-10-22T05:51:11Z</dcterms:created>
  <dc:creator>openpyxl</dc:creator>
  <dc:description/>
  <dc:language>en-US</dc:language>
  <cp:lastModifiedBy/>
  <dcterms:modified xsi:type="dcterms:W3CDTF">2026-10-22T05:51:11Z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